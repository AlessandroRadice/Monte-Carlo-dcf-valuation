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DCF Base Case" sheetId="3" state="visible" r:id="rId5"/>
    <sheet name="Simulation" sheetId="4" state="visible" r:id="rId6"/>
    <sheet name="Results" sheetId="5" state="visible" r:id="rId7"/>
    <sheet name="Sensitivity" sheetId="6" state="visible" r:id="rId8"/>
    <sheet name="Price Path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<sst xmlns="http://schemas.openxmlformats.org/spreadsheetml/2006/main" count="183" uniqueCount="168">
  <si>
    <t xml:space="preserve">LUMINA RENEWABLES S.p.A.</t>
  </si>
  <si>
    <t xml:space="preserve">Monte Carlo DCF Valuation  •  Probabilistic Equity Value Analysis</t>
  </si>
  <si>
    <t xml:space="preserve">Case: a mid-market Italian solar &amp; wind operator valued via a 5-year unlevered DCF.
Six assumptions are treated as probability distributions rather than single points — including WACC (capital intensity) and the tax rate (IRES base plus windfall-tax risk).
50,000 iterations were simulated; this workbook reproduces 2,000 live, recalculating iterations.</t>
  </si>
  <si>
    <t xml:space="preserve">Headline output</t>
  </si>
  <si>
    <t xml:space="preserve">Base case (single point)</t>
  </si>
  <si>
    <t xml:space="preserve">Simulated mean</t>
  </si>
  <si>
    <t xml:space="preserve">Simulated median (P50)</t>
  </si>
  <si>
    <t xml:space="preserve">Downside (P5)</t>
  </si>
  <si>
    <t xml:space="preserve">Upside (P95)</t>
  </si>
  <si>
    <t xml:space="preserve">P(value &gt; market €11.50)</t>
  </si>
  <si>
    <t xml:space="preserve">Tabs: Assumptions · DCF Base Case · Simulation (live) · Results · Sensitivity · Price Paths</t>
  </si>
  <si>
    <t xml:space="preserve">KEY ASSUMPTIONS &amp; DISTRIBUTIONS</t>
  </si>
  <si>
    <t xml:space="preserve">Variable</t>
  </si>
  <si>
    <t xml:space="preserve">Dist.</t>
  </si>
  <si>
    <t xml:space="preserve">Min / Mean</t>
  </si>
  <si>
    <t xml:space="preserve">Mode / SD</t>
  </si>
  <si>
    <t xml:space="preserve">Max</t>
  </si>
  <si>
    <t xml:space="preserve">Base</t>
  </si>
  <si>
    <t xml:space="preserve">Revenue growth (p.a.)</t>
  </si>
  <si>
    <t xml:space="preserve">Triangular</t>
  </si>
  <si>
    <t xml:space="preserve">EBITDA margin</t>
  </si>
  <si>
    <t xml:space="preserve">WACC</t>
  </si>
  <si>
    <t xml:space="preserve">Normal</t>
  </si>
  <si>
    <t xml:space="preserve">Tax rate</t>
  </si>
  <si>
    <t xml:space="preserve">Terminal growth</t>
  </si>
  <si>
    <t xml:space="preserve">CapEx (% revenue)</t>
  </si>
  <si>
    <t xml:space="preserve">Fixed model parameters</t>
  </si>
  <si>
    <t xml:space="preserve">Base revenue (€m)</t>
  </si>
  <si>
    <t xml:space="preserve">D&amp;A (% revenue)</t>
  </si>
  <si>
    <t xml:space="preserve">ΔNWC (% incremental rev)</t>
  </si>
  <si>
    <t xml:space="preserve">Net debt (€m)</t>
  </si>
  <si>
    <t xml:space="preserve">Shares (m)</t>
  </si>
  <si>
    <t xml:space="preserve">Market price (€)</t>
  </si>
  <si>
    <t xml:space="preserve">Forecast horizon (yrs)</t>
  </si>
  <si>
    <t xml:space="preserve">Min WACC–g spread guardrail</t>
  </si>
  <si>
    <t xml:space="preserve">Correlation: Revenue growth ↔ EBITDA margin = +0.35 (Gaussian copula).</t>
  </si>
  <si>
    <t xml:space="preserve">DCF — BASE CASE (deterministic, fully editable)</t>
  </si>
  <si>
    <t xml:space="preserve">REV0 (€m)</t>
  </si>
  <si>
    <t xml:space="preserve">DA_PCT</t>
  </si>
  <si>
    <t xml:space="preserve">NWC_PCT</t>
  </si>
  <si>
    <t xml:space="preserve">NET_DEBT (€m)</t>
  </si>
  <si>
    <t xml:space="preserve">SHARES (m)</t>
  </si>
  <si>
    <t xml:space="preserve">Revenue growth</t>
  </si>
  <si>
    <t xml:space="preserve">CapEx (% rev)</t>
  </si>
  <si>
    <t xml:space="preserve">Projection</t>
  </si>
  <si>
    <t xml:space="preserve">Year</t>
  </si>
  <si>
    <t xml:space="preserve">Y1</t>
  </si>
  <si>
    <t xml:space="preserve">Y2</t>
  </si>
  <si>
    <t xml:space="preserve">Y3</t>
  </si>
  <si>
    <t xml:space="preserve">Y4</t>
  </si>
  <si>
    <t xml:space="preserve">Y5</t>
  </si>
  <si>
    <t xml:space="preserve">Revenue (€m)</t>
  </si>
  <si>
    <t xml:space="preserve">EBITDA (€m)</t>
  </si>
  <si>
    <t xml:space="preserve">D&amp;A (€m)</t>
  </si>
  <si>
    <t xml:space="preserve">EBIT (€m)</t>
  </si>
  <si>
    <t xml:space="preserve">NOPAT (€m)</t>
  </si>
  <si>
    <t xml:space="preserve">CapEx (€m)</t>
  </si>
  <si>
    <t xml:space="preserve">ΔNWC (€m)</t>
  </si>
  <si>
    <t xml:space="preserve">Unlevered FCF (€m)</t>
  </si>
  <si>
    <t xml:space="preserve">Discount factor</t>
  </si>
  <si>
    <t xml:space="preserve">PV of FCF (€m)</t>
  </si>
  <si>
    <t xml:space="preserve">Sum PV of explicit FCF (€m)</t>
  </si>
  <si>
    <t xml:space="preserve">Terminal value (€m)</t>
  </si>
  <si>
    <t xml:space="preserve">PV of terminal value (€m)</t>
  </si>
  <si>
    <t xml:space="preserve">Enterprise value (€m)</t>
  </si>
  <si>
    <t xml:space="preserve">(–) Net debt (€m)</t>
  </si>
  <si>
    <t xml:space="preserve">Equity value (€m)</t>
  </si>
  <si>
    <t xml:space="preserve">Value per share (€)</t>
  </si>
  <si>
    <t xml:space="preserve">Iter</t>
  </si>
  <si>
    <t xml:space="preserve">Rev growth</t>
  </si>
  <si>
    <t xml:space="preserve">EBITDA marg</t>
  </si>
  <si>
    <t xml:space="preserve">WACC(raw)</t>
  </si>
  <si>
    <t xml:space="preserve">Tax</t>
  </si>
  <si>
    <t xml:space="preserve">Term g</t>
  </si>
  <si>
    <t xml:space="preserve">CapEx%</t>
  </si>
  <si>
    <t xml:space="preserve">WACC eff</t>
  </si>
  <si>
    <t xml:space="preserve">A const</t>
  </si>
  <si>
    <t xml:space="preserve">UFCF Y1</t>
  </si>
  <si>
    <t xml:space="preserve">UFCF Y2</t>
  </si>
  <si>
    <t xml:space="preserve">UFCF Y3</t>
  </si>
  <si>
    <t xml:space="preserve">UFCF Y4</t>
  </si>
  <si>
    <t xml:space="preserve">UFCF Y5</t>
  </si>
  <si>
    <t xml:space="preserve">PV expl.</t>
  </si>
  <si>
    <t xml:space="preserve">TV</t>
  </si>
  <si>
    <t xml:space="preserve">EV (€m)</t>
  </si>
  <si>
    <t xml:space="preserve">Equity (€m)</t>
  </si>
  <si>
    <t xml:space="preserve">Per share (€)</t>
  </si>
  <si>
    <t xml:space="preserve">SIMULATION RESULTS  (per share, €)</t>
  </si>
  <si>
    <t xml:space="preserve">Iterations (this workbook)</t>
  </si>
  <si>
    <t xml:space="preserve">Bin (≤ €)</t>
  </si>
  <si>
    <t xml:space="preserve">Frequency</t>
  </si>
  <si>
    <t xml:space="preserve">Mean</t>
  </si>
  <si>
    <t xml:space="preserve">Median (P50)</t>
  </si>
  <si>
    <t xml:space="preserve">Std deviation</t>
  </si>
  <si>
    <t xml:space="preserve">P5  (downside)</t>
  </si>
  <si>
    <t xml:space="preserve">P10</t>
  </si>
  <si>
    <t xml:space="preserve">P25</t>
  </si>
  <si>
    <t xml:space="preserve">P75</t>
  </si>
  <si>
    <t xml:space="preserve">P90</t>
  </si>
  <si>
    <t xml:space="preserve">P95  (upside)</t>
  </si>
  <si>
    <t xml:space="preserve">P(value &lt; base case)</t>
  </si>
  <si>
    <t xml:space="preserve">P(value &lt; €8.00)</t>
  </si>
  <si>
    <t xml:space="preserve">SENSITIVITY — linear correlation of each input with value per share</t>
  </si>
  <si>
    <t xml:space="preserve">Input</t>
  </si>
  <si>
    <t xml:space="preserve">Correlation</t>
  </si>
  <si>
    <t xml:space="preserve">WACC (raw)</t>
  </si>
  <si>
    <t xml:space="preserve">Note: this sheet uses Pearson (CORREL). The report tornado uses Spearman rank correlation over the full 50,000-iteration run; rankings are consistent.</t>
  </si>
  <si>
    <t xml:space="preserve">SHARE-PRICE PATHS  —  Geometric Brownian Motion (formula-driven, recalculates)</t>
  </si>
  <si>
    <t xml:space="preserve">Start price S0 (€)</t>
  </si>
  <si>
    <t xml:space="preserve">Annual drift (mu)</t>
  </si>
  <si>
    <t xml:space="preserve">Annual volatility (sigma)</t>
  </si>
  <si>
    <t xml:space="preserve">Years</t>
  </si>
  <si>
    <t xml:space="preserve">Steps (months)</t>
  </si>
  <si>
    <t xml:space="preserve">dt = Years / Steps</t>
  </si>
  <si>
    <t xml:space="preserve">Path \ Month</t>
  </si>
  <si>
    <t xml:space="preserve">Path 1</t>
  </si>
  <si>
    <t xml:space="preserve">Path 2</t>
  </si>
  <si>
    <t xml:space="preserve">Path 3</t>
  </si>
  <si>
    <t xml:space="preserve">Path 4</t>
  </si>
  <si>
    <t xml:space="preserve">Path 5</t>
  </si>
  <si>
    <t xml:space="preserve">Path 6</t>
  </si>
  <si>
    <t xml:space="preserve">Path 7</t>
  </si>
  <si>
    <t xml:space="preserve">Path 8</t>
  </si>
  <si>
    <t xml:space="preserve">Path 9</t>
  </si>
  <si>
    <t xml:space="preserve">Path 10</t>
  </si>
  <si>
    <t xml:space="preserve">Path 11</t>
  </si>
  <si>
    <t xml:space="preserve">Path 12</t>
  </si>
  <si>
    <t xml:space="preserve">Path 13</t>
  </si>
  <si>
    <t xml:space="preserve">Path 14</t>
  </si>
  <si>
    <t xml:space="preserve">Path 15</t>
  </si>
  <si>
    <t xml:space="preserve">Path 16</t>
  </si>
  <si>
    <t xml:space="preserve">Path 17</t>
  </si>
  <si>
    <t xml:space="preserve">Path 18</t>
  </si>
  <si>
    <t xml:space="preserve">Path 19</t>
  </si>
  <si>
    <t xml:space="preserve">Path 20</t>
  </si>
  <si>
    <t xml:space="preserve">Path 21</t>
  </si>
  <si>
    <t xml:space="preserve">Path 22</t>
  </si>
  <si>
    <t xml:space="preserve">Path 23</t>
  </si>
  <si>
    <t xml:space="preserve">Path 24</t>
  </si>
  <si>
    <t xml:space="preserve">Path 25</t>
  </si>
  <si>
    <t xml:space="preserve">Path 26</t>
  </si>
  <si>
    <t xml:space="preserve">Path 27</t>
  </si>
  <si>
    <t xml:space="preserve">Path 28</t>
  </si>
  <si>
    <t xml:space="preserve">Path 29</t>
  </si>
  <si>
    <t xml:space="preserve">Path 30</t>
  </si>
  <si>
    <t xml:space="preserve">Path 31</t>
  </si>
  <si>
    <t xml:space="preserve">Path 32</t>
  </si>
  <si>
    <t xml:space="preserve">Path 33</t>
  </si>
  <si>
    <t xml:space="preserve">Path 34</t>
  </si>
  <si>
    <t xml:space="preserve">Path 35</t>
  </si>
  <si>
    <t xml:space="preserve">Path 36</t>
  </si>
  <si>
    <t xml:space="preserve">Path 37</t>
  </si>
  <si>
    <t xml:space="preserve">Path 38</t>
  </si>
  <si>
    <t xml:space="preserve">Path 39</t>
  </si>
  <si>
    <t xml:space="preserve">Path 40</t>
  </si>
  <si>
    <t xml:space="preserve">Path 41</t>
  </si>
  <si>
    <t xml:space="preserve">Path 42</t>
  </si>
  <si>
    <t xml:space="preserve">Path 43</t>
  </si>
  <si>
    <t xml:space="preserve">Path 44</t>
  </si>
  <si>
    <t xml:space="preserve">Path 45</t>
  </si>
  <si>
    <t xml:space="preserve">Path 46</t>
  </si>
  <si>
    <t xml:space="preserve">Path 47</t>
  </si>
  <si>
    <t xml:space="preserve">Path 48</t>
  </si>
  <si>
    <t xml:space="preserve">Path 49</t>
  </si>
  <si>
    <t xml:space="preserve">Path 50</t>
  </si>
  <si>
    <t xml:space="preserve">P5</t>
  </si>
  <si>
    <t xml:space="preserve">P95</t>
  </si>
  <si>
    <t xml:space="preserve">Random shocks Z ~ N(0,1)  (drives the paths above)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</si>
</sst>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€0.00"/>
    <numFmt numFmtId="166" formatCode="0.0%"/>
    <numFmt numFmtId="167" formatCode="0.00%"/>
    <numFmt numFmtId="168" formatCode="\€#,##0"/>
    <numFmt numFmtId="169" formatCode="0.0"/>
    <numFmt numFmtId="170" formatCode="0"/>
    <numFmt numFmtId="171" formatCode="\€#,##0.0"/>
    <numFmt numFmtId="172" formatCode="0.000"/>
    <numFmt numFmtId="173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1"/>
      <color rgb="FF0B2545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5B6B7B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0B2545"/>
        <bgColor rgb="FF13315C"/>
      </patternFill>
    </fill>
    <fill>
      <patternFill patternType="solid">
        <fgColor rgb="FFE6ECF2"/>
        <bgColor rgb="FFF9F9F9"/>
      </patternFill>
    </fill>
    <fill>
      <patternFill patternType="solid">
        <fgColor rgb="FFC9A24B"/>
        <bgColor rgb="FFE5883B"/>
      </patternFill>
    </fill>
    <fill>
      <patternFill patternType="solid">
        <fgColor rgb="FF13315C"/>
        <bgColor rgb="FF0B254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7332"/>
      <rgbColor rgb="FF8EAD4F"/>
      <rgbColor rgb="FF0000FF"/>
      <rgbColor rgb="FFB9CC9B"/>
      <rgbColor rgb="FFC77978"/>
      <rgbColor rgb="FFB0CFDC"/>
      <rgbColor rgb="FFAB652B"/>
      <rgbColor rgb="FF008000"/>
      <rgbColor rgb="FFA9C37E"/>
      <rgbColor rgb="FF71893D"/>
      <rgbColor rgb="FFB24543"/>
      <rgbColor rgb="FF2F7A72"/>
      <rgbColor rgb="FFB8C2CC"/>
      <rgbColor rgb="FF878787"/>
      <rgbColor rgb="FF98ACCE"/>
      <rgbColor rgb="FF953B38"/>
      <rgbColor rgb="FFF9F9F9"/>
      <rgbColor rgb="FFE6ECF2"/>
      <rgbColor rgb="FF7D5FA0"/>
      <rgbColor rgb="FFE5883B"/>
      <rgbColor rgb="FF355D8B"/>
      <rgbColor rgb="FFC4CEE0"/>
      <rgbColor rgb="FFB0BED7"/>
      <rgbColor rgb="FFD09897"/>
      <rgbColor rgb="FFF5B594"/>
      <rgbColor rgb="FF7997C4"/>
      <rgbColor rgb="FFBE4B48"/>
      <rgbColor rgb="FFC9A24B"/>
      <rgbColor rgb="FF4D80BC"/>
      <rgbColor rgb="FFBDB4CB"/>
      <rgbColor rgb="FF77B6CC"/>
      <rgbColor rgb="FFC7D6B1"/>
      <rgbColor rgb="FFD9D9D9"/>
      <rgbColor rgb="FFE1C4C4"/>
      <rgbColor rgb="FF97C3D3"/>
      <rgbColor rgb="FFD9B0B0"/>
      <rgbColor rgb="FFAC9FBE"/>
      <rgbColor rgb="FFF6C4AE"/>
      <rgbColor rgb="FF4271A9"/>
      <rgbColor rgb="FF44A5C0"/>
      <rgbColor rgb="FF98B855"/>
      <rgbColor rgb="FFF5A574"/>
      <rgbColor rgb="FFF59240"/>
      <rgbColor rgb="FFD57F36"/>
      <rgbColor rgb="FF5B6B7B"/>
      <rgbColor rgb="FF9684AF"/>
      <rgbColor rgb="FF13315C"/>
      <rgbColor rgb="FF398CA2"/>
      <rgbColor rgb="FF84A049"/>
      <rgbColor rgb="FF70568F"/>
      <rgbColor rgb="FF853331"/>
      <rgbColor rgb="FFA4413E"/>
      <rgbColor rgb="FF5D4776"/>
      <rgbColor rgb="FF0B254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Distribution of value per share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Results!$D$4:$D$18</c:f>
              <c:strCache>
                <c:ptCount val="15"/>
                <c:pt idx="0">
                  <c:v>€2.00</c:v>
                </c:pt>
                <c:pt idx="1">
                  <c:v>€4.00</c:v>
                </c:pt>
                <c:pt idx="2">
                  <c:v>€6.00</c:v>
                </c:pt>
                <c:pt idx="3">
                  <c:v>€8.00</c:v>
                </c:pt>
                <c:pt idx="4">
                  <c:v>€10.00</c:v>
                </c:pt>
                <c:pt idx="5">
                  <c:v>€12.00</c:v>
                </c:pt>
                <c:pt idx="6">
                  <c:v>€14.00</c:v>
                </c:pt>
                <c:pt idx="7">
                  <c:v>€16.00</c:v>
                </c:pt>
                <c:pt idx="8">
                  <c:v>€18.00</c:v>
                </c:pt>
                <c:pt idx="9">
                  <c:v>€20.00</c:v>
                </c:pt>
                <c:pt idx="10">
                  <c:v>€22.00</c:v>
                </c:pt>
                <c:pt idx="11">
                  <c:v>€24.00</c:v>
                </c:pt>
                <c:pt idx="12">
                  <c:v>€26.00</c:v>
                </c:pt>
                <c:pt idx="13">
                  <c:v>€28.00</c:v>
                </c:pt>
                <c:pt idx="14">
                  <c:v>€30.00</c:v>
                </c:pt>
              </c:strCache>
            </c:strRef>
          </c:cat>
          <c:val>
            <c:numRef>
              <c:f>Results!$E$4:$E$18</c:f>
              <c:numCache>
                <c:formatCode>General</c:formatCode>
                <c:ptCount val="15"/>
                <c:pt idx="0">
                  <c:v>6</c:v>
                </c:pt>
                <c:pt idx="1">
                  <c:v>28</c:v>
                </c:pt>
                <c:pt idx="2">
                  <c:v>106</c:v>
                </c:pt>
                <c:pt idx="3">
                  <c:v>205</c:v>
                </c:pt>
                <c:pt idx="4">
                  <c:v>260</c:v>
                </c:pt>
                <c:pt idx="5">
                  <c:v>316</c:v>
                </c:pt>
                <c:pt idx="6">
                  <c:v>274</c:v>
                </c:pt>
                <c:pt idx="7">
                  <c:v>238</c:v>
                </c:pt>
                <c:pt idx="8">
                  <c:v>173</c:v>
                </c:pt>
                <c:pt idx="9">
                  <c:v>143</c:v>
                </c:pt>
                <c:pt idx="10">
                  <c:v>84</c:v>
                </c:pt>
                <c:pt idx="11">
                  <c:v>66</c:v>
                </c:pt>
                <c:pt idx="12">
                  <c:v>39</c:v>
                </c:pt>
                <c:pt idx="13">
                  <c:v>21</c:v>
                </c:pt>
                <c:pt idx="14">
                  <c:v>11</c:v>
                </c:pt>
              </c:numCache>
            </c:numRef>
          </c:val>
        </c:ser>
        <c:gapWidth val="150"/>
        <c:overlap val="0"/>
        <c:axId val="98796459"/>
        <c:axId val="76335331"/>
      </c:barChart>
      <c:catAx>
        <c:axId val="9879645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Value per share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€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335331"/>
        <c:crosses val="autoZero"/>
        <c:auto val="1"/>
        <c:lblAlgn val="ctr"/>
        <c:lblOffset val="100"/>
        <c:noMultiLvlLbl val="0"/>
      </c:catAx>
      <c:valAx>
        <c:axId val="763353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Frequency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79645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Simulated share-price paths over 5 years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335883"/>
            </a:solidFill>
            <a:ln w="6120">
              <a:solidFill>
                <a:srgbClr val="335883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Paths'!$B$11:$BJ$11</c:f>
              <c:numCache>
                <c:formatCode>\€0.00</c:formatCode>
                <c:ptCount val="61"/>
                <c:pt idx="0">
                  <c:v>11.5</c:v>
                </c:pt>
                <c:pt idx="1">
                  <c:v>11.4994435313085</c:v>
                </c:pt>
                <c:pt idx="2">
                  <c:v>11.8803606048589</c:v>
                </c:pt>
                <c:pt idx="3">
                  <c:v>11.5262997236793</c:v>
                </c:pt>
                <c:pt idx="4">
                  <c:v>10.4515800745737</c:v>
                </c:pt>
                <c:pt idx="5">
                  <c:v>9.94126245268099</c:v>
                </c:pt>
                <c:pt idx="6">
                  <c:v>8.91495745975695</c:v>
                </c:pt>
                <c:pt idx="7">
                  <c:v>8.97232367370409</c:v>
                </c:pt>
                <c:pt idx="8">
                  <c:v>10.3913980038635</c:v>
                </c:pt>
                <c:pt idx="9">
                  <c:v>9.84340470689457</c:v>
                </c:pt>
                <c:pt idx="10">
                  <c:v>9.19403007100793</c:v>
                </c:pt>
                <c:pt idx="11">
                  <c:v>9.69979758996663</c:v>
                </c:pt>
                <c:pt idx="12">
                  <c:v>10.0852197291531</c:v>
                </c:pt>
                <c:pt idx="13">
                  <c:v>10.2006475657362</c:v>
                </c:pt>
                <c:pt idx="14">
                  <c:v>9.20916087879749</c:v>
                </c:pt>
                <c:pt idx="15">
                  <c:v>9.17797487964241</c:v>
                </c:pt>
                <c:pt idx="16">
                  <c:v>9.90357306863498</c:v>
                </c:pt>
                <c:pt idx="17">
                  <c:v>8.54423319167856</c:v>
                </c:pt>
                <c:pt idx="18">
                  <c:v>8.12442024175842</c:v>
                </c:pt>
                <c:pt idx="19">
                  <c:v>6.59382404350176</c:v>
                </c:pt>
                <c:pt idx="20">
                  <c:v>5.72299508149667</c:v>
                </c:pt>
                <c:pt idx="21">
                  <c:v>4.67522349911504</c:v>
                </c:pt>
                <c:pt idx="22">
                  <c:v>4.5553617659338</c:v>
                </c:pt>
                <c:pt idx="23">
                  <c:v>3.96334001604827</c:v>
                </c:pt>
                <c:pt idx="24">
                  <c:v>4.08229993620849</c:v>
                </c:pt>
                <c:pt idx="25">
                  <c:v>4.15234095066406</c:v>
                </c:pt>
                <c:pt idx="26">
                  <c:v>4.06731569082866</c:v>
                </c:pt>
                <c:pt idx="27">
                  <c:v>3.08551954358742</c:v>
                </c:pt>
                <c:pt idx="28">
                  <c:v>2.90793720812615</c:v>
                </c:pt>
                <c:pt idx="29">
                  <c:v>2.8919766979963</c:v>
                </c:pt>
                <c:pt idx="30">
                  <c:v>2.92761037473954</c:v>
                </c:pt>
                <c:pt idx="31">
                  <c:v>2.47478263745553</c:v>
                </c:pt>
                <c:pt idx="32">
                  <c:v>2.34799400541069</c:v>
                </c:pt>
                <c:pt idx="33">
                  <c:v>2.10862873474851</c:v>
                </c:pt>
                <c:pt idx="34">
                  <c:v>1.92924330972294</c:v>
                </c:pt>
                <c:pt idx="35">
                  <c:v>2.16695172573834</c:v>
                </c:pt>
                <c:pt idx="36">
                  <c:v>1.9828879510125</c:v>
                </c:pt>
                <c:pt idx="37">
                  <c:v>1.97546436246785</c:v>
                </c:pt>
                <c:pt idx="38">
                  <c:v>2.17631847425984</c:v>
                </c:pt>
                <c:pt idx="39">
                  <c:v>2.04098470084446</c:v>
                </c:pt>
                <c:pt idx="40">
                  <c:v>2.01575887203279</c:v>
                </c:pt>
                <c:pt idx="41">
                  <c:v>2.03995946617255</c:v>
                </c:pt>
                <c:pt idx="42">
                  <c:v>2.05390579330921</c:v>
                </c:pt>
                <c:pt idx="43">
                  <c:v>1.79530605756164</c:v>
                </c:pt>
                <c:pt idx="44">
                  <c:v>1.81003195596954</c:v>
                </c:pt>
                <c:pt idx="45">
                  <c:v>2.10059242061887</c:v>
                </c:pt>
                <c:pt idx="46">
                  <c:v>1.77237355778057</c:v>
                </c:pt>
                <c:pt idx="47">
                  <c:v>1.94722956214745</c:v>
                </c:pt>
                <c:pt idx="48">
                  <c:v>1.97253006689713</c:v>
                </c:pt>
                <c:pt idx="49">
                  <c:v>1.83816279794928</c:v>
                </c:pt>
                <c:pt idx="50">
                  <c:v>2.28878716750118</c:v>
                </c:pt>
                <c:pt idx="51">
                  <c:v>2.48794230238601</c:v>
                </c:pt>
                <c:pt idx="52">
                  <c:v>2.18085018638269</c:v>
                </c:pt>
                <c:pt idx="53">
                  <c:v>2.19834682453072</c:v>
                </c:pt>
                <c:pt idx="54">
                  <c:v>2.34147988643678</c:v>
                </c:pt>
                <c:pt idx="55">
                  <c:v>2.29306896139097</c:v>
                </c:pt>
                <c:pt idx="56">
                  <c:v>2.47099436336522</c:v>
                </c:pt>
                <c:pt idx="57">
                  <c:v>2.45258014775009</c:v>
                </c:pt>
                <c:pt idx="58">
                  <c:v>2.63834549642036</c:v>
                </c:pt>
                <c:pt idx="59">
                  <c:v>3.08875979194275</c:v>
                </c:pt>
                <c:pt idx="60">
                  <c:v>2.86758008030533</c:v>
                </c:pt>
              </c:numCache>
            </c:numRef>
          </c:val>
          <c:smooth val="1"/>
        </c:ser>
        <c:ser>
          <c:idx val="1"/>
          <c:order val="1"/>
          <c:spPr>
            <a:solidFill>
              <a:srgbClr val="853331"/>
            </a:solidFill>
            <a:ln w="6120">
              <a:solidFill>
                <a:srgbClr val="8533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Paths'!$B$12:$BJ$12</c:f>
              <c:numCache>
                <c:formatCode>\€0.00</c:formatCode>
                <c:ptCount val="61"/>
                <c:pt idx="0">
                  <c:v>11.5</c:v>
                </c:pt>
                <c:pt idx="1">
                  <c:v>11.7569823541036</c:v>
                </c:pt>
                <c:pt idx="2">
                  <c:v>11.1723360847102</c:v>
                </c:pt>
                <c:pt idx="3">
                  <c:v>11.3273290159585</c:v>
                </c:pt>
                <c:pt idx="4">
                  <c:v>9.94235410652677</c:v>
                </c:pt>
                <c:pt idx="5">
                  <c:v>9.32848949143058</c:v>
                </c:pt>
                <c:pt idx="6">
                  <c:v>9.12819293390477</c:v>
                </c:pt>
                <c:pt idx="7">
                  <c:v>10.0721653414732</c:v>
                </c:pt>
                <c:pt idx="8">
                  <c:v>11.4183222912843</c:v>
                </c:pt>
                <c:pt idx="9">
                  <c:v>9.87345177508722</c:v>
                </c:pt>
                <c:pt idx="10">
                  <c:v>9.04757400427026</c:v>
                </c:pt>
                <c:pt idx="11">
                  <c:v>9.71116638372315</c:v>
                </c:pt>
                <c:pt idx="12">
                  <c:v>7.80318110793546</c:v>
                </c:pt>
                <c:pt idx="13">
                  <c:v>7.41525982022842</c:v>
                </c:pt>
                <c:pt idx="14">
                  <c:v>7.33519973216651</c:v>
                </c:pt>
                <c:pt idx="15">
                  <c:v>8.41816200854195</c:v>
                </c:pt>
                <c:pt idx="16">
                  <c:v>9.07781398030184</c:v>
                </c:pt>
                <c:pt idx="17">
                  <c:v>8.75614636545906</c:v>
                </c:pt>
                <c:pt idx="18">
                  <c:v>8.40764203040518</c:v>
                </c:pt>
                <c:pt idx="19">
                  <c:v>8.17852774306211</c:v>
                </c:pt>
                <c:pt idx="20">
                  <c:v>9.66445516751998</c:v>
                </c:pt>
                <c:pt idx="21">
                  <c:v>9.21947916275745</c:v>
                </c:pt>
                <c:pt idx="22">
                  <c:v>8.91577804716405</c:v>
                </c:pt>
                <c:pt idx="23">
                  <c:v>9.26567760228211</c:v>
                </c:pt>
                <c:pt idx="24">
                  <c:v>9.14205830983782</c:v>
                </c:pt>
                <c:pt idx="25">
                  <c:v>8.94469684502855</c:v>
                </c:pt>
                <c:pt idx="26">
                  <c:v>7.91427561573453</c:v>
                </c:pt>
                <c:pt idx="27">
                  <c:v>7.90283037058573</c:v>
                </c:pt>
                <c:pt idx="28">
                  <c:v>7.52610998763096</c:v>
                </c:pt>
                <c:pt idx="29">
                  <c:v>8.55157236456607</c:v>
                </c:pt>
                <c:pt idx="30">
                  <c:v>9.18501536346994</c:v>
                </c:pt>
                <c:pt idx="31">
                  <c:v>9.15904198954709</c:v>
                </c:pt>
                <c:pt idx="32">
                  <c:v>9.85399884285768</c:v>
                </c:pt>
                <c:pt idx="33">
                  <c:v>9.49164080221516</c:v>
                </c:pt>
                <c:pt idx="34">
                  <c:v>10.6508829545905</c:v>
                </c:pt>
                <c:pt idx="35">
                  <c:v>10.6426248374307</c:v>
                </c:pt>
                <c:pt idx="36">
                  <c:v>11.3438851750978</c:v>
                </c:pt>
                <c:pt idx="37">
                  <c:v>9.84426426458865</c:v>
                </c:pt>
                <c:pt idx="38">
                  <c:v>10.2239729284967</c:v>
                </c:pt>
                <c:pt idx="39">
                  <c:v>8.49401456945543</c:v>
                </c:pt>
                <c:pt idx="40">
                  <c:v>6.79311669050323</c:v>
                </c:pt>
                <c:pt idx="41">
                  <c:v>6.56876902147169</c:v>
                </c:pt>
                <c:pt idx="42">
                  <c:v>5.95019601803854</c:v>
                </c:pt>
                <c:pt idx="43">
                  <c:v>6.05713463519854</c:v>
                </c:pt>
                <c:pt idx="44">
                  <c:v>7.74692184005776</c:v>
                </c:pt>
                <c:pt idx="45">
                  <c:v>7.0701032566099</c:v>
                </c:pt>
                <c:pt idx="46">
                  <c:v>6.60117254655058</c:v>
                </c:pt>
                <c:pt idx="47">
                  <c:v>6.75036152671144</c:v>
                </c:pt>
                <c:pt idx="48">
                  <c:v>7.12417968336171</c:v>
                </c:pt>
                <c:pt idx="49">
                  <c:v>6.98636307616957</c:v>
                </c:pt>
                <c:pt idx="50">
                  <c:v>6.82905932162869</c:v>
                </c:pt>
                <c:pt idx="51">
                  <c:v>7.37474530574325</c:v>
                </c:pt>
                <c:pt idx="52">
                  <c:v>7.80613613330278</c:v>
                </c:pt>
                <c:pt idx="53">
                  <c:v>6.96805477924359</c:v>
                </c:pt>
                <c:pt idx="54">
                  <c:v>6.90652661083343</c:v>
                </c:pt>
                <c:pt idx="55">
                  <c:v>6.93204152679454</c:v>
                </c:pt>
                <c:pt idx="56">
                  <c:v>6.17369610307445</c:v>
                </c:pt>
                <c:pt idx="57">
                  <c:v>6.35103519646957</c:v>
                </c:pt>
                <c:pt idx="58">
                  <c:v>5.77951415412077</c:v>
                </c:pt>
                <c:pt idx="59">
                  <c:v>6.42867630555838</c:v>
                </c:pt>
                <c:pt idx="60">
                  <c:v>6.5648449073314</c:v>
                </c:pt>
              </c:numCache>
            </c:numRef>
          </c:val>
          <c:smooth val="1"/>
        </c:ser>
        <c:ser>
          <c:idx val="2"/>
          <c:order val="2"/>
          <c:spPr>
            <a:solidFill>
              <a:srgbClr val="6a813a"/>
            </a:solidFill>
            <a:ln w="6120">
              <a:solidFill>
                <a:srgbClr val="6a813a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Paths'!$B$13:$BJ$13</c:f>
              <c:numCache>
                <c:formatCode>\€0.00</c:formatCode>
                <c:ptCount val="61"/>
                <c:pt idx="0">
                  <c:v>11.5</c:v>
                </c:pt>
                <c:pt idx="1">
                  <c:v>11.6110858157649</c:v>
                </c:pt>
                <c:pt idx="2">
                  <c:v>10.8801846223359</c:v>
                </c:pt>
                <c:pt idx="3">
                  <c:v>10.7375698046435</c:v>
                </c:pt>
                <c:pt idx="4">
                  <c:v>8.62288380243957</c:v>
                </c:pt>
                <c:pt idx="5">
                  <c:v>7.61503624319197</c:v>
                </c:pt>
                <c:pt idx="6">
                  <c:v>7.92279214326753</c:v>
                </c:pt>
                <c:pt idx="7">
                  <c:v>6.2718031079943</c:v>
                </c:pt>
                <c:pt idx="8">
                  <c:v>6.8809078073193</c:v>
                </c:pt>
                <c:pt idx="9">
                  <c:v>5.68042751899306</c:v>
                </c:pt>
                <c:pt idx="10">
                  <c:v>6.17096216274293</c:v>
                </c:pt>
                <c:pt idx="11">
                  <c:v>5.62332612491713</c:v>
                </c:pt>
                <c:pt idx="12">
                  <c:v>6.12386006948485</c:v>
                </c:pt>
                <c:pt idx="13">
                  <c:v>6.21132470053298</c:v>
                </c:pt>
                <c:pt idx="14">
                  <c:v>5.24673177939719</c:v>
                </c:pt>
                <c:pt idx="15">
                  <c:v>6.01616095579707</c:v>
                </c:pt>
                <c:pt idx="16">
                  <c:v>7.04569160601489</c:v>
                </c:pt>
                <c:pt idx="17">
                  <c:v>6.99373260413205</c:v>
                </c:pt>
                <c:pt idx="18">
                  <c:v>6.78546891907124</c:v>
                </c:pt>
                <c:pt idx="19">
                  <c:v>6.66628820413216</c:v>
                </c:pt>
                <c:pt idx="20">
                  <c:v>5.98890765409147</c:v>
                </c:pt>
                <c:pt idx="21">
                  <c:v>6.75468865466556</c:v>
                </c:pt>
                <c:pt idx="22">
                  <c:v>6.36300133061134</c:v>
                </c:pt>
                <c:pt idx="23">
                  <c:v>6.32621068098614</c:v>
                </c:pt>
                <c:pt idx="24">
                  <c:v>5.79790250750498</c:v>
                </c:pt>
                <c:pt idx="25">
                  <c:v>5.41208719918483</c:v>
                </c:pt>
                <c:pt idx="26">
                  <c:v>4.70341785013515</c:v>
                </c:pt>
                <c:pt idx="27">
                  <c:v>5.3978583957233</c:v>
                </c:pt>
                <c:pt idx="28">
                  <c:v>5.30641291369195</c:v>
                </c:pt>
                <c:pt idx="29">
                  <c:v>5.8984582886219</c:v>
                </c:pt>
                <c:pt idx="30">
                  <c:v>5.90600328033235</c:v>
                </c:pt>
                <c:pt idx="31">
                  <c:v>5.47182573598569</c:v>
                </c:pt>
                <c:pt idx="32">
                  <c:v>5.27824023665802</c:v>
                </c:pt>
                <c:pt idx="33">
                  <c:v>4.96272014248316</c:v>
                </c:pt>
                <c:pt idx="34">
                  <c:v>4.96614437139876</c:v>
                </c:pt>
                <c:pt idx="35">
                  <c:v>4.76498765924257</c:v>
                </c:pt>
                <c:pt idx="36">
                  <c:v>4.60992337797735</c:v>
                </c:pt>
                <c:pt idx="37">
                  <c:v>3.96221421561801</c:v>
                </c:pt>
                <c:pt idx="38">
                  <c:v>3.62593238707507</c:v>
                </c:pt>
                <c:pt idx="39">
                  <c:v>4.34650702869393</c:v>
                </c:pt>
                <c:pt idx="40">
                  <c:v>4.03722364221571</c:v>
                </c:pt>
                <c:pt idx="41">
                  <c:v>3.59571713332586</c:v>
                </c:pt>
                <c:pt idx="42">
                  <c:v>3.73057976293083</c:v>
                </c:pt>
                <c:pt idx="43">
                  <c:v>4.35251233857149</c:v>
                </c:pt>
                <c:pt idx="44">
                  <c:v>3.71013566331539</c:v>
                </c:pt>
                <c:pt idx="45">
                  <c:v>3.62556805898727</c:v>
                </c:pt>
                <c:pt idx="46">
                  <c:v>3.38208932939664</c:v>
                </c:pt>
                <c:pt idx="47">
                  <c:v>2.78746496234803</c:v>
                </c:pt>
                <c:pt idx="48">
                  <c:v>3.02094035625734</c:v>
                </c:pt>
                <c:pt idx="49">
                  <c:v>3.01262896789303</c:v>
                </c:pt>
                <c:pt idx="50">
                  <c:v>3.03577485822087</c:v>
                </c:pt>
                <c:pt idx="51">
                  <c:v>2.794791180933</c:v>
                </c:pt>
                <c:pt idx="52">
                  <c:v>2.93721634976979</c:v>
                </c:pt>
                <c:pt idx="53">
                  <c:v>2.76798583523271</c:v>
                </c:pt>
                <c:pt idx="54">
                  <c:v>2.72443372167389</c:v>
                </c:pt>
                <c:pt idx="55">
                  <c:v>2.41211722385119</c:v>
                </c:pt>
                <c:pt idx="56">
                  <c:v>2.11048813848771</c:v>
                </c:pt>
                <c:pt idx="57">
                  <c:v>2.44303024171714</c:v>
                </c:pt>
                <c:pt idx="58">
                  <c:v>2.31041739949815</c:v>
                </c:pt>
                <c:pt idx="59">
                  <c:v>2.38510034404517</c:v>
                </c:pt>
                <c:pt idx="60">
                  <c:v>2.37584026080909</c:v>
                </c:pt>
              </c:numCache>
            </c:numRef>
          </c:val>
          <c:smooth val="1"/>
        </c:ser>
        <c:ser>
          <c:idx val="3"/>
          <c:order val="3"/>
          <c:spPr>
            <a:solidFill>
              <a:srgbClr val="57426f"/>
            </a:solidFill>
            <a:ln w="6120">
              <a:solidFill>
                <a:srgbClr val="57426f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Paths'!$B$14:$BJ$14</c:f>
              <c:numCache>
                <c:formatCode>\€0.00</c:formatCode>
                <c:ptCount val="61"/>
                <c:pt idx="0">
                  <c:v>11.5</c:v>
                </c:pt>
                <c:pt idx="1">
                  <c:v>10.9547329388781</c:v>
                </c:pt>
                <c:pt idx="2">
                  <c:v>10.359113822895</c:v>
                </c:pt>
                <c:pt idx="3">
                  <c:v>11.0984032733975</c:v>
                </c:pt>
                <c:pt idx="4">
                  <c:v>10.7349425565607</c:v>
                </c:pt>
                <c:pt idx="5">
                  <c:v>10.5561423211985</c:v>
                </c:pt>
                <c:pt idx="6">
                  <c:v>10.5799658209976</c:v>
                </c:pt>
                <c:pt idx="7">
                  <c:v>12.0352250139189</c:v>
                </c:pt>
                <c:pt idx="8">
                  <c:v>12.9656576312801</c:v>
                </c:pt>
                <c:pt idx="9">
                  <c:v>13.5189274627966</c:v>
                </c:pt>
                <c:pt idx="10">
                  <c:v>12.7061428599538</c:v>
                </c:pt>
                <c:pt idx="11">
                  <c:v>10.9168234001394</c:v>
                </c:pt>
                <c:pt idx="12">
                  <c:v>12.1130314929695</c:v>
                </c:pt>
                <c:pt idx="13">
                  <c:v>13.4652789149438</c:v>
                </c:pt>
                <c:pt idx="14">
                  <c:v>13.2566044948016</c:v>
                </c:pt>
                <c:pt idx="15">
                  <c:v>14.0659268290052</c:v>
                </c:pt>
                <c:pt idx="16">
                  <c:v>15.322059853925</c:v>
                </c:pt>
                <c:pt idx="17">
                  <c:v>16.7816888903394</c:v>
                </c:pt>
                <c:pt idx="18">
                  <c:v>18.5631345584598</c:v>
                </c:pt>
                <c:pt idx="19">
                  <c:v>17.6549214939277</c:v>
                </c:pt>
                <c:pt idx="20">
                  <c:v>20.8430083409306</c:v>
                </c:pt>
                <c:pt idx="21">
                  <c:v>18.1757496380453</c:v>
                </c:pt>
                <c:pt idx="22">
                  <c:v>19.9740310908226</c:v>
                </c:pt>
                <c:pt idx="23">
                  <c:v>21.0822677597157</c:v>
                </c:pt>
                <c:pt idx="24">
                  <c:v>23.1983688278643</c:v>
                </c:pt>
                <c:pt idx="25">
                  <c:v>28.5032855927653</c:v>
                </c:pt>
                <c:pt idx="26">
                  <c:v>33.5378475943614</c:v>
                </c:pt>
                <c:pt idx="27">
                  <c:v>29.5732219949454</c:v>
                </c:pt>
                <c:pt idx="28">
                  <c:v>24.5679932363717</c:v>
                </c:pt>
                <c:pt idx="29">
                  <c:v>26.8662563111669</c:v>
                </c:pt>
                <c:pt idx="30">
                  <c:v>24.0309934802399</c:v>
                </c:pt>
                <c:pt idx="31">
                  <c:v>23.9939143763226</c:v>
                </c:pt>
                <c:pt idx="32">
                  <c:v>26.3042916199637</c:v>
                </c:pt>
                <c:pt idx="33">
                  <c:v>21.9601593237817</c:v>
                </c:pt>
                <c:pt idx="34">
                  <c:v>17.4194772025566</c:v>
                </c:pt>
                <c:pt idx="35">
                  <c:v>17.9187891328614</c:v>
                </c:pt>
                <c:pt idx="36">
                  <c:v>18.0029472432621</c:v>
                </c:pt>
                <c:pt idx="37">
                  <c:v>17.5207938876678</c:v>
                </c:pt>
                <c:pt idx="38">
                  <c:v>17.5917878734898</c:v>
                </c:pt>
                <c:pt idx="39">
                  <c:v>16.004233282283</c:v>
                </c:pt>
                <c:pt idx="40">
                  <c:v>13.5535000114264</c:v>
                </c:pt>
                <c:pt idx="41">
                  <c:v>13.3055337708658</c:v>
                </c:pt>
                <c:pt idx="42">
                  <c:v>11.9580368997183</c:v>
                </c:pt>
                <c:pt idx="43">
                  <c:v>9.98352295919247</c:v>
                </c:pt>
                <c:pt idx="44">
                  <c:v>10.5510371815187</c:v>
                </c:pt>
                <c:pt idx="45">
                  <c:v>10.4782912299136</c:v>
                </c:pt>
                <c:pt idx="46">
                  <c:v>10.9541355427224</c:v>
                </c:pt>
                <c:pt idx="47">
                  <c:v>9.82579905912876</c:v>
                </c:pt>
                <c:pt idx="48">
                  <c:v>9.13982620369781</c:v>
                </c:pt>
                <c:pt idx="49">
                  <c:v>8.18961151362966</c:v>
                </c:pt>
                <c:pt idx="50">
                  <c:v>7.42922520675642</c:v>
                </c:pt>
                <c:pt idx="51">
                  <c:v>7.58880257582609</c:v>
                </c:pt>
                <c:pt idx="52">
                  <c:v>6.96293351219879</c:v>
                </c:pt>
                <c:pt idx="53">
                  <c:v>7.23895441184801</c:v>
                </c:pt>
                <c:pt idx="54">
                  <c:v>7.51246392333686</c:v>
                </c:pt>
                <c:pt idx="55">
                  <c:v>9.37956456289726</c:v>
                </c:pt>
                <c:pt idx="56">
                  <c:v>8.04914481749538</c:v>
                </c:pt>
                <c:pt idx="57">
                  <c:v>8.87095402764158</c:v>
                </c:pt>
                <c:pt idx="58">
                  <c:v>8.78268784146759</c:v>
                </c:pt>
                <c:pt idx="59">
                  <c:v>8.76757403053376</c:v>
                </c:pt>
                <c:pt idx="60">
                  <c:v>7.47700082617729</c:v>
                </c:pt>
              </c:numCache>
            </c:numRef>
          </c:val>
          <c:smooth val="1"/>
        </c:ser>
        <c:ser>
          <c:idx val="4"/>
          <c:order val="4"/>
          <c:spPr>
            <a:solidFill>
              <a:srgbClr val="307688"/>
            </a:solidFill>
            <a:ln w="6120">
              <a:solidFill>
                <a:srgbClr val="30768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Paths'!$B$15:$BJ$15</c:f>
              <c:numCache>
                <c:formatCode>\€0.00</c:formatCode>
                <c:ptCount val="61"/>
                <c:pt idx="0">
                  <c:v>11.5</c:v>
                </c:pt>
                <c:pt idx="1">
                  <c:v>10.9318661915583</c:v>
                </c:pt>
                <c:pt idx="2">
                  <c:v>11.8582623721058</c:v>
                </c:pt>
                <c:pt idx="3">
                  <c:v>11.7493032965444</c:v>
                </c:pt>
                <c:pt idx="4">
                  <c:v>11.8520636070798</c:v>
                </c:pt>
                <c:pt idx="5">
                  <c:v>11.4779527823046</c:v>
                </c:pt>
                <c:pt idx="6">
                  <c:v>13.0253444409174</c:v>
                </c:pt>
                <c:pt idx="7">
                  <c:v>12.9923176399432</c:v>
                </c:pt>
                <c:pt idx="8">
                  <c:v>10.2041743678077</c:v>
                </c:pt>
                <c:pt idx="9">
                  <c:v>9.4564361433632</c:v>
                </c:pt>
                <c:pt idx="10">
                  <c:v>7.61821470841581</c:v>
                </c:pt>
                <c:pt idx="11">
                  <c:v>5.33179064803915</c:v>
                </c:pt>
                <c:pt idx="12">
                  <c:v>5.02965794755</c:v>
                </c:pt>
                <c:pt idx="13">
                  <c:v>5.82090391939243</c:v>
                </c:pt>
                <c:pt idx="14">
                  <c:v>5.84999683462276</c:v>
                </c:pt>
                <c:pt idx="15">
                  <c:v>5.14298457032356</c:v>
                </c:pt>
                <c:pt idx="16">
                  <c:v>4.63788620011081</c:v>
                </c:pt>
                <c:pt idx="17">
                  <c:v>5.24932628038562</c:v>
                </c:pt>
                <c:pt idx="18">
                  <c:v>5.33990308774748</c:v>
                </c:pt>
                <c:pt idx="19">
                  <c:v>5.36710964449942</c:v>
                </c:pt>
                <c:pt idx="20">
                  <c:v>5.33474782279621</c:v>
                </c:pt>
                <c:pt idx="21">
                  <c:v>5.35628510894467</c:v>
                </c:pt>
                <c:pt idx="22">
                  <c:v>5.84997592888356</c:v>
                </c:pt>
                <c:pt idx="23">
                  <c:v>6.21439851042364</c:v>
                </c:pt>
                <c:pt idx="24">
                  <c:v>6.36203101467063</c:v>
                </c:pt>
                <c:pt idx="25">
                  <c:v>5.67326774070438</c:v>
                </c:pt>
                <c:pt idx="26">
                  <c:v>5.99933607104835</c:v>
                </c:pt>
                <c:pt idx="27">
                  <c:v>5.56449330550923</c:v>
                </c:pt>
                <c:pt idx="28">
                  <c:v>6.27274272472726</c:v>
                </c:pt>
                <c:pt idx="29">
                  <c:v>5.45537014011849</c:v>
                </c:pt>
                <c:pt idx="30">
                  <c:v>5.37264635437192</c:v>
                </c:pt>
                <c:pt idx="31">
                  <c:v>5.36732731861038</c:v>
                </c:pt>
                <c:pt idx="32">
                  <c:v>4.6405722893866</c:v>
                </c:pt>
                <c:pt idx="33">
                  <c:v>5.60438156444923</c:v>
                </c:pt>
                <c:pt idx="34">
                  <c:v>6.5769227339738</c:v>
                </c:pt>
                <c:pt idx="35">
                  <c:v>6.24967894224265</c:v>
                </c:pt>
                <c:pt idx="36">
                  <c:v>6.80053924765193</c:v>
                </c:pt>
                <c:pt idx="37">
                  <c:v>7.08767978820188</c:v>
                </c:pt>
                <c:pt idx="38">
                  <c:v>5.32001563892519</c:v>
                </c:pt>
                <c:pt idx="39">
                  <c:v>5.46716777687774</c:v>
                </c:pt>
                <c:pt idx="40">
                  <c:v>5.4295059315358</c:v>
                </c:pt>
                <c:pt idx="41">
                  <c:v>5.47829249814736</c:v>
                </c:pt>
                <c:pt idx="42">
                  <c:v>4.86701428744823</c:v>
                </c:pt>
                <c:pt idx="43">
                  <c:v>4.72444876693686</c:v>
                </c:pt>
                <c:pt idx="44">
                  <c:v>4.63211323478948</c:v>
                </c:pt>
                <c:pt idx="45">
                  <c:v>5.27595492229283</c:v>
                </c:pt>
                <c:pt idx="46">
                  <c:v>5.47209670413198</c:v>
                </c:pt>
                <c:pt idx="47">
                  <c:v>5.46776068647755</c:v>
                </c:pt>
                <c:pt idx="48">
                  <c:v>6.46503582741074</c:v>
                </c:pt>
                <c:pt idx="49">
                  <c:v>6.08189568512764</c:v>
                </c:pt>
                <c:pt idx="50">
                  <c:v>5.8264852355368</c:v>
                </c:pt>
                <c:pt idx="51">
                  <c:v>4.77282728081033</c:v>
                </c:pt>
                <c:pt idx="52">
                  <c:v>5.66825333812781</c:v>
                </c:pt>
                <c:pt idx="53">
                  <c:v>6.29957152170871</c:v>
                </c:pt>
                <c:pt idx="54">
                  <c:v>6.96483107642212</c:v>
                </c:pt>
                <c:pt idx="55">
                  <c:v>7.4937240210653</c:v>
                </c:pt>
                <c:pt idx="56">
                  <c:v>7.5834289078905</c:v>
                </c:pt>
                <c:pt idx="57">
                  <c:v>7.76340106688529</c:v>
                </c:pt>
                <c:pt idx="58">
                  <c:v>7.55034254810079</c:v>
                </c:pt>
                <c:pt idx="59">
                  <c:v>7.3822268551972</c:v>
                </c:pt>
                <c:pt idx="60">
                  <c:v>7.42497205154891</c:v>
                </c:pt>
              </c:numCache>
            </c:numRef>
          </c:val>
          <c:smooth val="1"/>
        </c:ser>
        <c:ser>
          <c:idx val="5"/>
          <c:order val="5"/>
          <c:spPr>
            <a:solidFill>
              <a:srgbClr val="ab652b"/>
            </a:solidFill>
            <a:ln w="6120">
              <a:solidFill>
                <a:srgbClr val="ab652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Paths'!$B$16:$BJ$16</c:f>
              <c:numCache>
                <c:formatCode>\€0.00</c:formatCode>
                <c:ptCount val="61"/>
                <c:pt idx="0">
                  <c:v>11.5</c:v>
                </c:pt>
                <c:pt idx="1">
                  <c:v>13.5719638775352</c:v>
                </c:pt>
                <c:pt idx="2">
                  <c:v>14.4223617066981</c:v>
                </c:pt>
                <c:pt idx="3">
                  <c:v>14.3275418855245</c:v>
                </c:pt>
                <c:pt idx="4">
                  <c:v>13.4427919493351</c:v>
                </c:pt>
                <c:pt idx="5">
                  <c:v>12.5359757479742</c:v>
                </c:pt>
                <c:pt idx="6">
                  <c:v>14.9428130134173</c:v>
                </c:pt>
                <c:pt idx="7">
                  <c:v>15.7939817537176</c:v>
                </c:pt>
                <c:pt idx="8">
                  <c:v>15.9085340151323</c:v>
                </c:pt>
                <c:pt idx="9">
                  <c:v>15.3129275303181</c:v>
                </c:pt>
                <c:pt idx="10">
                  <c:v>13.5563455046032</c:v>
                </c:pt>
                <c:pt idx="11">
                  <c:v>13.4548135265361</c:v>
                </c:pt>
                <c:pt idx="12">
                  <c:v>14.8053835049867</c:v>
                </c:pt>
                <c:pt idx="13">
                  <c:v>14.1787951532515</c:v>
                </c:pt>
                <c:pt idx="14">
                  <c:v>13.8271837079819</c:v>
                </c:pt>
                <c:pt idx="15">
                  <c:v>13.4934778856783</c:v>
                </c:pt>
                <c:pt idx="16">
                  <c:v>13.6541736935042</c:v>
                </c:pt>
                <c:pt idx="17">
                  <c:v>11.4628813606677</c:v>
                </c:pt>
                <c:pt idx="18">
                  <c:v>11.1686236453114</c:v>
                </c:pt>
                <c:pt idx="19">
                  <c:v>10.1675452743346</c:v>
                </c:pt>
                <c:pt idx="20">
                  <c:v>11.2015639346134</c:v>
                </c:pt>
                <c:pt idx="21">
                  <c:v>10.2917031900198</c:v>
                </c:pt>
                <c:pt idx="22">
                  <c:v>10.9622193866002</c:v>
                </c:pt>
                <c:pt idx="23">
                  <c:v>12.9551961849023</c:v>
                </c:pt>
                <c:pt idx="24">
                  <c:v>12.5148156670944</c:v>
                </c:pt>
                <c:pt idx="25">
                  <c:v>11.713464854706</c:v>
                </c:pt>
                <c:pt idx="26">
                  <c:v>11.9598492944647</c:v>
                </c:pt>
                <c:pt idx="27">
                  <c:v>11.9549956492334</c:v>
                </c:pt>
                <c:pt idx="28">
                  <c:v>10.7184828150828</c:v>
                </c:pt>
                <c:pt idx="29">
                  <c:v>11.272290590417</c:v>
                </c:pt>
                <c:pt idx="30">
                  <c:v>14.058952488028</c:v>
                </c:pt>
                <c:pt idx="31">
                  <c:v>13.6639646724871</c:v>
                </c:pt>
                <c:pt idx="32">
                  <c:v>13.3607846710548</c:v>
                </c:pt>
                <c:pt idx="33">
                  <c:v>11.9116287250008</c:v>
                </c:pt>
                <c:pt idx="34">
                  <c:v>12.3336918944128</c:v>
                </c:pt>
                <c:pt idx="35">
                  <c:v>10.7549097531187</c:v>
                </c:pt>
                <c:pt idx="36">
                  <c:v>9.52340566230393</c:v>
                </c:pt>
                <c:pt idx="37">
                  <c:v>10.9566247735127</c:v>
                </c:pt>
                <c:pt idx="38">
                  <c:v>9.91883886251541</c:v>
                </c:pt>
                <c:pt idx="39">
                  <c:v>11.1660031263243</c:v>
                </c:pt>
                <c:pt idx="40">
                  <c:v>13.1959136443567</c:v>
                </c:pt>
                <c:pt idx="41">
                  <c:v>13.5742021951797</c:v>
                </c:pt>
                <c:pt idx="42">
                  <c:v>14.4211068795291</c:v>
                </c:pt>
                <c:pt idx="43">
                  <c:v>17.8618070884537</c:v>
                </c:pt>
                <c:pt idx="44">
                  <c:v>17.4772666968215</c:v>
                </c:pt>
                <c:pt idx="45">
                  <c:v>16.3735457181915</c:v>
                </c:pt>
                <c:pt idx="46">
                  <c:v>14.112188441143</c:v>
                </c:pt>
                <c:pt idx="47">
                  <c:v>14.1743024988089</c:v>
                </c:pt>
                <c:pt idx="48">
                  <c:v>16.6682269140581</c:v>
                </c:pt>
                <c:pt idx="49">
                  <c:v>18.5150756035342</c:v>
                </c:pt>
                <c:pt idx="50">
                  <c:v>16.6941407462652</c:v>
                </c:pt>
                <c:pt idx="51">
                  <c:v>15.1961596521695</c:v>
                </c:pt>
                <c:pt idx="52">
                  <c:v>14.3759053143237</c:v>
                </c:pt>
                <c:pt idx="53">
                  <c:v>14.8415552047875</c:v>
                </c:pt>
                <c:pt idx="54">
                  <c:v>14.5083702517342</c:v>
                </c:pt>
                <c:pt idx="55">
                  <c:v>14.8510009419946</c:v>
                </c:pt>
                <c:pt idx="56">
                  <c:v>15.3395616437792</c:v>
                </c:pt>
                <c:pt idx="57">
                  <c:v>14.842244221072</c:v>
                </c:pt>
                <c:pt idx="58">
                  <c:v>14.7742703498435</c:v>
                </c:pt>
                <c:pt idx="59">
                  <c:v>15.1101441443919</c:v>
                </c:pt>
                <c:pt idx="60">
                  <c:v>14.9688562947411</c:v>
                </c:pt>
              </c:numCache>
            </c:numRef>
          </c:val>
          <c:smooth val="1"/>
        </c:ser>
        <c:ser>
          <c:idx val="6"/>
          <c:order val="6"/>
          <c:spPr>
            <a:solidFill>
              <a:srgbClr val="3a6293"/>
            </a:solidFill>
            <a:ln w="6120">
              <a:solidFill>
                <a:srgbClr val="3a6293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Paths'!$B$17:$BJ$17</c:f>
              <c:numCache>
                <c:formatCode>\€0.00</c:formatCode>
                <c:ptCount val="61"/>
                <c:pt idx="0">
                  <c:v>11.5</c:v>
                </c:pt>
                <c:pt idx="1">
                  <c:v>12.1508387989688</c:v>
                </c:pt>
                <c:pt idx="2">
                  <c:v>14.9161346721396</c:v>
                </c:pt>
                <c:pt idx="3">
                  <c:v>15.9139721617264</c:v>
                </c:pt>
                <c:pt idx="4">
                  <c:v>16.0087647124702</c:v>
                </c:pt>
                <c:pt idx="5">
                  <c:v>13.3030274300629</c:v>
                </c:pt>
                <c:pt idx="6">
                  <c:v>13.8788466416</c:v>
                </c:pt>
                <c:pt idx="7">
                  <c:v>11.2081211177898</c:v>
                </c:pt>
                <c:pt idx="8">
                  <c:v>9.6012097130787</c:v>
                </c:pt>
                <c:pt idx="9">
                  <c:v>10.5429432245765</c:v>
                </c:pt>
                <c:pt idx="10">
                  <c:v>11.3901046410199</c:v>
                </c:pt>
                <c:pt idx="11">
                  <c:v>11.2022409171764</c:v>
                </c:pt>
                <c:pt idx="12">
                  <c:v>9.28451711153436</c:v>
                </c:pt>
                <c:pt idx="13">
                  <c:v>8.91227198042414</c:v>
                </c:pt>
                <c:pt idx="14">
                  <c:v>8.27129109872398</c:v>
                </c:pt>
                <c:pt idx="15">
                  <c:v>8.86815274010313</c:v>
                </c:pt>
                <c:pt idx="16">
                  <c:v>11.3582963724646</c:v>
                </c:pt>
                <c:pt idx="17">
                  <c:v>11.629693685387</c:v>
                </c:pt>
                <c:pt idx="18">
                  <c:v>10.674850469971</c:v>
                </c:pt>
                <c:pt idx="19">
                  <c:v>9.38677470549087</c:v>
                </c:pt>
                <c:pt idx="20">
                  <c:v>9.32748175344677</c:v>
                </c:pt>
                <c:pt idx="21">
                  <c:v>9.14665403314704</c:v>
                </c:pt>
                <c:pt idx="22">
                  <c:v>8.05978691851968</c:v>
                </c:pt>
                <c:pt idx="23">
                  <c:v>8.16182302533076</c:v>
                </c:pt>
                <c:pt idx="24">
                  <c:v>7.19245799778332</c:v>
                </c:pt>
                <c:pt idx="25">
                  <c:v>8.12417330191087</c:v>
                </c:pt>
                <c:pt idx="26">
                  <c:v>9.12693332971888</c:v>
                </c:pt>
                <c:pt idx="27">
                  <c:v>10.278351508758</c:v>
                </c:pt>
                <c:pt idx="28">
                  <c:v>9.75573047194028</c:v>
                </c:pt>
                <c:pt idx="29">
                  <c:v>10.3202981591444</c:v>
                </c:pt>
                <c:pt idx="30">
                  <c:v>10.1699953055098</c:v>
                </c:pt>
                <c:pt idx="31">
                  <c:v>9.74356505681987</c:v>
                </c:pt>
                <c:pt idx="32">
                  <c:v>9.38601326538591</c:v>
                </c:pt>
                <c:pt idx="33">
                  <c:v>8.1373373077405</c:v>
                </c:pt>
                <c:pt idx="34">
                  <c:v>6.94410302177043</c:v>
                </c:pt>
                <c:pt idx="35">
                  <c:v>7.57492214217962</c:v>
                </c:pt>
                <c:pt idx="36">
                  <c:v>7.416311828729</c:v>
                </c:pt>
                <c:pt idx="37">
                  <c:v>7.59309743148581</c:v>
                </c:pt>
                <c:pt idx="38">
                  <c:v>8.4734728592177</c:v>
                </c:pt>
                <c:pt idx="39">
                  <c:v>7.00509998253483</c:v>
                </c:pt>
                <c:pt idx="40">
                  <c:v>6.42655583407613</c:v>
                </c:pt>
                <c:pt idx="41">
                  <c:v>6.55015719713029</c:v>
                </c:pt>
                <c:pt idx="42">
                  <c:v>6.83678205683953</c:v>
                </c:pt>
                <c:pt idx="43">
                  <c:v>6.55855340651967</c:v>
                </c:pt>
                <c:pt idx="44">
                  <c:v>7.34106656273255</c:v>
                </c:pt>
                <c:pt idx="45">
                  <c:v>7.51108858131586</c:v>
                </c:pt>
                <c:pt idx="46">
                  <c:v>6.57380779056942</c:v>
                </c:pt>
                <c:pt idx="47">
                  <c:v>5.93465162241045</c:v>
                </c:pt>
                <c:pt idx="48">
                  <c:v>6.48169721233434</c:v>
                </c:pt>
                <c:pt idx="49">
                  <c:v>6.81877453873226</c:v>
                </c:pt>
                <c:pt idx="50">
                  <c:v>5.53546718190074</c:v>
                </c:pt>
                <c:pt idx="51">
                  <c:v>6.41623839355671</c:v>
                </c:pt>
                <c:pt idx="52">
                  <c:v>6.85001057074014</c:v>
                </c:pt>
                <c:pt idx="53">
                  <c:v>7.93613955489255</c:v>
                </c:pt>
                <c:pt idx="54">
                  <c:v>7.60763964015375</c:v>
                </c:pt>
                <c:pt idx="55">
                  <c:v>7.36347282182013</c:v>
                </c:pt>
                <c:pt idx="56">
                  <c:v>6.50635818890181</c:v>
                </c:pt>
                <c:pt idx="57">
                  <c:v>8.5924934952143</c:v>
                </c:pt>
                <c:pt idx="58">
                  <c:v>8.42715235459524</c:v>
                </c:pt>
                <c:pt idx="59">
                  <c:v>10.0284143488565</c:v>
                </c:pt>
                <c:pt idx="60">
                  <c:v>9.33931973242683</c:v>
                </c:pt>
              </c:numCache>
            </c:numRef>
          </c:val>
          <c:smooth val="1"/>
        </c:ser>
        <c:ser>
          <c:idx val="7"/>
          <c:order val="7"/>
          <c:spPr>
            <a:solidFill>
              <a:srgbClr val="953b38"/>
            </a:solidFill>
            <a:ln w="6120">
              <a:solidFill>
                <a:srgbClr val="953b3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Paths'!$B$18:$BJ$18</c:f>
              <c:numCache>
                <c:formatCode>\€0.00</c:formatCode>
                <c:ptCount val="61"/>
                <c:pt idx="0">
                  <c:v>11.5</c:v>
                </c:pt>
                <c:pt idx="1">
                  <c:v>11.70640954042</c:v>
                </c:pt>
                <c:pt idx="2">
                  <c:v>9.74360896108824</c:v>
                </c:pt>
                <c:pt idx="3">
                  <c:v>9.3411469063166</c:v>
                </c:pt>
                <c:pt idx="4">
                  <c:v>10.4036866311999</c:v>
                </c:pt>
                <c:pt idx="5">
                  <c:v>9.06721276525359</c:v>
                </c:pt>
                <c:pt idx="6">
                  <c:v>10.1970783671979</c:v>
                </c:pt>
                <c:pt idx="7">
                  <c:v>10.5794319774045</c:v>
                </c:pt>
                <c:pt idx="8">
                  <c:v>9.43296611309593</c:v>
                </c:pt>
                <c:pt idx="9">
                  <c:v>8.92631595924024</c:v>
                </c:pt>
                <c:pt idx="10">
                  <c:v>8.48637985554469</c:v>
                </c:pt>
                <c:pt idx="11">
                  <c:v>8.43885870106569</c:v>
                </c:pt>
                <c:pt idx="12">
                  <c:v>7.95539724576375</c:v>
                </c:pt>
                <c:pt idx="13">
                  <c:v>7.26389825387519</c:v>
                </c:pt>
                <c:pt idx="14">
                  <c:v>7.02391728689508</c:v>
                </c:pt>
                <c:pt idx="15">
                  <c:v>6.27448546730562</c:v>
                </c:pt>
                <c:pt idx="16">
                  <c:v>5.44583738050439</c:v>
                </c:pt>
                <c:pt idx="17">
                  <c:v>5.41614011660079</c:v>
                </c:pt>
                <c:pt idx="18">
                  <c:v>5.96583083260694</c:v>
                </c:pt>
                <c:pt idx="19">
                  <c:v>5.04348945973917</c:v>
                </c:pt>
                <c:pt idx="20">
                  <c:v>5.04450581912235</c:v>
                </c:pt>
                <c:pt idx="21">
                  <c:v>4.69650402805814</c:v>
                </c:pt>
                <c:pt idx="22">
                  <c:v>4.21835647112529</c:v>
                </c:pt>
                <c:pt idx="23">
                  <c:v>4.63150293843292</c:v>
                </c:pt>
                <c:pt idx="24">
                  <c:v>4.3747818819915</c:v>
                </c:pt>
                <c:pt idx="25">
                  <c:v>5.15533374255541</c:v>
                </c:pt>
                <c:pt idx="26">
                  <c:v>4.73178653839342</c:v>
                </c:pt>
                <c:pt idx="27">
                  <c:v>4.93581317911639</c:v>
                </c:pt>
                <c:pt idx="28">
                  <c:v>4.81339156136909</c:v>
                </c:pt>
                <c:pt idx="29">
                  <c:v>4.43046709113089</c:v>
                </c:pt>
                <c:pt idx="30">
                  <c:v>4.72462224078502</c:v>
                </c:pt>
                <c:pt idx="31">
                  <c:v>4.64412612247255</c:v>
                </c:pt>
                <c:pt idx="32">
                  <c:v>4.96091405285255</c:v>
                </c:pt>
                <c:pt idx="33">
                  <c:v>4.93434017119407</c:v>
                </c:pt>
                <c:pt idx="34">
                  <c:v>4.37945955854812</c:v>
                </c:pt>
                <c:pt idx="35">
                  <c:v>4.32990391408982</c:v>
                </c:pt>
                <c:pt idx="36">
                  <c:v>4.35385352428694</c:v>
                </c:pt>
                <c:pt idx="37">
                  <c:v>4.83566214446747</c:v>
                </c:pt>
                <c:pt idx="38">
                  <c:v>4.37724770868284</c:v>
                </c:pt>
                <c:pt idx="39">
                  <c:v>4.3576044455498</c:v>
                </c:pt>
                <c:pt idx="40">
                  <c:v>3.60692271658664</c:v>
                </c:pt>
                <c:pt idx="41">
                  <c:v>3.8734213421404</c:v>
                </c:pt>
                <c:pt idx="42">
                  <c:v>3.43947862860253</c:v>
                </c:pt>
                <c:pt idx="43">
                  <c:v>2.82070020992438</c:v>
                </c:pt>
                <c:pt idx="44">
                  <c:v>2.80192292303353</c:v>
                </c:pt>
                <c:pt idx="45">
                  <c:v>3.16265679725074</c:v>
                </c:pt>
                <c:pt idx="46">
                  <c:v>2.67514217114074</c:v>
                </c:pt>
                <c:pt idx="47">
                  <c:v>2.37373684781572</c:v>
                </c:pt>
                <c:pt idx="48">
                  <c:v>2.18747392026883</c:v>
                </c:pt>
                <c:pt idx="49">
                  <c:v>1.93220569409825</c:v>
                </c:pt>
                <c:pt idx="50">
                  <c:v>2.01395569284367</c:v>
                </c:pt>
                <c:pt idx="51">
                  <c:v>1.84292141288109</c:v>
                </c:pt>
                <c:pt idx="52">
                  <c:v>1.70236936596512</c:v>
                </c:pt>
                <c:pt idx="53">
                  <c:v>1.81452601083148</c:v>
                </c:pt>
                <c:pt idx="54">
                  <c:v>1.66989975864385</c:v>
                </c:pt>
                <c:pt idx="55">
                  <c:v>1.75076835339631</c:v>
                </c:pt>
                <c:pt idx="56">
                  <c:v>1.57351790120598</c:v>
                </c:pt>
                <c:pt idx="57">
                  <c:v>1.37735234575284</c:v>
                </c:pt>
                <c:pt idx="58">
                  <c:v>1.12596143111269</c:v>
                </c:pt>
                <c:pt idx="59">
                  <c:v>1.38074259878241</c:v>
                </c:pt>
                <c:pt idx="60">
                  <c:v>1.33283309708021</c:v>
                </c:pt>
              </c:numCache>
            </c:numRef>
          </c:val>
          <c:smooth val="1"/>
        </c:ser>
        <c:ser>
          <c:idx val="8"/>
          <c:order val="8"/>
          <c:spPr>
            <a:solidFill>
              <a:srgbClr val="789142"/>
            </a:solidFill>
            <a:ln w="6120">
              <a:solidFill>
                <a:srgbClr val="78914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Paths'!$B$19:$BJ$19</c:f>
              <c:numCache>
                <c:formatCode>\€0.00</c:formatCode>
                <c:ptCount val="61"/>
                <c:pt idx="0">
                  <c:v>11.5</c:v>
                </c:pt>
                <c:pt idx="1">
                  <c:v>11.8097132684905</c:v>
                </c:pt>
                <c:pt idx="2">
                  <c:v>11.7673999711772</c:v>
                </c:pt>
                <c:pt idx="3">
                  <c:v>11.9735124412001</c:v>
                </c:pt>
                <c:pt idx="4">
                  <c:v>12.0367445323912</c:v>
                </c:pt>
                <c:pt idx="5">
                  <c:v>14.8367247670162</c:v>
                </c:pt>
                <c:pt idx="6">
                  <c:v>13.2362001700033</c:v>
                </c:pt>
                <c:pt idx="7">
                  <c:v>11.1554030407419</c:v>
                </c:pt>
                <c:pt idx="8">
                  <c:v>9.98148761981144</c:v>
                </c:pt>
                <c:pt idx="9">
                  <c:v>8.62043744294137</c:v>
                </c:pt>
                <c:pt idx="10">
                  <c:v>9.35481943867816</c:v>
                </c:pt>
                <c:pt idx="11">
                  <c:v>10.2338513521814</c:v>
                </c:pt>
                <c:pt idx="12">
                  <c:v>9.20792615912702</c:v>
                </c:pt>
                <c:pt idx="13">
                  <c:v>7.90389210427471</c:v>
                </c:pt>
                <c:pt idx="14">
                  <c:v>7.60078861496756</c:v>
                </c:pt>
                <c:pt idx="15">
                  <c:v>8.85223673338907</c:v>
                </c:pt>
                <c:pt idx="16">
                  <c:v>6.49602071110614</c:v>
                </c:pt>
                <c:pt idx="17">
                  <c:v>6.88107987434697</c:v>
                </c:pt>
                <c:pt idx="18">
                  <c:v>6.1140269198718</c:v>
                </c:pt>
                <c:pt idx="19">
                  <c:v>6.85190681722602</c:v>
                </c:pt>
                <c:pt idx="20">
                  <c:v>6.08665767344914</c:v>
                </c:pt>
                <c:pt idx="21">
                  <c:v>5.89796068026246</c:v>
                </c:pt>
                <c:pt idx="22">
                  <c:v>4.99875903191447</c:v>
                </c:pt>
                <c:pt idx="23">
                  <c:v>4.48978375398565</c:v>
                </c:pt>
                <c:pt idx="24">
                  <c:v>5.22598335571825</c:v>
                </c:pt>
                <c:pt idx="25">
                  <c:v>5.71717213211596</c:v>
                </c:pt>
                <c:pt idx="26">
                  <c:v>5.46973055380106</c:v>
                </c:pt>
                <c:pt idx="27">
                  <c:v>4.97085130946242</c:v>
                </c:pt>
                <c:pt idx="28">
                  <c:v>4.03765335433784</c:v>
                </c:pt>
                <c:pt idx="29">
                  <c:v>3.86629836068936</c:v>
                </c:pt>
                <c:pt idx="30">
                  <c:v>3.8525075185011</c:v>
                </c:pt>
                <c:pt idx="31">
                  <c:v>3.81644909222706</c:v>
                </c:pt>
                <c:pt idx="32">
                  <c:v>3.77669182907299</c:v>
                </c:pt>
                <c:pt idx="33">
                  <c:v>3.33878333097971</c:v>
                </c:pt>
                <c:pt idx="34">
                  <c:v>3.31399071905746</c:v>
                </c:pt>
                <c:pt idx="35">
                  <c:v>3.29935649778177</c:v>
                </c:pt>
                <c:pt idx="36">
                  <c:v>3.80043038693549</c:v>
                </c:pt>
                <c:pt idx="37">
                  <c:v>4.66321539235158</c:v>
                </c:pt>
                <c:pt idx="38">
                  <c:v>4.59282200670416</c:v>
                </c:pt>
                <c:pt idx="39">
                  <c:v>4.22175195929631</c:v>
                </c:pt>
                <c:pt idx="40">
                  <c:v>4.19099656475811</c:v>
                </c:pt>
                <c:pt idx="41">
                  <c:v>3.92003764722322</c:v>
                </c:pt>
                <c:pt idx="42">
                  <c:v>3.61277254387796</c:v>
                </c:pt>
                <c:pt idx="43">
                  <c:v>3.58894555663238</c:v>
                </c:pt>
                <c:pt idx="44">
                  <c:v>3.20024769441678</c:v>
                </c:pt>
                <c:pt idx="45">
                  <c:v>3.41963116309394</c:v>
                </c:pt>
                <c:pt idx="46">
                  <c:v>3.38025174510198</c:v>
                </c:pt>
                <c:pt idx="47">
                  <c:v>3.47360133061812</c:v>
                </c:pt>
                <c:pt idx="48">
                  <c:v>3.40396414977432</c:v>
                </c:pt>
                <c:pt idx="49">
                  <c:v>3.14237863703639</c:v>
                </c:pt>
                <c:pt idx="50">
                  <c:v>2.83150624806287</c:v>
                </c:pt>
                <c:pt idx="51">
                  <c:v>2.75825193038963</c:v>
                </c:pt>
                <c:pt idx="52">
                  <c:v>2.59663576534579</c:v>
                </c:pt>
                <c:pt idx="53">
                  <c:v>2.66363440258006</c:v>
                </c:pt>
                <c:pt idx="54">
                  <c:v>2.66185176035282</c:v>
                </c:pt>
                <c:pt idx="55">
                  <c:v>2.29193937067698</c:v>
                </c:pt>
                <c:pt idx="56">
                  <c:v>2.30845388742486</c:v>
                </c:pt>
                <c:pt idx="57">
                  <c:v>1.99189709337685</c:v>
                </c:pt>
                <c:pt idx="58">
                  <c:v>1.86130656452439</c:v>
                </c:pt>
                <c:pt idx="59">
                  <c:v>1.80183535319075</c:v>
                </c:pt>
                <c:pt idx="60">
                  <c:v>1.43472347669789</c:v>
                </c:pt>
              </c:numCache>
            </c:numRef>
          </c:val>
          <c:smooth val="1"/>
        </c:ser>
        <c:ser>
          <c:idx val="9"/>
          <c:order val="9"/>
          <c:spPr>
            <a:solidFill>
              <a:srgbClr val="624b7d"/>
            </a:solidFill>
            <a:ln w="6120">
              <a:solidFill>
                <a:srgbClr val="624b7d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Paths'!$B$20:$BJ$20</c:f>
              <c:numCache>
                <c:formatCode>\€0.00</c:formatCode>
                <c:ptCount val="61"/>
                <c:pt idx="0">
                  <c:v>11.5</c:v>
                </c:pt>
                <c:pt idx="1">
                  <c:v>11.6138895109738</c:v>
                </c:pt>
                <c:pt idx="2">
                  <c:v>11.8056800152514</c:v>
                </c:pt>
                <c:pt idx="3">
                  <c:v>11.6006685553268</c:v>
                </c:pt>
                <c:pt idx="4">
                  <c:v>11.0710462651298</c:v>
                </c:pt>
                <c:pt idx="5">
                  <c:v>10.6245449905382</c:v>
                </c:pt>
                <c:pt idx="6">
                  <c:v>9.5435023848045</c:v>
                </c:pt>
                <c:pt idx="7">
                  <c:v>9.26359322492676</c:v>
                </c:pt>
                <c:pt idx="8">
                  <c:v>8.71712139648326</c:v>
                </c:pt>
                <c:pt idx="9">
                  <c:v>8.80362269249918</c:v>
                </c:pt>
                <c:pt idx="10">
                  <c:v>7.71287026808339</c:v>
                </c:pt>
                <c:pt idx="11">
                  <c:v>7.91334412367217</c:v>
                </c:pt>
                <c:pt idx="12">
                  <c:v>8.03717577260954</c:v>
                </c:pt>
                <c:pt idx="13">
                  <c:v>7.91188027100477</c:v>
                </c:pt>
                <c:pt idx="14">
                  <c:v>7.53834659846574</c:v>
                </c:pt>
                <c:pt idx="15">
                  <c:v>8.00774598921627</c:v>
                </c:pt>
                <c:pt idx="16">
                  <c:v>6.67003376598369</c:v>
                </c:pt>
                <c:pt idx="17">
                  <c:v>7.01430567950196</c:v>
                </c:pt>
                <c:pt idx="18">
                  <c:v>7.20250419644008</c:v>
                </c:pt>
                <c:pt idx="19">
                  <c:v>7.42855114652744</c:v>
                </c:pt>
                <c:pt idx="20">
                  <c:v>7.7461471306413</c:v>
                </c:pt>
                <c:pt idx="21">
                  <c:v>7.20885192490997</c:v>
                </c:pt>
                <c:pt idx="22">
                  <c:v>7.00528243485292</c:v>
                </c:pt>
                <c:pt idx="23">
                  <c:v>7.51096735568064</c:v>
                </c:pt>
                <c:pt idx="24">
                  <c:v>7.87285347555383</c:v>
                </c:pt>
                <c:pt idx="25">
                  <c:v>8.05193888039626</c:v>
                </c:pt>
                <c:pt idx="26">
                  <c:v>6.81832523909299</c:v>
                </c:pt>
                <c:pt idx="27">
                  <c:v>7.2314162606352</c:v>
                </c:pt>
                <c:pt idx="28">
                  <c:v>8.21973939515069</c:v>
                </c:pt>
                <c:pt idx="29">
                  <c:v>9.18078444086687</c:v>
                </c:pt>
                <c:pt idx="30">
                  <c:v>9.4176438390759</c:v>
                </c:pt>
                <c:pt idx="31">
                  <c:v>7.93695444183387</c:v>
                </c:pt>
                <c:pt idx="32">
                  <c:v>8.79989871894616</c:v>
                </c:pt>
                <c:pt idx="33">
                  <c:v>8.65730569144176</c:v>
                </c:pt>
                <c:pt idx="34">
                  <c:v>6.55620250333505</c:v>
                </c:pt>
                <c:pt idx="35">
                  <c:v>6.83192560004593</c:v>
                </c:pt>
                <c:pt idx="36">
                  <c:v>5.79929950262744</c:v>
                </c:pt>
                <c:pt idx="37">
                  <c:v>5.02959136426555</c:v>
                </c:pt>
                <c:pt idx="38">
                  <c:v>4.69032842733461</c:v>
                </c:pt>
                <c:pt idx="39">
                  <c:v>5.39200950850875</c:v>
                </c:pt>
                <c:pt idx="40">
                  <c:v>5.1761127871078</c:v>
                </c:pt>
                <c:pt idx="41">
                  <c:v>5.33131463824646</c:v>
                </c:pt>
                <c:pt idx="42">
                  <c:v>6.45697266597141</c:v>
                </c:pt>
                <c:pt idx="43">
                  <c:v>7.68935430497874</c:v>
                </c:pt>
                <c:pt idx="44">
                  <c:v>7.60127478314742</c:v>
                </c:pt>
                <c:pt idx="45">
                  <c:v>7.40117381565914</c:v>
                </c:pt>
                <c:pt idx="46">
                  <c:v>6.443952654298</c:v>
                </c:pt>
                <c:pt idx="47">
                  <c:v>5.97019224690456</c:v>
                </c:pt>
                <c:pt idx="48">
                  <c:v>6.25421814590684</c:v>
                </c:pt>
                <c:pt idx="49">
                  <c:v>6.53049736058597</c:v>
                </c:pt>
                <c:pt idx="50">
                  <c:v>6.60873676752132</c:v>
                </c:pt>
                <c:pt idx="51">
                  <c:v>7.36939419375384</c:v>
                </c:pt>
                <c:pt idx="52">
                  <c:v>6.76949210909086</c:v>
                </c:pt>
                <c:pt idx="53">
                  <c:v>6.7267447155642</c:v>
                </c:pt>
                <c:pt idx="54">
                  <c:v>7.28722510593597</c:v>
                </c:pt>
                <c:pt idx="55">
                  <c:v>7.76804316386386</c:v>
                </c:pt>
                <c:pt idx="56">
                  <c:v>8.73479096295914</c:v>
                </c:pt>
                <c:pt idx="57">
                  <c:v>9.12193952190146</c:v>
                </c:pt>
                <c:pt idx="58">
                  <c:v>8.81591597812276</c:v>
                </c:pt>
                <c:pt idx="59">
                  <c:v>9.1715530155495</c:v>
                </c:pt>
                <c:pt idx="60">
                  <c:v>8.21483824956251</c:v>
                </c:pt>
              </c:numCache>
            </c:numRef>
          </c:val>
          <c:smooth val="1"/>
        </c:ser>
        <c:ser>
          <c:idx val="10"/>
          <c:order val="10"/>
          <c:spPr>
            <a:solidFill>
              <a:srgbClr val="37859a"/>
            </a:solidFill>
            <a:ln w="6120">
              <a:solidFill>
                <a:srgbClr val="37859a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Paths'!$B$21:$BJ$21</c:f>
              <c:numCache>
                <c:formatCode>\€0.00</c:formatCode>
                <c:ptCount val="61"/>
                <c:pt idx="0">
                  <c:v>11.5</c:v>
                </c:pt>
                <c:pt idx="1">
                  <c:v>9.60535415633468</c:v>
                </c:pt>
                <c:pt idx="2">
                  <c:v>10.2352231959228</c:v>
                </c:pt>
                <c:pt idx="3">
                  <c:v>10.1716352464281</c:v>
                </c:pt>
                <c:pt idx="4">
                  <c:v>10.5197151227072</c:v>
                </c:pt>
                <c:pt idx="5">
                  <c:v>8.73063124127613</c:v>
                </c:pt>
                <c:pt idx="6">
                  <c:v>8.38632658237146</c:v>
                </c:pt>
                <c:pt idx="7">
                  <c:v>7.85081228203991</c:v>
                </c:pt>
                <c:pt idx="8">
                  <c:v>7.13942742159288</c:v>
                </c:pt>
                <c:pt idx="9">
                  <c:v>5.57382692272466</c:v>
                </c:pt>
                <c:pt idx="10">
                  <c:v>5.371805535518</c:v>
                </c:pt>
                <c:pt idx="11">
                  <c:v>5.92637027763872</c:v>
                </c:pt>
                <c:pt idx="12">
                  <c:v>6.17817384533042</c:v>
                </c:pt>
                <c:pt idx="13">
                  <c:v>5.78297137715169</c:v>
                </c:pt>
                <c:pt idx="14">
                  <c:v>5.77248378690625</c:v>
                </c:pt>
                <c:pt idx="15">
                  <c:v>6.27101033072535</c:v>
                </c:pt>
                <c:pt idx="16">
                  <c:v>4.63180122699367</c:v>
                </c:pt>
                <c:pt idx="17">
                  <c:v>4.56811781475532</c:v>
                </c:pt>
                <c:pt idx="18">
                  <c:v>4.84770362158542</c:v>
                </c:pt>
                <c:pt idx="19">
                  <c:v>5.22340212158581</c:v>
                </c:pt>
                <c:pt idx="20">
                  <c:v>6.29357858796499</c:v>
                </c:pt>
                <c:pt idx="21">
                  <c:v>7.12676279153239</c:v>
                </c:pt>
                <c:pt idx="22">
                  <c:v>7.37400395788314</c:v>
                </c:pt>
                <c:pt idx="23">
                  <c:v>7.62096673386733</c:v>
                </c:pt>
                <c:pt idx="24">
                  <c:v>8.30655603625979</c:v>
                </c:pt>
                <c:pt idx="25">
                  <c:v>7.82794045078954</c:v>
                </c:pt>
                <c:pt idx="26">
                  <c:v>7.79207832246513</c:v>
                </c:pt>
                <c:pt idx="27">
                  <c:v>8.60493243462859</c:v>
                </c:pt>
                <c:pt idx="28">
                  <c:v>10.6640389309304</c:v>
                </c:pt>
                <c:pt idx="29">
                  <c:v>10.477423779164</c:v>
                </c:pt>
                <c:pt idx="30">
                  <c:v>10.4200319657288</c:v>
                </c:pt>
                <c:pt idx="31">
                  <c:v>10.6474386772796</c:v>
                </c:pt>
                <c:pt idx="32">
                  <c:v>12.3354945552115</c:v>
                </c:pt>
                <c:pt idx="33">
                  <c:v>12.2922900991908</c:v>
                </c:pt>
                <c:pt idx="34">
                  <c:v>14.4395725323353</c:v>
                </c:pt>
                <c:pt idx="35">
                  <c:v>12.9844207347001</c:v>
                </c:pt>
                <c:pt idx="36">
                  <c:v>12.7197939694852</c:v>
                </c:pt>
                <c:pt idx="37">
                  <c:v>12.4439927053149</c:v>
                </c:pt>
                <c:pt idx="38">
                  <c:v>13.5628118541522</c:v>
                </c:pt>
                <c:pt idx="39">
                  <c:v>15.2078197068148</c:v>
                </c:pt>
                <c:pt idx="40">
                  <c:v>12.884764622727</c:v>
                </c:pt>
                <c:pt idx="41">
                  <c:v>11.6519901717863</c:v>
                </c:pt>
                <c:pt idx="42">
                  <c:v>12.0883867312983</c:v>
                </c:pt>
                <c:pt idx="43">
                  <c:v>11.2436717908391</c:v>
                </c:pt>
                <c:pt idx="44">
                  <c:v>9.51259826486241</c:v>
                </c:pt>
                <c:pt idx="45">
                  <c:v>10.6584328021288</c:v>
                </c:pt>
                <c:pt idx="46">
                  <c:v>11.2498508694252</c:v>
                </c:pt>
                <c:pt idx="47">
                  <c:v>11.8730533692898</c:v>
                </c:pt>
                <c:pt idx="48">
                  <c:v>11.2676222014247</c:v>
                </c:pt>
                <c:pt idx="49">
                  <c:v>12.6116499654833</c:v>
                </c:pt>
                <c:pt idx="50">
                  <c:v>12.2817555163434</c:v>
                </c:pt>
                <c:pt idx="51">
                  <c:v>13.8489124357729</c:v>
                </c:pt>
                <c:pt idx="52">
                  <c:v>12.5286353061897</c:v>
                </c:pt>
                <c:pt idx="53">
                  <c:v>11.4059802673551</c:v>
                </c:pt>
                <c:pt idx="54">
                  <c:v>11.6628119941469</c:v>
                </c:pt>
                <c:pt idx="55">
                  <c:v>10.7960310394441</c:v>
                </c:pt>
                <c:pt idx="56">
                  <c:v>11.6242088035157</c:v>
                </c:pt>
                <c:pt idx="57">
                  <c:v>11.958439751325</c:v>
                </c:pt>
                <c:pt idx="58">
                  <c:v>10.8049805698049</c:v>
                </c:pt>
                <c:pt idx="59">
                  <c:v>10.8896953732844</c:v>
                </c:pt>
                <c:pt idx="60">
                  <c:v>10.4761335972743</c:v>
                </c:pt>
              </c:numCache>
            </c:numRef>
          </c:val>
          <c:smooth val="1"/>
        </c:ser>
        <c:ser>
          <c:idx val="11"/>
          <c:order val="11"/>
          <c:spPr>
            <a:solidFill>
              <a:srgbClr val="c07332"/>
            </a:solidFill>
            <a:ln w="6120">
              <a:solidFill>
                <a:srgbClr val="c0733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Paths'!$B$22:$BJ$22</c:f>
              <c:numCache>
                <c:formatCode>\€0.00</c:formatCode>
                <c:ptCount val="61"/>
                <c:pt idx="0">
                  <c:v>11.5</c:v>
                </c:pt>
                <c:pt idx="1">
                  <c:v>12.7130294033586</c:v>
                </c:pt>
                <c:pt idx="2">
                  <c:v>11.8586219154339</c:v>
                </c:pt>
                <c:pt idx="3">
                  <c:v>11.2987950078069</c:v>
                </c:pt>
                <c:pt idx="4">
                  <c:v>12.9019861078067</c:v>
                </c:pt>
                <c:pt idx="5">
                  <c:v>16.4901610367763</c:v>
                </c:pt>
                <c:pt idx="6">
                  <c:v>20.5295420641535</c:v>
                </c:pt>
                <c:pt idx="7">
                  <c:v>20.6686268216755</c:v>
                </c:pt>
                <c:pt idx="8">
                  <c:v>21.1669544102588</c:v>
                </c:pt>
                <c:pt idx="9">
                  <c:v>25.0399613967575</c:v>
                </c:pt>
                <c:pt idx="10">
                  <c:v>24.6959583859642</c:v>
                </c:pt>
                <c:pt idx="11">
                  <c:v>22.1836190472353</c:v>
                </c:pt>
                <c:pt idx="12">
                  <c:v>22.4657438251281</c:v>
                </c:pt>
                <c:pt idx="13">
                  <c:v>23.6021580972444</c:v>
                </c:pt>
                <c:pt idx="14">
                  <c:v>21.546210750756</c:v>
                </c:pt>
                <c:pt idx="15">
                  <c:v>17.9830698951861</c:v>
                </c:pt>
                <c:pt idx="16">
                  <c:v>15.3581019312957</c:v>
                </c:pt>
                <c:pt idx="17">
                  <c:v>16.5180729549805</c:v>
                </c:pt>
                <c:pt idx="18">
                  <c:v>15.1967333022874</c:v>
                </c:pt>
                <c:pt idx="19">
                  <c:v>14.9601779652836</c:v>
                </c:pt>
                <c:pt idx="20">
                  <c:v>15.3102951817239</c:v>
                </c:pt>
                <c:pt idx="21">
                  <c:v>16.3832549828037</c:v>
                </c:pt>
                <c:pt idx="22">
                  <c:v>15.7893989176155</c:v>
                </c:pt>
                <c:pt idx="23">
                  <c:v>16.6742034121056</c:v>
                </c:pt>
                <c:pt idx="24">
                  <c:v>15.1203715155172</c:v>
                </c:pt>
                <c:pt idx="25">
                  <c:v>14.529496537656</c:v>
                </c:pt>
                <c:pt idx="26">
                  <c:v>12.9827640685535</c:v>
                </c:pt>
                <c:pt idx="27">
                  <c:v>14.6962192066601</c:v>
                </c:pt>
                <c:pt idx="28">
                  <c:v>14.6499363952412</c:v>
                </c:pt>
                <c:pt idx="29">
                  <c:v>13.506258611534</c:v>
                </c:pt>
                <c:pt idx="30">
                  <c:v>12.9917673302724</c:v>
                </c:pt>
                <c:pt idx="31">
                  <c:v>12.6772581526291</c:v>
                </c:pt>
                <c:pt idx="32">
                  <c:v>13.6873351462131</c:v>
                </c:pt>
                <c:pt idx="33">
                  <c:v>11.4874121984554</c:v>
                </c:pt>
                <c:pt idx="34">
                  <c:v>10.2501322448694</c:v>
                </c:pt>
                <c:pt idx="35">
                  <c:v>9.83188044737678</c:v>
                </c:pt>
                <c:pt idx="36">
                  <c:v>12.9776947534566</c:v>
                </c:pt>
                <c:pt idx="37">
                  <c:v>14.4094384645458</c:v>
                </c:pt>
                <c:pt idx="38">
                  <c:v>14.2317337542045</c:v>
                </c:pt>
                <c:pt idx="39">
                  <c:v>15.3850276798404</c:v>
                </c:pt>
                <c:pt idx="40">
                  <c:v>19.2768544819421</c:v>
                </c:pt>
                <c:pt idx="41">
                  <c:v>18.7854172498666</c:v>
                </c:pt>
                <c:pt idx="42">
                  <c:v>18.0420163087874</c:v>
                </c:pt>
                <c:pt idx="43">
                  <c:v>20.6036031503236</c:v>
                </c:pt>
                <c:pt idx="44">
                  <c:v>21.747351612607</c:v>
                </c:pt>
                <c:pt idx="45">
                  <c:v>23.4050446780023</c:v>
                </c:pt>
                <c:pt idx="46">
                  <c:v>22.1318557191566</c:v>
                </c:pt>
                <c:pt idx="47">
                  <c:v>27.3280355890585</c:v>
                </c:pt>
                <c:pt idx="48">
                  <c:v>32.9590539405927</c:v>
                </c:pt>
                <c:pt idx="49">
                  <c:v>35.0636572682153</c:v>
                </c:pt>
                <c:pt idx="50">
                  <c:v>37.7900594489935</c:v>
                </c:pt>
                <c:pt idx="51">
                  <c:v>30.2494871680051</c:v>
                </c:pt>
                <c:pt idx="52">
                  <c:v>32.4354014241964</c:v>
                </c:pt>
                <c:pt idx="53">
                  <c:v>31.7462334547479</c:v>
                </c:pt>
                <c:pt idx="54">
                  <c:v>33.2877250886217</c:v>
                </c:pt>
                <c:pt idx="55">
                  <c:v>35.868835390766</c:v>
                </c:pt>
                <c:pt idx="56">
                  <c:v>34.5444520635344</c:v>
                </c:pt>
                <c:pt idx="57">
                  <c:v>28.6921510762399</c:v>
                </c:pt>
                <c:pt idx="58">
                  <c:v>29.8682141016023</c:v>
                </c:pt>
                <c:pt idx="59">
                  <c:v>27.5302191168656</c:v>
                </c:pt>
                <c:pt idx="60">
                  <c:v>26.5460189699934</c:v>
                </c:pt>
              </c:numCache>
            </c:numRef>
          </c:val>
          <c:smooth val="1"/>
        </c:ser>
        <c:ser>
          <c:idx val="12"/>
          <c:order val="12"/>
          <c:spPr>
            <a:solidFill>
              <a:srgbClr val="406ca1"/>
            </a:solidFill>
            <a:ln w="6120">
              <a:solidFill>
                <a:srgbClr val="406ca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Paths'!$B$23:$BJ$23</c:f>
              <c:numCache>
                <c:formatCode>\€0.00</c:formatCode>
                <c:ptCount val="61"/>
                <c:pt idx="0">
                  <c:v>11.5</c:v>
                </c:pt>
                <c:pt idx="1">
                  <c:v>10.7601668057319</c:v>
                </c:pt>
                <c:pt idx="2">
                  <c:v>10.3625485530728</c:v>
                </c:pt>
                <c:pt idx="3">
                  <c:v>8.04192424704775</c:v>
                </c:pt>
                <c:pt idx="4">
                  <c:v>9.18875044574446</c:v>
                </c:pt>
                <c:pt idx="5">
                  <c:v>9.44596643917926</c:v>
                </c:pt>
                <c:pt idx="6">
                  <c:v>10.66877393802</c:v>
                </c:pt>
                <c:pt idx="7">
                  <c:v>13.2542683280198</c:v>
                </c:pt>
                <c:pt idx="8">
                  <c:v>13.2847225270782</c:v>
                </c:pt>
                <c:pt idx="9">
                  <c:v>10.8994280845643</c:v>
                </c:pt>
                <c:pt idx="10">
                  <c:v>9.87958671696091</c:v>
                </c:pt>
                <c:pt idx="11">
                  <c:v>8.65289622123683</c:v>
                </c:pt>
                <c:pt idx="12">
                  <c:v>8.1878949451486</c:v>
                </c:pt>
                <c:pt idx="13">
                  <c:v>8.25823275563554</c:v>
                </c:pt>
                <c:pt idx="14">
                  <c:v>6.62860411472412</c:v>
                </c:pt>
                <c:pt idx="15">
                  <c:v>6.8811052676044</c:v>
                </c:pt>
                <c:pt idx="16">
                  <c:v>5.82940559675226</c:v>
                </c:pt>
                <c:pt idx="17">
                  <c:v>6.02159184009112</c:v>
                </c:pt>
                <c:pt idx="18">
                  <c:v>5.94860962208643</c:v>
                </c:pt>
                <c:pt idx="19">
                  <c:v>5.74637899641594</c:v>
                </c:pt>
                <c:pt idx="20">
                  <c:v>5.69947469619227</c:v>
                </c:pt>
                <c:pt idx="21">
                  <c:v>5.37081084242581</c:v>
                </c:pt>
                <c:pt idx="22">
                  <c:v>5.02090177305194</c:v>
                </c:pt>
                <c:pt idx="23">
                  <c:v>4.17382819815429</c:v>
                </c:pt>
                <c:pt idx="24">
                  <c:v>4.15952256731499</c:v>
                </c:pt>
                <c:pt idx="25">
                  <c:v>5.09197438356254</c:v>
                </c:pt>
                <c:pt idx="26">
                  <c:v>6.32642809302985</c:v>
                </c:pt>
                <c:pt idx="27">
                  <c:v>7.31225196626111</c:v>
                </c:pt>
                <c:pt idx="28">
                  <c:v>7.89944071116976</c:v>
                </c:pt>
                <c:pt idx="29">
                  <c:v>7.33312012972762</c:v>
                </c:pt>
                <c:pt idx="30">
                  <c:v>8.58900196311691</c:v>
                </c:pt>
                <c:pt idx="31">
                  <c:v>8.53471710886695</c:v>
                </c:pt>
                <c:pt idx="32">
                  <c:v>8.46892406486275</c:v>
                </c:pt>
                <c:pt idx="33">
                  <c:v>8.20114293075641</c:v>
                </c:pt>
                <c:pt idx="34">
                  <c:v>8.28277532308334</c:v>
                </c:pt>
                <c:pt idx="35">
                  <c:v>7.89518586178022</c:v>
                </c:pt>
                <c:pt idx="36">
                  <c:v>7.82152259444674</c:v>
                </c:pt>
                <c:pt idx="37">
                  <c:v>6.94289702266632</c:v>
                </c:pt>
                <c:pt idx="38">
                  <c:v>6.66284235014029</c:v>
                </c:pt>
                <c:pt idx="39">
                  <c:v>8.55513783566038</c:v>
                </c:pt>
                <c:pt idx="40">
                  <c:v>8.48851828825962</c:v>
                </c:pt>
                <c:pt idx="41">
                  <c:v>8.26765477470283</c:v>
                </c:pt>
                <c:pt idx="42">
                  <c:v>8.76325293438978</c:v>
                </c:pt>
                <c:pt idx="43">
                  <c:v>9.46936985555383</c:v>
                </c:pt>
                <c:pt idx="44">
                  <c:v>8.37878091103738</c:v>
                </c:pt>
                <c:pt idx="45">
                  <c:v>8.18902211251601</c:v>
                </c:pt>
                <c:pt idx="46">
                  <c:v>9.05523324746722</c:v>
                </c:pt>
                <c:pt idx="47">
                  <c:v>9.32556705546216</c:v>
                </c:pt>
                <c:pt idx="48">
                  <c:v>9.44942958733586</c:v>
                </c:pt>
                <c:pt idx="49">
                  <c:v>11.2036702318131</c:v>
                </c:pt>
                <c:pt idx="50">
                  <c:v>10.3989907312067</c:v>
                </c:pt>
                <c:pt idx="51">
                  <c:v>10.4918877397543</c:v>
                </c:pt>
                <c:pt idx="52">
                  <c:v>9.90827619341972</c:v>
                </c:pt>
                <c:pt idx="53">
                  <c:v>11.6658844867254</c:v>
                </c:pt>
                <c:pt idx="54">
                  <c:v>9.41564849945001</c:v>
                </c:pt>
                <c:pt idx="55">
                  <c:v>8.74670862987574</c:v>
                </c:pt>
                <c:pt idx="56">
                  <c:v>8.2519327488569</c:v>
                </c:pt>
                <c:pt idx="57">
                  <c:v>8.87334749586111</c:v>
                </c:pt>
                <c:pt idx="58">
                  <c:v>9.48180895228756</c:v>
                </c:pt>
                <c:pt idx="59">
                  <c:v>11.04789355195</c:v>
                </c:pt>
                <c:pt idx="60">
                  <c:v>9.29419929168601</c:v>
                </c:pt>
              </c:numCache>
            </c:numRef>
          </c:val>
          <c:smooth val="1"/>
        </c:ser>
        <c:ser>
          <c:idx val="13"/>
          <c:order val="13"/>
          <c:spPr>
            <a:solidFill>
              <a:srgbClr val="a4413e"/>
            </a:solidFill>
            <a:ln w="6120">
              <a:solidFill>
                <a:srgbClr val="a4413e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Paths'!$B$24:$BJ$24</c:f>
              <c:numCache>
                <c:formatCode>\€0.00</c:formatCode>
                <c:ptCount val="61"/>
                <c:pt idx="0">
                  <c:v>11.5</c:v>
                </c:pt>
                <c:pt idx="1">
                  <c:v>12.4845043368124</c:v>
                </c:pt>
                <c:pt idx="2">
                  <c:v>12.0870314794739</c:v>
                </c:pt>
                <c:pt idx="3">
                  <c:v>11.2338660797777</c:v>
                </c:pt>
                <c:pt idx="4">
                  <c:v>11.9166722255284</c:v>
                </c:pt>
                <c:pt idx="5">
                  <c:v>10.7705868048855</c:v>
                </c:pt>
                <c:pt idx="6">
                  <c:v>8.57460918533089</c:v>
                </c:pt>
                <c:pt idx="7">
                  <c:v>8.23184682603506</c:v>
                </c:pt>
                <c:pt idx="8">
                  <c:v>6.98333615009282</c:v>
                </c:pt>
                <c:pt idx="9">
                  <c:v>6.5023236664579</c:v>
                </c:pt>
                <c:pt idx="10">
                  <c:v>6.77158068198498</c:v>
                </c:pt>
                <c:pt idx="11">
                  <c:v>7.00606712425673</c:v>
                </c:pt>
                <c:pt idx="12">
                  <c:v>8.33672596317329</c:v>
                </c:pt>
                <c:pt idx="13">
                  <c:v>8.15462946451193</c:v>
                </c:pt>
                <c:pt idx="14">
                  <c:v>6.89089708701939</c:v>
                </c:pt>
                <c:pt idx="15">
                  <c:v>6.34125518157563</c:v>
                </c:pt>
                <c:pt idx="16">
                  <c:v>5.73186017014863</c:v>
                </c:pt>
                <c:pt idx="17">
                  <c:v>5.01415825545083</c:v>
                </c:pt>
                <c:pt idx="18">
                  <c:v>5.25847209540529</c:v>
                </c:pt>
                <c:pt idx="19">
                  <c:v>4.89824713173165</c:v>
                </c:pt>
                <c:pt idx="20">
                  <c:v>3.94237408403963</c:v>
                </c:pt>
                <c:pt idx="21">
                  <c:v>4.25480867313457</c:v>
                </c:pt>
                <c:pt idx="22">
                  <c:v>4.20234772895968</c:v>
                </c:pt>
                <c:pt idx="23">
                  <c:v>4.36930447597407</c:v>
                </c:pt>
                <c:pt idx="24">
                  <c:v>4.41946122174295</c:v>
                </c:pt>
                <c:pt idx="25">
                  <c:v>4.73567752756336</c:v>
                </c:pt>
                <c:pt idx="26">
                  <c:v>4.75459727682934</c:v>
                </c:pt>
                <c:pt idx="27">
                  <c:v>5.44411829162353</c:v>
                </c:pt>
                <c:pt idx="28">
                  <c:v>5.70288180203886</c:v>
                </c:pt>
                <c:pt idx="29">
                  <c:v>5.95241344992757</c:v>
                </c:pt>
                <c:pt idx="30">
                  <c:v>6.22500604302334</c:v>
                </c:pt>
                <c:pt idx="31">
                  <c:v>5.3047515784433</c:v>
                </c:pt>
                <c:pt idx="32">
                  <c:v>5.20885277954179</c:v>
                </c:pt>
                <c:pt idx="33">
                  <c:v>5.06184062866927</c:v>
                </c:pt>
                <c:pt idx="34">
                  <c:v>5.17745697335789</c:v>
                </c:pt>
                <c:pt idx="35">
                  <c:v>4.45972277809297</c:v>
                </c:pt>
                <c:pt idx="36">
                  <c:v>5.33431259665799</c:v>
                </c:pt>
                <c:pt idx="37">
                  <c:v>5.39475816366765</c:v>
                </c:pt>
                <c:pt idx="38">
                  <c:v>4.72263582773514</c:v>
                </c:pt>
                <c:pt idx="39">
                  <c:v>3.9146453672896</c:v>
                </c:pt>
                <c:pt idx="40">
                  <c:v>3.79500285417806</c:v>
                </c:pt>
                <c:pt idx="41">
                  <c:v>3.75716523457961</c:v>
                </c:pt>
                <c:pt idx="42">
                  <c:v>3.47184880256733</c:v>
                </c:pt>
                <c:pt idx="43">
                  <c:v>3.50646526867582</c:v>
                </c:pt>
                <c:pt idx="44">
                  <c:v>3.26771309340191</c:v>
                </c:pt>
                <c:pt idx="45">
                  <c:v>3.4709282129564</c:v>
                </c:pt>
                <c:pt idx="46">
                  <c:v>3.20515029357884</c:v>
                </c:pt>
                <c:pt idx="47">
                  <c:v>3.1910573115247</c:v>
                </c:pt>
                <c:pt idx="48">
                  <c:v>3.55211874705344</c:v>
                </c:pt>
                <c:pt idx="49">
                  <c:v>4.70894612068843</c:v>
                </c:pt>
                <c:pt idx="50">
                  <c:v>4.21540559363266</c:v>
                </c:pt>
                <c:pt idx="51">
                  <c:v>4.00525632363241</c:v>
                </c:pt>
                <c:pt idx="52">
                  <c:v>3.65208108894152</c:v>
                </c:pt>
                <c:pt idx="53">
                  <c:v>3.9794831338608</c:v>
                </c:pt>
                <c:pt idx="54">
                  <c:v>3.50792985103346</c:v>
                </c:pt>
                <c:pt idx="55">
                  <c:v>3.32580066524445</c:v>
                </c:pt>
                <c:pt idx="56">
                  <c:v>3.31441107973294</c:v>
                </c:pt>
                <c:pt idx="57">
                  <c:v>2.97647275704425</c:v>
                </c:pt>
                <c:pt idx="58">
                  <c:v>2.67925929025339</c:v>
                </c:pt>
                <c:pt idx="59">
                  <c:v>2.54258898738122</c:v>
                </c:pt>
                <c:pt idx="60">
                  <c:v>2.01897198730425</c:v>
                </c:pt>
              </c:numCache>
            </c:numRef>
          </c:val>
          <c:smooth val="1"/>
        </c:ser>
        <c:ser>
          <c:idx val="14"/>
          <c:order val="14"/>
          <c:spPr>
            <a:solidFill>
              <a:srgbClr val="84a049"/>
            </a:solidFill>
            <a:ln w="6120">
              <a:solidFill>
                <a:srgbClr val="84a049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Paths'!$B$25:$BJ$25</c:f>
              <c:numCache>
                <c:formatCode>\€0.00</c:formatCode>
                <c:ptCount val="61"/>
                <c:pt idx="0">
                  <c:v>11.5</c:v>
                </c:pt>
                <c:pt idx="1">
                  <c:v>9.81193720801229</c:v>
                </c:pt>
                <c:pt idx="2">
                  <c:v>9.37557570586109</c:v>
                </c:pt>
                <c:pt idx="3">
                  <c:v>9.52752554400405</c:v>
                </c:pt>
                <c:pt idx="4">
                  <c:v>9.33363434008471</c:v>
                </c:pt>
                <c:pt idx="5">
                  <c:v>7.68171547004639</c:v>
                </c:pt>
                <c:pt idx="6">
                  <c:v>7.29933903353709</c:v>
                </c:pt>
                <c:pt idx="7">
                  <c:v>7.966030574203</c:v>
                </c:pt>
                <c:pt idx="8">
                  <c:v>8.4653344036256</c:v>
                </c:pt>
                <c:pt idx="9">
                  <c:v>8.39098417485303</c:v>
                </c:pt>
                <c:pt idx="10">
                  <c:v>7.61129302466278</c:v>
                </c:pt>
                <c:pt idx="11">
                  <c:v>8.15549549826316</c:v>
                </c:pt>
                <c:pt idx="12">
                  <c:v>7.65226856523822</c:v>
                </c:pt>
                <c:pt idx="13">
                  <c:v>6.72987316882001</c:v>
                </c:pt>
                <c:pt idx="14">
                  <c:v>6.16184287688053</c:v>
                </c:pt>
                <c:pt idx="15">
                  <c:v>7.2215603980771</c:v>
                </c:pt>
                <c:pt idx="16">
                  <c:v>7.39674995643778</c:v>
                </c:pt>
                <c:pt idx="17">
                  <c:v>8.39824519754953</c:v>
                </c:pt>
                <c:pt idx="18">
                  <c:v>7.9666008221214</c:v>
                </c:pt>
                <c:pt idx="19">
                  <c:v>8.8285105421535</c:v>
                </c:pt>
                <c:pt idx="20">
                  <c:v>8.263267301855</c:v>
                </c:pt>
                <c:pt idx="21">
                  <c:v>8.12030320240294</c:v>
                </c:pt>
                <c:pt idx="22">
                  <c:v>10.6645825467463</c:v>
                </c:pt>
                <c:pt idx="23">
                  <c:v>11.5987627697643</c:v>
                </c:pt>
                <c:pt idx="24">
                  <c:v>10.9763004020637</c:v>
                </c:pt>
                <c:pt idx="25">
                  <c:v>10.8726531372613</c:v>
                </c:pt>
                <c:pt idx="26">
                  <c:v>11.2667172229681</c:v>
                </c:pt>
                <c:pt idx="27">
                  <c:v>12.8642570016814</c:v>
                </c:pt>
                <c:pt idx="28">
                  <c:v>12.1899658749651</c:v>
                </c:pt>
                <c:pt idx="29">
                  <c:v>10.0685138378046</c:v>
                </c:pt>
                <c:pt idx="30">
                  <c:v>9.76255390619531</c:v>
                </c:pt>
                <c:pt idx="31">
                  <c:v>9.77725172817625</c:v>
                </c:pt>
                <c:pt idx="32">
                  <c:v>9.89362924332856</c:v>
                </c:pt>
                <c:pt idx="33">
                  <c:v>11.4288867145095</c:v>
                </c:pt>
                <c:pt idx="34">
                  <c:v>11.830728060911</c:v>
                </c:pt>
                <c:pt idx="35">
                  <c:v>12.9318217293022</c:v>
                </c:pt>
                <c:pt idx="36">
                  <c:v>11.4583573870929</c:v>
                </c:pt>
                <c:pt idx="37">
                  <c:v>12.6005672556656</c:v>
                </c:pt>
                <c:pt idx="38">
                  <c:v>15.8553437066385</c:v>
                </c:pt>
                <c:pt idx="39">
                  <c:v>17.2551169803948</c:v>
                </c:pt>
                <c:pt idx="40">
                  <c:v>17.7385385293728</c:v>
                </c:pt>
                <c:pt idx="41">
                  <c:v>18.0374153403594</c:v>
                </c:pt>
                <c:pt idx="42">
                  <c:v>21.939929406012</c:v>
                </c:pt>
                <c:pt idx="43">
                  <c:v>19.8145455731299</c:v>
                </c:pt>
                <c:pt idx="44">
                  <c:v>19.5709321935175</c:v>
                </c:pt>
                <c:pt idx="45">
                  <c:v>20.5805255395135</c:v>
                </c:pt>
                <c:pt idx="46">
                  <c:v>22.3265440945859</c:v>
                </c:pt>
                <c:pt idx="47">
                  <c:v>21.2768492602428</c:v>
                </c:pt>
                <c:pt idx="48">
                  <c:v>22.002329985762</c:v>
                </c:pt>
                <c:pt idx="49">
                  <c:v>21.3377540617188</c:v>
                </c:pt>
                <c:pt idx="50">
                  <c:v>21.6176460799362</c:v>
                </c:pt>
                <c:pt idx="51">
                  <c:v>21.3027593136499</c:v>
                </c:pt>
                <c:pt idx="52">
                  <c:v>18.7918710799198</c:v>
                </c:pt>
                <c:pt idx="53">
                  <c:v>18.744960935125</c:v>
                </c:pt>
                <c:pt idx="54">
                  <c:v>20.634452487145</c:v>
                </c:pt>
                <c:pt idx="55">
                  <c:v>18.5542750761778</c:v>
                </c:pt>
                <c:pt idx="56">
                  <c:v>18.066690846523</c:v>
                </c:pt>
                <c:pt idx="57">
                  <c:v>19.4298531440281</c:v>
                </c:pt>
                <c:pt idx="58">
                  <c:v>17.2751121110467</c:v>
                </c:pt>
                <c:pt idx="59">
                  <c:v>17.6214748787818</c:v>
                </c:pt>
                <c:pt idx="60">
                  <c:v>15.6840206895149</c:v>
                </c:pt>
              </c:numCache>
            </c:numRef>
          </c:val>
          <c:smooth val="1"/>
        </c:ser>
        <c:ser>
          <c:idx val="15"/>
          <c:order val="15"/>
          <c:spPr>
            <a:solidFill>
              <a:srgbClr val="6b5389"/>
            </a:solidFill>
            <a:ln w="6120">
              <a:solidFill>
                <a:srgbClr val="6b5389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Paths'!$B$26:$BJ$26</c:f>
              <c:numCache>
                <c:formatCode>\€0.00</c:formatCode>
                <c:ptCount val="61"/>
                <c:pt idx="0">
                  <c:v>11.5</c:v>
                </c:pt>
                <c:pt idx="1">
                  <c:v>13.0218505081387</c:v>
                </c:pt>
                <c:pt idx="2">
                  <c:v>16.7794336751442</c:v>
                </c:pt>
                <c:pt idx="3">
                  <c:v>20.9430122664651</c:v>
                </c:pt>
                <c:pt idx="4">
                  <c:v>20.441728975497</c:v>
                </c:pt>
                <c:pt idx="5">
                  <c:v>22.1667253830875</c:v>
                </c:pt>
                <c:pt idx="6">
                  <c:v>22.4587885115401</c:v>
                </c:pt>
                <c:pt idx="7">
                  <c:v>22.7075924867874</c:v>
                </c:pt>
                <c:pt idx="8">
                  <c:v>26.9046630081105</c:v>
                </c:pt>
                <c:pt idx="9">
                  <c:v>23.2756286956925</c:v>
                </c:pt>
                <c:pt idx="10">
                  <c:v>26.1274289174561</c:v>
                </c:pt>
                <c:pt idx="11">
                  <c:v>25.9826718308677</c:v>
                </c:pt>
                <c:pt idx="12">
                  <c:v>30.3185144143445</c:v>
                </c:pt>
                <c:pt idx="13">
                  <c:v>30.9419876195798</c:v>
                </c:pt>
                <c:pt idx="14">
                  <c:v>28.7357201378562</c:v>
                </c:pt>
                <c:pt idx="15">
                  <c:v>29.6173092736064</c:v>
                </c:pt>
                <c:pt idx="16">
                  <c:v>32.1016901668395</c:v>
                </c:pt>
                <c:pt idx="17">
                  <c:v>32.2219694286377</c:v>
                </c:pt>
                <c:pt idx="18">
                  <c:v>33.9877879694554</c:v>
                </c:pt>
                <c:pt idx="19">
                  <c:v>32.0915251673866</c:v>
                </c:pt>
                <c:pt idx="20">
                  <c:v>25.3893283997768</c:v>
                </c:pt>
                <c:pt idx="21">
                  <c:v>28.0187826372181</c:v>
                </c:pt>
                <c:pt idx="22">
                  <c:v>30.2467025578177</c:v>
                </c:pt>
                <c:pt idx="23">
                  <c:v>30.7367343093046</c:v>
                </c:pt>
                <c:pt idx="24">
                  <c:v>30.9625858028714</c:v>
                </c:pt>
                <c:pt idx="25">
                  <c:v>34.6838549870412</c:v>
                </c:pt>
                <c:pt idx="26">
                  <c:v>32.9815376549748</c:v>
                </c:pt>
                <c:pt idx="27">
                  <c:v>30.5162783104985</c:v>
                </c:pt>
                <c:pt idx="28">
                  <c:v>29.8861048785606</c:v>
                </c:pt>
                <c:pt idx="29">
                  <c:v>34.04387656396</c:v>
                </c:pt>
                <c:pt idx="30">
                  <c:v>29.2332086282112</c:v>
                </c:pt>
                <c:pt idx="31">
                  <c:v>33.3101332086384</c:v>
                </c:pt>
                <c:pt idx="32">
                  <c:v>31.0486237742329</c:v>
                </c:pt>
                <c:pt idx="33">
                  <c:v>27.5120306051009</c:v>
                </c:pt>
                <c:pt idx="34">
                  <c:v>31.5844367032322</c:v>
                </c:pt>
                <c:pt idx="35">
                  <c:v>31.2447901569463</c:v>
                </c:pt>
                <c:pt idx="36">
                  <c:v>27.0865715012658</c:v>
                </c:pt>
                <c:pt idx="37">
                  <c:v>26.0365931098106</c:v>
                </c:pt>
                <c:pt idx="38">
                  <c:v>28.8310486078347</c:v>
                </c:pt>
                <c:pt idx="39">
                  <c:v>32.8527671532572</c:v>
                </c:pt>
                <c:pt idx="40">
                  <c:v>31.3433270660153</c:v>
                </c:pt>
                <c:pt idx="41">
                  <c:v>32.7659558270216</c:v>
                </c:pt>
                <c:pt idx="42">
                  <c:v>35.4293060553966</c:v>
                </c:pt>
                <c:pt idx="43">
                  <c:v>33.0044597362419</c:v>
                </c:pt>
                <c:pt idx="44">
                  <c:v>34.3089274392422</c:v>
                </c:pt>
                <c:pt idx="45">
                  <c:v>34.1828947302321</c:v>
                </c:pt>
                <c:pt idx="46">
                  <c:v>32.2249823905065</c:v>
                </c:pt>
                <c:pt idx="47">
                  <c:v>30.525785048256</c:v>
                </c:pt>
                <c:pt idx="48">
                  <c:v>30.7454450863678</c:v>
                </c:pt>
                <c:pt idx="49">
                  <c:v>30.8406414336005</c:v>
                </c:pt>
                <c:pt idx="50">
                  <c:v>28.9803413696149</c:v>
                </c:pt>
                <c:pt idx="51">
                  <c:v>27.6523211944348</c:v>
                </c:pt>
                <c:pt idx="52">
                  <c:v>31.2386339238562</c:v>
                </c:pt>
                <c:pt idx="53">
                  <c:v>31.9741691102934</c:v>
                </c:pt>
                <c:pt idx="54">
                  <c:v>35.2278452331554</c:v>
                </c:pt>
                <c:pt idx="55">
                  <c:v>40.1848174230423</c:v>
                </c:pt>
                <c:pt idx="56">
                  <c:v>42.8583237745967</c:v>
                </c:pt>
                <c:pt idx="57">
                  <c:v>54.9720537933545</c:v>
                </c:pt>
                <c:pt idx="58">
                  <c:v>50.2046977997012</c:v>
                </c:pt>
                <c:pt idx="59">
                  <c:v>54.850155127344</c:v>
                </c:pt>
                <c:pt idx="60">
                  <c:v>52.9592306745329</c:v>
                </c:pt>
              </c:numCache>
            </c:numRef>
          </c:val>
          <c:smooth val="1"/>
        </c:ser>
        <c:ser>
          <c:idx val="16"/>
          <c:order val="16"/>
          <c:spPr>
            <a:solidFill>
              <a:srgbClr val="3c92aa"/>
            </a:solidFill>
            <a:ln w="6120">
              <a:solidFill>
                <a:srgbClr val="3c92aa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Paths'!$B$27:$BJ$27</c:f>
              <c:numCache>
                <c:formatCode>\€0.00</c:formatCode>
                <c:ptCount val="61"/>
                <c:pt idx="0">
                  <c:v>11.5</c:v>
                </c:pt>
                <c:pt idx="1">
                  <c:v>14.0938245420306</c:v>
                </c:pt>
                <c:pt idx="2">
                  <c:v>16.9808427083034</c:v>
                </c:pt>
                <c:pt idx="3">
                  <c:v>13.7018690276582</c:v>
                </c:pt>
                <c:pt idx="4">
                  <c:v>12.318074191315</c:v>
                </c:pt>
                <c:pt idx="5">
                  <c:v>13.2468148136294</c:v>
                </c:pt>
                <c:pt idx="6">
                  <c:v>14.4431392231706</c:v>
                </c:pt>
                <c:pt idx="7">
                  <c:v>15.6556946850955</c:v>
                </c:pt>
                <c:pt idx="8">
                  <c:v>15.5316163820662</c:v>
                </c:pt>
                <c:pt idx="9">
                  <c:v>16.3237248930208</c:v>
                </c:pt>
                <c:pt idx="10">
                  <c:v>17.5327477194032</c:v>
                </c:pt>
                <c:pt idx="11">
                  <c:v>17.3804304664193</c:v>
                </c:pt>
                <c:pt idx="12">
                  <c:v>19.4501160578309</c:v>
                </c:pt>
                <c:pt idx="13">
                  <c:v>15.1774480949095</c:v>
                </c:pt>
                <c:pt idx="14">
                  <c:v>16.2672238722823</c:v>
                </c:pt>
                <c:pt idx="15">
                  <c:v>14.5201441849931</c:v>
                </c:pt>
                <c:pt idx="16">
                  <c:v>16.1273607538336</c:v>
                </c:pt>
                <c:pt idx="17">
                  <c:v>15.7249406645483</c:v>
                </c:pt>
                <c:pt idx="18">
                  <c:v>14.2615598811839</c:v>
                </c:pt>
                <c:pt idx="19">
                  <c:v>14.8559467749566</c:v>
                </c:pt>
                <c:pt idx="20">
                  <c:v>13.4401536365782</c:v>
                </c:pt>
                <c:pt idx="21">
                  <c:v>12.1573745271617</c:v>
                </c:pt>
                <c:pt idx="22">
                  <c:v>10.2351290099733</c:v>
                </c:pt>
                <c:pt idx="23">
                  <c:v>10.2033157591878</c:v>
                </c:pt>
                <c:pt idx="24">
                  <c:v>10.7728516730511</c:v>
                </c:pt>
                <c:pt idx="25">
                  <c:v>12.0500441580397</c:v>
                </c:pt>
                <c:pt idx="26">
                  <c:v>11.8619753283483</c:v>
                </c:pt>
                <c:pt idx="27">
                  <c:v>13.3044784306574</c:v>
                </c:pt>
                <c:pt idx="28">
                  <c:v>13.3282737723019</c:v>
                </c:pt>
                <c:pt idx="29">
                  <c:v>13.1901569838949</c:v>
                </c:pt>
                <c:pt idx="30">
                  <c:v>14.0441426034973</c:v>
                </c:pt>
                <c:pt idx="31">
                  <c:v>15.7702320619345</c:v>
                </c:pt>
                <c:pt idx="32">
                  <c:v>15.1877108000277</c:v>
                </c:pt>
                <c:pt idx="33">
                  <c:v>14.7842652772902</c:v>
                </c:pt>
                <c:pt idx="34">
                  <c:v>14.52305627539</c:v>
                </c:pt>
                <c:pt idx="35">
                  <c:v>14.6528320236051</c:v>
                </c:pt>
                <c:pt idx="36">
                  <c:v>13.2722928835352</c:v>
                </c:pt>
                <c:pt idx="37">
                  <c:v>14.8539230147044</c:v>
                </c:pt>
                <c:pt idx="38">
                  <c:v>14.2130011184606</c:v>
                </c:pt>
                <c:pt idx="39">
                  <c:v>14.9498645026077</c:v>
                </c:pt>
                <c:pt idx="40">
                  <c:v>13.6531110150471</c:v>
                </c:pt>
                <c:pt idx="41">
                  <c:v>14.1986037410885</c:v>
                </c:pt>
                <c:pt idx="42">
                  <c:v>14.8190972191775</c:v>
                </c:pt>
                <c:pt idx="43">
                  <c:v>14.1481810601063</c:v>
                </c:pt>
                <c:pt idx="44">
                  <c:v>17.6562060042925</c:v>
                </c:pt>
                <c:pt idx="45">
                  <c:v>18.3862997284782</c:v>
                </c:pt>
                <c:pt idx="46">
                  <c:v>22.3392550809075</c:v>
                </c:pt>
                <c:pt idx="47">
                  <c:v>24.8132143297346</c:v>
                </c:pt>
                <c:pt idx="48">
                  <c:v>23.0702463745373</c:v>
                </c:pt>
                <c:pt idx="49">
                  <c:v>22.1189751157477</c:v>
                </c:pt>
                <c:pt idx="50">
                  <c:v>23.1985877056148</c:v>
                </c:pt>
                <c:pt idx="51">
                  <c:v>23.3505020392859</c:v>
                </c:pt>
                <c:pt idx="52">
                  <c:v>23.4732357494943</c:v>
                </c:pt>
                <c:pt idx="53">
                  <c:v>22.743555671441</c:v>
                </c:pt>
                <c:pt idx="54">
                  <c:v>18.6475521542472</c:v>
                </c:pt>
                <c:pt idx="55">
                  <c:v>18.1887335895333</c:v>
                </c:pt>
                <c:pt idx="56">
                  <c:v>14.257723514627</c:v>
                </c:pt>
                <c:pt idx="57">
                  <c:v>14.84855793713</c:v>
                </c:pt>
                <c:pt idx="58">
                  <c:v>13.7092855877927</c:v>
                </c:pt>
                <c:pt idx="59">
                  <c:v>12.6722086775873</c:v>
                </c:pt>
                <c:pt idx="60">
                  <c:v>12.3687248767838</c:v>
                </c:pt>
              </c:numCache>
            </c:numRef>
          </c:val>
          <c:smooth val="1"/>
        </c:ser>
        <c:ser>
          <c:idx val="17"/>
          <c:order val="17"/>
          <c:spPr>
            <a:solidFill>
              <a:srgbClr val="d57f36"/>
            </a:solidFill>
            <a:ln w="6120">
              <a:solidFill>
                <a:srgbClr val="d57f3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Paths'!$B$28:$BJ$28</c:f>
              <c:numCache>
                <c:formatCode>\€0.00</c:formatCode>
                <c:ptCount val="61"/>
                <c:pt idx="0">
                  <c:v>11.5</c:v>
                </c:pt>
                <c:pt idx="1">
                  <c:v>11.8470029267401</c:v>
                </c:pt>
                <c:pt idx="2">
                  <c:v>10.1229532637357</c:v>
                </c:pt>
                <c:pt idx="3">
                  <c:v>8.35455243933428</c:v>
                </c:pt>
                <c:pt idx="4">
                  <c:v>7.43114171574367</c:v>
                </c:pt>
                <c:pt idx="5">
                  <c:v>5.93891055770942</c:v>
                </c:pt>
                <c:pt idx="6">
                  <c:v>5.3403025450585</c:v>
                </c:pt>
                <c:pt idx="7">
                  <c:v>6.35736101272792</c:v>
                </c:pt>
                <c:pt idx="8">
                  <c:v>5.66057904512344</c:v>
                </c:pt>
                <c:pt idx="9">
                  <c:v>6.07875411404149</c:v>
                </c:pt>
                <c:pt idx="10">
                  <c:v>5.22864843000902</c:v>
                </c:pt>
                <c:pt idx="11">
                  <c:v>5.40206849080502</c:v>
                </c:pt>
                <c:pt idx="12">
                  <c:v>5.21492602995311</c:v>
                </c:pt>
                <c:pt idx="13">
                  <c:v>5.17987183992395</c:v>
                </c:pt>
                <c:pt idx="14">
                  <c:v>5.51234389373862</c:v>
                </c:pt>
                <c:pt idx="15">
                  <c:v>6.68228552287754</c:v>
                </c:pt>
                <c:pt idx="16">
                  <c:v>6.82529357572084</c:v>
                </c:pt>
                <c:pt idx="17">
                  <c:v>6.91777211879754</c:v>
                </c:pt>
                <c:pt idx="18">
                  <c:v>6.21605433826634</c:v>
                </c:pt>
                <c:pt idx="19">
                  <c:v>6.62560951369691</c:v>
                </c:pt>
                <c:pt idx="20">
                  <c:v>6.44797256495883</c:v>
                </c:pt>
                <c:pt idx="21">
                  <c:v>7.06286460187391</c:v>
                </c:pt>
                <c:pt idx="22">
                  <c:v>7.02779457206678</c:v>
                </c:pt>
                <c:pt idx="23">
                  <c:v>8.50501061032948</c:v>
                </c:pt>
                <c:pt idx="24">
                  <c:v>6.84113079207406</c:v>
                </c:pt>
                <c:pt idx="25">
                  <c:v>6.62091632626422</c:v>
                </c:pt>
                <c:pt idx="26">
                  <c:v>7.2917672704921</c:v>
                </c:pt>
                <c:pt idx="27">
                  <c:v>7.01529582285709</c:v>
                </c:pt>
                <c:pt idx="28">
                  <c:v>6.43023378326771</c:v>
                </c:pt>
                <c:pt idx="29">
                  <c:v>6.24425210248254</c:v>
                </c:pt>
                <c:pt idx="30">
                  <c:v>5.36611734077978</c:v>
                </c:pt>
                <c:pt idx="31">
                  <c:v>5.43560105627314</c:v>
                </c:pt>
                <c:pt idx="32">
                  <c:v>7.10285643640119</c:v>
                </c:pt>
                <c:pt idx="33">
                  <c:v>8.0519934241319</c:v>
                </c:pt>
                <c:pt idx="34">
                  <c:v>7.12836491608097</c:v>
                </c:pt>
                <c:pt idx="35">
                  <c:v>6.47595473123585</c:v>
                </c:pt>
                <c:pt idx="36">
                  <c:v>6.19359359940311</c:v>
                </c:pt>
                <c:pt idx="37">
                  <c:v>6.91375647740827</c:v>
                </c:pt>
                <c:pt idx="38">
                  <c:v>6.31681732919631</c:v>
                </c:pt>
                <c:pt idx="39">
                  <c:v>5.85511802411026</c:v>
                </c:pt>
                <c:pt idx="40">
                  <c:v>6.4506879422339</c:v>
                </c:pt>
                <c:pt idx="41">
                  <c:v>7.09118777284907</c:v>
                </c:pt>
                <c:pt idx="42">
                  <c:v>6.8050388292289</c:v>
                </c:pt>
                <c:pt idx="43">
                  <c:v>6.01866345473342</c:v>
                </c:pt>
                <c:pt idx="44">
                  <c:v>5.0767953280089</c:v>
                </c:pt>
                <c:pt idx="45">
                  <c:v>4.70121075055817</c:v>
                </c:pt>
                <c:pt idx="46">
                  <c:v>3.68015702423221</c:v>
                </c:pt>
                <c:pt idx="47">
                  <c:v>3.9949247483859</c:v>
                </c:pt>
                <c:pt idx="48">
                  <c:v>3.72746811777387</c:v>
                </c:pt>
                <c:pt idx="49">
                  <c:v>3.92883182479822</c:v>
                </c:pt>
                <c:pt idx="50">
                  <c:v>4.82160856397273</c:v>
                </c:pt>
                <c:pt idx="51">
                  <c:v>5.48270092794095</c:v>
                </c:pt>
                <c:pt idx="52">
                  <c:v>4.83141311197525</c:v>
                </c:pt>
                <c:pt idx="53">
                  <c:v>5.3138109837129</c:v>
                </c:pt>
                <c:pt idx="54">
                  <c:v>6.03236335335845</c:v>
                </c:pt>
                <c:pt idx="55">
                  <c:v>5.55713560871197</c:v>
                </c:pt>
                <c:pt idx="56">
                  <c:v>5.0044428065685</c:v>
                </c:pt>
                <c:pt idx="57">
                  <c:v>4.94367965349407</c:v>
                </c:pt>
                <c:pt idx="58">
                  <c:v>4.14646420110528</c:v>
                </c:pt>
                <c:pt idx="59">
                  <c:v>4.87152577869483</c:v>
                </c:pt>
                <c:pt idx="60">
                  <c:v>3.74104036021894</c:v>
                </c:pt>
              </c:numCache>
            </c:numRef>
          </c:val>
          <c:smooth val="1"/>
        </c:ser>
        <c:ser>
          <c:idx val="18"/>
          <c:order val="18"/>
          <c:spPr>
            <a:solidFill>
              <a:srgbClr val="4475b0"/>
            </a:solidFill>
            <a:ln w="6120">
              <a:solidFill>
                <a:srgbClr val="4475b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Paths'!$B$29:$BJ$29</c:f>
              <c:numCache>
                <c:formatCode>\€0.00</c:formatCode>
                <c:ptCount val="61"/>
                <c:pt idx="0">
                  <c:v>11.5</c:v>
                </c:pt>
                <c:pt idx="1">
                  <c:v>10.1833165185928</c:v>
                </c:pt>
                <c:pt idx="2">
                  <c:v>9.88478833465529</c:v>
                </c:pt>
                <c:pt idx="3">
                  <c:v>9.63982581571303</c:v>
                </c:pt>
                <c:pt idx="4">
                  <c:v>9.81530551963386</c:v>
                </c:pt>
                <c:pt idx="5">
                  <c:v>10.1101168773671</c:v>
                </c:pt>
                <c:pt idx="6">
                  <c:v>9.87415521139825</c:v>
                </c:pt>
                <c:pt idx="7">
                  <c:v>11.1836169355953</c:v>
                </c:pt>
                <c:pt idx="8">
                  <c:v>8.84263061310499</c:v>
                </c:pt>
                <c:pt idx="9">
                  <c:v>8.8408500639488</c:v>
                </c:pt>
                <c:pt idx="10">
                  <c:v>8.17280561381078</c:v>
                </c:pt>
                <c:pt idx="11">
                  <c:v>8.29095521755848</c:v>
                </c:pt>
                <c:pt idx="12">
                  <c:v>8.49262761143847</c:v>
                </c:pt>
                <c:pt idx="13">
                  <c:v>7.68285045265188</c:v>
                </c:pt>
                <c:pt idx="14">
                  <c:v>7.15990994424987</c:v>
                </c:pt>
                <c:pt idx="15">
                  <c:v>7.80885307727826</c:v>
                </c:pt>
                <c:pt idx="16">
                  <c:v>8.11216701653176</c:v>
                </c:pt>
                <c:pt idx="17">
                  <c:v>7.52748353989701</c:v>
                </c:pt>
                <c:pt idx="18">
                  <c:v>9.41351539246452</c:v>
                </c:pt>
                <c:pt idx="19">
                  <c:v>12.1250305331612</c:v>
                </c:pt>
                <c:pt idx="20">
                  <c:v>10.3259643248265</c:v>
                </c:pt>
                <c:pt idx="21">
                  <c:v>10.6715792684831</c:v>
                </c:pt>
                <c:pt idx="22">
                  <c:v>14.0500895247597</c:v>
                </c:pt>
                <c:pt idx="23">
                  <c:v>15.3089314099378</c:v>
                </c:pt>
                <c:pt idx="24">
                  <c:v>15.6818283535474</c:v>
                </c:pt>
                <c:pt idx="25">
                  <c:v>15.3251636732125</c:v>
                </c:pt>
                <c:pt idx="26">
                  <c:v>14.4391848626403</c:v>
                </c:pt>
                <c:pt idx="27">
                  <c:v>14.1038839745073</c:v>
                </c:pt>
                <c:pt idx="28">
                  <c:v>13.2746176990446</c:v>
                </c:pt>
                <c:pt idx="29">
                  <c:v>14.4022481031097</c:v>
                </c:pt>
                <c:pt idx="30">
                  <c:v>13.7842260261353</c:v>
                </c:pt>
                <c:pt idx="31">
                  <c:v>13.1306443805416</c:v>
                </c:pt>
                <c:pt idx="32">
                  <c:v>11.506275123622</c:v>
                </c:pt>
                <c:pt idx="33">
                  <c:v>11.4417549390357</c:v>
                </c:pt>
                <c:pt idx="34">
                  <c:v>10.3709017987753</c:v>
                </c:pt>
                <c:pt idx="35">
                  <c:v>10.1654323285907</c:v>
                </c:pt>
                <c:pt idx="36">
                  <c:v>11.3940719640952</c:v>
                </c:pt>
                <c:pt idx="37">
                  <c:v>11.8585672574887</c:v>
                </c:pt>
                <c:pt idx="38">
                  <c:v>12.531354610683</c:v>
                </c:pt>
                <c:pt idx="39">
                  <c:v>13.0281510645389</c:v>
                </c:pt>
                <c:pt idx="40">
                  <c:v>13.1105929148074</c:v>
                </c:pt>
                <c:pt idx="41">
                  <c:v>12.9263740186942</c:v>
                </c:pt>
                <c:pt idx="42">
                  <c:v>12.4949068360526</c:v>
                </c:pt>
                <c:pt idx="43">
                  <c:v>13.5774495146851</c:v>
                </c:pt>
                <c:pt idx="44">
                  <c:v>12.0527107312198</c:v>
                </c:pt>
                <c:pt idx="45">
                  <c:v>13.9597599552614</c:v>
                </c:pt>
                <c:pt idx="46">
                  <c:v>14.0094739941771</c:v>
                </c:pt>
                <c:pt idx="47">
                  <c:v>12.9024940591145</c:v>
                </c:pt>
                <c:pt idx="48">
                  <c:v>12.2261812857695</c:v>
                </c:pt>
                <c:pt idx="49">
                  <c:v>11.3490360849275</c:v>
                </c:pt>
                <c:pt idx="50">
                  <c:v>11.5481307144386</c:v>
                </c:pt>
                <c:pt idx="51">
                  <c:v>10.6716996110442</c:v>
                </c:pt>
                <c:pt idx="52">
                  <c:v>12.0938838941023</c:v>
                </c:pt>
                <c:pt idx="53">
                  <c:v>11.0980944948521</c:v>
                </c:pt>
                <c:pt idx="54">
                  <c:v>8.64777683787506</c:v>
                </c:pt>
                <c:pt idx="55">
                  <c:v>7.97994028275408</c:v>
                </c:pt>
                <c:pt idx="56">
                  <c:v>6.40077930348004</c:v>
                </c:pt>
                <c:pt idx="57">
                  <c:v>6.37167853009604</c:v>
                </c:pt>
                <c:pt idx="58">
                  <c:v>7.15538760676934</c:v>
                </c:pt>
                <c:pt idx="59">
                  <c:v>7.68091950435046</c:v>
                </c:pt>
                <c:pt idx="60">
                  <c:v>6.63147317758896</c:v>
                </c:pt>
              </c:numCache>
            </c:numRef>
          </c:val>
          <c:smooth val="1"/>
        </c:ser>
        <c:ser>
          <c:idx val="19"/>
          <c:order val="19"/>
          <c:spPr>
            <a:solidFill>
              <a:srgbClr val="b24543"/>
            </a:solidFill>
            <a:ln w="6120">
              <a:solidFill>
                <a:srgbClr val="b24543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Paths'!$B$30:$BJ$30</c:f>
              <c:numCache>
                <c:formatCode>\€0.00</c:formatCode>
                <c:ptCount val="61"/>
                <c:pt idx="0">
                  <c:v>11.5</c:v>
                </c:pt>
                <c:pt idx="1">
                  <c:v>10.5755731976938</c:v>
                </c:pt>
                <c:pt idx="2">
                  <c:v>12.8516673504936</c:v>
                </c:pt>
                <c:pt idx="3">
                  <c:v>13.3061964806649</c:v>
                </c:pt>
                <c:pt idx="4">
                  <c:v>13.3097693153197</c:v>
                </c:pt>
                <c:pt idx="5">
                  <c:v>14.9417810780808</c:v>
                </c:pt>
                <c:pt idx="6">
                  <c:v>19.5511732414245</c:v>
                </c:pt>
                <c:pt idx="7">
                  <c:v>22.5352687171097</c:v>
                </c:pt>
                <c:pt idx="8">
                  <c:v>22.8783630697337</c:v>
                </c:pt>
                <c:pt idx="9">
                  <c:v>23.7816994945986</c:v>
                </c:pt>
                <c:pt idx="10">
                  <c:v>25.4425901569249</c:v>
                </c:pt>
                <c:pt idx="11">
                  <c:v>23.7844094842115</c:v>
                </c:pt>
                <c:pt idx="12">
                  <c:v>21.1726254348508</c:v>
                </c:pt>
                <c:pt idx="13">
                  <c:v>21.2908892071312</c:v>
                </c:pt>
                <c:pt idx="14">
                  <c:v>19.1861776564201</c:v>
                </c:pt>
                <c:pt idx="15">
                  <c:v>19.0537619033158</c:v>
                </c:pt>
                <c:pt idx="16">
                  <c:v>19.2522048137865</c:v>
                </c:pt>
                <c:pt idx="17">
                  <c:v>24.8845213323474</c:v>
                </c:pt>
                <c:pt idx="18">
                  <c:v>22.6623599066726</c:v>
                </c:pt>
                <c:pt idx="19">
                  <c:v>22.3575089421308</c:v>
                </c:pt>
                <c:pt idx="20">
                  <c:v>21.9541336183789</c:v>
                </c:pt>
                <c:pt idx="21">
                  <c:v>23.0287529974994</c:v>
                </c:pt>
                <c:pt idx="22">
                  <c:v>25.8260140728622</c:v>
                </c:pt>
                <c:pt idx="23">
                  <c:v>24.4686963226701</c:v>
                </c:pt>
                <c:pt idx="24">
                  <c:v>22.3563809440989</c:v>
                </c:pt>
                <c:pt idx="25">
                  <c:v>18.6705637357773</c:v>
                </c:pt>
                <c:pt idx="26">
                  <c:v>16.8636999447096</c:v>
                </c:pt>
                <c:pt idx="27">
                  <c:v>17.8825567709736</c:v>
                </c:pt>
                <c:pt idx="28">
                  <c:v>17.9690304474582</c:v>
                </c:pt>
                <c:pt idx="29">
                  <c:v>16.0719707069253</c:v>
                </c:pt>
                <c:pt idx="30">
                  <c:v>15.4251942825073</c:v>
                </c:pt>
                <c:pt idx="31">
                  <c:v>15.4757039263355</c:v>
                </c:pt>
                <c:pt idx="32">
                  <c:v>16.3518299373681</c:v>
                </c:pt>
                <c:pt idx="33">
                  <c:v>15.3185293848061</c:v>
                </c:pt>
                <c:pt idx="34">
                  <c:v>14.9006885399513</c:v>
                </c:pt>
                <c:pt idx="35">
                  <c:v>12.2038084438507</c:v>
                </c:pt>
                <c:pt idx="36">
                  <c:v>10.7538269403783</c:v>
                </c:pt>
                <c:pt idx="37">
                  <c:v>12.8396261369802</c:v>
                </c:pt>
                <c:pt idx="38">
                  <c:v>10.0978382090524</c:v>
                </c:pt>
                <c:pt idx="39">
                  <c:v>9.72871920478908</c:v>
                </c:pt>
                <c:pt idx="40">
                  <c:v>9.96365737329973</c:v>
                </c:pt>
                <c:pt idx="41">
                  <c:v>9.56103567956048</c:v>
                </c:pt>
                <c:pt idx="42">
                  <c:v>8.74831079251346</c:v>
                </c:pt>
                <c:pt idx="43">
                  <c:v>8.68829912057824</c:v>
                </c:pt>
                <c:pt idx="44">
                  <c:v>8.68197616041093</c:v>
                </c:pt>
                <c:pt idx="45">
                  <c:v>8.60254286530584</c:v>
                </c:pt>
                <c:pt idx="46">
                  <c:v>6.99990070880051</c:v>
                </c:pt>
                <c:pt idx="47">
                  <c:v>6.88636218995254</c:v>
                </c:pt>
                <c:pt idx="48">
                  <c:v>6.26862301223081</c:v>
                </c:pt>
                <c:pt idx="49">
                  <c:v>5.9019844718088</c:v>
                </c:pt>
                <c:pt idx="50">
                  <c:v>6.04966961169712</c:v>
                </c:pt>
                <c:pt idx="51">
                  <c:v>6.48898459571764</c:v>
                </c:pt>
                <c:pt idx="52">
                  <c:v>7.15846884119273</c:v>
                </c:pt>
                <c:pt idx="53">
                  <c:v>6.77783666772711</c:v>
                </c:pt>
                <c:pt idx="54">
                  <c:v>7.49948656352787</c:v>
                </c:pt>
                <c:pt idx="55">
                  <c:v>8.52842830021666</c:v>
                </c:pt>
                <c:pt idx="56">
                  <c:v>9.65916316774781</c:v>
                </c:pt>
                <c:pt idx="57">
                  <c:v>11.2478436229968</c:v>
                </c:pt>
                <c:pt idx="58">
                  <c:v>11.0674927497154</c:v>
                </c:pt>
                <c:pt idx="59">
                  <c:v>10.8561010061397</c:v>
                </c:pt>
                <c:pt idx="60">
                  <c:v>11.8822907373088</c:v>
                </c:pt>
              </c:numCache>
            </c:numRef>
          </c:val>
          <c:smooth val="1"/>
        </c:ser>
        <c:ser>
          <c:idx val="20"/>
          <c:order val="20"/>
          <c:spPr>
            <a:solidFill>
              <a:srgbClr val="8ead4f"/>
            </a:solidFill>
            <a:ln w="6120">
              <a:solidFill>
                <a:srgbClr val="8ead4f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Paths'!$B$31:$BJ$31</c:f>
              <c:numCache>
                <c:formatCode>\€0.00</c:formatCode>
                <c:ptCount val="61"/>
                <c:pt idx="0">
                  <c:v>11.5</c:v>
                </c:pt>
                <c:pt idx="1">
                  <c:v>9.89728718239281</c:v>
                </c:pt>
                <c:pt idx="2">
                  <c:v>10.1254393887518</c:v>
                </c:pt>
                <c:pt idx="3">
                  <c:v>9.55120365302918</c:v>
                </c:pt>
                <c:pt idx="4">
                  <c:v>9.17084071603446</c:v>
                </c:pt>
                <c:pt idx="5">
                  <c:v>7.57465269246673</c:v>
                </c:pt>
                <c:pt idx="6">
                  <c:v>6.86842298434801</c:v>
                </c:pt>
                <c:pt idx="7">
                  <c:v>6.85174306623451</c:v>
                </c:pt>
                <c:pt idx="8">
                  <c:v>7.55175508509273</c:v>
                </c:pt>
                <c:pt idx="9">
                  <c:v>8.41654294141408</c:v>
                </c:pt>
                <c:pt idx="10">
                  <c:v>8.34117668968833</c:v>
                </c:pt>
                <c:pt idx="11">
                  <c:v>8.16826629872898</c:v>
                </c:pt>
                <c:pt idx="12">
                  <c:v>7.45549025349842</c:v>
                </c:pt>
                <c:pt idx="13">
                  <c:v>7.79049572923904</c:v>
                </c:pt>
                <c:pt idx="14">
                  <c:v>7.58037528516813</c:v>
                </c:pt>
                <c:pt idx="15">
                  <c:v>8.09982793896232</c:v>
                </c:pt>
                <c:pt idx="16">
                  <c:v>9.81403483435373</c:v>
                </c:pt>
                <c:pt idx="17">
                  <c:v>9.77745018357537</c:v>
                </c:pt>
                <c:pt idx="18">
                  <c:v>8.29489924947953</c:v>
                </c:pt>
                <c:pt idx="19">
                  <c:v>7.54605658092488</c:v>
                </c:pt>
                <c:pt idx="20">
                  <c:v>6.42944384634268</c:v>
                </c:pt>
                <c:pt idx="21">
                  <c:v>5.63719106503115</c:v>
                </c:pt>
                <c:pt idx="22">
                  <c:v>6.50379769253312</c:v>
                </c:pt>
                <c:pt idx="23">
                  <c:v>6.66631148913542</c:v>
                </c:pt>
                <c:pt idx="24">
                  <c:v>5.64136174896825</c:v>
                </c:pt>
                <c:pt idx="25">
                  <c:v>6.05959727872893</c:v>
                </c:pt>
                <c:pt idx="26">
                  <c:v>6.95679434563482</c:v>
                </c:pt>
                <c:pt idx="27">
                  <c:v>6.68628527493816</c:v>
                </c:pt>
                <c:pt idx="28">
                  <c:v>6.20727044592541</c:v>
                </c:pt>
                <c:pt idx="29">
                  <c:v>5.98064698016386</c:v>
                </c:pt>
                <c:pt idx="30">
                  <c:v>6.1691790382115</c:v>
                </c:pt>
                <c:pt idx="31">
                  <c:v>6.61662192868656</c:v>
                </c:pt>
                <c:pt idx="32">
                  <c:v>7.5314435770781</c:v>
                </c:pt>
                <c:pt idx="33">
                  <c:v>8.60125461200538</c:v>
                </c:pt>
                <c:pt idx="34">
                  <c:v>9.79389721239616</c:v>
                </c:pt>
                <c:pt idx="35">
                  <c:v>11.3699533964089</c:v>
                </c:pt>
                <c:pt idx="36">
                  <c:v>12.2232861720897</c:v>
                </c:pt>
                <c:pt idx="37">
                  <c:v>10.3317773676609</c:v>
                </c:pt>
                <c:pt idx="38">
                  <c:v>10.1825418397859</c:v>
                </c:pt>
                <c:pt idx="39">
                  <c:v>10.5373631232845</c:v>
                </c:pt>
                <c:pt idx="40">
                  <c:v>10.1018277265368</c:v>
                </c:pt>
                <c:pt idx="41">
                  <c:v>11.1617774071195</c:v>
                </c:pt>
                <c:pt idx="42">
                  <c:v>10.7273617073508</c:v>
                </c:pt>
                <c:pt idx="43">
                  <c:v>9.68969603653375</c:v>
                </c:pt>
                <c:pt idx="44">
                  <c:v>11.3510964451743</c:v>
                </c:pt>
                <c:pt idx="45">
                  <c:v>12.2091953476967</c:v>
                </c:pt>
                <c:pt idx="46">
                  <c:v>12.5041105653769</c:v>
                </c:pt>
                <c:pt idx="47">
                  <c:v>13.8395563410909</c:v>
                </c:pt>
                <c:pt idx="48">
                  <c:v>15.547562930135</c:v>
                </c:pt>
                <c:pt idx="49">
                  <c:v>16.1372622054806</c:v>
                </c:pt>
                <c:pt idx="50">
                  <c:v>12.3215616289536</c:v>
                </c:pt>
                <c:pt idx="51">
                  <c:v>11.4393313933587</c:v>
                </c:pt>
                <c:pt idx="52">
                  <c:v>10.8785074643699</c:v>
                </c:pt>
                <c:pt idx="53">
                  <c:v>9.76341535642028</c:v>
                </c:pt>
                <c:pt idx="54">
                  <c:v>9.97670793058039</c:v>
                </c:pt>
                <c:pt idx="55">
                  <c:v>11.36854462374</c:v>
                </c:pt>
                <c:pt idx="56">
                  <c:v>10.7776494508863</c:v>
                </c:pt>
                <c:pt idx="57">
                  <c:v>9.51437612576027</c:v>
                </c:pt>
                <c:pt idx="58">
                  <c:v>11.8827648956636</c:v>
                </c:pt>
                <c:pt idx="59">
                  <c:v>11.3065764188599</c:v>
                </c:pt>
                <c:pt idx="60">
                  <c:v>9.87443611761173</c:v>
                </c:pt>
              </c:numCache>
            </c:numRef>
          </c:val>
          <c:smooth val="1"/>
        </c:ser>
        <c:ser>
          <c:idx val="21"/>
          <c:order val="21"/>
          <c:spPr>
            <a:solidFill>
              <a:srgbClr val="745994"/>
            </a:solidFill>
            <a:ln w="6120">
              <a:solidFill>
                <a:srgbClr val="74599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Paths'!$B$32:$BJ$32</c:f>
              <c:numCache>
                <c:formatCode>\€0.00</c:formatCode>
                <c:ptCount val="61"/>
                <c:pt idx="0">
                  <c:v>11.5</c:v>
                </c:pt>
                <c:pt idx="1">
                  <c:v>11.8016113425806</c:v>
                </c:pt>
                <c:pt idx="2">
                  <c:v>12.3635008764458</c:v>
                </c:pt>
                <c:pt idx="3">
                  <c:v>11.4412329763653</c:v>
                </c:pt>
                <c:pt idx="4">
                  <c:v>12.4752970807027</c:v>
                </c:pt>
                <c:pt idx="5">
                  <c:v>11.8237457419535</c:v>
                </c:pt>
                <c:pt idx="6">
                  <c:v>10.6833023526871</c:v>
                </c:pt>
                <c:pt idx="7">
                  <c:v>10.8926632230528</c:v>
                </c:pt>
                <c:pt idx="8">
                  <c:v>11.8515282912089</c:v>
                </c:pt>
                <c:pt idx="9">
                  <c:v>11.0534453211053</c:v>
                </c:pt>
                <c:pt idx="10">
                  <c:v>11.4595944575665</c:v>
                </c:pt>
                <c:pt idx="11">
                  <c:v>11.3405894795981</c:v>
                </c:pt>
                <c:pt idx="12">
                  <c:v>15.4565919574306</c:v>
                </c:pt>
                <c:pt idx="13">
                  <c:v>14.2980861067793</c:v>
                </c:pt>
                <c:pt idx="14">
                  <c:v>16.6395302872013</c:v>
                </c:pt>
                <c:pt idx="15">
                  <c:v>16.5412236219632</c:v>
                </c:pt>
                <c:pt idx="16">
                  <c:v>16.3098134446152</c:v>
                </c:pt>
                <c:pt idx="17">
                  <c:v>17.6502124291672</c:v>
                </c:pt>
                <c:pt idx="18">
                  <c:v>19.4652761414915</c:v>
                </c:pt>
                <c:pt idx="19">
                  <c:v>22.3636322737821</c:v>
                </c:pt>
                <c:pt idx="20">
                  <c:v>23.1803447096046</c:v>
                </c:pt>
                <c:pt idx="21">
                  <c:v>21.698865155193</c:v>
                </c:pt>
                <c:pt idx="22">
                  <c:v>20.4523687174196</c:v>
                </c:pt>
                <c:pt idx="23">
                  <c:v>21.6244056807867</c:v>
                </c:pt>
                <c:pt idx="24">
                  <c:v>23.0429979911052</c:v>
                </c:pt>
                <c:pt idx="25">
                  <c:v>26.8573622249601</c:v>
                </c:pt>
                <c:pt idx="26">
                  <c:v>28.1137006803513</c:v>
                </c:pt>
                <c:pt idx="27">
                  <c:v>31.5751524121298</c:v>
                </c:pt>
                <c:pt idx="28">
                  <c:v>37.2842771357662</c:v>
                </c:pt>
                <c:pt idx="29">
                  <c:v>37.9574741330187</c:v>
                </c:pt>
                <c:pt idx="30">
                  <c:v>32.2436923273638</c:v>
                </c:pt>
                <c:pt idx="31">
                  <c:v>28.3258970069532</c:v>
                </c:pt>
                <c:pt idx="32">
                  <c:v>24.1883503217706</c:v>
                </c:pt>
                <c:pt idx="33">
                  <c:v>28.797246297351</c:v>
                </c:pt>
                <c:pt idx="34">
                  <c:v>26.2361605875358</c:v>
                </c:pt>
                <c:pt idx="35">
                  <c:v>30.0266125143756</c:v>
                </c:pt>
                <c:pt idx="36">
                  <c:v>32.0133662054353</c:v>
                </c:pt>
                <c:pt idx="37">
                  <c:v>38.6338673269699</c:v>
                </c:pt>
                <c:pt idx="38">
                  <c:v>43.1197825126499</c:v>
                </c:pt>
                <c:pt idx="39">
                  <c:v>42.6304541872493</c:v>
                </c:pt>
                <c:pt idx="40">
                  <c:v>41.6975719722444</c:v>
                </c:pt>
                <c:pt idx="41">
                  <c:v>42.0812457719523</c:v>
                </c:pt>
                <c:pt idx="42">
                  <c:v>42.8902428846032</c:v>
                </c:pt>
                <c:pt idx="43">
                  <c:v>40.4570241203019</c:v>
                </c:pt>
                <c:pt idx="44">
                  <c:v>40.3050887555875</c:v>
                </c:pt>
                <c:pt idx="45">
                  <c:v>48.0783157757198</c:v>
                </c:pt>
                <c:pt idx="46">
                  <c:v>39.8821647169219</c:v>
                </c:pt>
                <c:pt idx="47">
                  <c:v>41.0216980919504</c:v>
                </c:pt>
                <c:pt idx="48">
                  <c:v>37.1301096108969</c:v>
                </c:pt>
                <c:pt idx="49">
                  <c:v>37.8928412815589</c:v>
                </c:pt>
                <c:pt idx="50">
                  <c:v>41.5421327214623</c:v>
                </c:pt>
                <c:pt idx="51">
                  <c:v>41.2728618979611</c:v>
                </c:pt>
                <c:pt idx="52">
                  <c:v>44.9169780218397</c:v>
                </c:pt>
                <c:pt idx="53">
                  <c:v>37.7215904079711</c:v>
                </c:pt>
                <c:pt idx="54">
                  <c:v>42.5841524087549</c:v>
                </c:pt>
                <c:pt idx="55">
                  <c:v>39.850607258661</c:v>
                </c:pt>
                <c:pt idx="56">
                  <c:v>42.6586611802761</c:v>
                </c:pt>
                <c:pt idx="57">
                  <c:v>43.5130512842699</c:v>
                </c:pt>
                <c:pt idx="58">
                  <c:v>32.7613784543713</c:v>
                </c:pt>
                <c:pt idx="59">
                  <c:v>30.1483252859015</c:v>
                </c:pt>
                <c:pt idx="60">
                  <c:v>30.8808129121546</c:v>
                </c:pt>
              </c:numCache>
            </c:numRef>
          </c:val>
          <c:smooth val="1"/>
        </c:ser>
        <c:ser>
          <c:idx val="22"/>
          <c:order val="22"/>
          <c:spPr>
            <a:solidFill>
              <a:srgbClr val="419fb7"/>
            </a:solidFill>
            <a:ln w="6120">
              <a:solidFill>
                <a:srgbClr val="419fb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Paths'!$B$33:$BJ$33</c:f>
              <c:numCache>
                <c:formatCode>\€0.00</c:formatCode>
                <c:ptCount val="61"/>
                <c:pt idx="0">
                  <c:v>11.5</c:v>
                </c:pt>
                <c:pt idx="1">
                  <c:v>13.6348568666553</c:v>
                </c:pt>
                <c:pt idx="2">
                  <c:v>14.0687851713344</c:v>
                </c:pt>
                <c:pt idx="3">
                  <c:v>14.4695080415311</c:v>
                </c:pt>
                <c:pt idx="4">
                  <c:v>12.3900488177842</c:v>
                </c:pt>
                <c:pt idx="5">
                  <c:v>14.4935273366422</c:v>
                </c:pt>
                <c:pt idx="6">
                  <c:v>17.6678912740782</c:v>
                </c:pt>
                <c:pt idx="7">
                  <c:v>17.72011066266</c:v>
                </c:pt>
                <c:pt idx="8">
                  <c:v>17.2948758954391</c:v>
                </c:pt>
                <c:pt idx="9">
                  <c:v>14.477891523309</c:v>
                </c:pt>
                <c:pt idx="10">
                  <c:v>15.9480522169244</c:v>
                </c:pt>
                <c:pt idx="11">
                  <c:v>21.4469853557401</c:v>
                </c:pt>
                <c:pt idx="12">
                  <c:v>23.1979889191021</c:v>
                </c:pt>
                <c:pt idx="13">
                  <c:v>26.6424597581243</c:v>
                </c:pt>
                <c:pt idx="14">
                  <c:v>28.2696261649022</c:v>
                </c:pt>
                <c:pt idx="15">
                  <c:v>25.3696041132206</c:v>
                </c:pt>
                <c:pt idx="16">
                  <c:v>29.3706775166053</c:v>
                </c:pt>
                <c:pt idx="17">
                  <c:v>25.6459296606203</c:v>
                </c:pt>
                <c:pt idx="18">
                  <c:v>25.0554739445037</c:v>
                </c:pt>
                <c:pt idx="19">
                  <c:v>25.8290044964782</c:v>
                </c:pt>
                <c:pt idx="20">
                  <c:v>28.4505324930185</c:v>
                </c:pt>
                <c:pt idx="21">
                  <c:v>29.7734106960469</c:v>
                </c:pt>
                <c:pt idx="22">
                  <c:v>31.0583226885586</c:v>
                </c:pt>
                <c:pt idx="23">
                  <c:v>28.5641051756001</c:v>
                </c:pt>
                <c:pt idx="24">
                  <c:v>24.7921714300065</c:v>
                </c:pt>
                <c:pt idx="25">
                  <c:v>24.9553647501383</c:v>
                </c:pt>
                <c:pt idx="26">
                  <c:v>23.0807645711517</c:v>
                </c:pt>
                <c:pt idx="27">
                  <c:v>19.9924891739856</c:v>
                </c:pt>
                <c:pt idx="28">
                  <c:v>17.3970972314956</c:v>
                </c:pt>
                <c:pt idx="29">
                  <c:v>16.483413451729</c:v>
                </c:pt>
                <c:pt idx="30">
                  <c:v>13.4496056368588</c:v>
                </c:pt>
                <c:pt idx="31">
                  <c:v>11.5994047498291</c:v>
                </c:pt>
                <c:pt idx="32">
                  <c:v>9.69297665454968</c:v>
                </c:pt>
                <c:pt idx="33">
                  <c:v>9.88690810436367</c:v>
                </c:pt>
                <c:pt idx="34">
                  <c:v>10.3375469064741</c:v>
                </c:pt>
                <c:pt idx="35">
                  <c:v>12.8812878732646</c:v>
                </c:pt>
                <c:pt idx="36">
                  <c:v>10.9278930750903</c:v>
                </c:pt>
                <c:pt idx="37">
                  <c:v>10.1409911749545</c:v>
                </c:pt>
                <c:pt idx="38">
                  <c:v>11.2067102796784</c:v>
                </c:pt>
                <c:pt idx="39">
                  <c:v>10.9413595095856</c:v>
                </c:pt>
                <c:pt idx="40">
                  <c:v>10.5539075944656</c:v>
                </c:pt>
                <c:pt idx="41">
                  <c:v>12.7279818862507</c:v>
                </c:pt>
                <c:pt idx="42">
                  <c:v>12.2619079940567</c:v>
                </c:pt>
                <c:pt idx="43">
                  <c:v>10.7993249011249</c:v>
                </c:pt>
                <c:pt idx="44">
                  <c:v>9.34495399576829</c:v>
                </c:pt>
                <c:pt idx="45">
                  <c:v>9.6937145805104</c:v>
                </c:pt>
                <c:pt idx="46">
                  <c:v>10.0219562578441</c:v>
                </c:pt>
                <c:pt idx="47">
                  <c:v>8.62033510631033</c:v>
                </c:pt>
                <c:pt idx="48">
                  <c:v>7.73570059855738</c:v>
                </c:pt>
                <c:pt idx="49">
                  <c:v>8.20151467711181</c:v>
                </c:pt>
                <c:pt idx="50">
                  <c:v>8.73606356017379</c:v>
                </c:pt>
                <c:pt idx="51">
                  <c:v>8.13940528969465</c:v>
                </c:pt>
                <c:pt idx="52">
                  <c:v>8.7127611968389</c:v>
                </c:pt>
                <c:pt idx="53">
                  <c:v>9.27512325948774</c:v>
                </c:pt>
                <c:pt idx="54">
                  <c:v>7.62593277575776</c:v>
                </c:pt>
                <c:pt idx="55">
                  <c:v>7.36794619029464</c:v>
                </c:pt>
                <c:pt idx="56">
                  <c:v>7.70980972335023</c:v>
                </c:pt>
                <c:pt idx="57">
                  <c:v>7.23872978295392</c:v>
                </c:pt>
                <c:pt idx="58">
                  <c:v>5.72377735488256</c:v>
                </c:pt>
                <c:pt idx="59">
                  <c:v>5.54779134093847</c:v>
                </c:pt>
                <c:pt idx="60">
                  <c:v>6.02380177703613</c:v>
                </c:pt>
              </c:numCache>
            </c:numRef>
          </c:val>
          <c:smooth val="1"/>
        </c:ser>
        <c:ser>
          <c:idx val="23"/>
          <c:order val="23"/>
          <c:spPr>
            <a:solidFill>
              <a:srgbClr val="e5883b"/>
            </a:solidFill>
            <a:ln w="6120">
              <a:solidFill>
                <a:srgbClr val="e5883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Paths'!$B$34:$BJ$34</c:f>
              <c:numCache>
                <c:formatCode>\€0.00</c:formatCode>
                <c:ptCount val="61"/>
                <c:pt idx="0">
                  <c:v>11.5</c:v>
                </c:pt>
                <c:pt idx="1">
                  <c:v>13.6744447502524</c:v>
                </c:pt>
                <c:pt idx="2">
                  <c:v>10.7512723813791</c:v>
                </c:pt>
                <c:pt idx="3">
                  <c:v>14.3179373870282</c:v>
                </c:pt>
                <c:pt idx="4">
                  <c:v>12.6503744107188</c:v>
                </c:pt>
                <c:pt idx="5">
                  <c:v>14.0479978403844</c:v>
                </c:pt>
                <c:pt idx="6">
                  <c:v>16.0817296231813</c:v>
                </c:pt>
                <c:pt idx="7">
                  <c:v>17.9095501016608</c:v>
                </c:pt>
                <c:pt idx="8">
                  <c:v>18.2025809354227</c:v>
                </c:pt>
                <c:pt idx="9">
                  <c:v>16.0222206325361</c:v>
                </c:pt>
                <c:pt idx="10">
                  <c:v>17.1590297844899</c:v>
                </c:pt>
                <c:pt idx="11">
                  <c:v>15.8613067718963</c:v>
                </c:pt>
                <c:pt idx="12">
                  <c:v>12.0247657888479</c:v>
                </c:pt>
                <c:pt idx="13">
                  <c:v>16.397115399911</c:v>
                </c:pt>
                <c:pt idx="14">
                  <c:v>17.7183078255631</c:v>
                </c:pt>
                <c:pt idx="15">
                  <c:v>21.6250400064334</c:v>
                </c:pt>
                <c:pt idx="16">
                  <c:v>19.5635216442553</c:v>
                </c:pt>
                <c:pt idx="17">
                  <c:v>22.9763024555131</c:v>
                </c:pt>
                <c:pt idx="18">
                  <c:v>27.3490881108528</c:v>
                </c:pt>
                <c:pt idx="19">
                  <c:v>32.4282051988372</c:v>
                </c:pt>
                <c:pt idx="20">
                  <c:v>32.3469255709903</c:v>
                </c:pt>
                <c:pt idx="21">
                  <c:v>28.3444064560488</c:v>
                </c:pt>
                <c:pt idx="22">
                  <c:v>27.7933218564814</c:v>
                </c:pt>
                <c:pt idx="23">
                  <c:v>21.82325758423</c:v>
                </c:pt>
                <c:pt idx="24">
                  <c:v>18.10318772749</c:v>
                </c:pt>
                <c:pt idx="25">
                  <c:v>18.2833365535421</c:v>
                </c:pt>
                <c:pt idx="26">
                  <c:v>16.3962680062803</c:v>
                </c:pt>
                <c:pt idx="27">
                  <c:v>16.100191432194</c:v>
                </c:pt>
                <c:pt idx="28">
                  <c:v>15.905913081031</c:v>
                </c:pt>
                <c:pt idx="29">
                  <c:v>19.654409144201</c:v>
                </c:pt>
                <c:pt idx="30">
                  <c:v>22.6568791968741</c:v>
                </c:pt>
                <c:pt idx="31">
                  <c:v>22.5414947546995</c:v>
                </c:pt>
                <c:pt idx="32">
                  <c:v>25.7333186639228</c:v>
                </c:pt>
                <c:pt idx="33">
                  <c:v>23.6194711859911</c:v>
                </c:pt>
                <c:pt idx="34">
                  <c:v>22.7583394430135</c:v>
                </c:pt>
                <c:pt idx="35">
                  <c:v>25.1434338115501</c:v>
                </c:pt>
                <c:pt idx="36">
                  <c:v>21.9377207755815</c:v>
                </c:pt>
                <c:pt idx="37">
                  <c:v>21.2726244277679</c:v>
                </c:pt>
                <c:pt idx="38">
                  <c:v>18.399903852157</c:v>
                </c:pt>
                <c:pt idx="39">
                  <c:v>18.635128412439</c:v>
                </c:pt>
                <c:pt idx="40">
                  <c:v>22.285727220066</c:v>
                </c:pt>
                <c:pt idx="41">
                  <c:v>20.517140738941</c:v>
                </c:pt>
                <c:pt idx="42">
                  <c:v>21.0280137895798</c:v>
                </c:pt>
                <c:pt idx="43">
                  <c:v>19.0532766140275</c:v>
                </c:pt>
                <c:pt idx="44">
                  <c:v>16.7928667787272</c:v>
                </c:pt>
                <c:pt idx="45">
                  <c:v>14.6611690325085</c:v>
                </c:pt>
                <c:pt idx="46">
                  <c:v>17.1946861111241</c:v>
                </c:pt>
                <c:pt idx="47">
                  <c:v>22.2772968000854</c:v>
                </c:pt>
                <c:pt idx="48">
                  <c:v>23.485259625028</c:v>
                </c:pt>
                <c:pt idx="49">
                  <c:v>21.7065655065357</c:v>
                </c:pt>
                <c:pt idx="50">
                  <c:v>23.4473063519939</c:v>
                </c:pt>
                <c:pt idx="51">
                  <c:v>22.5988303256244</c:v>
                </c:pt>
                <c:pt idx="52">
                  <c:v>24.6709256451376</c:v>
                </c:pt>
                <c:pt idx="53">
                  <c:v>25.4664809796748</c:v>
                </c:pt>
                <c:pt idx="54">
                  <c:v>26.2551553347705</c:v>
                </c:pt>
                <c:pt idx="55">
                  <c:v>28.0585982909724</c:v>
                </c:pt>
                <c:pt idx="56">
                  <c:v>26.3256390390575</c:v>
                </c:pt>
                <c:pt idx="57">
                  <c:v>25.1787968068263</c:v>
                </c:pt>
                <c:pt idx="58">
                  <c:v>20.842709139903</c:v>
                </c:pt>
                <c:pt idx="59">
                  <c:v>19.8528846389198</c:v>
                </c:pt>
                <c:pt idx="60">
                  <c:v>16.9817798271153</c:v>
                </c:pt>
              </c:numCache>
            </c:numRef>
          </c:val>
          <c:smooth val="1"/>
        </c:ser>
        <c:ser>
          <c:idx val="24"/>
          <c:order val="24"/>
          <c:spPr>
            <a:solidFill>
              <a:srgbClr val="4a7ebb"/>
            </a:solidFill>
            <a:ln w="612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Paths'!$B$35:$BJ$35</c:f>
              <c:numCache>
                <c:formatCode>\€0.00</c:formatCode>
                <c:ptCount val="61"/>
                <c:pt idx="0">
                  <c:v>11.5</c:v>
                </c:pt>
                <c:pt idx="1">
                  <c:v>11.3168489586868</c:v>
                </c:pt>
                <c:pt idx="2">
                  <c:v>10.1864716152961</c:v>
                </c:pt>
                <c:pt idx="3">
                  <c:v>10.2983353036329</c:v>
                </c:pt>
                <c:pt idx="4">
                  <c:v>10.8213140949237</c:v>
                </c:pt>
                <c:pt idx="5">
                  <c:v>9.25859060886261</c:v>
                </c:pt>
                <c:pt idx="6">
                  <c:v>8.46681656660029</c:v>
                </c:pt>
                <c:pt idx="7">
                  <c:v>7.63309343979039</c:v>
                </c:pt>
                <c:pt idx="8">
                  <c:v>8.28293699586003</c:v>
                </c:pt>
                <c:pt idx="9">
                  <c:v>9.98612182142136</c:v>
                </c:pt>
                <c:pt idx="10">
                  <c:v>10.961877896589</c:v>
                </c:pt>
                <c:pt idx="11">
                  <c:v>10.5477252774814</c:v>
                </c:pt>
                <c:pt idx="12">
                  <c:v>12.3843433057654</c:v>
                </c:pt>
                <c:pt idx="13">
                  <c:v>10.4872193194956</c:v>
                </c:pt>
                <c:pt idx="14">
                  <c:v>12.3597890164284</c:v>
                </c:pt>
                <c:pt idx="15">
                  <c:v>11.4992361731581</c:v>
                </c:pt>
                <c:pt idx="16">
                  <c:v>8.4748987240238</c:v>
                </c:pt>
                <c:pt idx="17">
                  <c:v>11.332894419798</c:v>
                </c:pt>
                <c:pt idx="18">
                  <c:v>13.4722210178147</c:v>
                </c:pt>
                <c:pt idx="19">
                  <c:v>12.0281825692694</c:v>
                </c:pt>
                <c:pt idx="20">
                  <c:v>12.2510148213838</c:v>
                </c:pt>
                <c:pt idx="21">
                  <c:v>11.9639216586146</c:v>
                </c:pt>
                <c:pt idx="22">
                  <c:v>12.0966133971747</c:v>
                </c:pt>
                <c:pt idx="23">
                  <c:v>10.278257985492</c:v>
                </c:pt>
                <c:pt idx="24">
                  <c:v>9.53615072550751</c:v>
                </c:pt>
                <c:pt idx="25">
                  <c:v>10.0366191709958</c:v>
                </c:pt>
                <c:pt idx="26">
                  <c:v>10.2829377244473</c:v>
                </c:pt>
                <c:pt idx="27">
                  <c:v>11.7265439434916</c:v>
                </c:pt>
                <c:pt idx="28">
                  <c:v>11.8274130872968</c:v>
                </c:pt>
                <c:pt idx="29">
                  <c:v>15.3013056846828</c:v>
                </c:pt>
                <c:pt idx="30">
                  <c:v>14.1433075412653</c:v>
                </c:pt>
                <c:pt idx="31">
                  <c:v>14.5487645969814</c:v>
                </c:pt>
                <c:pt idx="32">
                  <c:v>11.7883208772235</c:v>
                </c:pt>
                <c:pt idx="33">
                  <c:v>10.2724090652636</c:v>
                </c:pt>
                <c:pt idx="34">
                  <c:v>11.8818610080485</c:v>
                </c:pt>
                <c:pt idx="35">
                  <c:v>10.7124584668037</c:v>
                </c:pt>
                <c:pt idx="36">
                  <c:v>11.3524923470782</c:v>
                </c:pt>
                <c:pt idx="37">
                  <c:v>11.2737602819814</c:v>
                </c:pt>
                <c:pt idx="38">
                  <c:v>10.0513924287375</c:v>
                </c:pt>
                <c:pt idx="39">
                  <c:v>9.67288003793757</c:v>
                </c:pt>
                <c:pt idx="40">
                  <c:v>9.14066470669352</c:v>
                </c:pt>
                <c:pt idx="41">
                  <c:v>8.66322815771036</c:v>
                </c:pt>
                <c:pt idx="42">
                  <c:v>9.40811211352635</c:v>
                </c:pt>
                <c:pt idx="43">
                  <c:v>10.1041771985445</c:v>
                </c:pt>
                <c:pt idx="44">
                  <c:v>9.48227229928977</c:v>
                </c:pt>
                <c:pt idx="45">
                  <c:v>8.58258027046998</c:v>
                </c:pt>
                <c:pt idx="46">
                  <c:v>8.85093141076693</c:v>
                </c:pt>
                <c:pt idx="47">
                  <c:v>8.75275071655523</c:v>
                </c:pt>
                <c:pt idx="48">
                  <c:v>9.79609390377096</c:v>
                </c:pt>
                <c:pt idx="49">
                  <c:v>13.1060890948898</c:v>
                </c:pt>
                <c:pt idx="50">
                  <c:v>14.3731158762818</c:v>
                </c:pt>
                <c:pt idx="51">
                  <c:v>14.3158366757546</c:v>
                </c:pt>
                <c:pt idx="52">
                  <c:v>14.0456174343993</c:v>
                </c:pt>
                <c:pt idx="53">
                  <c:v>12.7834414534706</c:v>
                </c:pt>
                <c:pt idx="54">
                  <c:v>11.5710754236771</c:v>
                </c:pt>
                <c:pt idx="55">
                  <c:v>10.3631260335632</c:v>
                </c:pt>
                <c:pt idx="56">
                  <c:v>9.92149577623776</c:v>
                </c:pt>
                <c:pt idx="57">
                  <c:v>9.46560022294092</c:v>
                </c:pt>
                <c:pt idx="58">
                  <c:v>10.2683418766571</c:v>
                </c:pt>
                <c:pt idx="59">
                  <c:v>9.8268006046763</c:v>
                </c:pt>
                <c:pt idx="60">
                  <c:v>9.61448218199971</c:v>
                </c:pt>
              </c:numCache>
            </c:numRef>
          </c:val>
          <c:smooth val="1"/>
        </c:ser>
        <c:ser>
          <c:idx val="25"/>
          <c:order val="25"/>
          <c:spPr>
            <a:solidFill>
              <a:srgbClr val="be4b48"/>
            </a:solidFill>
            <a:ln w="612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Paths'!$B$36:$BJ$36</c:f>
              <c:numCache>
                <c:formatCode>\€0.00</c:formatCode>
                <c:ptCount val="61"/>
                <c:pt idx="0">
                  <c:v>11.5</c:v>
                </c:pt>
                <c:pt idx="1">
                  <c:v>10.059558158508</c:v>
                </c:pt>
                <c:pt idx="2">
                  <c:v>12.0461388881507</c:v>
                </c:pt>
                <c:pt idx="3">
                  <c:v>12.7327257730313</c:v>
                </c:pt>
                <c:pt idx="4">
                  <c:v>15.4904761851867</c:v>
                </c:pt>
                <c:pt idx="5">
                  <c:v>16.9024348433884</c:v>
                </c:pt>
                <c:pt idx="6">
                  <c:v>19.8992546882913</c:v>
                </c:pt>
                <c:pt idx="7">
                  <c:v>19.3606125301495</c:v>
                </c:pt>
                <c:pt idx="8">
                  <c:v>20.941387295326</c:v>
                </c:pt>
                <c:pt idx="9">
                  <c:v>28.1720073765821</c:v>
                </c:pt>
                <c:pt idx="10">
                  <c:v>24.629083352786</c:v>
                </c:pt>
                <c:pt idx="11">
                  <c:v>28.0160429613949</c:v>
                </c:pt>
                <c:pt idx="12">
                  <c:v>33.7456864569174</c:v>
                </c:pt>
                <c:pt idx="13">
                  <c:v>35.3347009207883</c:v>
                </c:pt>
                <c:pt idx="14">
                  <c:v>38.421736024587</c:v>
                </c:pt>
                <c:pt idx="15">
                  <c:v>44.203832623416</c:v>
                </c:pt>
                <c:pt idx="16">
                  <c:v>41.0626559855262</c:v>
                </c:pt>
                <c:pt idx="17">
                  <c:v>42.9786890186538</c:v>
                </c:pt>
                <c:pt idx="18">
                  <c:v>38.982388860099</c:v>
                </c:pt>
                <c:pt idx="19">
                  <c:v>36.1291213846059</c:v>
                </c:pt>
                <c:pt idx="20">
                  <c:v>33.7046442129646</c:v>
                </c:pt>
                <c:pt idx="21">
                  <c:v>33.1620841608893</c:v>
                </c:pt>
                <c:pt idx="22">
                  <c:v>33.7052535736419</c:v>
                </c:pt>
                <c:pt idx="23">
                  <c:v>35.4549730187611</c:v>
                </c:pt>
                <c:pt idx="24">
                  <c:v>30.2325909529488</c:v>
                </c:pt>
                <c:pt idx="25">
                  <c:v>37.7530947894542</c:v>
                </c:pt>
                <c:pt idx="26">
                  <c:v>42.9790662138678</c:v>
                </c:pt>
                <c:pt idx="27">
                  <c:v>46.6230989035588</c:v>
                </c:pt>
                <c:pt idx="28">
                  <c:v>44.7774941183063</c:v>
                </c:pt>
                <c:pt idx="29">
                  <c:v>44.3231134809379</c:v>
                </c:pt>
                <c:pt idx="30">
                  <c:v>47.1286444045178</c:v>
                </c:pt>
                <c:pt idx="31">
                  <c:v>49.3495258194294</c:v>
                </c:pt>
                <c:pt idx="32">
                  <c:v>40.8517724753354</c:v>
                </c:pt>
                <c:pt idx="33">
                  <c:v>44.3919076871086</c:v>
                </c:pt>
                <c:pt idx="34">
                  <c:v>61.6007665596696</c:v>
                </c:pt>
                <c:pt idx="35">
                  <c:v>50.0390451372917</c:v>
                </c:pt>
                <c:pt idx="36">
                  <c:v>55.9509485681628</c:v>
                </c:pt>
                <c:pt idx="37">
                  <c:v>58.3122631231917</c:v>
                </c:pt>
                <c:pt idx="38">
                  <c:v>57.5744059650675</c:v>
                </c:pt>
                <c:pt idx="39">
                  <c:v>67.1708631095136</c:v>
                </c:pt>
                <c:pt idx="40">
                  <c:v>58.7874799059241</c:v>
                </c:pt>
                <c:pt idx="41">
                  <c:v>59.8639996272055</c:v>
                </c:pt>
                <c:pt idx="42">
                  <c:v>70.5732535989175</c:v>
                </c:pt>
                <c:pt idx="43">
                  <c:v>69.0132407985314</c:v>
                </c:pt>
                <c:pt idx="44">
                  <c:v>65.8267555001525</c:v>
                </c:pt>
                <c:pt idx="45">
                  <c:v>66.6719773732016</c:v>
                </c:pt>
                <c:pt idx="46">
                  <c:v>63.4020956667983</c:v>
                </c:pt>
                <c:pt idx="47">
                  <c:v>75.4628069084749</c:v>
                </c:pt>
                <c:pt idx="48">
                  <c:v>68.1176318530827</c:v>
                </c:pt>
                <c:pt idx="49">
                  <c:v>75.1467617275433</c:v>
                </c:pt>
                <c:pt idx="50">
                  <c:v>65.2427491522614</c:v>
                </c:pt>
                <c:pt idx="51">
                  <c:v>70.3410745774334</c:v>
                </c:pt>
                <c:pt idx="52">
                  <c:v>69.501430873874</c:v>
                </c:pt>
                <c:pt idx="53">
                  <c:v>51.9302720253431</c:v>
                </c:pt>
                <c:pt idx="54">
                  <c:v>51.8857756359095</c:v>
                </c:pt>
                <c:pt idx="55">
                  <c:v>45.9957017992717</c:v>
                </c:pt>
                <c:pt idx="56">
                  <c:v>43.7397484010862</c:v>
                </c:pt>
                <c:pt idx="57">
                  <c:v>52.0166941040921</c:v>
                </c:pt>
                <c:pt idx="58">
                  <c:v>45.850494794162</c:v>
                </c:pt>
                <c:pt idx="59">
                  <c:v>40.6760250704344</c:v>
                </c:pt>
                <c:pt idx="60">
                  <c:v>47.8419688166674</c:v>
                </c:pt>
              </c:numCache>
            </c:numRef>
          </c:val>
          <c:smooth val="1"/>
        </c:ser>
        <c:ser>
          <c:idx val="26"/>
          <c:order val="26"/>
          <c:spPr>
            <a:solidFill>
              <a:srgbClr val="98b855"/>
            </a:solidFill>
            <a:ln w="612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Paths'!$B$37:$BJ$37</c:f>
              <c:numCache>
                <c:formatCode>\€0.00</c:formatCode>
                <c:ptCount val="61"/>
                <c:pt idx="0">
                  <c:v>11.5</c:v>
                </c:pt>
                <c:pt idx="1">
                  <c:v>11.6492196288313</c:v>
                </c:pt>
                <c:pt idx="2">
                  <c:v>13.8584530633166</c:v>
                </c:pt>
                <c:pt idx="3">
                  <c:v>14.3707935956984</c:v>
                </c:pt>
                <c:pt idx="4">
                  <c:v>13.0073258408222</c:v>
                </c:pt>
                <c:pt idx="5">
                  <c:v>12.9080566900093</c:v>
                </c:pt>
                <c:pt idx="6">
                  <c:v>14.8253545713841</c:v>
                </c:pt>
                <c:pt idx="7">
                  <c:v>16.4823072014758</c:v>
                </c:pt>
                <c:pt idx="8">
                  <c:v>16.4809336000204</c:v>
                </c:pt>
                <c:pt idx="9">
                  <c:v>16.5688003146289</c:v>
                </c:pt>
                <c:pt idx="10">
                  <c:v>16.3568399461086</c:v>
                </c:pt>
                <c:pt idx="11">
                  <c:v>15.3210834653056</c:v>
                </c:pt>
                <c:pt idx="12">
                  <c:v>19.0466400417217</c:v>
                </c:pt>
                <c:pt idx="13">
                  <c:v>19.0585988358541</c:v>
                </c:pt>
                <c:pt idx="14">
                  <c:v>16.7729577072036</c:v>
                </c:pt>
                <c:pt idx="15">
                  <c:v>15.8915493766225</c:v>
                </c:pt>
                <c:pt idx="16">
                  <c:v>17.2450942531779</c:v>
                </c:pt>
                <c:pt idx="17">
                  <c:v>18.535647567259</c:v>
                </c:pt>
                <c:pt idx="18">
                  <c:v>18.2478147362223</c:v>
                </c:pt>
                <c:pt idx="19">
                  <c:v>16.9195926892808</c:v>
                </c:pt>
                <c:pt idx="20">
                  <c:v>16.9621691758437</c:v>
                </c:pt>
                <c:pt idx="21">
                  <c:v>14.0419418653316</c:v>
                </c:pt>
                <c:pt idx="22">
                  <c:v>12.1222518622962</c:v>
                </c:pt>
                <c:pt idx="23">
                  <c:v>13.2628133424466</c:v>
                </c:pt>
                <c:pt idx="24">
                  <c:v>12.5626202664478</c:v>
                </c:pt>
                <c:pt idx="25">
                  <c:v>13.1028358510534</c:v>
                </c:pt>
                <c:pt idx="26">
                  <c:v>15.0300334828173</c:v>
                </c:pt>
                <c:pt idx="27">
                  <c:v>16.1696300583531</c:v>
                </c:pt>
                <c:pt idx="28">
                  <c:v>16.2042879196245</c:v>
                </c:pt>
                <c:pt idx="29">
                  <c:v>20.5962006596391</c:v>
                </c:pt>
                <c:pt idx="30">
                  <c:v>22.2030538845925</c:v>
                </c:pt>
                <c:pt idx="31">
                  <c:v>21.3289747600075</c:v>
                </c:pt>
                <c:pt idx="32">
                  <c:v>23.1605723973543</c:v>
                </c:pt>
                <c:pt idx="33">
                  <c:v>24.2464180717812</c:v>
                </c:pt>
                <c:pt idx="34">
                  <c:v>22.0112599546131</c:v>
                </c:pt>
                <c:pt idx="35">
                  <c:v>22.1890675389167</c:v>
                </c:pt>
                <c:pt idx="36">
                  <c:v>21.7760162310765</c:v>
                </c:pt>
                <c:pt idx="37">
                  <c:v>17.4417810531804</c:v>
                </c:pt>
                <c:pt idx="38">
                  <c:v>17.1027852608067</c:v>
                </c:pt>
                <c:pt idx="39">
                  <c:v>16.5623199044036</c:v>
                </c:pt>
                <c:pt idx="40">
                  <c:v>15.7606025378292</c:v>
                </c:pt>
                <c:pt idx="41">
                  <c:v>13.0896585665137</c:v>
                </c:pt>
                <c:pt idx="42">
                  <c:v>12.5740895696229</c:v>
                </c:pt>
                <c:pt idx="43">
                  <c:v>12.5156408655767</c:v>
                </c:pt>
                <c:pt idx="44">
                  <c:v>12.6580263422648</c:v>
                </c:pt>
                <c:pt idx="45">
                  <c:v>11.1345496124702</c:v>
                </c:pt>
                <c:pt idx="46">
                  <c:v>11.9555683506048</c:v>
                </c:pt>
                <c:pt idx="47">
                  <c:v>10.4221064372927</c:v>
                </c:pt>
                <c:pt idx="48">
                  <c:v>10.1605350984669</c:v>
                </c:pt>
                <c:pt idx="49">
                  <c:v>11.7694019553528</c:v>
                </c:pt>
                <c:pt idx="50">
                  <c:v>10.883440941519</c:v>
                </c:pt>
                <c:pt idx="51">
                  <c:v>10.2724776666502</c:v>
                </c:pt>
                <c:pt idx="52">
                  <c:v>11.5920433148715</c:v>
                </c:pt>
                <c:pt idx="53">
                  <c:v>11.0987989440307</c:v>
                </c:pt>
                <c:pt idx="54">
                  <c:v>10.7313352875993</c:v>
                </c:pt>
                <c:pt idx="55">
                  <c:v>11.0003283627249</c:v>
                </c:pt>
                <c:pt idx="56">
                  <c:v>12.3794847500753</c:v>
                </c:pt>
                <c:pt idx="57">
                  <c:v>9.6546113512727</c:v>
                </c:pt>
                <c:pt idx="58">
                  <c:v>8.7923479163899</c:v>
                </c:pt>
                <c:pt idx="59">
                  <c:v>7.84731958794669</c:v>
                </c:pt>
                <c:pt idx="60">
                  <c:v>6.94305146997582</c:v>
                </c:pt>
              </c:numCache>
            </c:numRef>
          </c:val>
          <c:smooth val="1"/>
        </c:ser>
        <c:ser>
          <c:idx val="27"/>
          <c:order val="27"/>
          <c:spPr>
            <a:solidFill>
              <a:srgbClr val="7d5fa0"/>
            </a:solidFill>
            <a:ln w="612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Paths'!$B$38:$BJ$38</c:f>
              <c:numCache>
                <c:formatCode>\€0.00</c:formatCode>
                <c:ptCount val="61"/>
                <c:pt idx="0">
                  <c:v>11.5</c:v>
                </c:pt>
                <c:pt idx="1">
                  <c:v>10.4423941631714</c:v>
                </c:pt>
                <c:pt idx="2">
                  <c:v>9.49895384222563</c:v>
                </c:pt>
                <c:pt idx="3">
                  <c:v>9.82488322033778</c:v>
                </c:pt>
                <c:pt idx="4">
                  <c:v>8.88778334560002</c:v>
                </c:pt>
                <c:pt idx="5">
                  <c:v>9.00941827190858</c:v>
                </c:pt>
                <c:pt idx="6">
                  <c:v>9.42361327252577</c:v>
                </c:pt>
                <c:pt idx="7">
                  <c:v>8.67960831186153</c:v>
                </c:pt>
                <c:pt idx="8">
                  <c:v>8.80640082609199</c:v>
                </c:pt>
                <c:pt idx="9">
                  <c:v>10.5836838075393</c:v>
                </c:pt>
                <c:pt idx="10">
                  <c:v>10.9718839931387</c:v>
                </c:pt>
                <c:pt idx="11">
                  <c:v>10.2115872040594</c:v>
                </c:pt>
                <c:pt idx="12">
                  <c:v>10.1354852863151</c:v>
                </c:pt>
                <c:pt idx="13">
                  <c:v>9.14283325415028</c:v>
                </c:pt>
                <c:pt idx="14">
                  <c:v>9.42332383787022</c:v>
                </c:pt>
                <c:pt idx="15">
                  <c:v>10.3792245544312</c:v>
                </c:pt>
                <c:pt idx="16">
                  <c:v>9.46596975811048</c:v>
                </c:pt>
                <c:pt idx="17">
                  <c:v>9.24470543723508</c:v>
                </c:pt>
                <c:pt idx="18">
                  <c:v>10.4711633714108</c:v>
                </c:pt>
                <c:pt idx="19">
                  <c:v>9.90126643334022</c:v>
                </c:pt>
                <c:pt idx="20">
                  <c:v>10.1102758773539</c:v>
                </c:pt>
                <c:pt idx="21">
                  <c:v>9.01249588556157</c:v>
                </c:pt>
                <c:pt idx="22">
                  <c:v>8.22054245464735</c:v>
                </c:pt>
                <c:pt idx="23">
                  <c:v>7.76037578604884</c:v>
                </c:pt>
                <c:pt idx="24">
                  <c:v>9.85109115753315</c:v>
                </c:pt>
                <c:pt idx="25">
                  <c:v>9.41710299289372</c:v>
                </c:pt>
                <c:pt idx="26">
                  <c:v>8.88362353872356</c:v>
                </c:pt>
                <c:pt idx="27">
                  <c:v>8.34986865583834</c:v>
                </c:pt>
                <c:pt idx="28">
                  <c:v>8.19805120799952</c:v>
                </c:pt>
                <c:pt idx="29">
                  <c:v>8.80805291410047</c:v>
                </c:pt>
                <c:pt idx="30">
                  <c:v>8.99140859615679</c:v>
                </c:pt>
                <c:pt idx="31">
                  <c:v>11.2663607419069</c:v>
                </c:pt>
                <c:pt idx="32">
                  <c:v>11.5315936277637</c:v>
                </c:pt>
                <c:pt idx="33">
                  <c:v>13.5134089825939</c:v>
                </c:pt>
                <c:pt idx="34">
                  <c:v>13.927333836244</c:v>
                </c:pt>
                <c:pt idx="35">
                  <c:v>14.8812233543945</c:v>
                </c:pt>
                <c:pt idx="36">
                  <c:v>12.6994536486529</c:v>
                </c:pt>
                <c:pt idx="37">
                  <c:v>12.5213809131016</c:v>
                </c:pt>
                <c:pt idx="38">
                  <c:v>12.4247567394073</c:v>
                </c:pt>
                <c:pt idx="39">
                  <c:v>12.0957737460706</c:v>
                </c:pt>
                <c:pt idx="40">
                  <c:v>9.54969694646618</c:v>
                </c:pt>
                <c:pt idx="41">
                  <c:v>10.5163117699085</c:v>
                </c:pt>
                <c:pt idx="42">
                  <c:v>10.077197158947</c:v>
                </c:pt>
                <c:pt idx="43">
                  <c:v>9.60262902554513</c:v>
                </c:pt>
                <c:pt idx="44">
                  <c:v>9.33585305498941</c:v>
                </c:pt>
                <c:pt idx="45">
                  <c:v>9.10350333685408</c:v>
                </c:pt>
                <c:pt idx="46">
                  <c:v>9.51751019931793</c:v>
                </c:pt>
                <c:pt idx="47">
                  <c:v>8.27734357947127</c:v>
                </c:pt>
                <c:pt idx="48">
                  <c:v>7.47232844877665</c:v>
                </c:pt>
                <c:pt idx="49">
                  <c:v>7.71298131266551</c:v>
                </c:pt>
                <c:pt idx="50">
                  <c:v>7.83570923498373</c:v>
                </c:pt>
                <c:pt idx="51">
                  <c:v>7.51717442686007</c:v>
                </c:pt>
                <c:pt idx="52">
                  <c:v>7.05721700138334</c:v>
                </c:pt>
                <c:pt idx="53">
                  <c:v>6.43874687071988</c:v>
                </c:pt>
                <c:pt idx="54">
                  <c:v>6.39648897603157</c:v>
                </c:pt>
                <c:pt idx="55">
                  <c:v>7.27968934667281</c:v>
                </c:pt>
                <c:pt idx="56">
                  <c:v>6.48077652597934</c:v>
                </c:pt>
                <c:pt idx="57">
                  <c:v>7.65806805747142</c:v>
                </c:pt>
                <c:pt idx="58">
                  <c:v>8.39938310081706</c:v>
                </c:pt>
                <c:pt idx="59">
                  <c:v>7.9907639595003</c:v>
                </c:pt>
                <c:pt idx="60">
                  <c:v>8.70592344261937</c:v>
                </c:pt>
              </c:numCache>
            </c:numRef>
          </c:val>
          <c:smooth val="1"/>
        </c:ser>
        <c:ser>
          <c:idx val="28"/>
          <c:order val="28"/>
          <c:spPr>
            <a:solidFill>
              <a:srgbClr val="46aac4"/>
            </a:solidFill>
            <a:ln w="6120">
              <a:solidFill>
                <a:srgbClr val="46aa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Paths'!$B$39:$BJ$39</c:f>
              <c:numCache>
                <c:formatCode>\€0.00</c:formatCode>
                <c:ptCount val="61"/>
                <c:pt idx="0">
                  <c:v>11.5</c:v>
                </c:pt>
                <c:pt idx="1">
                  <c:v>9.78997744729739</c:v>
                </c:pt>
                <c:pt idx="2">
                  <c:v>8.09484970067975</c:v>
                </c:pt>
                <c:pt idx="3">
                  <c:v>7.0255957891148</c:v>
                </c:pt>
                <c:pt idx="4">
                  <c:v>6.71557136379832</c:v>
                </c:pt>
                <c:pt idx="5">
                  <c:v>6.47889019442395</c:v>
                </c:pt>
                <c:pt idx="6">
                  <c:v>6.12180231792051</c:v>
                </c:pt>
                <c:pt idx="7">
                  <c:v>6.18779957254841</c:v>
                </c:pt>
                <c:pt idx="8">
                  <c:v>4.89481846411514</c:v>
                </c:pt>
                <c:pt idx="9">
                  <c:v>5.16720527949475</c:v>
                </c:pt>
                <c:pt idx="10">
                  <c:v>4.42139945869499</c:v>
                </c:pt>
                <c:pt idx="11">
                  <c:v>4.11146700375094</c:v>
                </c:pt>
                <c:pt idx="12">
                  <c:v>3.92869886877818</c:v>
                </c:pt>
                <c:pt idx="13">
                  <c:v>3.46008322356588</c:v>
                </c:pt>
                <c:pt idx="14">
                  <c:v>2.97640254984693</c:v>
                </c:pt>
                <c:pt idx="15">
                  <c:v>2.66490484369636</c:v>
                </c:pt>
                <c:pt idx="16">
                  <c:v>2.66093359105368</c:v>
                </c:pt>
                <c:pt idx="17">
                  <c:v>2.83832109105332</c:v>
                </c:pt>
                <c:pt idx="18">
                  <c:v>3.01899511289326</c:v>
                </c:pt>
                <c:pt idx="19">
                  <c:v>2.7064788198474</c:v>
                </c:pt>
                <c:pt idx="20">
                  <c:v>2.48092591942603</c:v>
                </c:pt>
                <c:pt idx="21">
                  <c:v>2.24220895289324</c:v>
                </c:pt>
                <c:pt idx="22">
                  <c:v>2.35518915680044</c:v>
                </c:pt>
                <c:pt idx="23">
                  <c:v>1.88313839721624</c:v>
                </c:pt>
                <c:pt idx="24">
                  <c:v>2.15674029239728</c:v>
                </c:pt>
                <c:pt idx="25">
                  <c:v>2.04466344586156</c:v>
                </c:pt>
                <c:pt idx="26">
                  <c:v>1.8759212895439</c:v>
                </c:pt>
                <c:pt idx="27">
                  <c:v>1.9467347278975</c:v>
                </c:pt>
                <c:pt idx="28">
                  <c:v>2.17982562742343</c:v>
                </c:pt>
                <c:pt idx="29">
                  <c:v>2.26288773073236</c:v>
                </c:pt>
                <c:pt idx="30">
                  <c:v>2.53943307546303</c:v>
                </c:pt>
                <c:pt idx="31">
                  <c:v>2.5766657623077</c:v>
                </c:pt>
                <c:pt idx="32">
                  <c:v>2.94821529880594</c:v>
                </c:pt>
                <c:pt idx="33">
                  <c:v>3.37908996577384</c:v>
                </c:pt>
                <c:pt idx="34">
                  <c:v>3.34180345854633</c:v>
                </c:pt>
                <c:pt idx="35">
                  <c:v>3.91260427736923</c:v>
                </c:pt>
                <c:pt idx="36">
                  <c:v>3.98322022310144</c:v>
                </c:pt>
                <c:pt idx="37">
                  <c:v>4.02063217079416</c:v>
                </c:pt>
                <c:pt idx="38">
                  <c:v>3.63341628024129</c:v>
                </c:pt>
                <c:pt idx="39">
                  <c:v>3.51947498227376</c:v>
                </c:pt>
                <c:pt idx="40">
                  <c:v>3.83215243129396</c:v>
                </c:pt>
                <c:pt idx="41">
                  <c:v>3.31762931339777</c:v>
                </c:pt>
                <c:pt idx="42">
                  <c:v>3.5620230134396</c:v>
                </c:pt>
                <c:pt idx="43">
                  <c:v>3.70020150826956</c:v>
                </c:pt>
                <c:pt idx="44">
                  <c:v>3.81389690685259</c:v>
                </c:pt>
                <c:pt idx="45">
                  <c:v>2.99344099252081</c:v>
                </c:pt>
                <c:pt idx="46">
                  <c:v>2.95918778514778</c:v>
                </c:pt>
                <c:pt idx="47">
                  <c:v>3.17670147845748</c:v>
                </c:pt>
                <c:pt idx="48">
                  <c:v>2.92111831264149</c:v>
                </c:pt>
                <c:pt idx="49">
                  <c:v>2.94965887138027</c:v>
                </c:pt>
                <c:pt idx="50">
                  <c:v>2.27195287162815</c:v>
                </c:pt>
                <c:pt idx="51">
                  <c:v>2.44514866493636</c:v>
                </c:pt>
                <c:pt idx="52">
                  <c:v>2.27335336972987</c:v>
                </c:pt>
                <c:pt idx="53">
                  <c:v>2.50091712710904</c:v>
                </c:pt>
                <c:pt idx="54">
                  <c:v>2.04281116873468</c:v>
                </c:pt>
                <c:pt idx="55">
                  <c:v>2.20357908388627</c:v>
                </c:pt>
                <c:pt idx="56">
                  <c:v>2.14664925149833</c:v>
                </c:pt>
                <c:pt idx="57">
                  <c:v>2.34507212117209</c:v>
                </c:pt>
                <c:pt idx="58">
                  <c:v>2.11824020583725</c:v>
                </c:pt>
                <c:pt idx="59">
                  <c:v>1.97893677152628</c:v>
                </c:pt>
                <c:pt idx="60">
                  <c:v>2.53037006225152</c:v>
                </c:pt>
              </c:numCache>
            </c:numRef>
          </c:val>
          <c:smooth val="1"/>
        </c:ser>
        <c:ser>
          <c:idx val="29"/>
          <c:order val="29"/>
          <c:spPr>
            <a:solidFill>
              <a:srgbClr val="f59240"/>
            </a:solidFill>
            <a:ln w="6120">
              <a:solidFill>
                <a:srgbClr val="f5924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Paths'!$B$40:$BJ$40</c:f>
              <c:numCache>
                <c:formatCode>\€0.00</c:formatCode>
                <c:ptCount val="61"/>
                <c:pt idx="0">
                  <c:v>11.5</c:v>
                </c:pt>
                <c:pt idx="1">
                  <c:v>10.497328681573</c:v>
                </c:pt>
                <c:pt idx="2">
                  <c:v>9.71322860878337</c:v>
                </c:pt>
                <c:pt idx="3">
                  <c:v>9.42122668639775</c:v>
                </c:pt>
                <c:pt idx="4">
                  <c:v>8.42000820480404</c:v>
                </c:pt>
                <c:pt idx="5">
                  <c:v>9.59283507163481</c:v>
                </c:pt>
                <c:pt idx="6">
                  <c:v>11.5890553802238</c:v>
                </c:pt>
                <c:pt idx="7">
                  <c:v>10.7256686788735</c:v>
                </c:pt>
                <c:pt idx="8">
                  <c:v>8.87392055193221</c:v>
                </c:pt>
                <c:pt idx="9">
                  <c:v>10.0894995531893</c:v>
                </c:pt>
                <c:pt idx="10">
                  <c:v>11.3918537652825</c:v>
                </c:pt>
                <c:pt idx="11">
                  <c:v>12.4640482994643</c:v>
                </c:pt>
                <c:pt idx="12">
                  <c:v>14.1473927145863</c:v>
                </c:pt>
                <c:pt idx="13">
                  <c:v>12.8607814593561</c:v>
                </c:pt>
                <c:pt idx="14">
                  <c:v>12.6229385086674</c:v>
                </c:pt>
                <c:pt idx="15">
                  <c:v>10.8427894478877</c:v>
                </c:pt>
                <c:pt idx="16">
                  <c:v>9.2789592186576</c:v>
                </c:pt>
                <c:pt idx="17">
                  <c:v>10.3314173795733</c:v>
                </c:pt>
                <c:pt idx="18">
                  <c:v>9.59555128114494</c:v>
                </c:pt>
                <c:pt idx="19">
                  <c:v>12.3194263124599</c:v>
                </c:pt>
                <c:pt idx="20">
                  <c:v>12.4178053795106</c:v>
                </c:pt>
                <c:pt idx="21">
                  <c:v>11.5732411221561</c:v>
                </c:pt>
                <c:pt idx="22">
                  <c:v>12.6295278855054</c:v>
                </c:pt>
                <c:pt idx="23">
                  <c:v>15.3858228347395</c:v>
                </c:pt>
                <c:pt idx="24">
                  <c:v>16.2255968313055</c:v>
                </c:pt>
                <c:pt idx="25">
                  <c:v>14.1950041995542</c:v>
                </c:pt>
                <c:pt idx="26">
                  <c:v>14.7819150910847</c:v>
                </c:pt>
                <c:pt idx="27">
                  <c:v>17.1864195344418</c:v>
                </c:pt>
                <c:pt idx="28">
                  <c:v>16.2782416123995</c:v>
                </c:pt>
                <c:pt idx="29">
                  <c:v>14.951029461866</c:v>
                </c:pt>
                <c:pt idx="30">
                  <c:v>16.711509184122</c:v>
                </c:pt>
                <c:pt idx="31">
                  <c:v>16.9669663844158</c:v>
                </c:pt>
                <c:pt idx="32">
                  <c:v>15.0313782626342</c:v>
                </c:pt>
                <c:pt idx="33">
                  <c:v>14.4154374068635</c:v>
                </c:pt>
                <c:pt idx="34">
                  <c:v>13.2662441095452</c:v>
                </c:pt>
                <c:pt idx="35">
                  <c:v>13.7019627567897</c:v>
                </c:pt>
                <c:pt idx="36">
                  <c:v>13.8652785497414</c:v>
                </c:pt>
                <c:pt idx="37">
                  <c:v>15.7274014849286</c:v>
                </c:pt>
                <c:pt idx="38">
                  <c:v>16.9975460359435</c:v>
                </c:pt>
                <c:pt idx="39">
                  <c:v>14.3159079459546</c:v>
                </c:pt>
                <c:pt idx="40">
                  <c:v>14.9667861156333</c:v>
                </c:pt>
                <c:pt idx="41">
                  <c:v>16.5112263730548</c:v>
                </c:pt>
                <c:pt idx="42">
                  <c:v>17.3547385745777</c:v>
                </c:pt>
                <c:pt idx="43">
                  <c:v>19.4272407700415</c:v>
                </c:pt>
                <c:pt idx="44">
                  <c:v>18.2872886744049</c:v>
                </c:pt>
                <c:pt idx="45">
                  <c:v>16.4729543380302</c:v>
                </c:pt>
                <c:pt idx="46">
                  <c:v>18.2389979428456</c:v>
                </c:pt>
                <c:pt idx="47">
                  <c:v>16.2241506441258</c:v>
                </c:pt>
                <c:pt idx="48">
                  <c:v>12.7997259415555</c:v>
                </c:pt>
                <c:pt idx="49">
                  <c:v>14.3207895239418</c:v>
                </c:pt>
                <c:pt idx="50">
                  <c:v>13.2247274957397</c:v>
                </c:pt>
                <c:pt idx="51">
                  <c:v>12.7857418525501</c:v>
                </c:pt>
                <c:pt idx="52">
                  <c:v>10.9659364949714</c:v>
                </c:pt>
                <c:pt idx="53">
                  <c:v>9.48019274493313</c:v>
                </c:pt>
                <c:pt idx="54">
                  <c:v>8.34904789167402</c:v>
                </c:pt>
                <c:pt idx="55">
                  <c:v>8.02371979488039</c:v>
                </c:pt>
                <c:pt idx="56">
                  <c:v>8.35455098406573</c:v>
                </c:pt>
                <c:pt idx="57">
                  <c:v>6.49193813076763</c:v>
                </c:pt>
                <c:pt idx="58">
                  <c:v>7.04901992423289</c:v>
                </c:pt>
                <c:pt idx="59">
                  <c:v>6.19067504003957</c:v>
                </c:pt>
                <c:pt idx="60">
                  <c:v>5.5062845118466</c:v>
                </c:pt>
              </c:numCache>
            </c:numRef>
          </c:val>
          <c:smooth val="1"/>
        </c:ser>
        <c:ser>
          <c:idx val="30"/>
          <c:order val="30"/>
          <c:spPr>
            <a:solidFill>
              <a:srgbClr val="7997c4"/>
            </a:solidFill>
            <a:ln w="6120">
              <a:solidFill>
                <a:srgbClr val="7997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Paths'!$B$41:$BJ$41</c:f>
              <c:numCache>
                <c:formatCode>\€0.00</c:formatCode>
                <c:ptCount val="61"/>
                <c:pt idx="0">
                  <c:v>11.5</c:v>
                </c:pt>
                <c:pt idx="1">
                  <c:v>12.3854463305245</c:v>
                </c:pt>
                <c:pt idx="2">
                  <c:v>12.282207641832</c:v>
                </c:pt>
                <c:pt idx="3">
                  <c:v>10.3752883780653</c:v>
                </c:pt>
                <c:pt idx="4">
                  <c:v>12.6998347800128</c:v>
                </c:pt>
                <c:pt idx="5">
                  <c:v>11.5536156202494</c:v>
                </c:pt>
                <c:pt idx="6">
                  <c:v>11.8691761759527</c:v>
                </c:pt>
                <c:pt idx="7">
                  <c:v>12.1300852486548</c:v>
                </c:pt>
                <c:pt idx="8">
                  <c:v>14.1586131164015</c:v>
                </c:pt>
                <c:pt idx="9">
                  <c:v>13.4658184329821</c:v>
                </c:pt>
                <c:pt idx="10">
                  <c:v>15.0376211073078</c:v>
                </c:pt>
                <c:pt idx="11">
                  <c:v>13.8597517132124</c:v>
                </c:pt>
                <c:pt idx="12">
                  <c:v>15.6723719234658</c:v>
                </c:pt>
                <c:pt idx="13">
                  <c:v>14.4113961990759</c:v>
                </c:pt>
                <c:pt idx="14">
                  <c:v>13.8474745639852</c:v>
                </c:pt>
                <c:pt idx="15">
                  <c:v>17.0457436303578</c:v>
                </c:pt>
                <c:pt idx="16">
                  <c:v>17.6456248159937</c:v>
                </c:pt>
                <c:pt idx="17">
                  <c:v>17.8560915676194</c:v>
                </c:pt>
                <c:pt idx="18">
                  <c:v>22.8307075901475</c:v>
                </c:pt>
                <c:pt idx="19">
                  <c:v>23.74952906584</c:v>
                </c:pt>
                <c:pt idx="20">
                  <c:v>21.7117137754575</c:v>
                </c:pt>
                <c:pt idx="21">
                  <c:v>23.5294950972693</c:v>
                </c:pt>
                <c:pt idx="22">
                  <c:v>20.665075266852</c:v>
                </c:pt>
                <c:pt idx="23">
                  <c:v>23.3835828788573</c:v>
                </c:pt>
                <c:pt idx="24">
                  <c:v>26.686090041936</c:v>
                </c:pt>
                <c:pt idx="25">
                  <c:v>25.0558536349449</c:v>
                </c:pt>
                <c:pt idx="26">
                  <c:v>23.3838468307931</c:v>
                </c:pt>
                <c:pt idx="27">
                  <c:v>23.8366438247885</c:v>
                </c:pt>
                <c:pt idx="28">
                  <c:v>23.8693089919371</c:v>
                </c:pt>
                <c:pt idx="29">
                  <c:v>21.4379174606853</c:v>
                </c:pt>
                <c:pt idx="30">
                  <c:v>22.8121923328148</c:v>
                </c:pt>
                <c:pt idx="31">
                  <c:v>18.231030036825</c:v>
                </c:pt>
                <c:pt idx="32">
                  <c:v>17.3824063670269</c:v>
                </c:pt>
                <c:pt idx="33">
                  <c:v>16.6259429263645</c:v>
                </c:pt>
                <c:pt idx="34">
                  <c:v>16.1319968286971</c:v>
                </c:pt>
                <c:pt idx="35">
                  <c:v>16.6818741535197</c:v>
                </c:pt>
                <c:pt idx="36">
                  <c:v>14.5767762099161</c:v>
                </c:pt>
                <c:pt idx="37">
                  <c:v>15.546014962846</c:v>
                </c:pt>
                <c:pt idx="38">
                  <c:v>15.2390121073766</c:v>
                </c:pt>
                <c:pt idx="39">
                  <c:v>14.1873245338636</c:v>
                </c:pt>
                <c:pt idx="40">
                  <c:v>12.209684901592</c:v>
                </c:pt>
                <c:pt idx="41">
                  <c:v>10.7216294082755</c:v>
                </c:pt>
                <c:pt idx="42">
                  <c:v>11.1518588005762</c:v>
                </c:pt>
                <c:pt idx="43">
                  <c:v>10.0311167435341</c:v>
                </c:pt>
                <c:pt idx="44">
                  <c:v>10.1001571033915</c:v>
                </c:pt>
                <c:pt idx="45">
                  <c:v>11.3459801875481</c:v>
                </c:pt>
                <c:pt idx="46">
                  <c:v>12.7045158986834</c:v>
                </c:pt>
                <c:pt idx="47">
                  <c:v>15.0735920894125</c:v>
                </c:pt>
                <c:pt idx="48">
                  <c:v>14.5888662978846</c:v>
                </c:pt>
                <c:pt idx="49">
                  <c:v>12.9492544035505</c:v>
                </c:pt>
                <c:pt idx="50">
                  <c:v>14.4805013066804</c:v>
                </c:pt>
                <c:pt idx="51">
                  <c:v>14.9779953635123</c:v>
                </c:pt>
                <c:pt idx="52">
                  <c:v>16.9402479303779</c:v>
                </c:pt>
                <c:pt idx="53">
                  <c:v>16.9576965488208</c:v>
                </c:pt>
                <c:pt idx="54">
                  <c:v>19.3307427340366</c:v>
                </c:pt>
                <c:pt idx="55">
                  <c:v>21.2075905830434</c:v>
                </c:pt>
                <c:pt idx="56">
                  <c:v>22.9373074884427</c:v>
                </c:pt>
                <c:pt idx="57">
                  <c:v>24.2354423749893</c:v>
                </c:pt>
                <c:pt idx="58">
                  <c:v>25.3115040880852</c:v>
                </c:pt>
                <c:pt idx="59">
                  <c:v>25.96212877037</c:v>
                </c:pt>
                <c:pt idx="60">
                  <c:v>26.6086590880302</c:v>
                </c:pt>
              </c:numCache>
            </c:numRef>
          </c:val>
          <c:smooth val="1"/>
        </c:ser>
        <c:ser>
          <c:idx val="31"/>
          <c:order val="31"/>
          <c:spPr>
            <a:solidFill>
              <a:srgbClr val="c77978"/>
            </a:solidFill>
            <a:ln w="6120">
              <a:solidFill>
                <a:srgbClr val="c7797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Paths'!$B$42:$BJ$42</c:f>
              <c:numCache>
                <c:formatCode>\€0.00</c:formatCode>
                <c:ptCount val="61"/>
                <c:pt idx="0">
                  <c:v>11.5</c:v>
                </c:pt>
                <c:pt idx="1">
                  <c:v>12.8171566168083</c:v>
                </c:pt>
                <c:pt idx="2">
                  <c:v>12.1149338770615</c:v>
                </c:pt>
                <c:pt idx="3">
                  <c:v>14.6531339822181</c:v>
                </c:pt>
                <c:pt idx="4">
                  <c:v>14.4806961453946</c:v>
                </c:pt>
                <c:pt idx="5">
                  <c:v>16.1307301415046</c:v>
                </c:pt>
                <c:pt idx="6">
                  <c:v>15.9689095184035</c:v>
                </c:pt>
                <c:pt idx="7">
                  <c:v>15.5397605228047</c:v>
                </c:pt>
                <c:pt idx="8">
                  <c:v>19.4169905280544</c:v>
                </c:pt>
                <c:pt idx="9">
                  <c:v>18.76570672616</c:v>
                </c:pt>
                <c:pt idx="10">
                  <c:v>16.3093976813938</c:v>
                </c:pt>
                <c:pt idx="11">
                  <c:v>15.0778352789221</c:v>
                </c:pt>
                <c:pt idx="12">
                  <c:v>14.5594993572375</c:v>
                </c:pt>
                <c:pt idx="13">
                  <c:v>18.4391742607512</c:v>
                </c:pt>
                <c:pt idx="14">
                  <c:v>18.8587032214305</c:v>
                </c:pt>
                <c:pt idx="15">
                  <c:v>20.891158258625</c:v>
                </c:pt>
                <c:pt idx="16">
                  <c:v>18.7139760189335</c:v>
                </c:pt>
                <c:pt idx="17">
                  <c:v>19.4484466935509</c:v>
                </c:pt>
                <c:pt idx="18">
                  <c:v>20.9312389787762</c:v>
                </c:pt>
                <c:pt idx="19">
                  <c:v>25.5003368313344</c:v>
                </c:pt>
                <c:pt idx="20">
                  <c:v>23.6208515210842</c:v>
                </c:pt>
                <c:pt idx="21">
                  <c:v>25.2328632046687</c:v>
                </c:pt>
                <c:pt idx="22">
                  <c:v>26.0796761182646</c:v>
                </c:pt>
                <c:pt idx="23">
                  <c:v>23.3102785986268</c:v>
                </c:pt>
                <c:pt idx="24">
                  <c:v>23.2563168962591</c:v>
                </c:pt>
                <c:pt idx="25">
                  <c:v>22.5896348783176</c:v>
                </c:pt>
                <c:pt idx="26">
                  <c:v>17.500391754616</c:v>
                </c:pt>
                <c:pt idx="27">
                  <c:v>18.6848282596396</c:v>
                </c:pt>
                <c:pt idx="28">
                  <c:v>19.8219791106622</c:v>
                </c:pt>
                <c:pt idx="29">
                  <c:v>18.8867083305273</c:v>
                </c:pt>
                <c:pt idx="30">
                  <c:v>16.3044723841335</c:v>
                </c:pt>
                <c:pt idx="31">
                  <c:v>19.1747429841845</c:v>
                </c:pt>
                <c:pt idx="32">
                  <c:v>19.7388705206894</c:v>
                </c:pt>
                <c:pt idx="33">
                  <c:v>22.0637305050205</c:v>
                </c:pt>
                <c:pt idx="34">
                  <c:v>25.7506330302819</c:v>
                </c:pt>
                <c:pt idx="35">
                  <c:v>24.3159909928501</c:v>
                </c:pt>
                <c:pt idx="36">
                  <c:v>26.5768734210314</c:v>
                </c:pt>
                <c:pt idx="37">
                  <c:v>25.8783023091234</c:v>
                </c:pt>
                <c:pt idx="38">
                  <c:v>25.6966379770652</c:v>
                </c:pt>
                <c:pt idx="39">
                  <c:v>25.4517650474963</c:v>
                </c:pt>
                <c:pt idx="40">
                  <c:v>25.4434178386907</c:v>
                </c:pt>
                <c:pt idx="41">
                  <c:v>28.7452155324776</c:v>
                </c:pt>
                <c:pt idx="42">
                  <c:v>29.132997221006</c:v>
                </c:pt>
                <c:pt idx="43">
                  <c:v>28.6405679140466</c:v>
                </c:pt>
                <c:pt idx="44">
                  <c:v>27.7797033133106</c:v>
                </c:pt>
                <c:pt idx="45">
                  <c:v>28.8342324809687</c:v>
                </c:pt>
                <c:pt idx="46">
                  <c:v>26.1334482365571</c:v>
                </c:pt>
                <c:pt idx="47">
                  <c:v>24.7269268549578</c:v>
                </c:pt>
                <c:pt idx="48">
                  <c:v>24.5810168711979</c:v>
                </c:pt>
                <c:pt idx="49">
                  <c:v>23.0973878602147</c:v>
                </c:pt>
                <c:pt idx="50">
                  <c:v>22.7949671551735</c:v>
                </c:pt>
                <c:pt idx="51">
                  <c:v>21.3138335441013</c:v>
                </c:pt>
                <c:pt idx="52">
                  <c:v>26.5492167879046</c:v>
                </c:pt>
                <c:pt idx="53">
                  <c:v>30.7106743825891</c:v>
                </c:pt>
                <c:pt idx="54">
                  <c:v>32.2586157000877</c:v>
                </c:pt>
                <c:pt idx="55">
                  <c:v>32.0635561007395</c:v>
                </c:pt>
                <c:pt idx="56">
                  <c:v>40.7663098326234</c:v>
                </c:pt>
                <c:pt idx="57">
                  <c:v>42.2286747936521</c:v>
                </c:pt>
                <c:pt idx="58">
                  <c:v>41.8206192642059</c:v>
                </c:pt>
                <c:pt idx="59">
                  <c:v>43.2266881825139</c:v>
                </c:pt>
                <c:pt idx="60">
                  <c:v>44.6938392510944</c:v>
                </c:pt>
              </c:numCache>
            </c:numRef>
          </c:val>
          <c:smooth val="1"/>
        </c:ser>
        <c:ser>
          <c:idx val="32"/>
          <c:order val="32"/>
          <c:spPr>
            <a:solidFill>
              <a:srgbClr val="a9c37e"/>
            </a:solidFill>
            <a:ln w="6120">
              <a:solidFill>
                <a:srgbClr val="a9c37e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Paths'!$B$43:$BJ$43</c:f>
              <c:numCache>
                <c:formatCode>\€0.00</c:formatCode>
                <c:ptCount val="61"/>
                <c:pt idx="0">
                  <c:v>11.5</c:v>
                </c:pt>
                <c:pt idx="1">
                  <c:v>13.4216716847324</c:v>
                </c:pt>
                <c:pt idx="2">
                  <c:v>13.3913234802711</c:v>
                </c:pt>
                <c:pt idx="3">
                  <c:v>16.8560957232043</c:v>
                </c:pt>
                <c:pt idx="4">
                  <c:v>15.2987990487666</c:v>
                </c:pt>
                <c:pt idx="5">
                  <c:v>16.506032391196</c:v>
                </c:pt>
                <c:pt idx="6">
                  <c:v>14.7854802937354</c:v>
                </c:pt>
                <c:pt idx="7">
                  <c:v>18.0436173472362</c:v>
                </c:pt>
                <c:pt idx="8">
                  <c:v>17.3978527035803</c:v>
                </c:pt>
                <c:pt idx="9">
                  <c:v>17.2839840456716</c:v>
                </c:pt>
                <c:pt idx="10">
                  <c:v>19.1247357520328</c:v>
                </c:pt>
                <c:pt idx="11">
                  <c:v>21.9442637533792</c:v>
                </c:pt>
                <c:pt idx="12">
                  <c:v>19.4209695187312</c:v>
                </c:pt>
                <c:pt idx="13">
                  <c:v>18.6939063006092</c:v>
                </c:pt>
                <c:pt idx="14">
                  <c:v>16.0385628253049</c:v>
                </c:pt>
                <c:pt idx="15">
                  <c:v>16.2789777564707</c:v>
                </c:pt>
                <c:pt idx="16">
                  <c:v>16.096003581276</c:v>
                </c:pt>
                <c:pt idx="17">
                  <c:v>15.4887015242527</c:v>
                </c:pt>
                <c:pt idx="18">
                  <c:v>14.3657146789659</c:v>
                </c:pt>
                <c:pt idx="19">
                  <c:v>13.7677444987091</c:v>
                </c:pt>
                <c:pt idx="20">
                  <c:v>12.6830717764678</c:v>
                </c:pt>
                <c:pt idx="21">
                  <c:v>13.4383173456362</c:v>
                </c:pt>
                <c:pt idx="22">
                  <c:v>15.86667960983</c:v>
                </c:pt>
                <c:pt idx="23">
                  <c:v>12.8358774913498</c:v>
                </c:pt>
                <c:pt idx="24">
                  <c:v>12.6713001966336</c:v>
                </c:pt>
                <c:pt idx="25">
                  <c:v>12.1009537816661</c:v>
                </c:pt>
                <c:pt idx="26">
                  <c:v>12.7701712098238</c:v>
                </c:pt>
                <c:pt idx="27">
                  <c:v>11.5020258935974</c:v>
                </c:pt>
                <c:pt idx="28">
                  <c:v>11.3166641798696</c:v>
                </c:pt>
                <c:pt idx="29">
                  <c:v>10.0951320785516</c:v>
                </c:pt>
                <c:pt idx="30">
                  <c:v>10.8949061305058</c:v>
                </c:pt>
                <c:pt idx="31">
                  <c:v>11.0121818804961</c:v>
                </c:pt>
                <c:pt idx="32">
                  <c:v>10.8168550185013</c:v>
                </c:pt>
                <c:pt idx="33">
                  <c:v>11.263085105041</c:v>
                </c:pt>
                <c:pt idx="34">
                  <c:v>10.9606202429816</c:v>
                </c:pt>
                <c:pt idx="35">
                  <c:v>9.2412460935226</c:v>
                </c:pt>
                <c:pt idx="36">
                  <c:v>9.86351872108576</c:v>
                </c:pt>
                <c:pt idx="37">
                  <c:v>10.1785430638553</c:v>
                </c:pt>
                <c:pt idx="38">
                  <c:v>10.0061164313924</c:v>
                </c:pt>
                <c:pt idx="39">
                  <c:v>11.1457257527383</c:v>
                </c:pt>
                <c:pt idx="40">
                  <c:v>12.737335832102</c:v>
                </c:pt>
                <c:pt idx="41">
                  <c:v>11.2969698935174</c:v>
                </c:pt>
                <c:pt idx="42">
                  <c:v>10.3674371834251</c:v>
                </c:pt>
                <c:pt idx="43">
                  <c:v>12.2830266158837</c:v>
                </c:pt>
                <c:pt idx="44">
                  <c:v>14.3489702846156</c:v>
                </c:pt>
                <c:pt idx="45">
                  <c:v>13.2301149877918</c:v>
                </c:pt>
                <c:pt idx="46">
                  <c:v>11.6207525836913</c:v>
                </c:pt>
                <c:pt idx="47">
                  <c:v>10.8337928908776</c:v>
                </c:pt>
                <c:pt idx="48">
                  <c:v>10.2558188299289</c:v>
                </c:pt>
                <c:pt idx="49">
                  <c:v>8.61836458496725</c:v>
                </c:pt>
                <c:pt idx="50">
                  <c:v>8.64629538621772</c:v>
                </c:pt>
                <c:pt idx="51">
                  <c:v>7.51211015428408</c:v>
                </c:pt>
                <c:pt idx="52">
                  <c:v>6.5768604886386</c:v>
                </c:pt>
                <c:pt idx="53">
                  <c:v>7.27081132067152</c:v>
                </c:pt>
                <c:pt idx="54">
                  <c:v>6.744592300459</c:v>
                </c:pt>
                <c:pt idx="55">
                  <c:v>6.69069374527711</c:v>
                </c:pt>
                <c:pt idx="56">
                  <c:v>7.16740693819147</c:v>
                </c:pt>
                <c:pt idx="57">
                  <c:v>7.83474616349598</c:v>
                </c:pt>
                <c:pt idx="58">
                  <c:v>7.54900071134262</c:v>
                </c:pt>
                <c:pt idx="59">
                  <c:v>7.58423234209234</c:v>
                </c:pt>
                <c:pt idx="60">
                  <c:v>6.92642548183661</c:v>
                </c:pt>
              </c:numCache>
            </c:numRef>
          </c:val>
          <c:smooth val="1"/>
        </c:ser>
        <c:ser>
          <c:idx val="33"/>
          <c:order val="33"/>
          <c:spPr>
            <a:solidFill>
              <a:srgbClr val="9684af"/>
            </a:solidFill>
            <a:ln w="6120">
              <a:solidFill>
                <a:srgbClr val="9684af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Paths'!$B$44:$BJ$44</c:f>
              <c:numCache>
                <c:formatCode>\€0.00</c:formatCode>
                <c:ptCount val="61"/>
                <c:pt idx="0">
                  <c:v>11.5</c:v>
                </c:pt>
                <c:pt idx="1">
                  <c:v>13.9272204133578</c:v>
                </c:pt>
                <c:pt idx="2">
                  <c:v>14.9537057948411</c:v>
                </c:pt>
                <c:pt idx="3">
                  <c:v>13.2467761857828</c:v>
                </c:pt>
                <c:pt idx="4">
                  <c:v>13.2502448028697</c:v>
                </c:pt>
                <c:pt idx="5">
                  <c:v>14.3264410411799</c:v>
                </c:pt>
                <c:pt idx="6">
                  <c:v>15.0972596929697</c:v>
                </c:pt>
                <c:pt idx="7">
                  <c:v>18.4485092938353</c:v>
                </c:pt>
                <c:pt idx="8">
                  <c:v>21.4417275845683</c:v>
                </c:pt>
                <c:pt idx="9">
                  <c:v>20.2063218603331</c:v>
                </c:pt>
                <c:pt idx="10">
                  <c:v>20.0059432550751</c:v>
                </c:pt>
                <c:pt idx="11">
                  <c:v>17.3790487844394</c:v>
                </c:pt>
                <c:pt idx="12">
                  <c:v>17.8579035552321</c:v>
                </c:pt>
                <c:pt idx="13">
                  <c:v>18.1528821179538</c:v>
                </c:pt>
                <c:pt idx="14">
                  <c:v>24.4152699763791</c:v>
                </c:pt>
                <c:pt idx="15">
                  <c:v>24.6734822631734</c:v>
                </c:pt>
                <c:pt idx="16">
                  <c:v>19.6077162339351</c:v>
                </c:pt>
                <c:pt idx="17">
                  <c:v>18.2107899201574</c:v>
                </c:pt>
                <c:pt idx="18">
                  <c:v>18.4332345126023</c:v>
                </c:pt>
                <c:pt idx="19">
                  <c:v>16.0577464780709</c:v>
                </c:pt>
                <c:pt idx="20">
                  <c:v>14.5979098038763</c:v>
                </c:pt>
                <c:pt idx="21">
                  <c:v>14.0214182265439</c:v>
                </c:pt>
                <c:pt idx="22">
                  <c:v>14.5544713834596</c:v>
                </c:pt>
                <c:pt idx="23">
                  <c:v>14.2902498531214</c:v>
                </c:pt>
                <c:pt idx="24">
                  <c:v>12.9597500683523</c:v>
                </c:pt>
                <c:pt idx="25">
                  <c:v>14.1267616435326</c:v>
                </c:pt>
                <c:pt idx="26">
                  <c:v>13.3123381675373</c:v>
                </c:pt>
                <c:pt idx="27">
                  <c:v>12.6004873975473</c:v>
                </c:pt>
                <c:pt idx="28">
                  <c:v>10.8287988007228</c:v>
                </c:pt>
                <c:pt idx="29">
                  <c:v>9.9324044772729</c:v>
                </c:pt>
                <c:pt idx="30">
                  <c:v>10.6665892291902</c:v>
                </c:pt>
                <c:pt idx="31">
                  <c:v>8.93058434728634</c:v>
                </c:pt>
                <c:pt idx="32">
                  <c:v>8.8595058241559</c:v>
                </c:pt>
                <c:pt idx="33">
                  <c:v>9.58346879300806</c:v>
                </c:pt>
                <c:pt idx="34">
                  <c:v>9.19342694729943</c:v>
                </c:pt>
                <c:pt idx="35">
                  <c:v>9.43673098279569</c:v>
                </c:pt>
                <c:pt idx="36">
                  <c:v>8.34713061819322</c:v>
                </c:pt>
                <c:pt idx="37">
                  <c:v>9.63562796211199</c:v>
                </c:pt>
                <c:pt idx="38">
                  <c:v>10.8706398801565</c:v>
                </c:pt>
                <c:pt idx="39">
                  <c:v>11.1530797430953</c:v>
                </c:pt>
                <c:pt idx="40">
                  <c:v>9.19818552127283</c:v>
                </c:pt>
                <c:pt idx="41">
                  <c:v>8.19959238794472</c:v>
                </c:pt>
                <c:pt idx="42">
                  <c:v>9.12522054326809</c:v>
                </c:pt>
                <c:pt idx="43">
                  <c:v>11.0097606400595</c:v>
                </c:pt>
                <c:pt idx="44">
                  <c:v>11.3717995580809</c:v>
                </c:pt>
                <c:pt idx="45">
                  <c:v>13.0368481321687</c:v>
                </c:pt>
                <c:pt idx="46">
                  <c:v>12.1937938746563</c:v>
                </c:pt>
                <c:pt idx="47">
                  <c:v>11.9408903309357</c:v>
                </c:pt>
                <c:pt idx="48">
                  <c:v>11.9402047969786</c:v>
                </c:pt>
                <c:pt idx="49">
                  <c:v>12.5051452716291</c:v>
                </c:pt>
                <c:pt idx="50">
                  <c:v>10.57245155921</c:v>
                </c:pt>
                <c:pt idx="51">
                  <c:v>11.719525343789</c:v>
                </c:pt>
                <c:pt idx="52">
                  <c:v>13.5468189501187</c:v>
                </c:pt>
                <c:pt idx="53">
                  <c:v>11.9407406686909</c:v>
                </c:pt>
                <c:pt idx="54">
                  <c:v>10.2892197167241</c:v>
                </c:pt>
                <c:pt idx="55">
                  <c:v>10.6906402952806</c:v>
                </c:pt>
                <c:pt idx="56">
                  <c:v>9.94837804265326</c:v>
                </c:pt>
                <c:pt idx="57">
                  <c:v>7.66875555791432</c:v>
                </c:pt>
                <c:pt idx="58">
                  <c:v>8.37850790138806</c:v>
                </c:pt>
                <c:pt idx="59">
                  <c:v>8.5211787438742</c:v>
                </c:pt>
                <c:pt idx="60">
                  <c:v>8.08560092666167</c:v>
                </c:pt>
              </c:numCache>
            </c:numRef>
          </c:val>
          <c:smooth val="1"/>
        </c:ser>
        <c:ser>
          <c:idx val="34"/>
          <c:order val="34"/>
          <c:spPr>
            <a:solidFill>
              <a:srgbClr val="77b6cc"/>
            </a:solidFill>
            <a:ln w="6120">
              <a:solidFill>
                <a:srgbClr val="77b6cc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Paths'!$B$45:$BJ$45</c:f>
              <c:numCache>
                <c:formatCode>\€0.00</c:formatCode>
                <c:ptCount val="61"/>
                <c:pt idx="0">
                  <c:v>11.5</c:v>
                </c:pt>
                <c:pt idx="1">
                  <c:v>14.4978628946108</c:v>
                </c:pt>
                <c:pt idx="2">
                  <c:v>14.7177645359096</c:v>
                </c:pt>
                <c:pt idx="3">
                  <c:v>13.547787143176</c:v>
                </c:pt>
                <c:pt idx="4">
                  <c:v>13.6964393160964</c:v>
                </c:pt>
                <c:pt idx="5">
                  <c:v>12.217392486876</c:v>
                </c:pt>
                <c:pt idx="6">
                  <c:v>11.2359741743419</c:v>
                </c:pt>
                <c:pt idx="7">
                  <c:v>11.7202714403009</c:v>
                </c:pt>
                <c:pt idx="8">
                  <c:v>11.0269577482914</c:v>
                </c:pt>
                <c:pt idx="9">
                  <c:v>10.4928003938727</c:v>
                </c:pt>
                <c:pt idx="10">
                  <c:v>12.598572415224</c:v>
                </c:pt>
                <c:pt idx="11">
                  <c:v>13.8419063193059</c:v>
                </c:pt>
                <c:pt idx="12">
                  <c:v>15.1134423678211</c:v>
                </c:pt>
                <c:pt idx="13">
                  <c:v>16.0131555444362</c:v>
                </c:pt>
                <c:pt idx="14">
                  <c:v>16.8835962417834</c:v>
                </c:pt>
                <c:pt idx="15">
                  <c:v>19.8051404066533</c:v>
                </c:pt>
                <c:pt idx="16">
                  <c:v>19.7590983243553</c:v>
                </c:pt>
                <c:pt idx="17">
                  <c:v>24.2150472395341</c:v>
                </c:pt>
                <c:pt idx="18">
                  <c:v>21.8112395283619</c:v>
                </c:pt>
                <c:pt idx="19">
                  <c:v>21.2056005470901</c:v>
                </c:pt>
                <c:pt idx="20">
                  <c:v>18.2261016624747</c:v>
                </c:pt>
                <c:pt idx="21">
                  <c:v>17.5483631186522</c:v>
                </c:pt>
                <c:pt idx="22">
                  <c:v>18.571881498786</c:v>
                </c:pt>
                <c:pt idx="23">
                  <c:v>21.7728141618137</c:v>
                </c:pt>
                <c:pt idx="24">
                  <c:v>20.2410770760126</c:v>
                </c:pt>
                <c:pt idx="25">
                  <c:v>20.2491457473674</c:v>
                </c:pt>
                <c:pt idx="26">
                  <c:v>19.4631927772223</c:v>
                </c:pt>
                <c:pt idx="27">
                  <c:v>17.945150880451</c:v>
                </c:pt>
                <c:pt idx="28">
                  <c:v>15.7472504449995</c:v>
                </c:pt>
                <c:pt idx="29">
                  <c:v>15.849481112406</c:v>
                </c:pt>
                <c:pt idx="30">
                  <c:v>13.1044500652278</c:v>
                </c:pt>
                <c:pt idx="31">
                  <c:v>13.2618930858501</c:v>
                </c:pt>
                <c:pt idx="32">
                  <c:v>13.2899719611496</c:v>
                </c:pt>
                <c:pt idx="33">
                  <c:v>12.3625716206577</c:v>
                </c:pt>
                <c:pt idx="34">
                  <c:v>11.0629039156669</c:v>
                </c:pt>
                <c:pt idx="35">
                  <c:v>9.50255256878056</c:v>
                </c:pt>
                <c:pt idx="36">
                  <c:v>11.6657289441879</c:v>
                </c:pt>
                <c:pt idx="37">
                  <c:v>10.0669960247644</c:v>
                </c:pt>
                <c:pt idx="38">
                  <c:v>11.9407103093544</c:v>
                </c:pt>
                <c:pt idx="39">
                  <c:v>12.7509562275854</c:v>
                </c:pt>
                <c:pt idx="40">
                  <c:v>12.2495731187574</c:v>
                </c:pt>
                <c:pt idx="41">
                  <c:v>10.7874175840856</c:v>
                </c:pt>
                <c:pt idx="42">
                  <c:v>12.0921323764654</c:v>
                </c:pt>
                <c:pt idx="43">
                  <c:v>14.6158778525256</c:v>
                </c:pt>
                <c:pt idx="44">
                  <c:v>13.1900910843698</c:v>
                </c:pt>
                <c:pt idx="45">
                  <c:v>12.7625004682217</c:v>
                </c:pt>
                <c:pt idx="46">
                  <c:v>14.3204328344601</c:v>
                </c:pt>
                <c:pt idx="47">
                  <c:v>14.8550270543233</c:v>
                </c:pt>
                <c:pt idx="48">
                  <c:v>18.4958025309776</c:v>
                </c:pt>
                <c:pt idx="49">
                  <c:v>17.3712684519135</c:v>
                </c:pt>
                <c:pt idx="50">
                  <c:v>18.4326167534454</c:v>
                </c:pt>
                <c:pt idx="51">
                  <c:v>16.066171744047</c:v>
                </c:pt>
                <c:pt idx="52">
                  <c:v>20.2153999695923</c:v>
                </c:pt>
                <c:pt idx="53">
                  <c:v>18.6555835450593</c:v>
                </c:pt>
                <c:pt idx="54">
                  <c:v>14.6399747760715</c:v>
                </c:pt>
                <c:pt idx="55">
                  <c:v>14.4367432722055</c:v>
                </c:pt>
                <c:pt idx="56">
                  <c:v>14.2150062000925</c:v>
                </c:pt>
                <c:pt idx="57">
                  <c:v>17.5358338572007</c:v>
                </c:pt>
                <c:pt idx="58">
                  <c:v>16.8929395485685</c:v>
                </c:pt>
                <c:pt idx="59">
                  <c:v>16.8664332396803</c:v>
                </c:pt>
                <c:pt idx="60">
                  <c:v>17.9976341332588</c:v>
                </c:pt>
              </c:numCache>
            </c:numRef>
          </c:val>
          <c:smooth val="1"/>
        </c:ser>
        <c:ser>
          <c:idx val="35"/>
          <c:order val="35"/>
          <c:spPr>
            <a:solidFill>
              <a:srgbClr val="f5a574"/>
            </a:solidFill>
            <a:ln w="6120">
              <a:solidFill>
                <a:srgbClr val="f5a57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Paths'!$B$46:$BJ$46</c:f>
              <c:numCache>
                <c:formatCode>\€0.00</c:formatCode>
                <c:ptCount val="61"/>
                <c:pt idx="0">
                  <c:v>11.5</c:v>
                </c:pt>
                <c:pt idx="1">
                  <c:v>13.683245458246</c:v>
                </c:pt>
                <c:pt idx="2">
                  <c:v>13.5861748586951</c:v>
                </c:pt>
                <c:pt idx="3">
                  <c:v>15.224356212035</c:v>
                </c:pt>
                <c:pt idx="4">
                  <c:v>16.1116930851256</c:v>
                </c:pt>
                <c:pt idx="5">
                  <c:v>15.5936839780873</c:v>
                </c:pt>
                <c:pt idx="6">
                  <c:v>15.7240294509571</c:v>
                </c:pt>
                <c:pt idx="7">
                  <c:v>15.7706745266907</c:v>
                </c:pt>
                <c:pt idx="8">
                  <c:v>14.2603662188221</c:v>
                </c:pt>
                <c:pt idx="9">
                  <c:v>16.2881419579384</c:v>
                </c:pt>
                <c:pt idx="10">
                  <c:v>13.9887895102059</c:v>
                </c:pt>
                <c:pt idx="11">
                  <c:v>15.9036098468873</c:v>
                </c:pt>
                <c:pt idx="12">
                  <c:v>17.6557108733173</c:v>
                </c:pt>
                <c:pt idx="13">
                  <c:v>17.4732087141986</c:v>
                </c:pt>
                <c:pt idx="14">
                  <c:v>16.0630055950571</c:v>
                </c:pt>
                <c:pt idx="15">
                  <c:v>15.6660735618605</c:v>
                </c:pt>
                <c:pt idx="16">
                  <c:v>16.4969558622685</c:v>
                </c:pt>
                <c:pt idx="17">
                  <c:v>17.8946804202822</c:v>
                </c:pt>
                <c:pt idx="18">
                  <c:v>18.4634697686952</c:v>
                </c:pt>
                <c:pt idx="19">
                  <c:v>20.5825735557596</c:v>
                </c:pt>
                <c:pt idx="20">
                  <c:v>19.3581358895081</c:v>
                </c:pt>
                <c:pt idx="21">
                  <c:v>19.8590868673077</c:v>
                </c:pt>
                <c:pt idx="22">
                  <c:v>16.7171680662985</c:v>
                </c:pt>
                <c:pt idx="23">
                  <c:v>18.1745106151005</c:v>
                </c:pt>
                <c:pt idx="24">
                  <c:v>18.4790871807679</c:v>
                </c:pt>
                <c:pt idx="25">
                  <c:v>17.6523564202745</c:v>
                </c:pt>
                <c:pt idx="26">
                  <c:v>20.0474737179384</c:v>
                </c:pt>
                <c:pt idx="27">
                  <c:v>21.6234386039508</c:v>
                </c:pt>
                <c:pt idx="28">
                  <c:v>15.8734162910005</c:v>
                </c:pt>
                <c:pt idx="29">
                  <c:v>15.9400928777647</c:v>
                </c:pt>
                <c:pt idx="30">
                  <c:v>13.5860434980582</c:v>
                </c:pt>
                <c:pt idx="31">
                  <c:v>15.2696718414172</c:v>
                </c:pt>
                <c:pt idx="32">
                  <c:v>20.0600087529446</c:v>
                </c:pt>
                <c:pt idx="33">
                  <c:v>18.9473399142987</c:v>
                </c:pt>
                <c:pt idx="34">
                  <c:v>19.0994834511216</c:v>
                </c:pt>
                <c:pt idx="35">
                  <c:v>18.5773006381244</c:v>
                </c:pt>
                <c:pt idx="36">
                  <c:v>19.3026056545151</c:v>
                </c:pt>
                <c:pt idx="37">
                  <c:v>20.7130008917812</c:v>
                </c:pt>
                <c:pt idx="38">
                  <c:v>23.8498747962818</c:v>
                </c:pt>
                <c:pt idx="39">
                  <c:v>21.3976032786939</c:v>
                </c:pt>
                <c:pt idx="40">
                  <c:v>25.4190401298547</c:v>
                </c:pt>
                <c:pt idx="41">
                  <c:v>22.9457174115341</c:v>
                </c:pt>
                <c:pt idx="42">
                  <c:v>23.649539783587</c:v>
                </c:pt>
                <c:pt idx="43">
                  <c:v>26.8496338381064</c:v>
                </c:pt>
                <c:pt idx="44">
                  <c:v>29.0292601526332</c:v>
                </c:pt>
                <c:pt idx="45">
                  <c:v>26.1843662525004</c:v>
                </c:pt>
                <c:pt idx="46">
                  <c:v>24.2394286766753</c:v>
                </c:pt>
                <c:pt idx="47">
                  <c:v>23.0365285206345</c:v>
                </c:pt>
                <c:pt idx="48">
                  <c:v>22.9033852152995</c:v>
                </c:pt>
                <c:pt idx="49">
                  <c:v>25.9693814614097</c:v>
                </c:pt>
                <c:pt idx="50">
                  <c:v>22.5340526273923</c:v>
                </c:pt>
                <c:pt idx="51">
                  <c:v>23.7133890476493</c:v>
                </c:pt>
                <c:pt idx="52">
                  <c:v>25.3497372758793</c:v>
                </c:pt>
                <c:pt idx="53">
                  <c:v>26.9457983587243</c:v>
                </c:pt>
                <c:pt idx="54">
                  <c:v>28.3547976030783</c:v>
                </c:pt>
                <c:pt idx="55">
                  <c:v>33.4873304440226</c:v>
                </c:pt>
                <c:pt idx="56">
                  <c:v>35.3216019895733</c:v>
                </c:pt>
                <c:pt idx="57">
                  <c:v>38.795989249113</c:v>
                </c:pt>
                <c:pt idx="58">
                  <c:v>41.262440124288</c:v>
                </c:pt>
                <c:pt idx="59">
                  <c:v>50.2227246389171</c:v>
                </c:pt>
                <c:pt idx="60">
                  <c:v>40.7673797299643</c:v>
                </c:pt>
              </c:numCache>
            </c:numRef>
          </c:val>
          <c:smooth val="1"/>
        </c:ser>
        <c:ser>
          <c:idx val="36"/>
          <c:order val="36"/>
          <c:spPr>
            <a:solidFill>
              <a:srgbClr val="98acce"/>
            </a:solidFill>
            <a:ln w="6120">
              <a:solidFill>
                <a:srgbClr val="98acce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Paths'!$B$47:$BJ$47</c:f>
              <c:numCache>
                <c:formatCode>\€0.00</c:formatCode>
                <c:ptCount val="61"/>
                <c:pt idx="0">
                  <c:v>11.5</c:v>
                </c:pt>
                <c:pt idx="1">
                  <c:v>13.2342291559824</c:v>
                </c:pt>
                <c:pt idx="2">
                  <c:v>12.8582944053998</c:v>
                </c:pt>
                <c:pt idx="3">
                  <c:v>12.4660889947212</c:v>
                </c:pt>
                <c:pt idx="4">
                  <c:v>11.2063489572733</c:v>
                </c:pt>
                <c:pt idx="5">
                  <c:v>9.12764488206537</c:v>
                </c:pt>
                <c:pt idx="6">
                  <c:v>8.75155874288972</c:v>
                </c:pt>
                <c:pt idx="7">
                  <c:v>8.11451787432934</c:v>
                </c:pt>
                <c:pt idx="8">
                  <c:v>8.56497005372047</c:v>
                </c:pt>
                <c:pt idx="9">
                  <c:v>7.286295000319</c:v>
                </c:pt>
                <c:pt idx="10">
                  <c:v>8.5237371854374</c:v>
                </c:pt>
                <c:pt idx="11">
                  <c:v>8.78022253382358</c:v>
                </c:pt>
                <c:pt idx="12">
                  <c:v>8.54310349975766</c:v>
                </c:pt>
                <c:pt idx="13">
                  <c:v>7.90203025854692</c:v>
                </c:pt>
                <c:pt idx="14">
                  <c:v>7.24696303116758</c:v>
                </c:pt>
                <c:pt idx="15">
                  <c:v>6.40086086238308</c:v>
                </c:pt>
                <c:pt idx="16">
                  <c:v>6.028719682887</c:v>
                </c:pt>
                <c:pt idx="17">
                  <c:v>6.03161643273327</c:v>
                </c:pt>
                <c:pt idx="18">
                  <c:v>5.9143141983429</c:v>
                </c:pt>
                <c:pt idx="19">
                  <c:v>5.06334723342836</c:v>
                </c:pt>
                <c:pt idx="20">
                  <c:v>4.91692826237273</c:v>
                </c:pt>
                <c:pt idx="21">
                  <c:v>4.45720362695671</c:v>
                </c:pt>
                <c:pt idx="22">
                  <c:v>4.53523440801263</c:v>
                </c:pt>
                <c:pt idx="23">
                  <c:v>5.56356626572357</c:v>
                </c:pt>
                <c:pt idx="24">
                  <c:v>5.95730869553742</c:v>
                </c:pt>
                <c:pt idx="25">
                  <c:v>5.75510511632476</c:v>
                </c:pt>
                <c:pt idx="26">
                  <c:v>4.81463334446626</c:v>
                </c:pt>
                <c:pt idx="27">
                  <c:v>4.12178442693082</c:v>
                </c:pt>
                <c:pt idx="28">
                  <c:v>3.42490973989661</c:v>
                </c:pt>
                <c:pt idx="29">
                  <c:v>3.70813116796612</c:v>
                </c:pt>
                <c:pt idx="30">
                  <c:v>3.40900076981411</c:v>
                </c:pt>
                <c:pt idx="31">
                  <c:v>3.43186181859272</c:v>
                </c:pt>
                <c:pt idx="32">
                  <c:v>3.2049188628386</c:v>
                </c:pt>
                <c:pt idx="33">
                  <c:v>3.23654818546262</c:v>
                </c:pt>
                <c:pt idx="34">
                  <c:v>3.77380282810887</c:v>
                </c:pt>
                <c:pt idx="35">
                  <c:v>3.50000242365932</c:v>
                </c:pt>
                <c:pt idx="36">
                  <c:v>3.37089639921907</c:v>
                </c:pt>
                <c:pt idx="37">
                  <c:v>3.0849708963291</c:v>
                </c:pt>
                <c:pt idx="38">
                  <c:v>3.39497616607968</c:v>
                </c:pt>
                <c:pt idx="39">
                  <c:v>3.03313206109294</c:v>
                </c:pt>
                <c:pt idx="40">
                  <c:v>2.67815488429543</c:v>
                </c:pt>
                <c:pt idx="41">
                  <c:v>2.29957174229454</c:v>
                </c:pt>
                <c:pt idx="42">
                  <c:v>1.97000264694326</c:v>
                </c:pt>
                <c:pt idx="43">
                  <c:v>2.07405792377283</c:v>
                </c:pt>
                <c:pt idx="44">
                  <c:v>2.74875438673896</c:v>
                </c:pt>
                <c:pt idx="45">
                  <c:v>2.46397321839212</c:v>
                </c:pt>
                <c:pt idx="46">
                  <c:v>2.7345670901104</c:v>
                </c:pt>
                <c:pt idx="47">
                  <c:v>2.81042405524697</c:v>
                </c:pt>
                <c:pt idx="48">
                  <c:v>2.48995334452937</c:v>
                </c:pt>
                <c:pt idx="49">
                  <c:v>2.41506850579088</c:v>
                </c:pt>
                <c:pt idx="50">
                  <c:v>2.35371319503154</c:v>
                </c:pt>
                <c:pt idx="51">
                  <c:v>2.18156654076674</c:v>
                </c:pt>
                <c:pt idx="52">
                  <c:v>2.69565386848633</c:v>
                </c:pt>
                <c:pt idx="53">
                  <c:v>2.18663233094866</c:v>
                </c:pt>
                <c:pt idx="54">
                  <c:v>2.27954910569322</c:v>
                </c:pt>
                <c:pt idx="55">
                  <c:v>2.3635421895837</c:v>
                </c:pt>
                <c:pt idx="56">
                  <c:v>2.2175349371949</c:v>
                </c:pt>
                <c:pt idx="57">
                  <c:v>2.25378901307567</c:v>
                </c:pt>
                <c:pt idx="58">
                  <c:v>2.48109429460687</c:v>
                </c:pt>
                <c:pt idx="59">
                  <c:v>2.52255151426083</c:v>
                </c:pt>
                <c:pt idx="60">
                  <c:v>2.64023178380346</c:v>
                </c:pt>
              </c:numCache>
            </c:numRef>
          </c:val>
          <c:smooth val="1"/>
        </c:ser>
        <c:ser>
          <c:idx val="37"/>
          <c:order val="37"/>
          <c:spPr>
            <a:solidFill>
              <a:srgbClr val="d09897"/>
            </a:solidFill>
            <a:ln w="6120">
              <a:solidFill>
                <a:srgbClr val="d0989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Paths'!$B$48:$BJ$48</c:f>
              <c:numCache>
                <c:formatCode>\€0.00</c:formatCode>
                <c:ptCount val="61"/>
                <c:pt idx="0">
                  <c:v>11.5</c:v>
                </c:pt>
                <c:pt idx="1">
                  <c:v>12.405919669088</c:v>
                </c:pt>
                <c:pt idx="2">
                  <c:v>9.92523877428259</c:v>
                </c:pt>
                <c:pt idx="3">
                  <c:v>11.6705728496431</c:v>
                </c:pt>
                <c:pt idx="4">
                  <c:v>14.9813978344454</c:v>
                </c:pt>
                <c:pt idx="5">
                  <c:v>16.6800899325699</c:v>
                </c:pt>
                <c:pt idx="6">
                  <c:v>18.6384745684615</c:v>
                </c:pt>
                <c:pt idx="7">
                  <c:v>15.9676499849062</c:v>
                </c:pt>
                <c:pt idx="8">
                  <c:v>15.7586635802839</c:v>
                </c:pt>
                <c:pt idx="9">
                  <c:v>14.4129706921797</c:v>
                </c:pt>
                <c:pt idx="10">
                  <c:v>13.5113763763881</c:v>
                </c:pt>
                <c:pt idx="11">
                  <c:v>15.0207008375218</c:v>
                </c:pt>
                <c:pt idx="12">
                  <c:v>13.7503028636503</c:v>
                </c:pt>
                <c:pt idx="13">
                  <c:v>13.5529719296217</c:v>
                </c:pt>
                <c:pt idx="14">
                  <c:v>10.9907916316976</c:v>
                </c:pt>
                <c:pt idx="15">
                  <c:v>10.7994479846277</c:v>
                </c:pt>
                <c:pt idx="16">
                  <c:v>10.9046163187663</c:v>
                </c:pt>
                <c:pt idx="17">
                  <c:v>10.0914630778443</c:v>
                </c:pt>
                <c:pt idx="18">
                  <c:v>9.32349346874148</c:v>
                </c:pt>
                <c:pt idx="19">
                  <c:v>11.4648765125047</c:v>
                </c:pt>
                <c:pt idx="20">
                  <c:v>10.0382222932643</c:v>
                </c:pt>
                <c:pt idx="21">
                  <c:v>8.94386333882428</c:v>
                </c:pt>
                <c:pt idx="22">
                  <c:v>8.18283480970657</c:v>
                </c:pt>
                <c:pt idx="23">
                  <c:v>9.33118133086582</c:v>
                </c:pt>
                <c:pt idx="24">
                  <c:v>11.7483199579996</c:v>
                </c:pt>
                <c:pt idx="25">
                  <c:v>12.1820731851956</c:v>
                </c:pt>
                <c:pt idx="26">
                  <c:v>11.2581781845654</c:v>
                </c:pt>
                <c:pt idx="27">
                  <c:v>10.7401678357738</c:v>
                </c:pt>
                <c:pt idx="28">
                  <c:v>12.068679451645</c:v>
                </c:pt>
                <c:pt idx="29">
                  <c:v>10.9188350489629</c:v>
                </c:pt>
                <c:pt idx="30">
                  <c:v>12.8031237587012</c:v>
                </c:pt>
                <c:pt idx="31">
                  <c:v>14.9528152434055</c:v>
                </c:pt>
                <c:pt idx="32">
                  <c:v>15.0656578111995</c:v>
                </c:pt>
                <c:pt idx="33">
                  <c:v>16.1692733170848</c:v>
                </c:pt>
                <c:pt idx="34">
                  <c:v>17.5521060184922</c:v>
                </c:pt>
                <c:pt idx="35">
                  <c:v>20.811008467173</c:v>
                </c:pt>
                <c:pt idx="36">
                  <c:v>18.5405112648852</c:v>
                </c:pt>
                <c:pt idx="37">
                  <c:v>21.1016002554916</c:v>
                </c:pt>
                <c:pt idx="38">
                  <c:v>20.2469533036446</c:v>
                </c:pt>
                <c:pt idx="39">
                  <c:v>18.6081612758594</c:v>
                </c:pt>
                <c:pt idx="40">
                  <c:v>18.8154763463328</c:v>
                </c:pt>
                <c:pt idx="41">
                  <c:v>18.3748628066457</c:v>
                </c:pt>
                <c:pt idx="42">
                  <c:v>16.4854087489927</c:v>
                </c:pt>
                <c:pt idx="43">
                  <c:v>13.8331889212074</c:v>
                </c:pt>
                <c:pt idx="44">
                  <c:v>12.472706843719</c:v>
                </c:pt>
                <c:pt idx="45">
                  <c:v>14.6242052527889</c:v>
                </c:pt>
                <c:pt idx="46">
                  <c:v>18.1338765678499</c:v>
                </c:pt>
                <c:pt idx="47">
                  <c:v>19.4707632737268</c:v>
                </c:pt>
                <c:pt idx="48">
                  <c:v>22.1718312649793</c:v>
                </c:pt>
                <c:pt idx="49">
                  <c:v>20.945932904316</c:v>
                </c:pt>
                <c:pt idx="50">
                  <c:v>20.7656024219169</c:v>
                </c:pt>
                <c:pt idx="51">
                  <c:v>21.4158835922947</c:v>
                </c:pt>
                <c:pt idx="52">
                  <c:v>19.0170472211157</c:v>
                </c:pt>
                <c:pt idx="53">
                  <c:v>17.0569714831665</c:v>
                </c:pt>
                <c:pt idx="54">
                  <c:v>17.2366113219569</c:v>
                </c:pt>
                <c:pt idx="55">
                  <c:v>16.6384472615519</c:v>
                </c:pt>
                <c:pt idx="56">
                  <c:v>14.8035093874296</c:v>
                </c:pt>
                <c:pt idx="57">
                  <c:v>15.4418627475133</c:v>
                </c:pt>
                <c:pt idx="58">
                  <c:v>14.9995172463099</c:v>
                </c:pt>
                <c:pt idx="59">
                  <c:v>16.7747317149162</c:v>
                </c:pt>
                <c:pt idx="60">
                  <c:v>16.7621271833258</c:v>
                </c:pt>
              </c:numCache>
            </c:numRef>
          </c:val>
          <c:smooth val="1"/>
        </c:ser>
        <c:ser>
          <c:idx val="38"/>
          <c:order val="38"/>
          <c:spPr>
            <a:solidFill>
              <a:srgbClr val="b9cc9b"/>
            </a:solidFill>
            <a:ln w="6120">
              <a:solidFill>
                <a:srgbClr val="b9cc9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Paths'!$B$49:$BJ$49</c:f>
              <c:numCache>
                <c:formatCode>\€0.00</c:formatCode>
                <c:ptCount val="61"/>
                <c:pt idx="0">
                  <c:v>11.5</c:v>
                </c:pt>
                <c:pt idx="1">
                  <c:v>11.1252924926804</c:v>
                </c:pt>
                <c:pt idx="2">
                  <c:v>11.2801336441297</c:v>
                </c:pt>
                <c:pt idx="3">
                  <c:v>11.0672884264865</c:v>
                </c:pt>
                <c:pt idx="4">
                  <c:v>10.2833706242359</c:v>
                </c:pt>
                <c:pt idx="5">
                  <c:v>9.83799134251744</c:v>
                </c:pt>
                <c:pt idx="6">
                  <c:v>10.6789755783817</c:v>
                </c:pt>
                <c:pt idx="7">
                  <c:v>11.4617365367224</c:v>
                </c:pt>
                <c:pt idx="8">
                  <c:v>13.19615700744</c:v>
                </c:pt>
                <c:pt idx="9">
                  <c:v>10.9575281396743</c:v>
                </c:pt>
                <c:pt idx="10">
                  <c:v>10.4931503459059</c:v>
                </c:pt>
                <c:pt idx="11">
                  <c:v>10.0247985417789</c:v>
                </c:pt>
                <c:pt idx="12">
                  <c:v>10.2136125702129</c:v>
                </c:pt>
                <c:pt idx="13">
                  <c:v>9.71759316611541</c:v>
                </c:pt>
                <c:pt idx="14">
                  <c:v>9.18397604997466</c:v>
                </c:pt>
                <c:pt idx="15">
                  <c:v>10.0058162326179</c:v>
                </c:pt>
                <c:pt idx="16">
                  <c:v>10.2013371014851</c:v>
                </c:pt>
                <c:pt idx="17">
                  <c:v>8.97451914786619</c:v>
                </c:pt>
                <c:pt idx="18">
                  <c:v>10.3874335565482</c:v>
                </c:pt>
                <c:pt idx="19">
                  <c:v>11.5854927753097</c:v>
                </c:pt>
                <c:pt idx="20">
                  <c:v>10.8765485857283</c:v>
                </c:pt>
                <c:pt idx="21">
                  <c:v>11.9128092265175</c:v>
                </c:pt>
                <c:pt idx="22">
                  <c:v>10.9878050007658</c:v>
                </c:pt>
                <c:pt idx="23">
                  <c:v>12.4296894517034</c:v>
                </c:pt>
                <c:pt idx="24">
                  <c:v>12.1339735820622</c:v>
                </c:pt>
                <c:pt idx="25">
                  <c:v>11.109014291851</c:v>
                </c:pt>
                <c:pt idx="26">
                  <c:v>10.6615656383002</c:v>
                </c:pt>
                <c:pt idx="27">
                  <c:v>9.80069199187678</c:v>
                </c:pt>
                <c:pt idx="28">
                  <c:v>10.0076191671555</c:v>
                </c:pt>
                <c:pt idx="29">
                  <c:v>10.1998378845642</c:v>
                </c:pt>
                <c:pt idx="30">
                  <c:v>10.2380989705777</c:v>
                </c:pt>
                <c:pt idx="31">
                  <c:v>9.62990948926065</c:v>
                </c:pt>
                <c:pt idx="32">
                  <c:v>6.44356813916403</c:v>
                </c:pt>
                <c:pt idx="33">
                  <c:v>6.50832976671666</c:v>
                </c:pt>
                <c:pt idx="34">
                  <c:v>5.28508738803923</c:v>
                </c:pt>
                <c:pt idx="35">
                  <c:v>5.42757499872143</c:v>
                </c:pt>
                <c:pt idx="36">
                  <c:v>6.14324608580562</c:v>
                </c:pt>
                <c:pt idx="37">
                  <c:v>6.32945577885517</c:v>
                </c:pt>
                <c:pt idx="38">
                  <c:v>6.06364480872889</c:v>
                </c:pt>
                <c:pt idx="39">
                  <c:v>5.94408012177147</c:v>
                </c:pt>
                <c:pt idx="40">
                  <c:v>5.85687357837926</c:v>
                </c:pt>
                <c:pt idx="41">
                  <c:v>5.51340663795746</c:v>
                </c:pt>
                <c:pt idx="42">
                  <c:v>5.17044971043704</c:v>
                </c:pt>
                <c:pt idx="43">
                  <c:v>4.67125669513277</c:v>
                </c:pt>
                <c:pt idx="44">
                  <c:v>5.32057884245659</c:v>
                </c:pt>
                <c:pt idx="45">
                  <c:v>5.31053523988972</c:v>
                </c:pt>
                <c:pt idx="46">
                  <c:v>5.89679491983582</c:v>
                </c:pt>
                <c:pt idx="47">
                  <c:v>5.73619385582528</c:v>
                </c:pt>
                <c:pt idx="48">
                  <c:v>5.78072506750742</c:v>
                </c:pt>
                <c:pt idx="49">
                  <c:v>5.67264441984636</c:v>
                </c:pt>
                <c:pt idx="50">
                  <c:v>5.96699578791881</c:v>
                </c:pt>
                <c:pt idx="51">
                  <c:v>6.53217084258504</c:v>
                </c:pt>
                <c:pt idx="52">
                  <c:v>6.70498155901032</c:v>
                </c:pt>
                <c:pt idx="53">
                  <c:v>6.2261123902947</c:v>
                </c:pt>
                <c:pt idx="54">
                  <c:v>5.71452137835046</c:v>
                </c:pt>
                <c:pt idx="55">
                  <c:v>6.85400050996931</c:v>
                </c:pt>
                <c:pt idx="56">
                  <c:v>6.64543396695811</c:v>
                </c:pt>
                <c:pt idx="57">
                  <c:v>6.43539847416107</c:v>
                </c:pt>
                <c:pt idx="58">
                  <c:v>7.5559602491569</c:v>
                </c:pt>
                <c:pt idx="59">
                  <c:v>8.5120939699983</c:v>
                </c:pt>
                <c:pt idx="60">
                  <c:v>9.02379357673303</c:v>
                </c:pt>
              </c:numCache>
            </c:numRef>
          </c:val>
          <c:smooth val="1"/>
        </c:ser>
        <c:ser>
          <c:idx val="39"/>
          <c:order val="39"/>
          <c:spPr>
            <a:solidFill>
              <a:srgbClr val="ac9fbe"/>
            </a:solidFill>
            <a:ln w="6120">
              <a:solidFill>
                <a:srgbClr val="ac9fbe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Paths'!$B$50:$BJ$50</c:f>
              <c:numCache>
                <c:formatCode>\€0.00</c:formatCode>
                <c:ptCount val="61"/>
                <c:pt idx="0">
                  <c:v>11.5</c:v>
                </c:pt>
                <c:pt idx="1">
                  <c:v>11.0050172182472</c:v>
                </c:pt>
                <c:pt idx="2">
                  <c:v>14.2435704191232</c:v>
                </c:pt>
                <c:pt idx="3">
                  <c:v>14.8682808541051</c:v>
                </c:pt>
                <c:pt idx="4">
                  <c:v>15.7848280594214</c:v>
                </c:pt>
                <c:pt idx="5">
                  <c:v>15.4884741399021</c:v>
                </c:pt>
                <c:pt idx="6">
                  <c:v>13.2602145031935</c:v>
                </c:pt>
                <c:pt idx="7">
                  <c:v>11.4520188458325</c:v>
                </c:pt>
                <c:pt idx="8">
                  <c:v>11.9726730078079</c:v>
                </c:pt>
                <c:pt idx="9">
                  <c:v>12.496215111173</c:v>
                </c:pt>
                <c:pt idx="10">
                  <c:v>12.1692890323098</c:v>
                </c:pt>
                <c:pt idx="11">
                  <c:v>10.6995585238335</c:v>
                </c:pt>
                <c:pt idx="12">
                  <c:v>9.13281756707445</c:v>
                </c:pt>
                <c:pt idx="13">
                  <c:v>8.80858515647421</c:v>
                </c:pt>
                <c:pt idx="14">
                  <c:v>7.50681508821956</c:v>
                </c:pt>
                <c:pt idx="15">
                  <c:v>8.28325382440967</c:v>
                </c:pt>
                <c:pt idx="16">
                  <c:v>9.39799043606102</c:v>
                </c:pt>
                <c:pt idx="17">
                  <c:v>12.8154034307456</c:v>
                </c:pt>
                <c:pt idx="18">
                  <c:v>14.1090001517819</c:v>
                </c:pt>
                <c:pt idx="19">
                  <c:v>13.2182177684146</c:v>
                </c:pt>
                <c:pt idx="20">
                  <c:v>12.0106533608086</c:v>
                </c:pt>
                <c:pt idx="21">
                  <c:v>8.2232707865374</c:v>
                </c:pt>
                <c:pt idx="22">
                  <c:v>7.70236493168023</c:v>
                </c:pt>
                <c:pt idx="23">
                  <c:v>7.552892922208</c:v>
                </c:pt>
                <c:pt idx="24">
                  <c:v>8.39731862274562</c:v>
                </c:pt>
                <c:pt idx="25">
                  <c:v>8.97838064927273</c:v>
                </c:pt>
                <c:pt idx="26">
                  <c:v>9.57519730880554</c:v>
                </c:pt>
                <c:pt idx="27">
                  <c:v>9.80043742110606</c:v>
                </c:pt>
                <c:pt idx="28">
                  <c:v>10.5354234086196</c:v>
                </c:pt>
                <c:pt idx="29">
                  <c:v>12.3463025721253</c:v>
                </c:pt>
                <c:pt idx="30">
                  <c:v>10.9831246921926</c:v>
                </c:pt>
                <c:pt idx="31">
                  <c:v>10.4438403827346</c:v>
                </c:pt>
                <c:pt idx="32">
                  <c:v>8.96664794854598</c:v>
                </c:pt>
                <c:pt idx="33">
                  <c:v>10.706917528348</c:v>
                </c:pt>
                <c:pt idx="34">
                  <c:v>12.3415148137759</c:v>
                </c:pt>
                <c:pt idx="35">
                  <c:v>13.4007196697083</c:v>
                </c:pt>
                <c:pt idx="36">
                  <c:v>11.7475901011832</c:v>
                </c:pt>
                <c:pt idx="37">
                  <c:v>11.9703916332294</c:v>
                </c:pt>
                <c:pt idx="38">
                  <c:v>11.6640769803658</c:v>
                </c:pt>
                <c:pt idx="39">
                  <c:v>11.7657984944317</c:v>
                </c:pt>
                <c:pt idx="40">
                  <c:v>11.5233757574958</c:v>
                </c:pt>
                <c:pt idx="41">
                  <c:v>12.1975040549587</c:v>
                </c:pt>
                <c:pt idx="42">
                  <c:v>11.6783352810499</c:v>
                </c:pt>
                <c:pt idx="43">
                  <c:v>12.8237066995382</c:v>
                </c:pt>
                <c:pt idx="44">
                  <c:v>13.1654028678525</c:v>
                </c:pt>
                <c:pt idx="45">
                  <c:v>12.74653685206</c:v>
                </c:pt>
                <c:pt idx="46">
                  <c:v>12.588785190184</c:v>
                </c:pt>
                <c:pt idx="47">
                  <c:v>11.9926276747472</c:v>
                </c:pt>
                <c:pt idx="48">
                  <c:v>13.1101801649179</c:v>
                </c:pt>
                <c:pt idx="49">
                  <c:v>12.7231986073792</c:v>
                </c:pt>
                <c:pt idx="50">
                  <c:v>13.1390947152073</c:v>
                </c:pt>
                <c:pt idx="51">
                  <c:v>12.5832095764982</c:v>
                </c:pt>
                <c:pt idx="52">
                  <c:v>10.6895803166422</c:v>
                </c:pt>
                <c:pt idx="53">
                  <c:v>11.8045217797946</c:v>
                </c:pt>
                <c:pt idx="54">
                  <c:v>10.5089418265126</c:v>
                </c:pt>
                <c:pt idx="55">
                  <c:v>11.3197023680626</c:v>
                </c:pt>
                <c:pt idx="56">
                  <c:v>11.8514563289968</c:v>
                </c:pt>
                <c:pt idx="57">
                  <c:v>9.88092634121154</c:v>
                </c:pt>
                <c:pt idx="58">
                  <c:v>8.90661824664145</c:v>
                </c:pt>
                <c:pt idx="59">
                  <c:v>8.41668649669915</c:v>
                </c:pt>
                <c:pt idx="60">
                  <c:v>7.69063189438833</c:v>
                </c:pt>
              </c:numCache>
            </c:numRef>
          </c:val>
          <c:smooth val="1"/>
        </c:ser>
        <c:ser>
          <c:idx val="40"/>
          <c:order val="40"/>
          <c:spPr>
            <a:solidFill>
              <a:srgbClr val="97c3d3"/>
            </a:solidFill>
            <a:ln w="6120">
              <a:solidFill>
                <a:srgbClr val="97c3d3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Paths'!$B$51:$BJ$51</c:f>
              <c:numCache>
                <c:formatCode>\€0.00</c:formatCode>
                <c:ptCount val="61"/>
                <c:pt idx="0">
                  <c:v>11.5</c:v>
                </c:pt>
                <c:pt idx="1">
                  <c:v>10.0995878804459</c:v>
                </c:pt>
                <c:pt idx="2">
                  <c:v>10.951727751799</c:v>
                </c:pt>
                <c:pt idx="3">
                  <c:v>10.6657852670015</c:v>
                </c:pt>
                <c:pt idx="4">
                  <c:v>11.1246856625296</c:v>
                </c:pt>
                <c:pt idx="5">
                  <c:v>10.6095861543639</c:v>
                </c:pt>
                <c:pt idx="6">
                  <c:v>10.96894507471</c:v>
                </c:pt>
                <c:pt idx="7">
                  <c:v>10.0995019290811</c:v>
                </c:pt>
                <c:pt idx="8">
                  <c:v>10.0683211676833</c:v>
                </c:pt>
                <c:pt idx="9">
                  <c:v>10.7299309366535</c:v>
                </c:pt>
                <c:pt idx="10">
                  <c:v>10.7811379287252</c:v>
                </c:pt>
                <c:pt idx="11">
                  <c:v>10.2519852472439</c:v>
                </c:pt>
                <c:pt idx="12">
                  <c:v>9.09827166992097</c:v>
                </c:pt>
                <c:pt idx="13">
                  <c:v>9.26542651316495</c:v>
                </c:pt>
                <c:pt idx="14">
                  <c:v>9.62097770912949</c:v>
                </c:pt>
                <c:pt idx="15">
                  <c:v>9.35042146299847</c:v>
                </c:pt>
                <c:pt idx="16">
                  <c:v>8.5921268224027</c:v>
                </c:pt>
                <c:pt idx="17">
                  <c:v>9.1173797285975</c:v>
                </c:pt>
                <c:pt idx="18">
                  <c:v>11.9679996189216</c:v>
                </c:pt>
                <c:pt idx="19">
                  <c:v>11.575305816789</c:v>
                </c:pt>
                <c:pt idx="20">
                  <c:v>12.0086814510106</c:v>
                </c:pt>
                <c:pt idx="21">
                  <c:v>12.5139649634244</c:v>
                </c:pt>
                <c:pt idx="22">
                  <c:v>9.44163854964805</c:v>
                </c:pt>
                <c:pt idx="23">
                  <c:v>9.56904566571484</c:v>
                </c:pt>
                <c:pt idx="24">
                  <c:v>8.85380651063219</c:v>
                </c:pt>
                <c:pt idx="25">
                  <c:v>10.3042830989665</c:v>
                </c:pt>
                <c:pt idx="26">
                  <c:v>10.0193171206668</c:v>
                </c:pt>
                <c:pt idx="27">
                  <c:v>9.19848330260644</c:v>
                </c:pt>
                <c:pt idx="28">
                  <c:v>8.97898327738742</c:v>
                </c:pt>
                <c:pt idx="29">
                  <c:v>9.14287141590439</c:v>
                </c:pt>
                <c:pt idx="30">
                  <c:v>8.59664019586115</c:v>
                </c:pt>
                <c:pt idx="31">
                  <c:v>8.54555439073263</c:v>
                </c:pt>
                <c:pt idx="32">
                  <c:v>7.36457392466059</c:v>
                </c:pt>
                <c:pt idx="33">
                  <c:v>7.18351154970936</c:v>
                </c:pt>
                <c:pt idx="34">
                  <c:v>7.82007107404973</c:v>
                </c:pt>
                <c:pt idx="35">
                  <c:v>9.70384032730337</c:v>
                </c:pt>
                <c:pt idx="36">
                  <c:v>10.483898753519</c:v>
                </c:pt>
                <c:pt idx="37">
                  <c:v>10.7993667852223</c:v>
                </c:pt>
                <c:pt idx="38">
                  <c:v>12.2945884242851</c:v>
                </c:pt>
                <c:pt idx="39">
                  <c:v>13.74628453508</c:v>
                </c:pt>
                <c:pt idx="40">
                  <c:v>16.4957544980455</c:v>
                </c:pt>
                <c:pt idx="41">
                  <c:v>18.5725247482027</c:v>
                </c:pt>
                <c:pt idx="42">
                  <c:v>18.3305810884793</c:v>
                </c:pt>
                <c:pt idx="43">
                  <c:v>18.8542478996569</c:v>
                </c:pt>
                <c:pt idx="44">
                  <c:v>19.2249377941532</c:v>
                </c:pt>
                <c:pt idx="45">
                  <c:v>19.8691559086406</c:v>
                </c:pt>
                <c:pt idx="46">
                  <c:v>20.3068805958111</c:v>
                </c:pt>
                <c:pt idx="47">
                  <c:v>18.6332328768753</c:v>
                </c:pt>
                <c:pt idx="48">
                  <c:v>14.7907467415667</c:v>
                </c:pt>
                <c:pt idx="49">
                  <c:v>13.7376138130529</c:v>
                </c:pt>
                <c:pt idx="50">
                  <c:v>10.9979102263786</c:v>
                </c:pt>
                <c:pt idx="51">
                  <c:v>11.0781735059301</c:v>
                </c:pt>
                <c:pt idx="52">
                  <c:v>11.0816558433275</c:v>
                </c:pt>
                <c:pt idx="53">
                  <c:v>9.21933617805396</c:v>
                </c:pt>
                <c:pt idx="54">
                  <c:v>9.94042104222109</c:v>
                </c:pt>
                <c:pt idx="55">
                  <c:v>10.9300665075939</c:v>
                </c:pt>
                <c:pt idx="56">
                  <c:v>11.0435733820562</c:v>
                </c:pt>
                <c:pt idx="57">
                  <c:v>13.2580189458357</c:v>
                </c:pt>
                <c:pt idx="58">
                  <c:v>16.276697676076</c:v>
                </c:pt>
                <c:pt idx="59">
                  <c:v>14.2571392195124</c:v>
                </c:pt>
                <c:pt idx="60">
                  <c:v>15.9713648926545</c:v>
                </c:pt>
              </c:numCache>
            </c:numRef>
          </c:val>
          <c:smooth val="1"/>
        </c:ser>
        <c:ser>
          <c:idx val="41"/>
          <c:order val="41"/>
          <c:spPr>
            <a:solidFill>
              <a:srgbClr val="f5b594"/>
            </a:solidFill>
            <a:ln w="6120">
              <a:solidFill>
                <a:srgbClr val="f5b59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Paths'!$B$52:$BJ$52</c:f>
              <c:numCache>
                <c:formatCode>\€0.00</c:formatCode>
                <c:ptCount val="61"/>
                <c:pt idx="0">
                  <c:v>11.5</c:v>
                </c:pt>
                <c:pt idx="1">
                  <c:v>12.0675881577334</c:v>
                </c:pt>
                <c:pt idx="2">
                  <c:v>12.6319345713043</c:v>
                </c:pt>
                <c:pt idx="3">
                  <c:v>13.9929052585693</c:v>
                </c:pt>
                <c:pt idx="4">
                  <c:v>12.929052018677</c:v>
                </c:pt>
                <c:pt idx="5">
                  <c:v>12.1134006003502</c:v>
                </c:pt>
                <c:pt idx="6">
                  <c:v>11.0612268252091</c:v>
                </c:pt>
                <c:pt idx="7">
                  <c:v>10.1802787647787</c:v>
                </c:pt>
                <c:pt idx="8">
                  <c:v>10.0690127530744</c:v>
                </c:pt>
                <c:pt idx="9">
                  <c:v>8.5850234516189</c:v>
                </c:pt>
                <c:pt idx="10">
                  <c:v>7.65319498704793</c:v>
                </c:pt>
                <c:pt idx="11">
                  <c:v>8.15223998422887</c:v>
                </c:pt>
                <c:pt idx="12">
                  <c:v>8.08754347773979</c:v>
                </c:pt>
                <c:pt idx="13">
                  <c:v>8.43298264162735</c:v>
                </c:pt>
                <c:pt idx="14">
                  <c:v>6.85324203196189</c:v>
                </c:pt>
                <c:pt idx="15">
                  <c:v>6.28743059257035</c:v>
                </c:pt>
                <c:pt idx="16">
                  <c:v>5.91470257887357</c:v>
                </c:pt>
                <c:pt idx="17">
                  <c:v>5.93476147250642</c:v>
                </c:pt>
                <c:pt idx="18">
                  <c:v>5.56407165512148</c:v>
                </c:pt>
                <c:pt idx="19">
                  <c:v>6.16271387715433</c:v>
                </c:pt>
                <c:pt idx="20">
                  <c:v>6.12232069208651</c:v>
                </c:pt>
                <c:pt idx="21">
                  <c:v>6.13263360995414</c:v>
                </c:pt>
                <c:pt idx="22">
                  <c:v>6.14062201042647</c:v>
                </c:pt>
                <c:pt idx="23">
                  <c:v>6.6353158508004</c:v>
                </c:pt>
                <c:pt idx="24">
                  <c:v>6.29961028195366</c:v>
                </c:pt>
                <c:pt idx="25">
                  <c:v>7.1236993711148</c:v>
                </c:pt>
                <c:pt idx="26">
                  <c:v>7.49106272860456</c:v>
                </c:pt>
                <c:pt idx="27">
                  <c:v>7.61732045208524</c:v>
                </c:pt>
                <c:pt idx="28">
                  <c:v>7.65087236942592</c:v>
                </c:pt>
                <c:pt idx="29">
                  <c:v>8.09876753595852</c:v>
                </c:pt>
                <c:pt idx="30">
                  <c:v>9.05134631274961</c:v>
                </c:pt>
                <c:pt idx="31">
                  <c:v>10.0387367882532</c:v>
                </c:pt>
                <c:pt idx="32">
                  <c:v>10.4593730411574</c:v>
                </c:pt>
                <c:pt idx="33">
                  <c:v>11.5131309824572</c:v>
                </c:pt>
                <c:pt idx="34">
                  <c:v>11.6614480178042</c:v>
                </c:pt>
                <c:pt idx="35">
                  <c:v>13.3764925872341</c:v>
                </c:pt>
                <c:pt idx="36">
                  <c:v>13.3350633256215</c:v>
                </c:pt>
                <c:pt idx="37">
                  <c:v>10.6182896350753</c:v>
                </c:pt>
                <c:pt idx="38">
                  <c:v>12.2945456585229</c:v>
                </c:pt>
                <c:pt idx="39">
                  <c:v>12.4385843262246</c:v>
                </c:pt>
                <c:pt idx="40">
                  <c:v>10.937056265115</c:v>
                </c:pt>
                <c:pt idx="41">
                  <c:v>10.6998410952029</c:v>
                </c:pt>
                <c:pt idx="42">
                  <c:v>9.70937644066866</c:v>
                </c:pt>
                <c:pt idx="43">
                  <c:v>12.2226948185086</c:v>
                </c:pt>
                <c:pt idx="44">
                  <c:v>12.9061693812332</c:v>
                </c:pt>
                <c:pt idx="45">
                  <c:v>10.8638406686474</c:v>
                </c:pt>
                <c:pt idx="46">
                  <c:v>11.5324977168777</c:v>
                </c:pt>
                <c:pt idx="47">
                  <c:v>11.0369110697841</c:v>
                </c:pt>
                <c:pt idx="48">
                  <c:v>13.6171005355296</c:v>
                </c:pt>
                <c:pt idx="49">
                  <c:v>12.129807771138</c:v>
                </c:pt>
                <c:pt idx="50">
                  <c:v>9.47816901056964</c:v>
                </c:pt>
                <c:pt idx="51">
                  <c:v>9.54515259331193</c:v>
                </c:pt>
                <c:pt idx="52">
                  <c:v>9.18592765677022</c:v>
                </c:pt>
                <c:pt idx="53">
                  <c:v>8.77398733071642</c:v>
                </c:pt>
                <c:pt idx="54">
                  <c:v>6.93597388473808</c:v>
                </c:pt>
                <c:pt idx="55">
                  <c:v>7.26710248831654</c:v>
                </c:pt>
                <c:pt idx="56">
                  <c:v>8.72973062425115</c:v>
                </c:pt>
                <c:pt idx="57">
                  <c:v>7.07901716502157</c:v>
                </c:pt>
                <c:pt idx="58">
                  <c:v>8.04805900823102</c:v>
                </c:pt>
                <c:pt idx="59">
                  <c:v>7.55992548959579</c:v>
                </c:pt>
                <c:pt idx="60">
                  <c:v>9.78015935518959</c:v>
                </c:pt>
              </c:numCache>
            </c:numRef>
          </c:val>
          <c:smooth val="1"/>
        </c:ser>
        <c:ser>
          <c:idx val="42"/>
          <c:order val="42"/>
          <c:spPr>
            <a:solidFill>
              <a:srgbClr val="b0bed7"/>
            </a:solidFill>
            <a:ln w="6120">
              <a:solidFill>
                <a:srgbClr val="b0bed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Paths'!$B$53:$BJ$53</c:f>
              <c:numCache>
                <c:formatCode>\€0.00</c:formatCode>
                <c:ptCount val="61"/>
                <c:pt idx="0">
                  <c:v>11.5</c:v>
                </c:pt>
                <c:pt idx="1">
                  <c:v>12.0611828539396</c:v>
                </c:pt>
                <c:pt idx="2">
                  <c:v>11.8130287559334</c:v>
                </c:pt>
                <c:pt idx="3">
                  <c:v>13.3334549720695</c:v>
                </c:pt>
                <c:pt idx="4">
                  <c:v>14.1228840187438</c:v>
                </c:pt>
                <c:pt idx="5">
                  <c:v>13.2317964000179</c:v>
                </c:pt>
                <c:pt idx="6">
                  <c:v>14.3012617427824</c:v>
                </c:pt>
                <c:pt idx="7">
                  <c:v>13.5196320923434</c:v>
                </c:pt>
                <c:pt idx="8">
                  <c:v>11.1091441118267</c:v>
                </c:pt>
                <c:pt idx="9">
                  <c:v>13.8799296503293</c:v>
                </c:pt>
                <c:pt idx="10">
                  <c:v>13.3552890889333</c:v>
                </c:pt>
                <c:pt idx="11">
                  <c:v>12.4899263076984</c:v>
                </c:pt>
                <c:pt idx="12">
                  <c:v>12.9603634283332</c:v>
                </c:pt>
                <c:pt idx="13">
                  <c:v>10.9203297161029</c:v>
                </c:pt>
                <c:pt idx="14">
                  <c:v>9.41175952677776</c:v>
                </c:pt>
                <c:pt idx="15">
                  <c:v>8.90815427346585</c:v>
                </c:pt>
                <c:pt idx="16">
                  <c:v>8.41294881663296</c:v>
                </c:pt>
                <c:pt idx="17">
                  <c:v>8.47800121828874</c:v>
                </c:pt>
                <c:pt idx="18">
                  <c:v>9.58723084618266</c:v>
                </c:pt>
                <c:pt idx="19">
                  <c:v>9.09977452235805</c:v>
                </c:pt>
                <c:pt idx="20">
                  <c:v>9.60347099389714</c:v>
                </c:pt>
                <c:pt idx="21">
                  <c:v>10.2566745945542</c:v>
                </c:pt>
                <c:pt idx="22">
                  <c:v>9.1050209101914</c:v>
                </c:pt>
                <c:pt idx="23">
                  <c:v>9.33437181581891</c:v>
                </c:pt>
                <c:pt idx="24">
                  <c:v>8.41581595738805</c:v>
                </c:pt>
                <c:pt idx="25">
                  <c:v>9.45586777411696</c:v>
                </c:pt>
                <c:pt idx="26">
                  <c:v>9.93808090419469</c:v>
                </c:pt>
                <c:pt idx="27">
                  <c:v>9.95426442849073</c:v>
                </c:pt>
                <c:pt idx="28">
                  <c:v>8.59222118192523</c:v>
                </c:pt>
                <c:pt idx="29">
                  <c:v>8.70064926444225</c:v>
                </c:pt>
                <c:pt idx="30">
                  <c:v>7.99706056483908</c:v>
                </c:pt>
                <c:pt idx="31">
                  <c:v>8.63939345451729</c:v>
                </c:pt>
                <c:pt idx="32">
                  <c:v>8.52548010789188</c:v>
                </c:pt>
                <c:pt idx="33">
                  <c:v>7.79719933030561</c:v>
                </c:pt>
                <c:pt idx="34">
                  <c:v>8.62881683866663</c:v>
                </c:pt>
                <c:pt idx="35">
                  <c:v>9.33783075612303</c:v>
                </c:pt>
                <c:pt idx="36">
                  <c:v>8.74785034627628</c:v>
                </c:pt>
                <c:pt idx="37">
                  <c:v>9.93531029197049</c:v>
                </c:pt>
                <c:pt idx="38">
                  <c:v>9.61360139422309</c:v>
                </c:pt>
                <c:pt idx="39">
                  <c:v>9.2913393020695</c:v>
                </c:pt>
                <c:pt idx="40">
                  <c:v>9.41665493532338</c:v>
                </c:pt>
                <c:pt idx="41">
                  <c:v>8.66884239067844</c:v>
                </c:pt>
                <c:pt idx="42">
                  <c:v>8.25736521593111</c:v>
                </c:pt>
                <c:pt idx="43">
                  <c:v>8.11178707854096</c:v>
                </c:pt>
                <c:pt idx="44">
                  <c:v>9.5926927224985</c:v>
                </c:pt>
                <c:pt idx="45">
                  <c:v>11.3058999076017</c:v>
                </c:pt>
                <c:pt idx="46">
                  <c:v>10.9873455238282</c:v>
                </c:pt>
                <c:pt idx="47">
                  <c:v>13.1079686122655</c:v>
                </c:pt>
                <c:pt idx="48">
                  <c:v>13.0434826571748</c:v>
                </c:pt>
                <c:pt idx="49">
                  <c:v>13.597060779527</c:v>
                </c:pt>
                <c:pt idx="50">
                  <c:v>14.9781992103131</c:v>
                </c:pt>
                <c:pt idx="51">
                  <c:v>15.4629843887247</c:v>
                </c:pt>
                <c:pt idx="52">
                  <c:v>20.1499717973893</c:v>
                </c:pt>
                <c:pt idx="53">
                  <c:v>20.6913100303439</c:v>
                </c:pt>
                <c:pt idx="54">
                  <c:v>18.1407187008758</c:v>
                </c:pt>
                <c:pt idx="55">
                  <c:v>20.9299551535417</c:v>
                </c:pt>
                <c:pt idx="56">
                  <c:v>20.001276896538</c:v>
                </c:pt>
                <c:pt idx="57">
                  <c:v>19.3411200598254</c:v>
                </c:pt>
                <c:pt idx="58">
                  <c:v>13.9276193422349</c:v>
                </c:pt>
                <c:pt idx="59">
                  <c:v>15.5412105255106</c:v>
                </c:pt>
                <c:pt idx="60">
                  <c:v>16.9979535030743</c:v>
                </c:pt>
              </c:numCache>
            </c:numRef>
          </c:val>
          <c:smooth val="1"/>
        </c:ser>
        <c:ser>
          <c:idx val="43"/>
          <c:order val="43"/>
          <c:spPr>
            <a:solidFill>
              <a:srgbClr val="d9b0b0"/>
            </a:solidFill>
            <a:ln w="6120">
              <a:solidFill>
                <a:srgbClr val="d9b0b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Paths'!$B$54:$BJ$54</c:f>
              <c:numCache>
                <c:formatCode>\€0.00</c:formatCode>
                <c:ptCount val="61"/>
                <c:pt idx="0">
                  <c:v>11.5</c:v>
                </c:pt>
                <c:pt idx="1">
                  <c:v>12.5511636521078</c:v>
                </c:pt>
                <c:pt idx="2">
                  <c:v>13.9706374437178</c:v>
                </c:pt>
                <c:pt idx="3">
                  <c:v>16.8150002260454</c:v>
                </c:pt>
                <c:pt idx="4">
                  <c:v>16.727294410932</c:v>
                </c:pt>
                <c:pt idx="5">
                  <c:v>18.5359435913099</c:v>
                </c:pt>
                <c:pt idx="6">
                  <c:v>17.080402413943</c:v>
                </c:pt>
                <c:pt idx="7">
                  <c:v>16.427186005394</c:v>
                </c:pt>
                <c:pt idx="8">
                  <c:v>18.4428591316128</c:v>
                </c:pt>
                <c:pt idx="9">
                  <c:v>19.2478402261447</c:v>
                </c:pt>
                <c:pt idx="10">
                  <c:v>16.6256133183379</c:v>
                </c:pt>
                <c:pt idx="11">
                  <c:v>17.2946590883272</c:v>
                </c:pt>
                <c:pt idx="12">
                  <c:v>16.9479967848911</c:v>
                </c:pt>
                <c:pt idx="13">
                  <c:v>15.4894855332794</c:v>
                </c:pt>
                <c:pt idx="14">
                  <c:v>16.2422829296835</c:v>
                </c:pt>
                <c:pt idx="15">
                  <c:v>15.5344740439813</c:v>
                </c:pt>
                <c:pt idx="16">
                  <c:v>13.0736800192163</c:v>
                </c:pt>
                <c:pt idx="17">
                  <c:v>11.5712990820013</c:v>
                </c:pt>
                <c:pt idx="18">
                  <c:v>14.0471051803358</c:v>
                </c:pt>
                <c:pt idx="19">
                  <c:v>11.8941957247085</c:v>
                </c:pt>
                <c:pt idx="20">
                  <c:v>12.1862446150967</c:v>
                </c:pt>
                <c:pt idx="21">
                  <c:v>13.0272787134945</c:v>
                </c:pt>
                <c:pt idx="22">
                  <c:v>13.9709339097542</c:v>
                </c:pt>
                <c:pt idx="23">
                  <c:v>12.2113478897796</c:v>
                </c:pt>
                <c:pt idx="24">
                  <c:v>11.7859802740715</c:v>
                </c:pt>
                <c:pt idx="25">
                  <c:v>11.96729819505</c:v>
                </c:pt>
                <c:pt idx="26">
                  <c:v>13.0628802863195</c:v>
                </c:pt>
                <c:pt idx="27">
                  <c:v>12.1683866447173</c:v>
                </c:pt>
                <c:pt idx="28">
                  <c:v>10.7084040257365</c:v>
                </c:pt>
                <c:pt idx="29">
                  <c:v>11.9511133126771</c:v>
                </c:pt>
                <c:pt idx="30">
                  <c:v>13.4889745045922</c:v>
                </c:pt>
                <c:pt idx="31">
                  <c:v>14.0452603627214</c:v>
                </c:pt>
                <c:pt idx="32">
                  <c:v>13.1355174003809</c:v>
                </c:pt>
                <c:pt idx="33">
                  <c:v>13.7323838853539</c:v>
                </c:pt>
                <c:pt idx="34">
                  <c:v>13.8954924664194</c:v>
                </c:pt>
                <c:pt idx="35">
                  <c:v>15.2299844841857</c:v>
                </c:pt>
                <c:pt idx="36">
                  <c:v>13.2773480682963</c:v>
                </c:pt>
                <c:pt idx="37">
                  <c:v>13.4452986589511</c:v>
                </c:pt>
                <c:pt idx="38">
                  <c:v>13.2103077355556</c:v>
                </c:pt>
                <c:pt idx="39">
                  <c:v>11.6941136015381</c:v>
                </c:pt>
                <c:pt idx="40">
                  <c:v>11.9718509509436</c:v>
                </c:pt>
                <c:pt idx="41">
                  <c:v>12.0155923992361</c:v>
                </c:pt>
                <c:pt idx="42">
                  <c:v>11.4845988698982</c:v>
                </c:pt>
                <c:pt idx="43">
                  <c:v>11.9923214256439</c:v>
                </c:pt>
                <c:pt idx="44">
                  <c:v>10.2619829555904</c:v>
                </c:pt>
                <c:pt idx="45">
                  <c:v>10.1999053267107</c:v>
                </c:pt>
                <c:pt idx="46">
                  <c:v>10.6922561090096</c:v>
                </c:pt>
                <c:pt idx="47">
                  <c:v>11.0286032958048</c:v>
                </c:pt>
                <c:pt idx="48">
                  <c:v>12.4085937806611</c:v>
                </c:pt>
                <c:pt idx="49">
                  <c:v>10.874798402842</c:v>
                </c:pt>
                <c:pt idx="50">
                  <c:v>9.2152104043989</c:v>
                </c:pt>
                <c:pt idx="51">
                  <c:v>9.45834099462741</c:v>
                </c:pt>
                <c:pt idx="52">
                  <c:v>9.94074856625781</c:v>
                </c:pt>
                <c:pt idx="53">
                  <c:v>12.5409131574264</c:v>
                </c:pt>
                <c:pt idx="54">
                  <c:v>13.4160705187641</c:v>
                </c:pt>
                <c:pt idx="55">
                  <c:v>12.1873780898587</c:v>
                </c:pt>
                <c:pt idx="56">
                  <c:v>13.3116046130907</c:v>
                </c:pt>
                <c:pt idx="57">
                  <c:v>12.1301020750451</c:v>
                </c:pt>
                <c:pt idx="58">
                  <c:v>10.3038305676537</c:v>
                </c:pt>
                <c:pt idx="59">
                  <c:v>13.7157082093688</c:v>
                </c:pt>
                <c:pt idx="60">
                  <c:v>14.2121942727883</c:v>
                </c:pt>
              </c:numCache>
            </c:numRef>
          </c:val>
          <c:smooth val="1"/>
        </c:ser>
        <c:ser>
          <c:idx val="44"/>
          <c:order val="44"/>
          <c:spPr>
            <a:solidFill>
              <a:srgbClr val="c7d6b1"/>
            </a:solidFill>
            <a:ln w="6120">
              <a:solidFill>
                <a:srgbClr val="c7d6b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Paths'!$B$55:$BJ$55</c:f>
              <c:numCache>
                <c:formatCode>\€0.00</c:formatCode>
                <c:ptCount val="61"/>
                <c:pt idx="0">
                  <c:v>11.5</c:v>
                </c:pt>
                <c:pt idx="1">
                  <c:v>12.435948121945</c:v>
                </c:pt>
                <c:pt idx="2">
                  <c:v>13.2265676339752</c:v>
                </c:pt>
                <c:pt idx="3">
                  <c:v>16.1322882581023</c:v>
                </c:pt>
                <c:pt idx="4">
                  <c:v>16.6399248182372</c:v>
                </c:pt>
                <c:pt idx="5">
                  <c:v>19.014443192987</c:v>
                </c:pt>
                <c:pt idx="6">
                  <c:v>16.9849223464274</c:v>
                </c:pt>
                <c:pt idx="7">
                  <c:v>14.5767448024396</c:v>
                </c:pt>
                <c:pt idx="8">
                  <c:v>17.0428794303243</c:v>
                </c:pt>
                <c:pt idx="9">
                  <c:v>20.0321038473797</c:v>
                </c:pt>
                <c:pt idx="10">
                  <c:v>21.1825495051712</c:v>
                </c:pt>
                <c:pt idx="11">
                  <c:v>21.7104364780946</c:v>
                </c:pt>
                <c:pt idx="12">
                  <c:v>22.1057720819832</c:v>
                </c:pt>
                <c:pt idx="13">
                  <c:v>20.4947034801106</c:v>
                </c:pt>
                <c:pt idx="14">
                  <c:v>24.2584842869149</c:v>
                </c:pt>
                <c:pt idx="15">
                  <c:v>26.0719505109722</c:v>
                </c:pt>
                <c:pt idx="16">
                  <c:v>27.5546909769581</c:v>
                </c:pt>
                <c:pt idx="17">
                  <c:v>28.7101036339437</c:v>
                </c:pt>
                <c:pt idx="18">
                  <c:v>32.2016660816757</c:v>
                </c:pt>
                <c:pt idx="19">
                  <c:v>34.0296498582202</c:v>
                </c:pt>
                <c:pt idx="20">
                  <c:v>36.9221728934442</c:v>
                </c:pt>
                <c:pt idx="21">
                  <c:v>32.4727489309271</c:v>
                </c:pt>
                <c:pt idx="22">
                  <c:v>34.3350524867791</c:v>
                </c:pt>
                <c:pt idx="23">
                  <c:v>43.6372830086378</c:v>
                </c:pt>
                <c:pt idx="24">
                  <c:v>41.2169006061742</c:v>
                </c:pt>
                <c:pt idx="25">
                  <c:v>40.6310667646187</c:v>
                </c:pt>
                <c:pt idx="26">
                  <c:v>44.7993119298991</c:v>
                </c:pt>
                <c:pt idx="27">
                  <c:v>49.7505890099338</c:v>
                </c:pt>
                <c:pt idx="28">
                  <c:v>53.2680368822781</c:v>
                </c:pt>
                <c:pt idx="29">
                  <c:v>44.5988451278651</c:v>
                </c:pt>
                <c:pt idx="30">
                  <c:v>47.1136473688156</c:v>
                </c:pt>
                <c:pt idx="31">
                  <c:v>41.3691058525161</c:v>
                </c:pt>
                <c:pt idx="32">
                  <c:v>37.7839374570974</c:v>
                </c:pt>
                <c:pt idx="33">
                  <c:v>40.1178091500893</c:v>
                </c:pt>
                <c:pt idx="34">
                  <c:v>38.8297278414822</c:v>
                </c:pt>
                <c:pt idx="35">
                  <c:v>42.4283021332873</c:v>
                </c:pt>
                <c:pt idx="36">
                  <c:v>59.917718469838</c:v>
                </c:pt>
                <c:pt idx="37">
                  <c:v>65.2380508062389</c:v>
                </c:pt>
                <c:pt idx="38">
                  <c:v>70.6087454258781</c:v>
                </c:pt>
                <c:pt idx="39">
                  <c:v>63.9890811116262</c:v>
                </c:pt>
                <c:pt idx="40">
                  <c:v>59.6204218895956</c:v>
                </c:pt>
                <c:pt idx="41">
                  <c:v>53.0446913187859</c:v>
                </c:pt>
                <c:pt idx="42">
                  <c:v>50.025232638628</c:v>
                </c:pt>
                <c:pt idx="43">
                  <c:v>44.3708517764058</c:v>
                </c:pt>
                <c:pt idx="44">
                  <c:v>41.2657851258928</c:v>
                </c:pt>
                <c:pt idx="45">
                  <c:v>40.3243018380296</c:v>
                </c:pt>
                <c:pt idx="46">
                  <c:v>36.1259511199755</c:v>
                </c:pt>
                <c:pt idx="47">
                  <c:v>30.9124211969931</c:v>
                </c:pt>
                <c:pt idx="48">
                  <c:v>26.6190439374769</c:v>
                </c:pt>
                <c:pt idx="49">
                  <c:v>27.9729268528284</c:v>
                </c:pt>
                <c:pt idx="50">
                  <c:v>28.1517015733539</c:v>
                </c:pt>
                <c:pt idx="51">
                  <c:v>31.499339639261</c:v>
                </c:pt>
                <c:pt idx="52">
                  <c:v>35.3166536894481</c:v>
                </c:pt>
                <c:pt idx="53">
                  <c:v>34.0150944440902</c:v>
                </c:pt>
                <c:pt idx="54">
                  <c:v>36.6027185961445</c:v>
                </c:pt>
                <c:pt idx="55">
                  <c:v>31.2468648730178</c:v>
                </c:pt>
                <c:pt idx="56">
                  <c:v>40.1320602336746</c:v>
                </c:pt>
                <c:pt idx="57">
                  <c:v>45.7468948580938</c:v>
                </c:pt>
                <c:pt idx="58">
                  <c:v>44.6722347590697</c:v>
                </c:pt>
                <c:pt idx="59">
                  <c:v>39.3135743580231</c:v>
                </c:pt>
                <c:pt idx="60">
                  <c:v>40.9796887495629</c:v>
                </c:pt>
              </c:numCache>
            </c:numRef>
          </c:val>
          <c:smooth val="1"/>
        </c:ser>
        <c:ser>
          <c:idx val="45"/>
          <c:order val="45"/>
          <c:spPr>
            <a:solidFill>
              <a:srgbClr val="bdb4cb"/>
            </a:solidFill>
            <a:ln w="6120">
              <a:solidFill>
                <a:srgbClr val="bdb4c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Paths'!$B$56:$BJ$56</c:f>
              <c:numCache>
                <c:formatCode>\€0.00</c:formatCode>
                <c:ptCount val="61"/>
                <c:pt idx="0">
                  <c:v>11.5</c:v>
                </c:pt>
                <c:pt idx="1">
                  <c:v>9.36540972467566</c:v>
                </c:pt>
                <c:pt idx="2">
                  <c:v>8.59648125122675</c:v>
                </c:pt>
                <c:pt idx="3">
                  <c:v>9.33065999369884</c:v>
                </c:pt>
                <c:pt idx="4">
                  <c:v>9.40648093612163</c:v>
                </c:pt>
                <c:pt idx="5">
                  <c:v>8.91164137737485</c:v>
                </c:pt>
                <c:pt idx="6">
                  <c:v>9.88944435442931</c:v>
                </c:pt>
                <c:pt idx="7">
                  <c:v>8.8228951041496</c:v>
                </c:pt>
                <c:pt idx="8">
                  <c:v>9.10111926025441</c:v>
                </c:pt>
                <c:pt idx="9">
                  <c:v>8.61580016317733</c:v>
                </c:pt>
                <c:pt idx="10">
                  <c:v>7.84958603420155</c:v>
                </c:pt>
                <c:pt idx="11">
                  <c:v>8.25740504733297</c:v>
                </c:pt>
                <c:pt idx="12">
                  <c:v>7.4039348568114</c:v>
                </c:pt>
                <c:pt idx="13">
                  <c:v>9.1200182998463</c:v>
                </c:pt>
                <c:pt idx="14">
                  <c:v>8.55184505836642</c:v>
                </c:pt>
                <c:pt idx="15">
                  <c:v>10.6359536142488</c:v>
                </c:pt>
                <c:pt idx="16">
                  <c:v>9.43146987006884</c:v>
                </c:pt>
                <c:pt idx="17">
                  <c:v>10.0778445314513</c:v>
                </c:pt>
                <c:pt idx="18">
                  <c:v>8.8336364079231</c:v>
                </c:pt>
                <c:pt idx="19">
                  <c:v>7.62374315957634</c:v>
                </c:pt>
                <c:pt idx="20">
                  <c:v>7.75705901446433</c:v>
                </c:pt>
                <c:pt idx="21">
                  <c:v>8.35404458409829</c:v>
                </c:pt>
                <c:pt idx="22">
                  <c:v>7.26290740982995</c:v>
                </c:pt>
                <c:pt idx="23">
                  <c:v>8.2688358751481</c:v>
                </c:pt>
                <c:pt idx="24">
                  <c:v>7.57472115774325</c:v>
                </c:pt>
                <c:pt idx="25">
                  <c:v>7.68313666006032</c:v>
                </c:pt>
                <c:pt idx="26">
                  <c:v>8.00851203847556</c:v>
                </c:pt>
                <c:pt idx="27">
                  <c:v>8.54679344549056</c:v>
                </c:pt>
                <c:pt idx="28">
                  <c:v>7.0157599915999</c:v>
                </c:pt>
                <c:pt idx="29">
                  <c:v>8.37730655557027</c:v>
                </c:pt>
                <c:pt idx="30">
                  <c:v>8.90817934117623</c:v>
                </c:pt>
                <c:pt idx="31">
                  <c:v>8.50029111229447</c:v>
                </c:pt>
                <c:pt idx="32">
                  <c:v>7.59561363285161</c:v>
                </c:pt>
                <c:pt idx="33">
                  <c:v>6.30632936145674</c:v>
                </c:pt>
                <c:pt idx="34">
                  <c:v>5.4304772684414</c:v>
                </c:pt>
                <c:pt idx="35">
                  <c:v>5.76394169797732</c:v>
                </c:pt>
                <c:pt idx="36">
                  <c:v>5.55125299319288</c:v>
                </c:pt>
                <c:pt idx="37">
                  <c:v>4.90236105109111</c:v>
                </c:pt>
                <c:pt idx="38">
                  <c:v>4.62617621088098</c:v>
                </c:pt>
                <c:pt idx="39">
                  <c:v>5.49108063133276</c:v>
                </c:pt>
                <c:pt idx="40">
                  <c:v>5.29449627857359</c:v>
                </c:pt>
                <c:pt idx="41">
                  <c:v>4.96479770678464</c:v>
                </c:pt>
                <c:pt idx="42">
                  <c:v>5.75659438428496</c:v>
                </c:pt>
                <c:pt idx="43">
                  <c:v>6.05467462777553</c:v>
                </c:pt>
                <c:pt idx="44">
                  <c:v>6.08304115162802</c:v>
                </c:pt>
                <c:pt idx="45">
                  <c:v>5.68965634181369</c:v>
                </c:pt>
                <c:pt idx="46">
                  <c:v>4.79787162156297</c:v>
                </c:pt>
                <c:pt idx="47">
                  <c:v>4.21894288926261</c:v>
                </c:pt>
                <c:pt idx="48">
                  <c:v>4.00160800829989</c:v>
                </c:pt>
                <c:pt idx="49">
                  <c:v>3.90563650404318</c:v>
                </c:pt>
                <c:pt idx="50">
                  <c:v>4.06054005727265</c:v>
                </c:pt>
                <c:pt idx="51">
                  <c:v>4.31311050235077</c:v>
                </c:pt>
                <c:pt idx="52">
                  <c:v>4.41907205181436</c:v>
                </c:pt>
                <c:pt idx="53">
                  <c:v>4.52638881518451</c:v>
                </c:pt>
                <c:pt idx="54">
                  <c:v>4.05203463243209</c:v>
                </c:pt>
                <c:pt idx="55">
                  <c:v>3.198450949057</c:v>
                </c:pt>
                <c:pt idx="56">
                  <c:v>3.02026627869728</c:v>
                </c:pt>
                <c:pt idx="57">
                  <c:v>2.71962713138653</c:v>
                </c:pt>
                <c:pt idx="58">
                  <c:v>2.531268416878</c:v>
                </c:pt>
                <c:pt idx="59">
                  <c:v>2.45571895108334</c:v>
                </c:pt>
                <c:pt idx="60">
                  <c:v>2.14216463540514</c:v>
                </c:pt>
              </c:numCache>
            </c:numRef>
          </c:val>
          <c:smooth val="1"/>
        </c:ser>
        <c:ser>
          <c:idx val="46"/>
          <c:order val="46"/>
          <c:spPr>
            <a:solidFill>
              <a:srgbClr val="b0cfdc"/>
            </a:solidFill>
            <a:ln w="6120">
              <a:solidFill>
                <a:srgbClr val="b0cfdc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Paths'!$B$57:$BJ$57</c:f>
              <c:numCache>
                <c:formatCode>\€0.00</c:formatCode>
                <c:ptCount val="61"/>
                <c:pt idx="0">
                  <c:v>11.5</c:v>
                </c:pt>
                <c:pt idx="1">
                  <c:v>10.1791808243196</c:v>
                </c:pt>
                <c:pt idx="2">
                  <c:v>10.0659331728753</c:v>
                </c:pt>
                <c:pt idx="3">
                  <c:v>10.1927131014202</c:v>
                </c:pt>
                <c:pt idx="4">
                  <c:v>9.4832679865592</c:v>
                </c:pt>
                <c:pt idx="5">
                  <c:v>10.0142171807169</c:v>
                </c:pt>
                <c:pt idx="6">
                  <c:v>9.77422719069206</c:v>
                </c:pt>
                <c:pt idx="7">
                  <c:v>8.73802997956224</c:v>
                </c:pt>
                <c:pt idx="8">
                  <c:v>8.77554996909121</c:v>
                </c:pt>
                <c:pt idx="9">
                  <c:v>10.7863385755162</c:v>
                </c:pt>
                <c:pt idx="10">
                  <c:v>10.0147597209389</c:v>
                </c:pt>
                <c:pt idx="11">
                  <c:v>11.3793254526029</c:v>
                </c:pt>
                <c:pt idx="12">
                  <c:v>13.2335077952779</c:v>
                </c:pt>
                <c:pt idx="13">
                  <c:v>15.5944005361114</c:v>
                </c:pt>
                <c:pt idx="14">
                  <c:v>14.2461845564562</c:v>
                </c:pt>
                <c:pt idx="15">
                  <c:v>17.7677560480043</c:v>
                </c:pt>
                <c:pt idx="16">
                  <c:v>17.9926826826264</c:v>
                </c:pt>
                <c:pt idx="17">
                  <c:v>17.4954711585123</c:v>
                </c:pt>
                <c:pt idx="18">
                  <c:v>17.0558005029152</c:v>
                </c:pt>
                <c:pt idx="19">
                  <c:v>18.215949574545</c:v>
                </c:pt>
                <c:pt idx="20">
                  <c:v>18.3150429486825</c:v>
                </c:pt>
                <c:pt idx="21">
                  <c:v>17.9597735121383</c:v>
                </c:pt>
                <c:pt idx="22">
                  <c:v>20.6715094250871</c:v>
                </c:pt>
                <c:pt idx="23">
                  <c:v>19.0923644917683</c:v>
                </c:pt>
                <c:pt idx="24">
                  <c:v>17.0248810561098</c:v>
                </c:pt>
                <c:pt idx="25">
                  <c:v>18.5689981937132</c:v>
                </c:pt>
                <c:pt idx="26">
                  <c:v>20.0552767580481</c:v>
                </c:pt>
                <c:pt idx="27">
                  <c:v>22.6082419630412</c:v>
                </c:pt>
                <c:pt idx="28">
                  <c:v>20.0958751847105</c:v>
                </c:pt>
                <c:pt idx="29">
                  <c:v>22.6227527679687</c:v>
                </c:pt>
                <c:pt idx="30">
                  <c:v>23.8467729726604</c:v>
                </c:pt>
                <c:pt idx="31">
                  <c:v>28.9281166356305</c:v>
                </c:pt>
                <c:pt idx="32">
                  <c:v>25.2215258828782</c:v>
                </c:pt>
                <c:pt idx="33">
                  <c:v>25.8278847312424</c:v>
                </c:pt>
                <c:pt idx="34">
                  <c:v>25.0487315583626</c:v>
                </c:pt>
                <c:pt idx="35">
                  <c:v>21.0362684633316</c:v>
                </c:pt>
                <c:pt idx="36">
                  <c:v>19.4460495810312</c:v>
                </c:pt>
                <c:pt idx="37">
                  <c:v>22.0011705777999</c:v>
                </c:pt>
                <c:pt idx="38">
                  <c:v>20.8941446139292</c:v>
                </c:pt>
                <c:pt idx="39">
                  <c:v>19.2983416212076</c:v>
                </c:pt>
                <c:pt idx="40">
                  <c:v>21.22290457644</c:v>
                </c:pt>
                <c:pt idx="41">
                  <c:v>23.6502581494066</c:v>
                </c:pt>
                <c:pt idx="42">
                  <c:v>26.3491889154906</c:v>
                </c:pt>
                <c:pt idx="43">
                  <c:v>24.15828825819</c:v>
                </c:pt>
                <c:pt idx="44">
                  <c:v>24.0006479248129</c:v>
                </c:pt>
                <c:pt idx="45">
                  <c:v>26.8685711969181</c:v>
                </c:pt>
                <c:pt idx="46">
                  <c:v>24.9983352300426</c:v>
                </c:pt>
                <c:pt idx="47">
                  <c:v>23.0214606676829</c:v>
                </c:pt>
                <c:pt idx="48">
                  <c:v>25.2063944787615</c:v>
                </c:pt>
                <c:pt idx="49">
                  <c:v>29.9131637164745</c:v>
                </c:pt>
                <c:pt idx="50">
                  <c:v>26.3570734789785</c:v>
                </c:pt>
                <c:pt idx="51">
                  <c:v>19.8183653818684</c:v>
                </c:pt>
                <c:pt idx="52">
                  <c:v>16.9002938046394</c:v>
                </c:pt>
                <c:pt idx="53">
                  <c:v>15.1210094568077</c:v>
                </c:pt>
                <c:pt idx="54">
                  <c:v>14.8916274544689</c:v>
                </c:pt>
                <c:pt idx="55">
                  <c:v>15.9294936896588</c:v>
                </c:pt>
                <c:pt idx="56">
                  <c:v>15.672668440816</c:v>
                </c:pt>
                <c:pt idx="57">
                  <c:v>14.511046235727</c:v>
                </c:pt>
                <c:pt idx="58">
                  <c:v>14.7545419032148</c:v>
                </c:pt>
                <c:pt idx="59">
                  <c:v>13.2746156491409</c:v>
                </c:pt>
                <c:pt idx="60">
                  <c:v>13.2040457747924</c:v>
                </c:pt>
              </c:numCache>
            </c:numRef>
          </c:val>
          <c:smooth val="1"/>
        </c:ser>
        <c:ser>
          <c:idx val="47"/>
          <c:order val="47"/>
          <c:spPr>
            <a:solidFill>
              <a:srgbClr val="f6c4ae"/>
            </a:solidFill>
            <a:ln w="6120">
              <a:solidFill>
                <a:srgbClr val="f6c4ae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Paths'!$B$58:$BJ$58</c:f>
              <c:numCache>
                <c:formatCode>\€0.00</c:formatCode>
                <c:ptCount val="61"/>
                <c:pt idx="0">
                  <c:v>11.5</c:v>
                </c:pt>
                <c:pt idx="1">
                  <c:v>10.7165133382218</c:v>
                </c:pt>
                <c:pt idx="2">
                  <c:v>14.3769599911984</c:v>
                </c:pt>
                <c:pt idx="3">
                  <c:v>15.7217059423458</c:v>
                </c:pt>
                <c:pt idx="4">
                  <c:v>14.3429820341343</c:v>
                </c:pt>
                <c:pt idx="5">
                  <c:v>12.8547987846043</c:v>
                </c:pt>
                <c:pt idx="6">
                  <c:v>12.2492806865515</c:v>
                </c:pt>
                <c:pt idx="7">
                  <c:v>10.2251130167232</c:v>
                </c:pt>
                <c:pt idx="8">
                  <c:v>9.43598619443259</c:v>
                </c:pt>
                <c:pt idx="9">
                  <c:v>8.70037733387993</c:v>
                </c:pt>
                <c:pt idx="10">
                  <c:v>9.58449475140581</c:v>
                </c:pt>
                <c:pt idx="11">
                  <c:v>9.14462930673976</c:v>
                </c:pt>
                <c:pt idx="12">
                  <c:v>8.38348137614656</c:v>
                </c:pt>
                <c:pt idx="13">
                  <c:v>7.23576039569479</c:v>
                </c:pt>
                <c:pt idx="14">
                  <c:v>6.35841371301053</c:v>
                </c:pt>
                <c:pt idx="15">
                  <c:v>6.31114152122784</c:v>
                </c:pt>
                <c:pt idx="16">
                  <c:v>6.16281906255048</c:v>
                </c:pt>
                <c:pt idx="17">
                  <c:v>6.97808463301269</c:v>
                </c:pt>
                <c:pt idx="18">
                  <c:v>6.51155101959498</c:v>
                </c:pt>
                <c:pt idx="19">
                  <c:v>7.31248535359799</c:v>
                </c:pt>
                <c:pt idx="20">
                  <c:v>7.52029785798003</c:v>
                </c:pt>
                <c:pt idx="21">
                  <c:v>7.51509672252708</c:v>
                </c:pt>
                <c:pt idx="22">
                  <c:v>6.0280676855428</c:v>
                </c:pt>
                <c:pt idx="23">
                  <c:v>5.23165798521873</c:v>
                </c:pt>
                <c:pt idx="24">
                  <c:v>5.67390218601991</c:v>
                </c:pt>
                <c:pt idx="25">
                  <c:v>6.61294956451798</c:v>
                </c:pt>
                <c:pt idx="26">
                  <c:v>6.76317984365216</c:v>
                </c:pt>
                <c:pt idx="27">
                  <c:v>7.35188287430678</c:v>
                </c:pt>
                <c:pt idx="28">
                  <c:v>7.02902080215497</c:v>
                </c:pt>
                <c:pt idx="29">
                  <c:v>6.74720374008516</c:v>
                </c:pt>
                <c:pt idx="30">
                  <c:v>6.2727829737199</c:v>
                </c:pt>
                <c:pt idx="31">
                  <c:v>6.97936453462546</c:v>
                </c:pt>
                <c:pt idx="32">
                  <c:v>7.24548292087299</c:v>
                </c:pt>
                <c:pt idx="33">
                  <c:v>7.06043969680193</c:v>
                </c:pt>
                <c:pt idx="34">
                  <c:v>6.80937682433658</c:v>
                </c:pt>
                <c:pt idx="35">
                  <c:v>7.23669070717028</c:v>
                </c:pt>
                <c:pt idx="36">
                  <c:v>7.49641828723446</c:v>
                </c:pt>
                <c:pt idx="37">
                  <c:v>6.84124599074676</c:v>
                </c:pt>
                <c:pt idx="38">
                  <c:v>8.25669409403503</c:v>
                </c:pt>
                <c:pt idx="39">
                  <c:v>8.49124921812448</c:v>
                </c:pt>
                <c:pt idx="40">
                  <c:v>8.49945732812217</c:v>
                </c:pt>
                <c:pt idx="41">
                  <c:v>9.99287288970836</c:v>
                </c:pt>
                <c:pt idx="42">
                  <c:v>11.1788089435529</c:v>
                </c:pt>
                <c:pt idx="43">
                  <c:v>11.069426438646</c:v>
                </c:pt>
                <c:pt idx="44">
                  <c:v>11.7376230228603</c:v>
                </c:pt>
                <c:pt idx="45">
                  <c:v>10.4358089481794</c:v>
                </c:pt>
                <c:pt idx="46">
                  <c:v>9.7255988718752</c:v>
                </c:pt>
                <c:pt idx="47">
                  <c:v>7.58845164118854</c:v>
                </c:pt>
                <c:pt idx="48">
                  <c:v>8.67386334785967</c:v>
                </c:pt>
                <c:pt idx="49">
                  <c:v>7.04192639407532</c:v>
                </c:pt>
                <c:pt idx="50">
                  <c:v>7.5869675437676</c:v>
                </c:pt>
                <c:pt idx="51">
                  <c:v>6.92491830685047</c:v>
                </c:pt>
                <c:pt idx="52">
                  <c:v>6.21865178315069</c:v>
                </c:pt>
                <c:pt idx="53">
                  <c:v>6.08590584380089</c:v>
                </c:pt>
                <c:pt idx="54">
                  <c:v>6.26523905206478</c:v>
                </c:pt>
                <c:pt idx="55">
                  <c:v>6.69914147912988</c:v>
                </c:pt>
                <c:pt idx="56">
                  <c:v>8.13469244167053</c:v>
                </c:pt>
                <c:pt idx="57">
                  <c:v>8.45952753516643</c:v>
                </c:pt>
                <c:pt idx="58">
                  <c:v>9.31637946713354</c:v>
                </c:pt>
                <c:pt idx="59">
                  <c:v>8.72278502404174</c:v>
                </c:pt>
                <c:pt idx="60">
                  <c:v>9.43143259094974</c:v>
                </c:pt>
              </c:numCache>
            </c:numRef>
          </c:val>
          <c:smooth val="1"/>
        </c:ser>
        <c:ser>
          <c:idx val="48"/>
          <c:order val="48"/>
          <c:spPr>
            <a:solidFill>
              <a:srgbClr val="c4cee0"/>
            </a:solidFill>
            <a:ln w="6120">
              <a:solidFill>
                <a:srgbClr val="c4cee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Paths'!$B$59:$BJ$59</c:f>
              <c:numCache>
                <c:formatCode>\€0.00</c:formatCode>
                <c:ptCount val="61"/>
                <c:pt idx="0">
                  <c:v>11.5</c:v>
                </c:pt>
                <c:pt idx="1">
                  <c:v>11.6928407831571</c:v>
                </c:pt>
                <c:pt idx="2">
                  <c:v>11.1115344962831</c:v>
                </c:pt>
                <c:pt idx="3">
                  <c:v>10.9931437095735</c:v>
                </c:pt>
                <c:pt idx="4">
                  <c:v>10.9165634160619</c:v>
                </c:pt>
                <c:pt idx="5">
                  <c:v>11.1458028922779</c:v>
                </c:pt>
                <c:pt idx="6">
                  <c:v>11.6453958918165</c:v>
                </c:pt>
                <c:pt idx="7">
                  <c:v>11.0111021212722</c:v>
                </c:pt>
                <c:pt idx="8">
                  <c:v>10.1498651753829</c:v>
                </c:pt>
                <c:pt idx="9">
                  <c:v>11.0151560125795</c:v>
                </c:pt>
                <c:pt idx="10">
                  <c:v>9.14294931722011</c:v>
                </c:pt>
                <c:pt idx="11">
                  <c:v>8.54190922106585</c:v>
                </c:pt>
                <c:pt idx="12">
                  <c:v>10.1261178030994</c:v>
                </c:pt>
                <c:pt idx="13">
                  <c:v>7.52299570604978</c:v>
                </c:pt>
                <c:pt idx="14">
                  <c:v>6.97097899929279</c:v>
                </c:pt>
                <c:pt idx="15">
                  <c:v>7.51583994247121</c:v>
                </c:pt>
                <c:pt idx="16">
                  <c:v>6.27011633068606</c:v>
                </c:pt>
                <c:pt idx="17">
                  <c:v>8.33629443077682</c:v>
                </c:pt>
                <c:pt idx="18">
                  <c:v>6.27451709909684</c:v>
                </c:pt>
                <c:pt idx="19">
                  <c:v>7.34411130934524</c:v>
                </c:pt>
                <c:pt idx="20">
                  <c:v>8.7106851755297</c:v>
                </c:pt>
                <c:pt idx="21">
                  <c:v>9.63004418437708</c:v>
                </c:pt>
                <c:pt idx="22">
                  <c:v>9.39706407102837</c:v>
                </c:pt>
                <c:pt idx="23">
                  <c:v>9.7707691755376</c:v>
                </c:pt>
                <c:pt idx="24">
                  <c:v>8.85326785004077</c:v>
                </c:pt>
                <c:pt idx="25">
                  <c:v>9.6734346252824</c:v>
                </c:pt>
                <c:pt idx="26">
                  <c:v>8.5536216499084</c:v>
                </c:pt>
                <c:pt idx="27">
                  <c:v>8.29894516982229</c:v>
                </c:pt>
                <c:pt idx="28">
                  <c:v>9.25561315902225</c:v>
                </c:pt>
                <c:pt idx="29">
                  <c:v>8.18916284891669</c:v>
                </c:pt>
                <c:pt idx="30">
                  <c:v>7.86694133904369</c:v>
                </c:pt>
                <c:pt idx="31">
                  <c:v>8.00851451630268</c:v>
                </c:pt>
                <c:pt idx="32">
                  <c:v>6.91112480371319</c:v>
                </c:pt>
                <c:pt idx="33">
                  <c:v>7.85128111229767</c:v>
                </c:pt>
                <c:pt idx="34">
                  <c:v>8.14883625798097</c:v>
                </c:pt>
                <c:pt idx="35">
                  <c:v>6.89941620567096</c:v>
                </c:pt>
                <c:pt idx="36">
                  <c:v>6.86270112132132</c:v>
                </c:pt>
                <c:pt idx="37">
                  <c:v>6.30199459754024</c:v>
                </c:pt>
                <c:pt idx="38">
                  <c:v>5.86235272330077</c:v>
                </c:pt>
                <c:pt idx="39">
                  <c:v>5.91083033299602</c:v>
                </c:pt>
                <c:pt idx="40">
                  <c:v>5.46712201471911</c:v>
                </c:pt>
                <c:pt idx="41">
                  <c:v>6.07615808893655</c:v>
                </c:pt>
                <c:pt idx="42">
                  <c:v>5.62314243640402</c:v>
                </c:pt>
                <c:pt idx="43">
                  <c:v>6.2613606107857</c:v>
                </c:pt>
                <c:pt idx="44">
                  <c:v>6.23023415230194</c:v>
                </c:pt>
                <c:pt idx="45">
                  <c:v>6.84217358762441</c:v>
                </c:pt>
                <c:pt idx="46">
                  <c:v>6.44651438166878</c:v>
                </c:pt>
                <c:pt idx="47">
                  <c:v>6.0978017605904</c:v>
                </c:pt>
                <c:pt idx="48">
                  <c:v>5.37266219218919</c:v>
                </c:pt>
                <c:pt idx="49">
                  <c:v>5.72328240939232</c:v>
                </c:pt>
                <c:pt idx="50">
                  <c:v>6.34224026579105</c:v>
                </c:pt>
                <c:pt idx="51">
                  <c:v>8.00059891688794</c:v>
                </c:pt>
                <c:pt idx="52">
                  <c:v>9.21561647584652</c:v>
                </c:pt>
                <c:pt idx="53">
                  <c:v>9.46987998358648</c:v>
                </c:pt>
                <c:pt idx="54">
                  <c:v>9.25154127427347</c:v>
                </c:pt>
                <c:pt idx="55">
                  <c:v>9.65278295220375</c:v>
                </c:pt>
                <c:pt idx="56">
                  <c:v>9.62169262835723</c:v>
                </c:pt>
                <c:pt idx="57">
                  <c:v>11.2951698724638</c:v>
                </c:pt>
                <c:pt idx="58">
                  <c:v>12.5251579103287</c:v>
                </c:pt>
                <c:pt idx="59">
                  <c:v>11.4245678458168</c:v>
                </c:pt>
                <c:pt idx="60">
                  <c:v>10.592562240007</c:v>
                </c:pt>
              </c:numCache>
            </c:numRef>
          </c:val>
          <c:smooth val="1"/>
        </c:ser>
        <c:ser>
          <c:idx val="49"/>
          <c:order val="49"/>
          <c:spPr>
            <a:solidFill>
              <a:srgbClr val="e1c4c4"/>
            </a:solidFill>
            <a:ln w="6120">
              <a:solidFill>
                <a:srgbClr val="e1c4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Paths'!$B$60:$BJ$60</c:f>
              <c:numCache>
                <c:formatCode>\€0.00</c:formatCode>
                <c:ptCount val="61"/>
                <c:pt idx="0">
                  <c:v>11.5</c:v>
                </c:pt>
                <c:pt idx="1">
                  <c:v>13.358458921956</c:v>
                </c:pt>
                <c:pt idx="2">
                  <c:v>13.8150946034291</c:v>
                </c:pt>
                <c:pt idx="3">
                  <c:v>13.4658289896639</c:v>
                </c:pt>
                <c:pt idx="4">
                  <c:v>15.3345575182256</c:v>
                </c:pt>
                <c:pt idx="5">
                  <c:v>14.6935389734027</c:v>
                </c:pt>
                <c:pt idx="6">
                  <c:v>14.246825779948</c:v>
                </c:pt>
                <c:pt idx="7">
                  <c:v>13.5415382481611</c:v>
                </c:pt>
                <c:pt idx="8">
                  <c:v>10.9177491463404</c:v>
                </c:pt>
                <c:pt idx="9">
                  <c:v>12.001270326683</c:v>
                </c:pt>
                <c:pt idx="10">
                  <c:v>10.5086294952951</c:v>
                </c:pt>
                <c:pt idx="11">
                  <c:v>9.87128278418912</c:v>
                </c:pt>
                <c:pt idx="12">
                  <c:v>9.09610499747286</c:v>
                </c:pt>
                <c:pt idx="13">
                  <c:v>9.84940776560851</c:v>
                </c:pt>
                <c:pt idx="14">
                  <c:v>9.77379378175768</c:v>
                </c:pt>
                <c:pt idx="15">
                  <c:v>9.78854191258003</c:v>
                </c:pt>
                <c:pt idx="16">
                  <c:v>8.14006551519103</c:v>
                </c:pt>
                <c:pt idx="17">
                  <c:v>8.06088500471263</c:v>
                </c:pt>
                <c:pt idx="18">
                  <c:v>6.85440403038848</c:v>
                </c:pt>
                <c:pt idx="19">
                  <c:v>7.08802320715594</c:v>
                </c:pt>
                <c:pt idx="20">
                  <c:v>7.37762227487975</c:v>
                </c:pt>
                <c:pt idx="21">
                  <c:v>7.36220606216565</c:v>
                </c:pt>
                <c:pt idx="22">
                  <c:v>9.21011288554061</c:v>
                </c:pt>
                <c:pt idx="23">
                  <c:v>9.75723260387971</c:v>
                </c:pt>
                <c:pt idx="24">
                  <c:v>10.4143570454319</c:v>
                </c:pt>
                <c:pt idx="25">
                  <c:v>10.5762727317698</c:v>
                </c:pt>
                <c:pt idx="26">
                  <c:v>10.3530880863641</c:v>
                </c:pt>
                <c:pt idx="27">
                  <c:v>11.5081952222372</c:v>
                </c:pt>
                <c:pt idx="28">
                  <c:v>12.9837852727539</c:v>
                </c:pt>
                <c:pt idx="29">
                  <c:v>11.2546925221084</c:v>
                </c:pt>
                <c:pt idx="30">
                  <c:v>12.6325358271591</c:v>
                </c:pt>
                <c:pt idx="31">
                  <c:v>13.3625630398385</c:v>
                </c:pt>
                <c:pt idx="32">
                  <c:v>14.844941171176</c:v>
                </c:pt>
                <c:pt idx="33">
                  <c:v>15.6209664714306</c:v>
                </c:pt>
                <c:pt idx="34">
                  <c:v>13.6254393490342</c:v>
                </c:pt>
                <c:pt idx="35">
                  <c:v>11.9782243406468</c:v>
                </c:pt>
                <c:pt idx="36">
                  <c:v>14.629767428644</c:v>
                </c:pt>
                <c:pt idx="37">
                  <c:v>15.0377696429722</c:v>
                </c:pt>
                <c:pt idx="38">
                  <c:v>12.8701881320285</c:v>
                </c:pt>
                <c:pt idx="39">
                  <c:v>13.3687405342325</c:v>
                </c:pt>
                <c:pt idx="40">
                  <c:v>12.8457387568925</c:v>
                </c:pt>
                <c:pt idx="41">
                  <c:v>10.4919957347048</c:v>
                </c:pt>
                <c:pt idx="42">
                  <c:v>8.1596687862413</c:v>
                </c:pt>
                <c:pt idx="43">
                  <c:v>6.8429110685151</c:v>
                </c:pt>
                <c:pt idx="44">
                  <c:v>7.04870989968939</c:v>
                </c:pt>
                <c:pt idx="45">
                  <c:v>7.01035202450045</c:v>
                </c:pt>
                <c:pt idx="46">
                  <c:v>6.82009008034232</c:v>
                </c:pt>
                <c:pt idx="47">
                  <c:v>7.03513977127584</c:v>
                </c:pt>
                <c:pt idx="48">
                  <c:v>7.51331034022176</c:v>
                </c:pt>
                <c:pt idx="49">
                  <c:v>5.96467763548813</c:v>
                </c:pt>
                <c:pt idx="50">
                  <c:v>5.76979431190081</c:v>
                </c:pt>
                <c:pt idx="51">
                  <c:v>5.26791009198135</c:v>
                </c:pt>
                <c:pt idx="52">
                  <c:v>4.60053751440409</c:v>
                </c:pt>
                <c:pt idx="53">
                  <c:v>4.33171579619518</c:v>
                </c:pt>
                <c:pt idx="54">
                  <c:v>4.27293840921458</c:v>
                </c:pt>
                <c:pt idx="55">
                  <c:v>4.14913560510008</c:v>
                </c:pt>
                <c:pt idx="56">
                  <c:v>3.53652534421992</c:v>
                </c:pt>
                <c:pt idx="57">
                  <c:v>3.35335566378046</c:v>
                </c:pt>
                <c:pt idx="58">
                  <c:v>4.1824956664261</c:v>
                </c:pt>
                <c:pt idx="59">
                  <c:v>3.72491396543867</c:v>
                </c:pt>
                <c:pt idx="60">
                  <c:v>3.09501310538577</c:v>
                </c:pt>
              </c:numCache>
            </c:numRef>
          </c:val>
          <c:smooth val="1"/>
        </c:ser>
        <c:ser>
          <c:idx val="50"/>
          <c:order val="50"/>
          <c:spPr>
            <a:solidFill>
              <a:srgbClr val="c9a24b"/>
            </a:solidFill>
            <a:ln w="21960">
              <a:solidFill>
                <a:srgbClr val="c9a24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Paths'!$B$62:$BJ$62</c:f>
              <c:numCache>
                <c:formatCode>\€0.00</c:formatCode>
                <c:ptCount val="61"/>
                <c:pt idx="0">
                  <c:v>11.5</c:v>
                </c:pt>
                <c:pt idx="1">
                  <c:v>9.79985933961909</c:v>
                </c:pt>
                <c:pt idx="2">
                  <c:v>9.43109586722513</c:v>
                </c:pt>
                <c:pt idx="3">
                  <c:v>8.79380083879833</c:v>
                </c:pt>
                <c:pt idx="4">
                  <c:v>8.51130222374003</c:v>
                </c:pt>
                <c:pt idx="5">
                  <c:v>7.59282529029309</c:v>
                </c:pt>
                <c:pt idx="6">
                  <c:v>7.0623352064831</c:v>
                </c:pt>
                <c:pt idx="7">
                  <c:v>6.57983293680589</c:v>
                </c:pt>
                <c:pt idx="8">
                  <c:v>6.92700056156738</c:v>
                </c:pt>
                <c:pt idx="9">
                  <c:v>5.85967448676485</c:v>
                </c:pt>
                <c:pt idx="10">
                  <c:v>5.73142601776922</c:v>
                </c:pt>
                <c:pt idx="11">
                  <c:v>5.50163442615547</c:v>
                </c:pt>
                <c:pt idx="12">
                  <c:v>5.62394634774239</c:v>
                </c:pt>
                <c:pt idx="13">
                  <c:v>5.80004102116003</c:v>
                </c:pt>
                <c:pt idx="14">
                  <c:v>5.62940684566405</c:v>
                </c:pt>
                <c:pt idx="15">
                  <c:v>6.1308431745148</c:v>
                </c:pt>
                <c:pt idx="16">
                  <c:v>5.00146423128792</c:v>
                </c:pt>
                <c:pt idx="17">
                  <c:v>5.11998386667149</c:v>
                </c:pt>
                <c:pt idx="18">
                  <c:v>5.29511604195927</c:v>
                </c:pt>
                <c:pt idx="19">
                  <c:v>5.05242545789931</c:v>
                </c:pt>
                <c:pt idx="20">
                  <c:v>4.97433816291006</c:v>
                </c:pt>
                <c:pt idx="21">
                  <c:v>4.55531256942796</c:v>
                </c:pt>
                <c:pt idx="22">
                  <c:v>4.36095154272459</c:v>
                </c:pt>
                <c:pt idx="23">
                  <c:v>4.26179252317319</c:v>
                </c:pt>
                <c:pt idx="24">
                  <c:v>4.25638925891942</c:v>
                </c:pt>
                <c:pt idx="25">
                  <c:v>4.89601111276299</c:v>
                </c:pt>
                <c:pt idx="26">
                  <c:v>4.71618375985137</c:v>
                </c:pt>
                <c:pt idx="27">
                  <c:v>4.48809736541433</c:v>
                </c:pt>
                <c:pt idx="28">
                  <c:v>3.70064436639516</c:v>
                </c:pt>
                <c:pt idx="29">
                  <c:v>3.77930640469157</c:v>
                </c:pt>
                <c:pt idx="30">
                  <c:v>3.60857880672326</c:v>
                </c:pt>
                <c:pt idx="31">
                  <c:v>3.60492609172817</c:v>
                </c:pt>
                <c:pt idx="32">
                  <c:v>3.46221669764408</c:v>
                </c:pt>
                <c:pt idx="33">
                  <c:v>3.35692131663707</c:v>
                </c:pt>
                <c:pt idx="34">
                  <c:v>3.53620317484947</c:v>
                </c:pt>
                <c:pt idx="35">
                  <c:v>3.68567325782878</c:v>
                </c:pt>
                <c:pt idx="36">
                  <c:v>3.88268581321016</c:v>
                </c:pt>
                <c:pt idx="37">
                  <c:v>3.98850229544728</c:v>
                </c:pt>
                <c:pt idx="38">
                  <c:v>3.62930013899987</c:v>
                </c:pt>
                <c:pt idx="39">
                  <c:v>3.69730165553089</c:v>
                </c:pt>
                <c:pt idx="40">
                  <c:v>3.69155877850278</c:v>
                </c:pt>
                <c:pt idx="41">
                  <c:v>3.44276883236541</c:v>
                </c:pt>
                <c:pt idx="42">
                  <c:v>3.45404520688669</c:v>
                </c:pt>
                <c:pt idx="43">
                  <c:v>3.12929448636253</c:v>
                </c:pt>
                <c:pt idx="44">
                  <c:v>2.98116907015599</c:v>
                </c:pt>
                <c:pt idx="45">
                  <c:v>3.06958810464928</c:v>
                </c:pt>
                <c:pt idx="46">
                  <c:v>2.83564640287722</c:v>
                </c:pt>
                <c:pt idx="47">
                  <c:v>2.79779655415255</c:v>
                </c:pt>
                <c:pt idx="48">
                  <c:v>2.68397758017982</c:v>
                </c:pt>
                <c:pt idx="49">
                  <c:v>2.65563417030611</c:v>
                </c:pt>
                <c:pt idx="50">
                  <c:v>2.31800387988984</c:v>
                </c:pt>
                <c:pt idx="51">
                  <c:v>2.4644058017887</c:v>
                </c:pt>
                <c:pt idx="52">
                  <c:v>2.41883044775703</c:v>
                </c:pt>
                <c:pt idx="53">
                  <c:v>2.33450346069096</c:v>
                </c:pt>
                <c:pt idx="54">
                  <c:v>2.30741795702782</c:v>
                </c:pt>
                <c:pt idx="55">
                  <c:v>2.29244768649828</c:v>
                </c:pt>
                <c:pt idx="56">
                  <c:v>2.17854781006179</c:v>
                </c:pt>
                <c:pt idx="57">
                  <c:v>2.29486641171906</c:v>
                </c:pt>
                <c:pt idx="58">
                  <c:v>2.20471994298465</c:v>
                </c:pt>
                <c:pt idx="59">
                  <c:v>2.16171037915978</c:v>
                </c:pt>
                <c:pt idx="60">
                  <c:v>2.07440867894965</c:v>
                </c:pt>
              </c:numCache>
            </c:numRef>
          </c:val>
          <c:smooth val="1"/>
        </c:ser>
        <c:ser>
          <c:idx val="51"/>
          <c:order val="51"/>
          <c:spPr>
            <a:solidFill>
              <a:srgbClr val="0b2545"/>
            </a:solidFill>
            <a:ln w="21960">
              <a:solidFill>
                <a:srgbClr val="0b254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Paths'!$B$63:$BJ$63</c:f>
              <c:numCache>
                <c:formatCode>\€0.00</c:formatCode>
                <c:ptCount val="61"/>
                <c:pt idx="0">
                  <c:v>11.5</c:v>
                </c:pt>
                <c:pt idx="1">
                  <c:v>11.7316959472618</c:v>
                </c:pt>
                <c:pt idx="2">
                  <c:v>11.8584421437698</c:v>
                </c:pt>
                <c:pt idx="3">
                  <c:v>11.6356207024849</c:v>
                </c:pt>
                <c:pt idx="4">
                  <c:v>12.1774093618531</c:v>
                </c:pt>
                <c:pt idx="5">
                  <c:v>11.6886806811015</c:v>
                </c:pt>
                <c:pt idx="6">
                  <c:v>11.6172256360202</c:v>
                </c:pt>
                <c:pt idx="7">
                  <c:v>11.3300699818112</c:v>
                </c:pt>
                <c:pt idx="8">
                  <c:v>10.9723534473159</c:v>
                </c:pt>
                <c:pt idx="9">
                  <c:v>10.8428833300403</c:v>
                </c:pt>
                <c:pt idx="10">
                  <c:v>10.9668809448638</c:v>
                </c:pt>
                <c:pt idx="11">
                  <c:v>10.6236419006575</c:v>
                </c:pt>
                <c:pt idx="12">
                  <c:v>10.174548928264</c:v>
                </c:pt>
                <c:pt idx="13">
                  <c:v>10.0250276656724</c:v>
                </c:pt>
                <c:pt idx="14">
                  <c:v>9.52215077349985</c:v>
                </c:pt>
                <c:pt idx="15">
                  <c:v>10.1925203935246</c:v>
                </c:pt>
                <c:pt idx="16">
                  <c:v>9.64000229623211</c:v>
                </c:pt>
                <c:pt idx="17">
                  <c:v>10.0846538046478</c:v>
                </c:pt>
                <c:pt idx="18">
                  <c:v>10.4292984639795</c:v>
                </c:pt>
                <c:pt idx="19">
                  <c:v>11.5200911646468</c:v>
                </c:pt>
                <c:pt idx="20">
                  <c:v>10.6012564552774</c:v>
                </c:pt>
                <c:pt idx="21">
                  <c:v>10.274188892287</c:v>
                </c:pt>
                <c:pt idx="22">
                  <c:v>9.83838377981065</c:v>
                </c:pt>
                <c:pt idx="23">
                  <c:v>9.98704246736268</c:v>
                </c:pt>
                <c:pt idx="24">
                  <c:v>10.5936043592415</c:v>
                </c:pt>
                <c:pt idx="25">
                  <c:v>10.7244629345156</c:v>
                </c:pt>
                <c:pt idx="26">
                  <c:v>10.5073268623321</c:v>
                </c:pt>
                <c:pt idx="27">
                  <c:v>11.1210968646856</c:v>
                </c:pt>
                <c:pt idx="28">
                  <c:v>10.7134434204096</c:v>
                </c:pt>
                <c:pt idx="29">
                  <c:v>10.3988609691542</c:v>
                </c:pt>
                <c:pt idx="30">
                  <c:v>10.780747679848</c:v>
                </c:pt>
                <c:pt idx="31">
                  <c:v>10.8298102788879</c:v>
                </c:pt>
                <c:pt idx="32">
                  <c:v>10.6381140298294</c:v>
                </c:pt>
                <c:pt idx="33">
                  <c:v>11.3459859097752</c:v>
                </c:pt>
                <c:pt idx="34">
                  <c:v>11.0117620793243</c:v>
                </c:pt>
                <c:pt idx="35">
                  <c:v>10.7336841099612</c:v>
                </c:pt>
                <c:pt idx="36">
                  <c:v>11.3732821555867</c:v>
                </c:pt>
                <c:pt idx="37">
                  <c:v>10.8779957793675</c:v>
                </c:pt>
                <c:pt idx="38">
                  <c:v>11.4353936300221</c:v>
                </c:pt>
                <c:pt idx="39">
                  <c:v>11.4300583639312</c:v>
                </c:pt>
                <c:pt idx="40">
                  <c:v>11.2302160113054</c:v>
                </c:pt>
                <c:pt idx="41">
                  <c:v>10.7545234961805</c:v>
                </c:pt>
                <c:pt idx="42">
                  <c:v>10.9396102539635</c:v>
                </c:pt>
                <c:pt idx="43">
                  <c:v>10.9045427705922</c:v>
                </c:pt>
                <c:pt idx="44">
                  <c:v>10.4065100685545</c:v>
                </c:pt>
                <c:pt idx="45">
                  <c:v>10.7611367353881</c:v>
                </c:pt>
                <c:pt idx="46">
                  <c:v>11.1185981966267</c:v>
                </c:pt>
                <c:pt idx="47">
                  <c:v>10.9311980933412</c:v>
                </c:pt>
                <c:pt idx="48">
                  <c:v>10.7617205156768</c:v>
                </c:pt>
                <c:pt idx="49">
                  <c:v>11.5592190201401</c:v>
                </c:pt>
                <c:pt idx="50">
                  <c:v>10.4857211452084</c:v>
                </c:pt>
                <c:pt idx="51">
                  <c:v>10.3821827032023</c:v>
                </c:pt>
                <c:pt idx="52">
                  <c:v>10.31516444145</c:v>
                </c:pt>
                <c:pt idx="53">
                  <c:v>9.62180405067671</c:v>
                </c:pt>
                <c:pt idx="54">
                  <c:v>9.33359488686174</c:v>
                </c:pt>
                <c:pt idx="55">
                  <c:v>9.51617375755051</c:v>
                </c:pt>
                <c:pt idx="56">
                  <c:v>9.64042789805252</c:v>
                </c:pt>
                <c:pt idx="57">
                  <c:v>9.29376987242119</c:v>
                </c:pt>
                <c:pt idx="58">
                  <c:v>9.11149885688749</c:v>
                </c:pt>
                <c:pt idx="59">
                  <c:v>9.4991768101129</c:v>
                </c:pt>
                <c:pt idx="60">
                  <c:v>9.38537616168829</c:v>
                </c:pt>
              </c:numCache>
            </c:numRef>
          </c:val>
          <c:smooth val="1"/>
        </c:ser>
        <c:ser>
          <c:idx val="52"/>
          <c:order val="52"/>
          <c:spPr>
            <a:solidFill>
              <a:srgbClr val="2e7d5b"/>
            </a:solidFill>
            <a:ln w="21960">
              <a:solidFill>
                <a:srgbClr val="2e7d5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Paths'!$B$10:$BJ$10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'Price Paths'!$B$64:$BJ$64</c:f>
              <c:numCache>
                <c:formatCode>\€0.00</c:formatCode>
                <c:ptCount val="61"/>
                <c:pt idx="0">
                  <c:v>11.5</c:v>
                </c:pt>
                <c:pt idx="1">
                  <c:v>13.8174316835575</c:v>
                </c:pt>
                <c:pt idx="2">
                  <c:v>14.9367987896254</c:v>
                </c:pt>
                <c:pt idx="3">
                  <c:v>16.507779840471</c:v>
                </c:pt>
                <c:pt idx="4">
                  <c:v>16.402220538337</c:v>
                </c:pt>
                <c:pt idx="5">
                  <c:v>17.8008646547452</c:v>
                </c:pt>
                <c:pt idx="6">
                  <c:v>19.7426180372013</c:v>
                </c:pt>
                <c:pt idx="7">
                  <c:v>20.0800203904888</c:v>
                </c:pt>
                <c:pt idx="8">
                  <c:v>21.318079656129</c:v>
                </c:pt>
                <c:pt idx="9">
                  <c:v>23.5539676350909</c:v>
                </c:pt>
                <c:pt idx="10">
                  <c:v>24.665864621034</c:v>
                </c:pt>
                <c:pt idx="11">
                  <c:v>23.0640537875722</c:v>
                </c:pt>
                <c:pt idx="12">
                  <c:v>22.8684786268138</c:v>
                </c:pt>
                <c:pt idx="13">
                  <c:v>25.2743240107283</c:v>
                </c:pt>
                <c:pt idx="14">
                  <c:v>26.5351658800668</c:v>
                </c:pt>
                <c:pt idx="15">
                  <c:v>25.755894631984</c:v>
                </c:pt>
                <c:pt idx="16">
                  <c:v>28.5534835737641</c:v>
                </c:pt>
                <c:pt idx="17">
                  <c:v>27.3312253459482</c:v>
                </c:pt>
                <c:pt idx="18">
                  <c:v>30.0180059948053</c:v>
                </c:pt>
                <c:pt idx="19">
                  <c:v>32.2766991846844</c:v>
                </c:pt>
                <c:pt idx="20">
                  <c:v>30.593548685903</c:v>
                </c:pt>
                <c:pt idx="21">
                  <c:v>29.1303587880478</c:v>
                </c:pt>
                <c:pt idx="22">
                  <c:v>30.6930936297252</c:v>
                </c:pt>
                <c:pt idx="23">
                  <c:v>29.7590511991376</c:v>
                </c:pt>
                <c:pt idx="24">
                  <c:v>28.636665542993</c:v>
                </c:pt>
                <c:pt idx="25">
                  <c:v>31.9025987596171</c:v>
                </c:pt>
                <c:pt idx="26">
                  <c:v>33.2875081216374</c:v>
                </c:pt>
                <c:pt idx="27">
                  <c:v>31.0986590663957</c:v>
                </c:pt>
                <c:pt idx="28">
                  <c:v>33.9550996200236</c:v>
                </c:pt>
                <c:pt idx="29">
                  <c:v>36.1963552269423</c:v>
                </c:pt>
                <c:pt idx="30">
                  <c:v>30.8889746627451</c:v>
                </c:pt>
                <c:pt idx="31">
                  <c:v>31.3382257507848</c:v>
                </c:pt>
                <c:pt idx="32">
                  <c:v>28.9136743048118</c:v>
                </c:pt>
                <c:pt idx="33">
                  <c:v>28.2188992358384</c:v>
                </c:pt>
                <c:pt idx="34">
                  <c:v>29.1777124511688</c:v>
                </c:pt>
                <c:pt idx="35">
                  <c:v>30.6966102177895</c:v>
                </c:pt>
                <c:pt idx="36">
                  <c:v>29.796308588559</c:v>
                </c:pt>
                <c:pt idx="37">
                  <c:v>32.9650939292482</c:v>
                </c:pt>
                <c:pt idx="38">
                  <c:v>36.689852255483</c:v>
                </c:pt>
                <c:pt idx="39">
                  <c:v>38.2304950219528</c:v>
                </c:pt>
                <c:pt idx="40">
                  <c:v>37.0381617644413</c:v>
                </c:pt>
                <c:pt idx="41">
                  <c:v>37.8893652967334</c:v>
                </c:pt>
                <c:pt idx="42">
                  <c:v>39.5328213114602</c:v>
                </c:pt>
                <c:pt idx="43">
                  <c:v>37.1033701474749</c:v>
                </c:pt>
                <c:pt idx="44">
                  <c:v>37.6068161632321</c:v>
                </c:pt>
                <c:pt idx="45">
                  <c:v>37.5606686395207</c:v>
                </c:pt>
                <c:pt idx="46">
                  <c:v>34.3705151917144</c:v>
                </c:pt>
                <c:pt idx="47">
                  <c:v>30.7384349300614</c:v>
                </c:pt>
                <c:pt idx="48">
                  <c:v>31.9629299561915</c:v>
                </c:pt>
                <c:pt idx="49">
                  <c:v>33.1633001426387</c:v>
                </c:pt>
                <c:pt idx="50">
                  <c:v>33.8256863132731</c:v>
                </c:pt>
                <c:pt idx="51">
                  <c:v>30.9369060271958</c:v>
                </c:pt>
                <c:pt idx="52">
                  <c:v>34.0200901700848</c:v>
                </c:pt>
                <c:pt idx="53">
                  <c:v>33.0966780438816</c:v>
                </c:pt>
                <c:pt idx="54">
                  <c:v>35.9840255827994</c:v>
                </c:pt>
                <c:pt idx="55">
                  <c:v>38.0588099181083</c:v>
                </c:pt>
                <c:pt idx="56">
                  <c:v>41.8071030738323</c:v>
                </c:pt>
                <c:pt idx="57">
                  <c:v>44.7416652498731</c:v>
                </c:pt>
                <c:pt idx="58">
                  <c:v>43.389007786381</c:v>
                </c:pt>
                <c:pt idx="59">
                  <c:v>42.0788897820781</c:v>
                </c:pt>
                <c:pt idx="60">
                  <c:v>43.0224715254052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4165654"/>
        <c:axId val="2832091"/>
      </c:lineChart>
      <c:catAx>
        <c:axId val="2416565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32091"/>
        <c:crosses val="autoZero"/>
        <c:auto val="1"/>
        <c:lblAlgn val="ctr"/>
        <c:lblOffset val="100"/>
        <c:noMultiLvlLbl val="0"/>
      </c:catAx>
      <c:valAx>
        <c:axId val="28320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Share price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€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16565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0</xdr:rowOff>
    </xdr:from>
    <xdr:to>
      <xdr:col>15</xdr:col>
      <xdr:colOff>254880</xdr:colOff>
      <xdr:row>17</xdr:row>
      <xdr:rowOff>20880</xdr:rowOff>
    </xdr:to>
    <xdr:graphicFrame>
      <xdr:nvGraphicFramePr>
        <xdr:cNvPr id="0" name="Chart 1"/>
        <xdr:cNvGraphicFramePr/>
      </xdr:nvGraphicFramePr>
      <xdr:xfrm>
        <a:off x="5547240" y="380880"/>
        <a:ext cx="5758560" cy="287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119</xdr:row>
      <xdr:rowOff>0</xdr:rowOff>
    </xdr:from>
    <xdr:to>
      <xdr:col>13</xdr:col>
      <xdr:colOff>31680</xdr:colOff>
      <xdr:row>137</xdr:row>
      <xdr:rowOff>169560</xdr:rowOff>
    </xdr:to>
    <xdr:graphicFrame>
      <xdr:nvGraphicFramePr>
        <xdr:cNvPr id="1" name="Chart 1"/>
        <xdr:cNvGraphicFramePr/>
      </xdr:nvGraphicFramePr>
      <xdr:xfrm>
        <a:off x="0" y="22669560"/>
        <a:ext cx="8638560" cy="359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1" width="14"/>
  </cols>
  <sheetData>
    <row r="1" customFormat="false" ht="1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2"/>
      <c r="B2" s="2"/>
      <c r="C2" s="2"/>
      <c r="D2" s="2"/>
      <c r="E2" s="2"/>
      <c r="F2" s="2"/>
      <c r="G2" s="2"/>
      <c r="H2" s="2"/>
    </row>
    <row r="3" customFormat="false" ht="15" hidden="false" customHeight="true" outlineLevel="0" collapsed="false">
      <c r="A3" s="3" t="s">
        <v>1</v>
      </c>
      <c r="B3" s="3"/>
      <c r="C3" s="3"/>
      <c r="D3" s="3"/>
      <c r="E3" s="3"/>
      <c r="F3" s="3"/>
      <c r="G3" s="3"/>
      <c r="H3" s="3"/>
    </row>
    <row r="5" customFormat="false" ht="15" hidden="false" customHeight="true" outlineLevel="0" collapsed="false">
      <c r="A5" s="4" t="s">
        <v>2</v>
      </c>
      <c r="B5" s="4"/>
      <c r="C5" s="4"/>
      <c r="D5" s="4"/>
      <c r="E5" s="4"/>
      <c r="F5" s="4"/>
      <c r="G5" s="4"/>
      <c r="H5" s="4"/>
    </row>
    <row r="6" customFormat="false" ht="15" hidden="false" customHeight="true" outlineLevel="0" collapsed="false">
      <c r="A6" s="4"/>
      <c r="B6" s="4"/>
      <c r="C6" s="4"/>
      <c r="D6" s="4"/>
      <c r="E6" s="4"/>
      <c r="F6" s="4"/>
      <c r="G6" s="4"/>
      <c r="H6" s="4"/>
    </row>
    <row r="7" customFormat="false" ht="15" hidden="false" customHeight="true" outlineLevel="0" collapsed="false">
      <c r="A7" s="4"/>
      <c r="B7" s="4"/>
      <c r="C7" s="4"/>
      <c r="D7" s="4"/>
      <c r="E7" s="4"/>
      <c r="F7" s="4"/>
      <c r="G7" s="4"/>
      <c r="H7" s="4"/>
    </row>
    <row r="8" customFormat="false" ht="15" hidden="false" customHeight="true" outlineLevel="0" collapsed="false">
      <c r="A8" s="4"/>
      <c r="B8" s="4"/>
      <c r="C8" s="4"/>
      <c r="D8" s="4"/>
      <c r="E8" s="4"/>
      <c r="F8" s="4"/>
      <c r="G8" s="4"/>
      <c r="H8" s="4"/>
    </row>
    <row r="9" customFormat="false" ht="15" hidden="false" customHeight="true" outlineLevel="0" collapsed="false">
      <c r="A9" s="4"/>
      <c r="B9" s="4"/>
      <c r="C9" s="4"/>
      <c r="D9" s="4"/>
      <c r="E9" s="4"/>
      <c r="F9" s="4"/>
      <c r="G9" s="4"/>
      <c r="H9" s="4"/>
    </row>
    <row r="10" customFormat="false" ht="15" hidden="false" customHeight="true" outlineLevel="0" collapsed="false">
      <c r="A10" s="4"/>
      <c r="B10" s="4"/>
      <c r="C10" s="4"/>
      <c r="D10" s="4"/>
      <c r="E10" s="4"/>
      <c r="F10" s="4"/>
      <c r="G10" s="4"/>
      <c r="H10" s="4"/>
    </row>
    <row r="12" customFormat="false" ht="15" hidden="false" customHeight="true" outlineLevel="0" collapsed="false">
      <c r="B12" s="5" t="s">
        <v>3</v>
      </c>
    </row>
    <row r="13" customFormat="false" ht="15" hidden="false" customHeight="true" outlineLevel="0" collapsed="false">
      <c r="B13" s="6" t="s">
        <v>4</v>
      </c>
      <c r="E13" s="7" t="n">
        <f aca="false">'DCF Base Case'!B35</f>
        <v>14.9164930444146</v>
      </c>
    </row>
    <row r="14" customFormat="false" ht="15" hidden="false" customHeight="true" outlineLevel="0" collapsed="false">
      <c r="B14" s="6" t="s">
        <v>5</v>
      </c>
      <c r="E14" s="7" t="n">
        <f aca="false">Results!B5</f>
        <v>13.4059115177255</v>
      </c>
    </row>
    <row r="15" customFormat="false" ht="15" hidden="false" customHeight="true" outlineLevel="0" collapsed="false">
      <c r="B15" s="6" t="s">
        <v>6</v>
      </c>
      <c r="E15" s="7" t="n">
        <f aca="false">Results!B6</f>
        <v>12.4810412872319</v>
      </c>
    </row>
    <row r="16" customFormat="false" ht="15" hidden="false" customHeight="true" outlineLevel="0" collapsed="false">
      <c r="B16" s="6" t="s">
        <v>7</v>
      </c>
      <c r="E16" s="7" t="n">
        <f aca="false">Results!B9</f>
        <v>5.45342223959943</v>
      </c>
    </row>
    <row r="17" customFormat="false" ht="15" hidden="false" customHeight="true" outlineLevel="0" collapsed="false">
      <c r="B17" s="6" t="s">
        <v>8</v>
      </c>
      <c r="E17" s="7" t="n">
        <f aca="false">Results!B14</f>
        <v>24.0028415894816</v>
      </c>
    </row>
    <row r="18" customFormat="false" ht="15" hidden="false" customHeight="true" outlineLevel="0" collapsed="false">
      <c r="B18" s="6" t="s">
        <v>9</v>
      </c>
      <c r="E18" s="8" t="n">
        <f aca="false">Results!B16</f>
        <v>0.5765</v>
      </c>
    </row>
    <row r="20" customFormat="false" ht="15" hidden="false" customHeight="true" outlineLevel="0" collapsed="false">
      <c r="B20" s="9" t="s">
        <v>10</v>
      </c>
    </row>
  </sheetData>
  <mergeCells count="3">
    <mergeCell ref="A1:H2"/>
    <mergeCell ref="A3:H3"/>
    <mergeCell ref="A5:H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6" min="2" style="1" width="13"/>
  </cols>
  <sheetData>
    <row r="1" customFormat="false" ht="15" hidden="false" customHeight="true" outlineLevel="0" collapsed="false">
      <c r="A1" s="10" t="s">
        <v>11</v>
      </c>
      <c r="B1" s="10"/>
      <c r="C1" s="10"/>
      <c r="D1" s="10"/>
      <c r="E1" s="10"/>
      <c r="F1" s="10"/>
    </row>
    <row r="3" customFormat="false" ht="15" hidden="false" customHeight="true" outlineLevel="0" collapsed="false">
      <c r="A3" s="11" t="s">
        <v>12</v>
      </c>
      <c r="B3" s="11" t="s">
        <v>13</v>
      </c>
      <c r="C3" s="11" t="s">
        <v>14</v>
      </c>
      <c r="D3" s="11" t="s">
        <v>15</v>
      </c>
      <c r="E3" s="11" t="s">
        <v>16</v>
      </c>
      <c r="F3" s="11" t="s">
        <v>17</v>
      </c>
    </row>
    <row r="4" customFormat="false" ht="15" hidden="false" customHeight="true" outlineLevel="0" collapsed="false">
      <c r="A4" s="12" t="s">
        <v>18</v>
      </c>
      <c r="B4" s="13" t="s">
        <v>19</v>
      </c>
      <c r="C4" s="14" t="n">
        <v>0.04</v>
      </c>
      <c r="D4" s="14" t="n">
        <v>0.09</v>
      </c>
      <c r="E4" s="14" t="n">
        <v>0.14</v>
      </c>
      <c r="F4" s="14" t="n">
        <v>0.09</v>
      </c>
    </row>
    <row r="5" customFormat="false" ht="15" hidden="false" customHeight="true" outlineLevel="0" collapsed="false">
      <c r="A5" s="12" t="s">
        <v>20</v>
      </c>
      <c r="B5" s="13" t="s">
        <v>19</v>
      </c>
      <c r="C5" s="14" t="n">
        <v>0.36</v>
      </c>
      <c r="D5" s="14" t="n">
        <v>0.42</v>
      </c>
      <c r="E5" s="14" t="n">
        <v>0.46</v>
      </c>
      <c r="F5" s="14" t="n">
        <v>0.42</v>
      </c>
    </row>
    <row r="6" customFormat="false" ht="15" hidden="false" customHeight="true" outlineLevel="0" collapsed="false">
      <c r="A6" s="12" t="s">
        <v>21</v>
      </c>
      <c r="B6" s="13" t="s">
        <v>22</v>
      </c>
      <c r="C6" s="14" t="n">
        <v>0.085</v>
      </c>
      <c r="D6" s="14" t="n">
        <v>0.011</v>
      </c>
      <c r="E6" s="15"/>
      <c r="F6" s="14" t="n">
        <v>0.085</v>
      </c>
    </row>
    <row r="7" customFormat="false" ht="15" hidden="false" customHeight="true" outlineLevel="0" collapsed="false">
      <c r="A7" s="12" t="s">
        <v>23</v>
      </c>
      <c r="B7" s="13" t="s">
        <v>19</v>
      </c>
      <c r="C7" s="14" t="n">
        <v>0.24</v>
      </c>
      <c r="D7" s="14" t="n">
        <v>0.26</v>
      </c>
      <c r="E7" s="14" t="n">
        <v>0.35</v>
      </c>
      <c r="F7" s="14" t="n">
        <v>0.26</v>
      </c>
    </row>
    <row r="8" customFormat="false" ht="15" hidden="false" customHeight="true" outlineLevel="0" collapsed="false">
      <c r="A8" s="12" t="s">
        <v>24</v>
      </c>
      <c r="B8" s="13" t="s">
        <v>19</v>
      </c>
      <c r="C8" s="14" t="n">
        <v>0.01</v>
      </c>
      <c r="D8" s="14" t="n">
        <v>0.02</v>
      </c>
      <c r="E8" s="14" t="n">
        <v>0.0275</v>
      </c>
      <c r="F8" s="14" t="n">
        <v>0.02</v>
      </c>
    </row>
    <row r="9" customFormat="false" ht="15" hidden="false" customHeight="true" outlineLevel="0" collapsed="false">
      <c r="A9" s="12" t="s">
        <v>25</v>
      </c>
      <c r="B9" s="13" t="s">
        <v>19</v>
      </c>
      <c r="C9" s="14" t="n">
        <v>0.12</v>
      </c>
      <c r="D9" s="14" t="n">
        <v>0.16</v>
      </c>
      <c r="E9" s="14" t="n">
        <v>0.22</v>
      </c>
      <c r="F9" s="14" t="n">
        <v>0.16</v>
      </c>
    </row>
    <row r="11" customFormat="false" ht="15" hidden="false" customHeight="true" outlineLevel="0" collapsed="false">
      <c r="A11" s="16" t="s">
        <v>26</v>
      </c>
    </row>
    <row r="12" customFormat="false" ht="15" hidden="false" customHeight="true" outlineLevel="0" collapsed="false">
      <c r="A12" s="6" t="s">
        <v>27</v>
      </c>
      <c r="B12" s="17" t="n">
        <v>145</v>
      </c>
    </row>
    <row r="13" customFormat="false" ht="15" hidden="false" customHeight="true" outlineLevel="0" collapsed="false">
      <c r="A13" s="6" t="s">
        <v>28</v>
      </c>
      <c r="B13" s="18" t="n">
        <v>0.13</v>
      </c>
    </row>
    <row r="14" customFormat="false" ht="15" hidden="false" customHeight="true" outlineLevel="0" collapsed="false">
      <c r="A14" s="6" t="s">
        <v>29</v>
      </c>
      <c r="B14" s="18" t="n">
        <v>0.03</v>
      </c>
    </row>
    <row r="15" customFormat="false" ht="15" hidden="false" customHeight="true" outlineLevel="0" collapsed="false">
      <c r="A15" s="6" t="s">
        <v>30</v>
      </c>
      <c r="B15" s="17" t="n">
        <v>185</v>
      </c>
    </row>
    <row r="16" customFormat="false" ht="15" hidden="false" customHeight="true" outlineLevel="0" collapsed="false">
      <c r="A16" s="6" t="s">
        <v>31</v>
      </c>
      <c r="B16" s="19" t="n">
        <v>25</v>
      </c>
    </row>
    <row r="17" customFormat="false" ht="15" hidden="false" customHeight="true" outlineLevel="0" collapsed="false">
      <c r="A17" s="6" t="s">
        <v>32</v>
      </c>
      <c r="B17" s="20" t="n">
        <v>11.5</v>
      </c>
    </row>
    <row r="18" customFormat="false" ht="15" hidden="false" customHeight="true" outlineLevel="0" collapsed="false">
      <c r="A18" s="6" t="s">
        <v>33</v>
      </c>
      <c r="B18" s="21" t="n">
        <v>5</v>
      </c>
    </row>
    <row r="19" customFormat="false" ht="15" hidden="false" customHeight="true" outlineLevel="0" collapsed="false">
      <c r="A19" s="6" t="s">
        <v>34</v>
      </c>
      <c r="B19" s="18" t="n">
        <v>0.015</v>
      </c>
    </row>
    <row r="21" customFormat="false" ht="15" hidden="false" customHeight="true" outlineLevel="0" collapsed="false">
      <c r="A21" s="9" t="s">
        <v>35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7" min="2" style="1" width="12"/>
  </cols>
  <sheetData>
    <row r="1" customFormat="false" ht="15" hidden="false" customHeight="true" outlineLevel="0" collapsed="false">
      <c r="A1" s="10" t="s">
        <v>36</v>
      </c>
      <c r="B1" s="10"/>
      <c r="C1" s="10"/>
      <c r="D1" s="10"/>
      <c r="E1" s="10"/>
      <c r="F1" s="10"/>
      <c r="G1" s="10"/>
    </row>
    <row r="2" customFormat="false" ht="15" hidden="false" customHeight="true" outlineLevel="0" collapsed="false">
      <c r="A2" s="6" t="s">
        <v>37</v>
      </c>
      <c r="B2" s="17" t="n">
        <v>145</v>
      </c>
    </row>
    <row r="3" customFormat="false" ht="15" hidden="false" customHeight="true" outlineLevel="0" collapsed="false">
      <c r="A3" s="6" t="s">
        <v>38</v>
      </c>
      <c r="B3" s="18" t="n">
        <v>0.13</v>
      </c>
    </row>
    <row r="4" customFormat="false" ht="15" hidden="false" customHeight="true" outlineLevel="0" collapsed="false">
      <c r="A4" s="6" t="s">
        <v>39</v>
      </c>
      <c r="B4" s="18" t="n">
        <v>0.03</v>
      </c>
    </row>
    <row r="5" customFormat="false" ht="15" hidden="false" customHeight="true" outlineLevel="0" collapsed="false">
      <c r="A5" s="6" t="s">
        <v>40</v>
      </c>
      <c r="B5" s="17" t="n">
        <v>185</v>
      </c>
    </row>
    <row r="6" customFormat="false" ht="15" hidden="false" customHeight="true" outlineLevel="0" collapsed="false">
      <c r="A6" s="6" t="s">
        <v>41</v>
      </c>
      <c r="B6" s="19" t="n">
        <v>25</v>
      </c>
    </row>
    <row r="9" customFormat="false" ht="15" hidden="false" customHeight="true" outlineLevel="0" collapsed="false">
      <c r="A9" s="6" t="s">
        <v>42</v>
      </c>
      <c r="B9" s="22" t="n">
        <f aca="false">Assumptions!F4</f>
        <v>0.09</v>
      </c>
    </row>
    <row r="10" customFormat="false" ht="15" hidden="false" customHeight="true" outlineLevel="0" collapsed="false">
      <c r="A10" s="6" t="s">
        <v>20</v>
      </c>
      <c r="B10" s="22" t="n">
        <f aca="false">Assumptions!F5</f>
        <v>0.42</v>
      </c>
    </row>
    <row r="11" customFormat="false" ht="15" hidden="false" customHeight="true" outlineLevel="0" collapsed="false">
      <c r="A11" s="6" t="s">
        <v>21</v>
      </c>
      <c r="B11" s="22" t="n">
        <f aca="false">Assumptions!F6</f>
        <v>0.085</v>
      </c>
    </row>
    <row r="12" customFormat="false" ht="15" hidden="false" customHeight="true" outlineLevel="0" collapsed="false">
      <c r="A12" s="6" t="s">
        <v>23</v>
      </c>
      <c r="B12" s="22" t="n">
        <f aca="false">Assumptions!F7</f>
        <v>0.26</v>
      </c>
    </row>
    <row r="13" customFormat="false" ht="15" hidden="false" customHeight="true" outlineLevel="0" collapsed="false">
      <c r="A13" s="6" t="s">
        <v>24</v>
      </c>
      <c r="B13" s="22" t="n">
        <f aca="false">Assumptions!F8</f>
        <v>0.02</v>
      </c>
    </row>
    <row r="14" customFormat="false" ht="15" hidden="false" customHeight="true" outlineLevel="0" collapsed="false">
      <c r="A14" s="6" t="s">
        <v>43</v>
      </c>
      <c r="B14" s="22" t="n">
        <f aca="false">Assumptions!F9</f>
        <v>0.16</v>
      </c>
    </row>
    <row r="16" customFormat="false" ht="15" hidden="false" customHeight="true" outlineLevel="0" collapsed="false">
      <c r="A16" s="16" t="s">
        <v>44</v>
      </c>
    </row>
    <row r="17" customFormat="false" ht="15" hidden="false" customHeight="true" outlineLevel="0" collapsed="false">
      <c r="A17" s="16" t="s">
        <v>45</v>
      </c>
      <c r="C17" s="23" t="s">
        <v>46</v>
      </c>
      <c r="D17" s="23" t="s">
        <v>47</v>
      </c>
      <c r="E17" s="23" t="s">
        <v>48</v>
      </c>
      <c r="F17" s="23" t="s">
        <v>49</v>
      </c>
      <c r="G17" s="23" t="s">
        <v>50</v>
      </c>
    </row>
    <row r="18" customFormat="false" ht="15" hidden="false" customHeight="true" outlineLevel="0" collapsed="false">
      <c r="A18" s="6" t="s">
        <v>51</v>
      </c>
      <c r="C18" s="24" t="n">
        <f aca="false">$B$2*(1+$B$9)</f>
        <v>158.05</v>
      </c>
      <c r="D18" s="24" t="n">
        <f aca="false">C18*(1+$B$9)</f>
        <v>172.2745</v>
      </c>
      <c r="E18" s="24" t="n">
        <f aca="false">D18*(1+$B$9)</f>
        <v>187.779205</v>
      </c>
      <c r="F18" s="24" t="n">
        <f aca="false">E18*(1+$B$9)</f>
        <v>204.67933345</v>
      </c>
      <c r="G18" s="24" t="n">
        <f aca="false">F18*(1+$B$9)</f>
        <v>223.1004734605</v>
      </c>
    </row>
    <row r="19" customFormat="false" ht="15" hidden="false" customHeight="true" outlineLevel="0" collapsed="false">
      <c r="A19" s="6" t="s">
        <v>52</v>
      </c>
      <c r="C19" s="24" t="n">
        <f aca="false">C18*$B$10</f>
        <v>66.381</v>
      </c>
      <c r="D19" s="24" t="n">
        <f aca="false">D18*$B$10</f>
        <v>72.35529</v>
      </c>
      <c r="E19" s="24" t="n">
        <f aca="false">E18*$B$10</f>
        <v>78.8672661</v>
      </c>
      <c r="F19" s="24" t="n">
        <f aca="false">F18*$B$10</f>
        <v>85.965320049</v>
      </c>
      <c r="G19" s="24" t="n">
        <f aca="false">G18*$B$10</f>
        <v>93.70219885341</v>
      </c>
    </row>
    <row r="20" customFormat="false" ht="15" hidden="false" customHeight="true" outlineLevel="0" collapsed="false">
      <c r="A20" s="6" t="s">
        <v>53</v>
      </c>
      <c r="C20" s="24" t="n">
        <f aca="false">C18*$B$3</f>
        <v>20.5465</v>
      </c>
      <c r="D20" s="24" t="n">
        <f aca="false">D18*$B$3</f>
        <v>22.395685</v>
      </c>
      <c r="E20" s="24" t="n">
        <f aca="false">E18*$B$3</f>
        <v>24.41129665</v>
      </c>
      <c r="F20" s="24" t="n">
        <f aca="false">F18*$B$3</f>
        <v>26.6083133485</v>
      </c>
      <c r="G20" s="24" t="n">
        <f aca="false">G18*$B$3</f>
        <v>29.003061549865</v>
      </c>
    </row>
    <row r="21" customFormat="false" ht="15" hidden="false" customHeight="true" outlineLevel="0" collapsed="false">
      <c r="A21" s="6" t="s">
        <v>54</v>
      </c>
      <c r="C21" s="24" t="n">
        <f aca="false">C19-C20</f>
        <v>45.8345</v>
      </c>
      <c r="D21" s="24" t="n">
        <f aca="false">D19-D20</f>
        <v>49.959605</v>
      </c>
      <c r="E21" s="24" t="n">
        <f aca="false">E19-E20</f>
        <v>54.45596945</v>
      </c>
      <c r="F21" s="24" t="n">
        <f aca="false">F19-F20</f>
        <v>59.3570067005</v>
      </c>
      <c r="G21" s="24" t="n">
        <f aca="false">G19-G20</f>
        <v>64.699137303545</v>
      </c>
    </row>
    <row r="22" customFormat="false" ht="15" hidden="false" customHeight="true" outlineLevel="0" collapsed="false">
      <c r="A22" s="6" t="s">
        <v>55</v>
      </c>
      <c r="C22" s="24" t="n">
        <f aca="false">C21*(1-$B$12)</f>
        <v>33.91753</v>
      </c>
      <c r="D22" s="24" t="n">
        <f aca="false">D21*(1-$B$12)</f>
        <v>36.9701077</v>
      </c>
      <c r="E22" s="24" t="n">
        <f aca="false">E21*(1-$B$12)</f>
        <v>40.297417393</v>
      </c>
      <c r="F22" s="24" t="n">
        <f aca="false">F21*(1-$B$12)</f>
        <v>43.92418495837</v>
      </c>
      <c r="G22" s="24" t="n">
        <f aca="false">G21*(1-$B$12)</f>
        <v>47.8773616046233</v>
      </c>
    </row>
    <row r="23" customFormat="false" ht="15" hidden="false" customHeight="true" outlineLevel="0" collapsed="false">
      <c r="A23" s="6" t="s">
        <v>56</v>
      </c>
      <c r="C23" s="24" t="n">
        <f aca="false">C18*$B$14</f>
        <v>25.288</v>
      </c>
      <c r="D23" s="24" t="n">
        <f aca="false">D18*$B$14</f>
        <v>27.56392</v>
      </c>
      <c r="E23" s="24" t="n">
        <f aca="false">E18*$B$14</f>
        <v>30.0446728</v>
      </c>
      <c r="F23" s="24" t="n">
        <f aca="false">F18*$B$14</f>
        <v>32.748693352</v>
      </c>
      <c r="G23" s="24" t="n">
        <f aca="false">G18*$B$14</f>
        <v>35.69607575368</v>
      </c>
    </row>
    <row r="24" customFormat="false" ht="15" hidden="false" customHeight="true" outlineLevel="0" collapsed="false">
      <c r="A24" s="6" t="s">
        <v>57</v>
      </c>
      <c r="C24" s="24" t="n">
        <f aca="false">(C18-$B$2)*$B$4</f>
        <v>0.3915</v>
      </c>
      <c r="D24" s="24" t="n">
        <f aca="false">(D18-C18)*$B$4</f>
        <v>0.426735</v>
      </c>
      <c r="E24" s="24" t="n">
        <f aca="false">(E18-D18)*$B$4</f>
        <v>0.46514115</v>
      </c>
      <c r="F24" s="24" t="n">
        <f aca="false">(F18-E18)*$B$4</f>
        <v>0.5070038535</v>
      </c>
      <c r="G24" s="24" t="n">
        <f aca="false">(G18-F18)*$B$4</f>
        <v>0.552634200315</v>
      </c>
    </row>
    <row r="25" customFormat="false" ht="15" hidden="false" customHeight="true" outlineLevel="0" collapsed="false">
      <c r="A25" s="6" t="s">
        <v>58</v>
      </c>
      <c r="C25" s="24" t="n">
        <f aca="false">C22+C20-C23-C24</f>
        <v>28.78453</v>
      </c>
      <c r="D25" s="24" t="n">
        <f aca="false">D22+D20-D23-D24</f>
        <v>31.3751377</v>
      </c>
      <c r="E25" s="24" t="n">
        <f aca="false">E22+E20-E23-E24</f>
        <v>34.198900093</v>
      </c>
      <c r="F25" s="24" t="n">
        <f aca="false">F22+F20-F23-F24</f>
        <v>37.27680110137</v>
      </c>
      <c r="G25" s="24" t="n">
        <f aca="false">G22+G20-G23-G24</f>
        <v>40.6317132004933</v>
      </c>
    </row>
    <row r="26" customFormat="false" ht="15" hidden="false" customHeight="true" outlineLevel="0" collapsed="false">
      <c r="A26" s="6" t="s">
        <v>59</v>
      </c>
      <c r="C26" s="25" t="n">
        <f aca="false">1/(1+MAX($B$11,$B$13+0.015))^1</f>
        <v>0.921658986175115</v>
      </c>
      <c r="D26" s="25" t="n">
        <f aca="false">1/(1+MAX($B$11,$B$13+0.015))^2</f>
        <v>0.849455286797341</v>
      </c>
      <c r="E26" s="25" t="n">
        <f aca="false">1/(1+MAX($B$11,$B$13+0.015))^3</f>
        <v>0.782908098430729</v>
      </c>
      <c r="F26" s="25" t="n">
        <f aca="false">1/(1+MAX($B$11,$B$13+0.015))^4</f>
        <v>0.721574284267953</v>
      </c>
      <c r="G26" s="25" t="n">
        <f aca="false">1/(1+MAX($B$11,$B$13+0.015))^5</f>
        <v>0.665045423288436</v>
      </c>
    </row>
    <row r="27" customFormat="false" ht="15" hidden="false" customHeight="true" outlineLevel="0" collapsed="false">
      <c r="A27" s="6" t="s">
        <v>60</v>
      </c>
      <c r="C27" s="24" t="n">
        <f aca="false">C25*C26</f>
        <v>26.5295207373272</v>
      </c>
      <c r="D27" s="24" t="n">
        <f aca="false">D25*D26</f>
        <v>26.6517765932596</v>
      </c>
      <c r="E27" s="24" t="n">
        <f aca="false">E25*E26</f>
        <v>26.7745958402331</v>
      </c>
      <c r="F27" s="24" t="n">
        <f aca="false">F25*F26</f>
        <v>26.8979810745199</v>
      </c>
      <c r="G27" s="24" t="n">
        <f aca="false">G25*G26</f>
        <v>27.0219349043564</v>
      </c>
    </row>
    <row r="29" customFormat="false" ht="15" hidden="false" customHeight="true" outlineLevel="0" collapsed="false">
      <c r="A29" s="16" t="s">
        <v>61</v>
      </c>
      <c r="B29" s="24" t="n">
        <f aca="false">SUM(C27:G27)</f>
        <v>133.875809149696</v>
      </c>
    </row>
    <row r="30" customFormat="false" ht="15" hidden="false" customHeight="true" outlineLevel="0" collapsed="false">
      <c r="A30" s="6" t="s">
        <v>62</v>
      </c>
      <c r="B30" s="24" t="n">
        <f aca="false">G25*(1+$B$13)/(MAX($B$11,$B$13+0.015)-$B$13)</f>
        <v>637.605345607741</v>
      </c>
    </row>
    <row r="31" customFormat="false" ht="15" hidden="false" customHeight="true" outlineLevel="0" collapsed="false">
      <c r="A31" s="6" t="s">
        <v>63</v>
      </c>
      <c r="B31" s="24" t="n">
        <f aca="false">B30/(1+MAX($B$11,$B$13+0.015))^5</f>
        <v>424.03651696067</v>
      </c>
    </row>
    <row r="32" customFormat="false" ht="15" hidden="false" customHeight="true" outlineLevel="0" collapsed="false">
      <c r="A32" s="5" t="s">
        <v>64</v>
      </c>
      <c r="B32" s="26" t="n">
        <f aca="false">B29+B31</f>
        <v>557.912326110366</v>
      </c>
    </row>
    <row r="33" customFormat="false" ht="15" hidden="false" customHeight="true" outlineLevel="0" collapsed="false">
      <c r="A33" s="6" t="s">
        <v>65</v>
      </c>
      <c r="B33" s="24" t="n">
        <f aca="false">-$B$5</f>
        <v>-185</v>
      </c>
    </row>
    <row r="34" customFormat="false" ht="15" hidden="false" customHeight="true" outlineLevel="0" collapsed="false">
      <c r="A34" s="16" t="s">
        <v>66</v>
      </c>
      <c r="B34" s="24" t="n">
        <f aca="false">B32+B33</f>
        <v>372.912326110366</v>
      </c>
    </row>
    <row r="35" customFormat="false" ht="15" hidden="false" customHeight="true" outlineLevel="0" collapsed="false">
      <c r="A35" s="27" t="s">
        <v>67</v>
      </c>
      <c r="B35" s="28" t="n">
        <f aca="false">B34/$B$6</f>
        <v>14.9164930444146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0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9" min="1" style="1" width="11"/>
  </cols>
  <sheetData>
    <row r="1" customFormat="false" ht="26.25" hidden="false" customHeight="true" outlineLevel="0" collapsed="false">
      <c r="A1" s="29" t="s">
        <v>68</v>
      </c>
      <c r="B1" s="29" t="s">
        <v>69</v>
      </c>
      <c r="C1" s="29" t="s">
        <v>70</v>
      </c>
      <c r="D1" s="29" t="s">
        <v>71</v>
      </c>
      <c r="E1" s="29" t="s">
        <v>72</v>
      </c>
      <c r="F1" s="29" t="s">
        <v>73</v>
      </c>
      <c r="G1" s="29" t="s">
        <v>74</v>
      </c>
      <c r="H1" s="29" t="s">
        <v>75</v>
      </c>
      <c r="I1" s="29" t="s">
        <v>76</v>
      </c>
      <c r="J1" s="29" t="s">
        <v>77</v>
      </c>
      <c r="K1" s="29" t="s">
        <v>78</v>
      </c>
      <c r="L1" s="29" t="s">
        <v>79</v>
      </c>
      <c r="M1" s="29" t="s">
        <v>80</v>
      </c>
      <c r="N1" s="29" t="s">
        <v>81</v>
      </c>
      <c r="O1" s="29" t="s">
        <v>82</v>
      </c>
      <c r="P1" s="29" t="s">
        <v>83</v>
      </c>
      <c r="Q1" s="29" t="s">
        <v>84</v>
      </c>
      <c r="R1" s="29" t="s">
        <v>85</v>
      </c>
      <c r="S1" s="29" t="s">
        <v>86</v>
      </c>
    </row>
    <row r="2" customFormat="false" ht="15" hidden="false" customHeight="true" outlineLevel="0" collapsed="false">
      <c r="A2" s="6" t="n">
        <v>1</v>
      </c>
      <c r="B2" s="30" t="n">
        <v>0.0963943340801644</v>
      </c>
      <c r="C2" s="30" t="n">
        <v>0.394013466557107</v>
      </c>
      <c r="D2" s="30" t="n">
        <v>0.093254963153871</v>
      </c>
      <c r="E2" s="30" t="n">
        <v>0.308559760451398</v>
      </c>
      <c r="F2" s="30" t="n">
        <v>0.0121135574865191</v>
      </c>
      <c r="G2" s="30" t="n">
        <v>0.139639502487318</v>
      </c>
      <c r="H2" s="31" t="n">
        <f aca="false">MAX(D2,F2+0.015)</f>
        <v>0.093254963153871</v>
      </c>
      <c r="I2" s="25" t="n">
        <f aca="false">(C2-'DCF Base Case'!$B$3)*(1-E2)+'DCF Base Case'!$B$3-G2</f>
        <v>0.172910032072985</v>
      </c>
      <c r="J2" s="24" t="n">
        <f aca="false">'DCF Base Case'!$B$2*(1+B2)^1*$I2-'DCF Base Case'!$B$2*(1+B2)^0*B2*'DCF Base Case'!$B$4</f>
        <v>27.0694336699651</v>
      </c>
      <c r="K2" s="24" t="n">
        <f aca="false">'DCF Base Case'!$B$2*(1+B2)^2*$I2-'DCF Base Case'!$B$2*(1+B2)^1*B2*'DCF Base Case'!$B$4</f>
        <v>29.6787737025086</v>
      </c>
      <c r="L2" s="24" t="n">
        <f aca="false">'DCF Base Case'!$B$2*(1+B2)^3*$I2-'DCF Base Case'!$B$2*(1+B2)^2*B2*'DCF Base Case'!$B$4</f>
        <v>32.5396393298778</v>
      </c>
      <c r="M2" s="24" t="n">
        <f aca="false">'DCF Base Case'!$B$2*(1+B2)^4*$I2-'DCF Base Case'!$B$2*(1+B2)^3*B2*'DCF Base Case'!$B$4</f>
        <v>35.6762761942901</v>
      </c>
      <c r="N2" s="24" t="n">
        <f aca="false">'DCF Base Case'!$B$2*(1+B2)^5*$I2-'DCF Base Case'!$B$2*(1+B2)^4*B2*'DCF Base Case'!$B$4</f>
        <v>39.1152670804987</v>
      </c>
      <c r="O2" s="24" t="n">
        <f aca="false">J2/(1+H2)^1+K2/(1+H2)^2+L2/(1+H2)^3+M2/(1+H2)^4+N2/(1+H2)^5</f>
        <v>124.515075790807</v>
      </c>
      <c r="P2" s="24" t="n">
        <f aca="false">N2*(1+F2)/(H2-F2)</f>
        <v>487.902468428742</v>
      </c>
      <c r="Q2" s="24" t="n">
        <f aca="false">O2+P2/(1+H2)^5</f>
        <v>436.925651507292</v>
      </c>
      <c r="R2" s="24" t="n">
        <f aca="false">Q2-'DCF Base Case'!$B$5</f>
        <v>251.925651507292</v>
      </c>
      <c r="S2" s="32" t="n">
        <f aca="false">R2/'DCF Base Case'!$B$6</f>
        <v>10.0770260602917</v>
      </c>
    </row>
    <row r="3" customFormat="false" ht="15" hidden="false" customHeight="true" outlineLevel="0" collapsed="false">
      <c r="A3" s="6" t="n">
        <v>2</v>
      </c>
      <c r="B3" s="30" t="n">
        <v>0.0926113073805359</v>
      </c>
      <c r="C3" s="30" t="n">
        <v>0.409033579662853</v>
      </c>
      <c r="D3" s="30" t="n">
        <v>0.0848151872674528</v>
      </c>
      <c r="E3" s="30" t="n">
        <v>0.260828776926597</v>
      </c>
      <c r="F3" s="30" t="n">
        <v>0.0225116084364084</v>
      </c>
      <c r="G3" s="30" t="n">
        <v>0.183805041110821</v>
      </c>
      <c r="H3" s="31" t="n">
        <f aca="false">MAX(D3,F3+0.015)</f>
        <v>0.0848151872674528</v>
      </c>
      <c r="I3" s="25" t="n">
        <f aca="false">(C3-'DCF Base Case'!$B$3)*(1-E3)+'DCF Base Case'!$B$3-G3</f>
        <v>0.15244855124712</v>
      </c>
      <c r="J3" s="24" t="n">
        <f aca="false">'DCF Base Case'!$B$2*(1+B3)^1*$I3-'DCF Base Case'!$B$2*(1+B3)^0*B3*'DCF Base Case'!$B$4</f>
        <v>23.7493573914204</v>
      </c>
      <c r="K3" s="24" t="n">
        <f aca="false">'DCF Base Case'!$B$2*(1+B3)^2*$I3-'DCF Base Case'!$B$2*(1+B3)^1*B3*'DCF Base Case'!$B$4</f>
        <v>25.9488164288874</v>
      </c>
      <c r="L3" s="24" t="n">
        <f aca="false">'DCF Base Case'!$B$2*(1+B3)^3*$I3-'DCF Base Case'!$B$2*(1+B3)^2*B3*'DCF Base Case'!$B$4</f>
        <v>28.3519702433442</v>
      </c>
      <c r="M3" s="24" t="n">
        <f aca="false">'DCF Base Case'!$B$2*(1+B3)^4*$I3-'DCF Base Case'!$B$2*(1+B3)^3*B3*'DCF Base Case'!$B$4</f>
        <v>30.9776832743944</v>
      </c>
      <c r="N3" s="24" t="n">
        <f aca="false">'DCF Base Case'!$B$2*(1+B3)^5*$I3-'DCF Base Case'!$B$2*(1+B3)^4*B3*'DCF Base Case'!$B$4</f>
        <v>33.8465670220562</v>
      </c>
      <c r="O3" s="24" t="n">
        <f aca="false">J3/(1+H3)^1+K3/(1+H3)^2+L3/(1+H3)^3+M3/(1+H3)^4+N3/(1+H3)^5</f>
        <v>111.047362617408</v>
      </c>
      <c r="P3" s="24" t="n">
        <f aca="false">N3*(1+F3)/(H3-F3)</f>
        <v>555.481857304299</v>
      </c>
      <c r="Q3" s="24" t="n">
        <f aca="false">O3+P3/(1+H3)^5</f>
        <v>480.782815458206</v>
      </c>
      <c r="R3" s="24" t="n">
        <f aca="false">Q3-'DCF Base Case'!$B$5</f>
        <v>295.782815458206</v>
      </c>
      <c r="S3" s="32" t="n">
        <f aca="false">R3/'DCF Base Case'!$B$6</f>
        <v>11.8313126183282</v>
      </c>
    </row>
    <row r="4" customFormat="false" ht="15" hidden="false" customHeight="true" outlineLevel="0" collapsed="false">
      <c r="A4" s="6" t="n">
        <v>3</v>
      </c>
      <c r="B4" s="30" t="n">
        <v>0.0913339598472737</v>
      </c>
      <c r="C4" s="30" t="n">
        <v>0.436311866629589</v>
      </c>
      <c r="D4" s="30" t="n">
        <v>0.0901426027647725</v>
      </c>
      <c r="E4" s="30" t="n">
        <v>0.260732911709319</v>
      </c>
      <c r="F4" s="30" t="n">
        <v>0.0206629265833508</v>
      </c>
      <c r="G4" s="30" t="n">
        <v>0.14598529934063</v>
      </c>
      <c r="H4" s="31" t="n">
        <f aca="false">MAX(D4,F4+0.015)</f>
        <v>0.0901426027647725</v>
      </c>
      <c r="I4" s="25" t="n">
        <f aca="false">(C4-'DCF Base Case'!$B$3)*(1-E4)+'DCF Base Case'!$B$3-G4</f>
        <v>0.21046098241151</v>
      </c>
      <c r="J4" s="24" t="n">
        <f aca="false">'DCF Base Case'!$B$2*(1+B4)^1*$I4-'DCF Base Case'!$B$2*(1+B4)^0*B4*'DCF Base Case'!$B$4</f>
        <v>32.9067637872969</v>
      </c>
      <c r="K4" s="24" t="n">
        <f aca="false">'DCF Base Case'!$B$2*(1+B4)^2*$I4-'DCF Base Case'!$B$2*(1+B4)^1*B4*'DCF Base Case'!$B$4</f>
        <v>35.9122688297496</v>
      </c>
      <c r="L4" s="24" t="n">
        <f aca="false">'DCF Base Case'!$B$2*(1+B4)^3*$I4-'DCF Base Case'!$B$2*(1+B4)^2*B4*'DCF Base Case'!$B$4</f>
        <v>39.1922785490704</v>
      </c>
      <c r="M4" s="24" t="n">
        <f aca="false">'DCF Base Case'!$B$2*(1+B4)^4*$I4-'DCF Base Case'!$B$2*(1+B4)^3*B4*'DCF Base Case'!$B$4</f>
        <v>42.7718645443944</v>
      </c>
      <c r="N4" s="24" t="n">
        <f aca="false">'DCF Base Case'!$B$2*(1+B4)^5*$I4-'DCF Base Case'!$B$2*(1+B4)^4*B4*'DCF Base Case'!$B$4</f>
        <v>46.6783883032852</v>
      </c>
      <c r="O4" s="24" t="n">
        <f aca="false">J4/(1+H4)^1+K4/(1+H4)^2+L4/(1+H4)^3+M4/(1+H4)^4+N4/(1+H4)^5</f>
        <v>151.258956142107</v>
      </c>
      <c r="P4" s="24" t="n">
        <f aca="false">N4*(1+F4)/(H4-F4)</f>
        <v>685.709879957161</v>
      </c>
      <c r="Q4" s="24" t="n">
        <f aca="false">O4+P4/(1+H4)^5</f>
        <v>596.631916012979</v>
      </c>
      <c r="R4" s="24" t="n">
        <f aca="false">Q4-'DCF Base Case'!$B$5</f>
        <v>411.631916012979</v>
      </c>
      <c r="S4" s="32" t="n">
        <f aca="false">R4/'DCF Base Case'!$B$6</f>
        <v>16.4652766405192</v>
      </c>
    </row>
    <row r="5" customFormat="false" ht="15" hidden="false" customHeight="true" outlineLevel="0" collapsed="false">
      <c r="A5" s="6" t="n">
        <v>4</v>
      </c>
      <c r="B5" s="30" t="n">
        <v>0.109190123458485</v>
      </c>
      <c r="C5" s="30" t="n">
        <v>0.420141953235283</v>
      </c>
      <c r="D5" s="30" t="n">
        <v>0.0829665140010021</v>
      </c>
      <c r="E5" s="30" t="n">
        <v>0.263714338152592</v>
      </c>
      <c r="F5" s="30" t="n">
        <v>0.0236873718858702</v>
      </c>
      <c r="G5" s="30" t="n">
        <v>0.161961881501956</v>
      </c>
      <c r="H5" s="31" t="n">
        <f aca="false">MAX(D5,F5+0.015)</f>
        <v>0.0829665140010021</v>
      </c>
      <c r="I5" s="25" t="n">
        <f aca="false">(C5-'DCF Base Case'!$B$3)*(1-E5)+'DCF Base Case'!$B$3-G5</f>
        <v>0.181665478565584</v>
      </c>
      <c r="J5" s="24" t="n">
        <f aca="false">'DCF Base Case'!$B$2*(1+B5)^1*$I5-'DCF Base Case'!$B$2*(1+B5)^0*B5*'DCF Base Case'!$B$4</f>
        <v>28.7427483797098</v>
      </c>
      <c r="K5" s="24" t="n">
        <f aca="false">'DCF Base Case'!$B$2*(1+B5)^2*$I5-'DCF Base Case'!$B$2*(1+B5)^1*B5*'DCF Base Case'!$B$4</f>
        <v>31.8811726238265</v>
      </c>
      <c r="L5" s="24" t="n">
        <f aca="false">'DCF Base Case'!$B$2*(1+B5)^3*$I5-'DCF Base Case'!$B$2*(1+B5)^2*B5*'DCF Base Case'!$B$4</f>
        <v>35.3622817986234</v>
      </c>
      <c r="M5" s="24" t="n">
        <f aca="false">'DCF Base Case'!$B$2*(1+B5)^4*$I5-'DCF Base Case'!$B$2*(1+B5)^3*B5*'DCF Base Case'!$B$4</f>
        <v>39.2234937139888</v>
      </c>
      <c r="N5" s="24" t="n">
        <f aca="false">'DCF Base Case'!$B$2*(1+B5)^5*$I5-'DCF Base Case'!$B$2*(1+B5)^4*B5*'DCF Base Case'!$B$4</f>
        <v>43.5063118350924</v>
      </c>
      <c r="O5" s="24" t="n">
        <f aca="false">J5/(1+H5)^1+K5/(1+H5)^2+L5/(1+H5)^3+M5/(1+H5)^4+N5/(1+H5)^5</f>
        <v>139.288026378684</v>
      </c>
      <c r="P5" s="24" t="n">
        <f aca="false">N5*(1+F5)/(H5-F5)</f>
        <v>751.307465556998</v>
      </c>
      <c r="Q5" s="24" t="n">
        <f aca="false">O5+P5/(1+H5)^5</f>
        <v>643.650264734344</v>
      </c>
      <c r="R5" s="24" t="n">
        <f aca="false">Q5-'DCF Base Case'!$B$5</f>
        <v>458.650264734344</v>
      </c>
      <c r="S5" s="32" t="n">
        <f aca="false">R5/'DCF Base Case'!$B$6</f>
        <v>18.3460105893738</v>
      </c>
    </row>
    <row r="6" customFormat="false" ht="15" hidden="false" customHeight="true" outlineLevel="0" collapsed="false">
      <c r="A6" s="6" t="n">
        <v>5</v>
      </c>
      <c r="B6" s="30" t="n">
        <v>0.0808782480570398</v>
      </c>
      <c r="C6" s="30" t="n">
        <v>0.403521955435087</v>
      </c>
      <c r="D6" s="30" t="n">
        <v>0.0908554010410868</v>
      </c>
      <c r="E6" s="30" t="n">
        <v>0.290517559137894</v>
      </c>
      <c r="F6" s="30" t="n">
        <v>0.0208207754223899</v>
      </c>
      <c r="G6" s="30" t="n">
        <v>0.175280925990879</v>
      </c>
      <c r="H6" s="31" t="n">
        <f aca="false">MAX(D6,F6+0.015)</f>
        <v>0.0908554010410868</v>
      </c>
      <c r="I6" s="25" t="n">
        <f aca="false">(C6-'DCF Base Case'!$B$3)*(1-E6)+'DCF Base Case'!$B$3-G6</f>
        <v>0.148778098580583</v>
      </c>
      <c r="J6" s="24" t="n">
        <f aca="false">'DCF Base Case'!$B$2*(1+B6)^1*$I6-'DCF Base Case'!$B$2*(1+B6)^0*B6*'DCF Base Case'!$B$4</f>
        <v>22.9657761496924</v>
      </c>
      <c r="K6" s="24" t="n">
        <f aca="false">'DCF Base Case'!$B$2*(1+B6)^2*$I6-'DCF Base Case'!$B$2*(1+B6)^1*B6*'DCF Base Case'!$B$4</f>
        <v>24.8232078899496</v>
      </c>
      <c r="L6" s="24" t="n">
        <f aca="false">'DCF Base Case'!$B$2*(1+B6)^3*$I6-'DCF Base Case'!$B$2*(1+B6)^2*B6*'DCF Base Case'!$B$4</f>
        <v>26.8308654552444</v>
      </c>
      <c r="M6" s="24" t="n">
        <f aca="false">'DCF Base Case'!$B$2*(1+B6)^4*$I6-'DCF Base Case'!$B$2*(1+B6)^3*B6*'DCF Base Case'!$B$4</f>
        <v>29.0008988471188</v>
      </c>
      <c r="N6" s="24" t="n">
        <f aca="false">'DCF Base Case'!$B$2*(1+B6)^5*$I6-'DCF Base Case'!$B$2*(1+B6)^4*B6*'DCF Base Case'!$B$4</f>
        <v>31.3464407379532</v>
      </c>
      <c r="O6" s="24" t="n">
        <f aca="false">J6/(1+H6)^1+K6/(1+H6)^2+L6/(1+H6)^3+M6/(1+H6)^4+N6/(1+H6)^5</f>
        <v>103.356975279388</v>
      </c>
      <c r="P6" s="24" t="n">
        <f aca="false">N6*(1+F6)/(H6-F6)</f>
        <v>456.90396226387</v>
      </c>
      <c r="Q6" s="24" t="n">
        <f aca="false">O6+P6/(1+H6)^5</f>
        <v>399.150725086503</v>
      </c>
      <c r="R6" s="24" t="n">
        <f aca="false">Q6-'DCF Base Case'!$B$5</f>
        <v>214.150725086503</v>
      </c>
      <c r="S6" s="32" t="n">
        <f aca="false">R6/'DCF Base Case'!$B$6</f>
        <v>8.56602900346011</v>
      </c>
    </row>
    <row r="7" customFormat="false" ht="15" hidden="false" customHeight="true" outlineLevel="0" collapsed="false">
      <c r="A7" s="6" t="n">
        <v>6</v>
      </c>
      <c r="B7" s="30" t="n">
        <v>0.131024777130469</v>
      </c>
      <c r="C7" s="30" t="n">
        <v>0.42225807431374</v>
      </c>
      <c r="D7" s="30" t="n">
        <v>0.0793653299802131</v>
      </c>
      <c r="E7" s="30" t="n">
        <v>0.261445423875759</v>
      </c>
      <c r="F7" s="30" t="n">
        <v>0.0215586012485796</v>
      </c>
      <c r="G7" s="30" t="n">
        <v>0.192130149510541</v>
      </c>
      <c r="H7" s="31" t="n">
        <f aca="false">MAX(D7,F7+0.015)</f>
        <v>0.0793653299802131</v>
      </c>
      <c r="I7" s="25" t="n">
        <f aca="false">(C7-'DCF Base Case'!$B$3)*(1-E7)+'DCF Base Case'!$B$3-G7</f>
        <v>0.15371838868313</v>
      </c>
      <c r="J7" s="24" t="n">
        <f aca="false">'DCF Base Case'!$B$2*(1+B7)^1*$I7-'DCF Base Case'!$B$2*(1+B7)^0*B7*'DCF Base Case'!$B$4</f>
        <v>24.6396416331553</v>
      </c>
      <c r="K7" s="24" t="n">
        <f aca="false">'DCF Base Case'!$B$2*(1+B7)^2*$I7-'DCF Base Case'!$B$2*(1+B7)^1*B7*'DCF Base Case'!$B$4</f>
        <v>27.8680451867141</v>
      </c>
      <c r="L7" s="24" t="n">
        <f aca="false">'DCF Base Case'!$B$2*(1+B7)^3*$I7-'DCF Base Case'!$B$2*(1+B7)^2*B7*'DCF Base Case'!$B$4</f>
        <v>31.5194495963652</v>
      </c>
      <c r="M7" s="24" t="n">
        <f aca="false">'DCF Base Case'!$B$2*(1+B7)^4*$I7-'DCF Base Case'!$B$2*(1+B7)^3*B7*'DCF Base Case'!$B$4</f>
        <v>35.649278455004</v>
      </c>
      <c r="N7" s="24" t="n">
        <f aca="false">'DCF Base Case'!$B$2*(1+B7)^5*$I7-'DCF Base Case'!$B$2*(1+B7)^4*B7*'DCF Base Case'!$B$4</f>
        <v>40.3202172194329</v>
      </c>
      <c r="O7" s="24" t="n">
        <f aca="false">J7/(1+H7)^1+K7/(1+H7)^2+L7/(1+H7)^3+M7/(1+H7)^4+N7/(1+H7)^5</f>
        <v>125.600683286277</v>
      </c>
      <c r="P7" s="24" t="n">
        <f aca="false">N7*(1+F7)/(H7-F7)</f>
        <v>712.537547245477</v>
      </c>
      <c r="Q7" s="24" t="n">
        <f aca="false">O7+P7/(1+H7)^5</f>
        <v>611.969176837294</v>
      </c>
      <c r="R7" s="24" t="n">
        <f aca="false">Q7-'DCF Base Case'!$B$5</f>
        <v>426.969176837294</v>
      </c>
      <c r="S7" s="32" t="n">
        <f aca="false">R7/'DCF Base Case'!$B$6</f>
        <v>17.0787670734918</v>
      </c>
    </row>
    <row r="8" customFormat="false" ht="15" hidden="false" customHeight="true" outlineLevel="0" collapsed="false">
      <c r="A8" s="6" t="n">
        <v>7</v>
      </c>
      <c r="B8" s="30" t="n">
        <v>0.0876780726530695</v>
      </c>
      <c r="C8" s="30" t="n">
        <v>0.394998353350272</v>
      </c>
      <c r="D8" s="30" t="n">
        <v>0.0759307066273964</v>
      </c>
      <c r="E8" s="30" t="n">
        <v>0.29949473822675</v>
      </c>
      <c r="F8" s="30" t="n">
        <v>0.0220216665249704</v>
      </c>
      <c r="G8" s="30" t="n">
        <v>0.178034886253215</v>
      </c>
      <c r="H8" s="31" t="n">
        <f aca="false">MAX(D8,F8+0.015)</f>
        <v>0.0759307066273964</v>
      </c>
      <c r="I8" s="25" t="n">
        <f aca="false">(C8-'DCF Base Case'!$B$3)*(1-E8)+'DCF Base Case'!$B$3-G8</f>
        <v>0.137597854629898</v>
      </c>
      <c r="J8" s="24" t="n">
        <f aca="false">'DCF Base Case'!$B$2*(1+B8)^1*$I8-'DCF Base Case'!$B$2*(1+B8)^0*B8*'DCF Base Case'!$B$4</f>
        <v>21.3196149360905</v>
      </c>
      <c r="K8" s="24" t="n">
        <f aca="false">'DCF Base Case'!$B$2*(1+B8)^2*$I8-'DCF Base Case'!$B$2*(1+B8)^1*B8*'DCF Base Case'!$B$4</f>
        <v>23.1888776833926</v>
      </c>
      <c r="L8" s="24" t="n">
        <f aca="false">'DCF Base Case'!$B$2*(1+B8)^3*$I8-'DCF Base Case'!$B$2*(1+B8)^2*B8*'DCF Base Case'!$B$4</f>
        <v>25.2220337856602</v>
      </c>
      <c r="M8" s="24" t="n">
        <f aca="false">'DCF Base Case'!$B$2*(1+B8)^4*$I8-'DCF Base Case'!$B$2*(1+B8)^3*B8*'DCF Base Case'!$B$4</f>
        <v>27.4334530963775</v>
      </c>
      <c r="N8" s="24" t="n">
        <f aca="false">'DCF Base Case'!$B$2*(1+B8)^5*$I8-'DCF Base Case'!$B$2*(1+B8)^4*B8*'DCF Base Case'!$B$4</f>
        <v>29.8387653900862</v>
      </c>
      <c r="O8" s="24" t="n">
        <f aca="false">J8/(1+H8)^1+K8/(1+H8)^2+L8/(1+H8)^3+M8/(1+H8)^4+N8/(1+H8)^5</f>
        <v>101.262445592935</v>
      </c>
      <c r="P8" s="24" t="n">
        <f aca="false">N8*(1+F8)/(H8-F8)</f>
        <v>565.691109934105</v>
      </c>
      <c r="Q8" s="24" t="n">
        <f aca="false">O8+P8/(1+H8)^5</f>
        <v>493.598158580351</v>
      </c>
      <c r="R8" s="24" t="n">
        <f aca="false">Q8-'DCF Base Case'!$B$5</f>
        <v>308.598158580351</v>
      </c>
      <c r="S8" s="32" t="n">
        <f aca="false">R8/'DCF Base Case'!$B$6</f>
        <v>12.343926343214</v>
      </c>
    </row>
    <row r="9" customFormat="false" ht="15" hidden="false" customHeight="true" outlineLevel="0" collapsed="false">
      <c r="A9" s="6" t="n">
        <v>8</v>
      </c>
      <c r="B9" s="30" t="n">
        <v>0.0755571559886155</v>
      </c>
      <c r="C9" s="30" t="n">
        <v>0.414433595287101</v>
      </c>
      <c r="D9" s="30" t="n">
        <v>0.086283543900548</v>
      </c>
      <c r="E9" s="30" t="n">
        <v>0.286022515438724</v>
      </c>
      <c r="F9" s="30" t="n">
        <v>0.0224831777846801</v>
      </c>
      <c r="G9" s="30" t="n">
        <v>0.170308792702838</v>
      </c>
      <c r="H9" s="31" t="n">
        <f aca="false">MAX(D9,F9+0.015)</f>
        <v>0.086283543900548</v>
      </c>
      <c r="I9" s="25" t="n">
        <f aca="false">(C9-'DCF Base Case'!$B$3)*(1-E9)+'DCF Base Case'!$B$3-G9</f>
        <v>0.162770390184966</v>
      </c>
      <c r="J9" s="24" t="n">
        <f aca="false">'DCF Base Case'!$B$2*(1+B9)^1*$I9-'DCF Base Case'!$B$2*(1+B9)^0*B9*'DCF Base Case'!$B$4</f>
        <v>25.056310773692</v>
      </c>
      <c r="K9" s="24" t="n">
        <f aca="false">'DCF Base Case'!$B$2*(1+B9)^2*$I9-'DCF Base Case'!$B$2*(1+B9)^1*B9*'DCF Base Case'!$B$4</f>
        <v>26.9494943553191</v>
      </c>
      <c r="L9" s="24" t="n">
        <f aca="false">'DCF Base Case'!$B$2*(1+B9)^3*$I9-'DCF Base Case'!$B$2*(1+B9)^2*B9*'DCF Base Case'!$B$4</f>
        <v>28.9857215041382</v>
      </c>
      <c r="M9" s="24" t="n">
        <f aca="false">'DCF Base Case'!$B$2*(1+B9)^4*$I9-'DCF Base Case'!$B$2*(1+B9)^3*B9*'DCF Base Case'!$B$4</f>
        <v>31.1758001852689</v>
      </c>
      <c r="N9" s="24" t="n">
        <f aca="false">'DCF Base Case'!$B$2*(1+B9)^5*$I9-'DCF Base Case'!$B$2*(1+B9)^4*B9*'DCF Base Case'!$B$4</f>
        <v>33.5313549829372</v>
      </c>
      <c r="O9" s="24" t="n">
        <f aca="false">J9/(1+H9)^1+K9/(1+H9)^2+L9/(1+H9)^3+M9/(1+H9)^4+N9/(1+H9)^5</f>
        <v>113.075179134125</v>
      </c>
      <c r="P9" s="24" t="n">
        <f aca="false">N9*(1+F9)/(H9-F9)</f>
        <v>537.383223414649</v>
      </c>
      <c r="Q9" s="24" t="n">
        <f aca="false">O9+P9/(1+H9)^5</f>
        <v>468.353004380607</v>
      </c>
      <c r="R9" s="24" t="n">
        <f aca="false">Q9-'DCF Base Case'!$B$5</f>
        <v>283.353004380607</v>
      </c>
      <c r="S9" s="32" t="n">
        <f aca="false">R9/'DCF Base Case'!$B$6</f>
        <v>11.3341201752243</v>
      </c>
    </row>
    <row r="10" customFormat="false" ht="15" hidden="false" customHeight="true" outlineLevel="0" collapsed="false">
      <c r="A10" s="6" t="n">
        <v>9</v>
      </c>
      <c r="B10" s="30" t="n">
        <v>0.10474405612542</v>
      </c>
      <c r="C10" s="30" t="n">
        <v>0.420923865893843</v>
      </c>
      <c r="D10" s="30" t="n">
        <v>0.0881803133855898</v>
      </c>
      <c r="E10" s="30" t="n">
        <v>0.29888378128022</v>
      </c>
      <c r="F10" s="30" t="n">
        <v>0.0135628528071501</v>
      </c>
      <c r="G10" s="30" t="n">
        <v>0.158709626237792</v>
      </c>
      <c r="H10" s="31" t="n">
        <f aca="false">MAX(D10,F10+0.015)</f>
        <v>0.0881803133855898</v>
      </c>
      <c r="I10" s="25" t="n">
        <f aca="false">(C10-'DCF Base Case'!$B$3)*(1-E10)+'DCF Base Case'!$B$3-G10</f>
        <v>0.17526181455304</v>
      </c>
      <c r="J10" s="24" t="n">
        <f aca="false">'DCF Base Case'!$B$2*(1+B10)^1*$I10-'DCF Base Case'!$B$2*(1+B10)^0*B10*'DCF Base Case'!$B$4</f>
        <v>27.6191833003722</v>
      </c>
      <c r="K10" s="24" t="n">
        <f aca="false">'DCF Base Case'!$B$2*(1+B10)^2*$I10-'DCF Base Case'!$B$2*(1+B10)^1*B10*'DCF Base Case'!$B$4</f>
        <v>30.5121285861247</v>
      </c>
      <c r="L10" s="24" t="n">
        <f aca="false">'DCF Base Case'!$B$2*(1+B10)^3*$I10-'DCF Base Case'!$B$2*(1+B10)^2*B10*'DCF Base Case'!$B$4</f>
        <v>33.7080926952557</v>
      </c>
      <c r="M10" s="24" t="n">
        <f aca="false">'DCF Base Case'!$B$2*(1+B10)^4*$I10-'DCF Base Case'!$B$2*(1+B10)^3*B10*'DCF Base Case'!$B$4</f>
        <v>37.2388150484085</v>
      </c>
      <c r="N10" s="24" t="n">
        <f aca="false">'DCF Base Case'!$B$2*(1+B10)^5*$I10-'DCF Base Case'!$B$2*(1+B10)^4*B10*'DCF Base Case'!$B$4</f>
        <v>41.1393595818831</v>
      </c>
      <c r="O10" s="24" t="n">
        <f aca="false">J10/(1+H10)^1+K10/(1+H10)^2+L10/(1+H10)^3+M10/(1+H10)^4+N10/(1+H10)^5</f>
        <v>130.827998678269</v>
      </c>
      <c r="P10" s="24" t="n">
        <f aca="false">N10*(1+F10)/(H10-F10)</f>
        <v>558.814603676298</v>
      </c>
      <c r="Q10" s="24" t="n">
        <f aca="false">O10+P10/(1+H10)^5</f>
        <v>497.066015584675</v>
      </c>
      <c r="R10" s="24" t="n">
        <f aca="false">Q10-'DCF Base Case'!$B$5</f>
        <v>312.066015584675</v>
      </c>
      <c r="S10" s="32" t="n">
        <f aca="false">R10/'DCF Base Case'!$B$6</f>
        <v>12.482640623387</v>
      </c>
    </row>
    <row r="11" customFormat="false" ht="15" hidden="false" customHeight="true" outlineLevel="0" collapsed="false">
      <c r="A11" s="6" t="n">
        <v>10</v>
      </c>
      <c r="B11" s="30" t="n">
        <v>0.0799402302754985</v>
      </c>
      <c r="C11" s="30" t="n">
        <v>0.396554246799698</v>
      </c>
      <c r="D11" s="30" t="n">
        <v>0.0819734352365065</v>
      </c>
      <c r="E11" s="30" t="n">
        <v>0.324156193979</v>
      </c>
      <c r="F11" s="30" t="n">
        <v>0.0158160118215484</v>
      </c>
      <c r="G11" s="30" t="n">
        <v>0.188397529908877</v>
      </c>
      <c r="H11" s="31" t="n">
        <f aca="false">MAX(D11,F11+0.015)</f>
        <v>0.0819734352365065</v>
      </c>
      <c r="I11" s="25" t="n">
        <f aca="false">(C11-'DCF Base Case'!$B$3)*(1-E11)+'DCF Base Case'!$B$3-G11</f>
        <v>0.121751506759292</v>
      </c>
      <c r="J11" s="24" t="n">
        <f aca="false">'DCF Base Case'!$B$2*(1+B11)^1*$I11-'DCF Base Case'!$B$2*(1+B11)^0*B11*'DCF Base Case'!$B$4</f>
        <v>18.7174907839743</v>
      </c>
      <c r="K11" s="24" t="n">
        <f aca="false">'DCF Base Case'!$B$2*(1+B11)^2*$I11-'DCF Base Case'!$B$2*(1+B11)^1*B11*'DCF Base Case'!$B$4</f>
        <v>20.2137713074247</v>
      </c>
      <c r="L11" s="24" t="n">
        <f aca="false">'DCF Base Case'!$B$2*(1+B11)^3*$I11-'DCF Base Case'!$B$2*(1+B11)^2*B11*'DCF Base Case'!$B$4</f>
        <v>21.8296648404765</v>
      </c>
      <c r="M11" s="24" t="n">
        <f aca="false">'DCF Base Case'!$B$2*(1+B11)^4*$I11-'DCF Base Case'!$B$2*(1+B11)^3*B11*'DCF Base Case'!$B$4</f>
        <v>23.5747332746611</v>
      </c>
      <c r="N11" s="24" t="n">
        <f aca="false">'DCF Base Case'!$B$2*(1+B11)^5*$I11-'DCF Base Case'!$B$2*(1+B11)^4*B11*'DCF Base Case'!$B$4</f>
        <v>25.459302881321</v>
      </c>
      <c r="O11" s="24" t="n">
        <f aca="false">J11/(1+H11)^1+K11/(1+H11)^2+L11/(1+H11)^3+M11/(1+H11)^4+N11/(1+H11)^5</f>
        <v>86.1725241810054</v>
      </c>
      <c r="P11" s="24" t="n">
        <f aca="false">N11*(1+F11)/(H11-F11)</f>
        <v>390.915579563109</v>
      </c>
      <c r="Q11" s="24" t="n">
        <f aca="false">O11+P11/(1+H11)^5</f>
        <v>349.805656057232</v>
      </c>
      <c r="R11" s="24" t="n">
        <f aca="false">Q11-'DCF Base Case'!$B$5</f>
        <v>164.805656057232</v>
      </c>
      <c r="S11" s="32" t="n">
        <f aca="false">R11/'DCF Base Case'!$B$6</f>
        <v>6.59222624228928</v>
      </c>
    </row>
    <row r="12" customFormat="false" ht="15" hidden="false" customHeight="true" outlineLevel="0" collapsed="false">
      <c r="A12" s="6" t="n">
        <v>11</v>
      </c>
      <c r="B12" s="30" t="n">
        <v>0.0551987091982445</v>
      </c>
      <c r="C12" s="30" t="n">
        <v>0.393166894235847</v>
      </c>
      <c r="D12" s="30" t="n">
        <v>0.0867902837161551</v>
      </c>
      <c r="E12" s="30" t="n">
        <v>0.29745721478635</v>
      </c>
      <c r="F12" s="30" t="n">
        <v>0.0219054097998328</v>
      </c>
      <c r="G12" s="30" t="n">
        <v>0.184184826807483</v>
      </c>
      <c r="H12" s="31" t="n">
        <f aca="false">MAX(D12,F12+0.015)</f>
        <v>0.0867902837161551</v>
      </c>
      <c r="I12" s="25" t="n">
        <f aca="false">(C12-'DCF Base Case'!$B$3)*(1-E12)+'DCF Base Case'!$B$3-G12</f>
        <v>0.130701176044995</v>
      </c>
      <c r="J12" s="24" t="n">
        <f aca="false">'DCF Base Case'!$B$2*(1+B12)^1*$I12-'DCF Base Case'!$B$2*(1+B12)^0*B12*'DCF Base Case'!$B$4</f>
        <v>19.7576638917265</v>
      </c>
      <c r="K12" s="24" t="n">
        <f aca="false">'DCF Base Case'!$B$2*(1+B12)^2*$I12-'DCF Base Case'!$B$2*(1+B12)^1*B12*'DCF Base Case'!$B$4</f>
        <v>20.8482614353225</v>
      </c>
      <c r="L12" s="24" t="n">
        <f aca="false">'DCF Base Case'!$B$2*(1+B12)^3*$I12-'DCF Base Case'!$B$2*(1+B12)^2*B12*'DCF Base Case'!$B$4</f>
        <v>21.9990585555799</v>
      </c>
      <c r="M12" s="24" t="n">
        <f aca="false">'DCF Base Case'!$B$2*(1+B12)^4*$I12-'DCF Base Case'!$B$2*(1+B12)^3*B12*'DCF Base Case'!$B$4</f>
        <v>23.2133781914245</v>
      </c>
      <c r="N12" s="24" t="n">
        <f aca="false">'DCF Base Case'!$B$2*(1+B12)^5*$I12-'DCF Base Case'!$B$2*(1+B12)^4*B12*'DCF Base Case'!$B$4</f>
        <v>24.4947267037218</v>
      </c>
      <c r="O12" s="24" t="n">
        <f aca="false">J12/(1+H12)^1+K12/(1+H12)^2+L12/(1+H12)^3+M12/(1+H12)^4+N12/(1+H12)^5</f>
        <v>85.7659141969555</v>
      </c>
      <c r="P12" s="24" t="n">
        <f aca="false">N12*(1+F12)/(H12-F12)</f>
        <v>385.780108972438</v>
      </c>
      <c r="Q12" s="24" t="n">
        <f aca="false">O12+P12/(1+H12)^5</f>
        <v>340.220977020257</v>
      </c>
      <c r="R12" s="24" t="n">
        <f aca="false">Q12-'DCF Base Case'!$B$5</f>
        <v>155.220977020257</v>
      </c>
      <c r="S12" s="32" t="n">
        <f aca="false">R12/'DCF Base Case'!$B$6</f>
        <v>6.20883908081029</v>
      </c>
    </row>
    <row r="13" customFormat="false" ht="15" hidden="false" customHeight="true" outlineLevel="0" collapsed="false">
      <c r="A13" s="6" t="n">
        <v>12</v>
      </c>
      <c r="B13" s="30" t="n">
        <v>0.0826408172869799</v>
      </c>
      <c r="C13" s="30" t="n">
        <v>0.401669560048157</v>
      </c>
      <c r="D13" s="30" t="n">
        <v>0.0944377346938287</v>
      </c>
      <c r="E13" s="30" t="n">
        <v>0.274495175689698</v>
      </c>
      <c r="F13" s="30" t="n">
        <v>0.0142048557883134</v>
      </c>
      <c r="G13" s="30" t="n">
        <v>0.142675698859126</v>
      </c>
      <c r="H13" s="31" t="n">
        <f aca="false">MAX(D13,F13+0.015)</f>
        <v>0.0944377346938287</v>
      </c>
      <c r="I13" s="25" t="n">
        <f aca="false">(C13-'DCF Base Case'!$B$3)*(1-E13)+'DCF Base Case'!$B$3-G13</f>
        <v>0.184421877574069</v>
      </c>
      <c r="J13" s="24" t="n">
        <f aca="false">'DCF Base Case'!$B$2*(1+B13)^1*$I13-'DCF Base Case'!$B$2*(1+B13)^0*B13*'DCF Base Case'!$B$4</f>
        <v>28.5915970228481</v>
      </c>
      <c r="K13" s="24" t="n">
        <f aca="false">'DCF Base Case'!$B$2*(1+B13)^2*$I13-'DCF Base Case'!$B$2*(1+B13)^1*B13*'DCF Base Case'!$B$4</f>
        <v>30.9544299683563</v>
      </c>
      <c r="L13" s="24" t="n">
        <f aca="false">'DCF Base Case'!$B$2*(1+B13)^3*$I13-'DCF Base Case'!$B$2*(1+B13)^2*B13*'DCF Base Case'!$B$4</f>
        <v>33.5125293595938</v>
      </c>
      <c r="M13" s="24" t="n">
        <f aca="false">'DCF Base Case'!$B$2*(1+B13)^4*$I13-'DCF Base Case'!$B$2*(1+B13)^3*B13*'DCF Base Case'!$B$4</f>
        <v>36.2820321752246</v>
      </c>
      <c r="N13" s="24" t="n">
        <f aca="false">'DCF Base Case'!$B$2*(1+B13)^5*$I13-'DCF Base Case'!$B$2*(1+B13)^4*B13*'DCF Base Case'!$B$4</f>
        <v>39.2804089670176</v>
      </c>
      <c r="O13" s="24" t="n">
        <f aca="false">J13/(1+H13)^1+K13/(1+H13)^2+L13/(1+H13)^3+M13/(1+H13)^4+N13/(1+H13)^5</f>
        <v>127.836550535656</v>
      </c>
      <c r="P13" s="24" t="n">
        <f aca="false">N13*(1+F13)/(H13-F13)</f>
        <v>496.534364155311</v>
      </c>
      <c r="Q13" s="24" t="n">
        <f aca="false">O13+P13/(1+H13)^5</f>
        <v>444.059960843323</v>
      </c>
      <c r="R13" s="24" t="n">
        <f aca="false">Q13-'DCF Base Case'!$B$5</f>
        <v>259.059960843323</v>
      </c>
      <c r="S13" s="32" t="n">
        <f aca="false">R13/'DCF Base Case'!$B$6</f>
        <v>10.3623984337329</v>
      </c>
    </row>
    <row r="14" customFormat="false" ht="15" hidden="false" customHeight="true" outlineLevel="0" collapsed="false">
      <c r="A14" s="6" t="n">
        <v>13</v>
      </c>
      <c r="B14" s="30" t="n">
        <v>0.0699106607946427</v>
      </c>
      <c r="C14" s="30" t="n">
        <v>0.41782108599819</v>
      </c>
      <c r="D14" s="30" t="n">
        <v>0.0865666830967762</v>
      </c>
      <c r="E14" s="30" t="n">
        <v>0.300756212223021</v>
      </c>
      <c r="F14" s="30" t="n">
        <v>0.0176520971274242</v>
      </c>
      <c r="G14" s="30" t="n">
        <v>0.168793607415499</v>
      </c>
      <c r="H14" s="31" t="n">
        <f aca="false">MAX(D14,F14+0.015)</f>
        <v>0.0865666830967762</v>
      </c>
      <c r="I14" s="25" t="n">
        <f aca="false">(C14-'DCF Base Case'!$B$3)*(1-E14)+'DCF Base Case'!$B$3-G14</f>
        <v>0.162463498959959</v>
      </c>
      <c r="J14" s="24" t="n">
        <f aca="false">'DCF Base Case'!$B$2*(1+B14)^1*$I14-'DCF Base Case'!$B$2*(1+B14)^0*B14*'DCF Base Case'!$B$4</f>
        <v>24.8999959069959</v>
      </c>
      <c r="K14" s="24" t="n">
        <f aca="false">'DCF Base Case'!$B$2*(1+B14)^2*$I14-'DCF Base Case'!$B$2*(1+B14)^1*B14*'DCF Base Case'!$B$4</f>
        <v>26.6407710746379</v>
      </c>
      <c r="L14" s="24" t="n">
        <f aca="false">'DCF Base Case'!$B$2*(1+B14)^3*$I14-'DCF Base Case'!$B$2*(1+B14)^2*B14*'DCF Base Case'!$B$4</f>
        <v>28.5032449845447</v>
      </c>
      <c r="M14" s="24" t="n">
        <f aca="false">'DCF Base Case'!$B$2*(1+B14)^4*$I14-'DCF Base Case'!$B$2*(1+B14)^3*B14*'DCF Base Case'!$B$4</f>
        <v>30.4959256762058</v>
      </c>
      <c r="N14" s="24" t="n">
        <f aca="false">'DCF Base Case'!$B$2*(1+B14)^5*$I14-'DCF Base Case'!$B$2*(1+B14)^4*B14*'DCF Base Case'!$B$4</f>
        <v>32.6279159917736</v>
      </c>
      <c r="O14" s="24" t="n">
        <f aca="false">J14/(1+H14)^1+K14/(1+H14)^2+L14/(1+H14)^3+M14/(1+H14)^4+N14/(1+H14)^5</f>
        <v>111.121677383766</v>
      </c>
      <c r="P14" s="24" t="n">
        <f aca="false">N14*(1+F14)/(H14-F14)</f>
        <v>481.811893184592</v>
      </c>
      <c r="Q14" s="24" t="n">
        <f aca="false">O14+P14/(1+H14)^5</f>
        <v>429.245062007864</v>
      </c>
      <c r="R14" s="24" t="n">
        <f aca="false">Q14-'DCF Base Case'!$B$5</f>
        <v>244.245062007864</v>
      </c>
      <c r="S14" s="32" t="n">
        <f aca="false">R14/'DCF Base Case'!$B$6</f>
        <v>9.76980248031456</v>
      </c>
    </row>
    <row r="15" customFormat="false" ht="15" hidden="false" customHeight="true" outlineLevel="0" collapsed="false">
      <c r="A15" s="6" t="n">
        <v>14</v>
      </c>
      <c r="B15" s="30" t="n">
        <v>0.103545108658449</v>
      </c>
      <c r="C15" s="30" t="n">
        <v>0.413203518214903</v>
      </c>
      <c r="D15" s="30" t="n">
        <v>0.0900245276131315</v>
      </c>
      <c r="E15" s="30" t="n">
        <v>0.264062188149543</v>
      </c>
      <c r="F15" s="30" t="n">
        <v>0.0179182957646781</v>
      </c>
      <c r="G15" s="30" t="n">
        <v>0.157487485631428</v>
      </c>
      <c r="H15" s="31" t="n">
        <f aca="false">MAX(D15,F15+0.015)</f>
        <v>0.0900245276131315</v>
      </c>
      <c r="I15" s="25" t="n">
        <f aca="false">(C15-'DCF Base Case'!$B$3)*(1-E15)+'DCF Base Case'!$B$3-G15</f>
        <v>0.180932691871999</v>
      </c>
      <c r="J15" s="24" t="n">
        <f aca="false">'DCF Base Case'!$B$2*(1+B15)^1*$I15-'DCF Base Case'!$B$2*(1+B15)^0*B15*'DCF Base Case'!$B$4</f>
        <v>28.5013499085396</v>
      </c>
      <c r="K15" s="24" t="n">
        <f aca="false">'DCF Base Case'!$B$2*(1+B15)^2*$I15-'DCF Base Case'!$B$2*(1+B15)^1*B15*'DCF Base Case'!$B$4</f>
        <v>31.4525252817318</v>
      </c>
      <c r="L15" s="24" t="n">
        <f aca="false">'DCF Base Case'!$B$2*(1+B15)^3*$I15-'DCF Base Case'!$B$2*(1+B15)^2*B15*'DCF Base Case'!$B$4</f>
        <v>34.7092804296113</v>
      </c>
      <c r="M15" s="24" t="n">
        <f aca="false">'DCF Base Case'!$B$2*(1+B15)^4*$I15-'DCF Base Case'!$B$2*(1+B15)^3*B15*'DCF Base Case'!$B$4</f>
        <v>38.303256643152</v>
      </c>
      <c r="N15" s="24" t="n">
        <f aca="false">'DCF Base Case'!$B$2*(1+B15)^5*$I15-'DCF Base Case'!$B$2*(1+B15)^4*B15*'DCF Base Case'!$B$4</f>
        <v>42.2693715142396</v>
      </c>
      <c r="O15" s="24" t="n">
        <f aca="false">J15/(1+H15)^1+K15/(1+H15)^2+L15/(1+H15)^3+M15/(1+H15)^4+N15/(1+H15)^5</f>
        <v>134.020983550869</v>
      </c>
      <c r="P15" s="24" t="n">
        <f aca="false">N15*(1+F15)/(H15-F15)</f>
        <v>596.713564303966</v>
      </c>
      <c r="Q15" s="24" t="n">
        <f aca="false">O15+P15/(1+H15)^5</f>
        <v>521.800225845371</v>
      </c>
      <c r="R15" s="24" t="n">
        <f aca="false">Q15-'DCF Base Case'!$B$5</f>
        <v>336.800225845371</v>
      </c>
      <c r="S15" s="32" t="n">
        <f aca="false">R15/'DCF Base Case'!$B$6</f>
        <v>13.4720090338148</v>
      </c>
    </row>
    <row r="16" customFormat="false" ht="15" hidden="false" customHeight="true" outlineLevel="0" collapsed="false">
      <c r="A16" s="6" t="n">
        <v>15</v>
      </c>
      <c r="B16" s="30" t="n">
        <v>0.0640706845249869</v>
      </c>
      <c r="C16" s="30" t="n">
        <v>0.415588180701233</v>
      </c>
      <c r="D16" s="30" t="n">
        <v>0.0798365742577701</v>
      </c>
      <c r="E16" s="30" t="n">
        <v>0.279995318693224</v>
      </c>
      <c r="F16" s="30" t="n">
        <v>0.0210665357630444</v>
      </c>
      <c r="G16" s="30" t="n">
        <v>0.175664452257842</v>
      </c>
      <c r="H16" s="31" t="n">
        <f aca="false">MAX(D16,F16+0.015)</f>
        <v>0.0798365742577701</v>
      </c>
      <c r="I16" s="25" t="n">
        <f aca="false">(C16-'DCF Base Case'!$B$3)*(1-E16)+'DCF Base Case'!$B$3-G16</f>
        <v>0.159960374772931</v>
      </c>
      <c r="J16" s="24" t="n">
        <f aca="false">'DCF Base Case'!$B$2*(1+B16)^1*$I16-'DCF Base Case'!$B$2*(1+B16)^0*B16*'DCF Base Case'!$B$4</f>
        <v>24.4016186171347</v>
      </c>
      <c r="K16" s="24" t="n">
        <f aca="false">'DCF Base Case'!$B$2*(1+B16)^2*$I16-'DCF Base Case'!$B$2*(1+B16)^1*B16*'DCF Base Case'!$B$4</f>
        <v>25.9650470254522</v>
      </c>
      <c r="L16" s="24" t="n">
        <f aca="false">'DCF Base Case'!$B$2*(1+B16)^3*$I16-'DCF Base Case'!$B$2*(1+B16)^2*B16*'DCF Base Case'!$B$4</f>
        <v>27.6286453620964</v>
      </c>
      <c r="M16" s="24" t="n">
        <f aca="false">'DCF Base Case'!$B$2*(1+B16)^4*$I16-'DCF Base Case'!$B$2*(1+B16)^3*B16*'DCF Base Case'!$B$4</f>
        <v>29.398831582944</v>
      </c>
      <c r="N16" s="24" t="n">
        <f aca="false">'DCF Base Case'!$B$2*(1+B16)^5*$I16-'DCF Base Case'!$B$2*(1+B16)^4*B16*'DCF Base Case'!$B$4</f>
        <v>31.2824348466981</v>
      </c>
      <c r="O16" s="24" t="n">
        <f aca="false">J16/(1+H16)^1+K16/(1+H16)^2+L16/(1+H16)^3+M16/(1+H16)^4+N16/(1+H16)^5</f>
        <v>109.736079489244</v>
      </c>
      <c r="P16" s="24" t="n">
        <f aca="false">N16*(1+F16)/(H16-F16)</f>
        <v>543.498833712994</v>
      </c>
      <c r="Q16" s="24" t="n">
        <f aca="false">O16+P16/(1+H16)^5</f>
        <v>479.912244102339</v>
      </c>
      <c r="R16" s="24" t="n">
        <f aca="false">Q16-'DCF Base Case'!$B$5</f>
        <v>294.912244102339</v>
      </c>
      <c r="S16" s="32" t="n">
        <f aca="false">R16/'DCF Base Case'!$B$6</f>
        <v>11.7964897640936</v>
      </c>
    </row>
    <row r="17" customFormat="false" ht="15" hidden="false" customHeight="true" outlineLevel="0" collapsed="false">
      <c r="A17" s="6" t="n">
        <v>16</v>
      </c>
      <c r="B17" s="30" t="n">
        <v>0.104440043347892</v>
      </c>
      <c r="C17" s="30" t="n">
        <v>0.417753872583087</v>
      </c>
      <c r="D17" s="30" t="n">
        <v>0.0803437185675143</v>
      </c>
      <c r="E17" s="30" t="n">
        <v>0.277443014174595</v>
      </c>
      <c r="F17" s="30" t="n">
        <v>0.0128301356943758</v>
      </c>
      <c r="G17" s="30" t="n">
        <v>0.137196826762833</v>
      </c>
      <c r="H17" s="31" t="n">
        <f aca="false">MAX(D17,F17+0.015)</f>
        <v>0.0803437185675143</v>
      </c>
      <c r="I17" s="25" t="n">
        <f aca="false">(C17-'DCF Base Case'!$B$3)*(1-E17)+'DCF Base Case'!$B$3-G17</f>
        <v>0.20072174407039</v>
      </c>
      <c r="J17" s="24" t="n">
        <f aca="false">'DCF Base Case'!$B$2*(1+B17)^1*$I17-'DCF Base Case'!$B$2*(1+B17)^0*B17*'DCF Base Case'!$B$4</f>
        <v>31.6900299111217</v>
      </c>
      <c r="K17" s="24" t="n">
        <f aca="false">'DCF Base Case'!$B$2*(1+B17)^2*$I17-'DCF Base Case'!$B$2*(1+B17)^1*B17*'DCF Base Case'!$B$4</f>
        <v>34.9997380087353</v>
      </c>
      <c r="L17" s="24" t="n">
        <f aca="false">'DCF Base Case'!$B$2*(1+B17)^3*$I17-'DCF Base Case'!$B$2*(1+B17)^2*B17*'DCF Base Case'!$B$4</f>
        <v>38.6551121635325</v>
      </c>
      <c r="M17" s="24" t="n">
        <f aca="false">'DCF Base Case'!$B$2*(1+B17)^4*$I17-'DCF Base Case'!$B$2*(1+B17)^3*B17*'DCF Base Case'!$B$4</f>
        <v>42.6922537535094</v>
      </c>
      <c r="N17" s="24" t="n">
        <f aca="false">'DCF Base Case'!$B$2*(1+B17)^5*$I17-'DCF Base Case'!$B$2*(1+B17)^4*B17*'DCF Base Case'!$B$4</f>
        <v>47.1510345861452</v>
      </c>
      <c r="O17" s="24" t="n">
        <f aca="false">J17/(1+H17)^1+K17/(1+H17)^2+L17/(1+H17)^3+M17/(1+H17)^4+N17/(1+H17)^5</f>
        <v>153.356574016613</v>
      </c>
      <c r="P17" s="24" t="n">
        <f aca="false">N17*(1+F17)/(H17-F17)</f>
        <v>707.353790536514</v>
      </c>
      <c r="Q17" s="24" t="n">
        <f aca="false">O17+P17/(1+H17)^5</f>
        <v>634.004341395429</v>
      </c>
      <c r="R17" s="24" t="n">
        <f aca="false">Q17-'DCF Base Case'!$B$5</f>
        <v>449.004341395429</v>
      </c>
      <c r="S17" s="32" t="n">
        <f aca="false">R17/'DCF Base Case'!$B$6</f>
        <v>17.9601736558171</v>
      </c>
    </row>
    <row r="18" customFormat="false" ht="15" hidden="false" customHeight="true" outlineLevel="0" collapsed="false">
      <c r="A18" s="6" t="n">
        <v>17</v>
      </c>
      <c r="B18" s="30" t="n">
        <v>0.0615601074042362</v>
      </c>
      <c r="C18" s="30" t="n">
        <v>0.382071168902579</v>
      </c>
      <c r="D18" s="30" t="n">
        <v>0.0893975164939578</v>
      </c>
      <c r="E18" s="30" t="n">
        <v>0.260043330830625</v>
      </c>
      <c r="F18" s="30" t="n">
        <v>0.0178558647578084</v>
      </c>
      <c r="G18" s="30" t="n">
        <v>0.195883682314447</v>
      </c>
      <c r="H18" s="31" t="n">
        <f aca="false">MAX(D18,F18+0.015)</f>
        <v>0.0893975164939578</v>
      </c>
      <c r="I18" s="25" t="n">
        <f aca="false">(C18-'DCF Base Case'!$B$3)*(1-E18)+'DCF Base Case'!$B$3-G18</f>
        <v>0.120638060220336</v>
      </c>
      <c r="J18" s="24" t="n">
        <f aca="false">'DCF Base Case'!$B$2*(1+B18)^1*$I18-'DCF Base Case'!$B$2*(1+B18)^0*B18*'DCF Base Case'!$B$4</f>
        <v>18.3015735966497</v>
      </c>
      <c r="K18" s="24" t="n">
        <f aca="false">'DCF Base Case'!$B$2*(1+B18)^2*$I18-'DCF Base Case'!$B$2*(1+B18)^1*B18*'DCF Base Case'!$B$4</f>
        <v>19.428220432926</v>
      </c>
      <c r="L18" s="24" t="n">
        <f aca="false">'DCF Base Case'!$B$2*(1+B18)^3*$I18-'DCF Base Case'!$B$2*(1+B18)^2*B18*'DCF Base Case'!$B$4</f>
        <v>20.6242237694501</v>
      </c>
      <c r="M18" s="24" t="n">
        <f aca="false">'DCF Base Case'!$B$2*(1+B18)^4*$I18-'DCF Base Case'!$B$2*(1+B18)^3*B18*'DCF Base Case'!$B$4</f>
        <v>21.8938531998265</v>
      </c>
      <c r="N18" s="24" t="n">
        <f aca="false">'DCF Base Case'!$B$2*(1+B18)^5*$I18-'DCF Base Case'!$B$2*(1+B18)^4*B18*'DCF Base Case'!$B$4</f>
        <v>23.2416411543004</v>
      </c>
      <c r="O18" s="24" t="n">
        <f aca="false">J18/(1+H18)^1+K18/(1+H18)^2+L18/(1+H18)^3+M18/(1+H18)^4+N18/(1+H18)^5</f>
        <v>79.8140644420763</v>
      </c>
      <c r="P18" s="24" t="n">
        <f aca="false">N18*(1+F18)/(H18-F18)</f>
        <v>330.66947968644</v>
      </c>
      <c r="Q18" s="24" t="n">
        <f aca="false">O18+P18/(1+H18)^5</f>
        <v>295.321474500939</v>
      </c>
      <c r="R18" s="24" t="n">
        <f aca="false">Q18-'DCF Base Case'!$B$5</f>
        <v>110.321474500939</v>
      </c>
      <c r="S18" s="32" t="n">
        <f aca="false">R18/'DCF Base Case'!$B$6</f>
        <v>4.41285898003756</v>
      </c>
    </row>
    <row r="19" customFormat="false" ht="15" hidden="false" customHeight="true" outlineLevel="0" collapsed="false">
      <c r="A19" s="6" t="n">
        <v>18</v>
      </c>
      <c r="B19" s="30" t="n">
        <v>0.0824747833552145</v>
      </c>
      <c r="C19" s="30" t="n">
        <v>0.426198380018809</v>
      </c>
      <c r="D19" s="30" t="n">
        <v>0.0747302055198914</v>
      </c>
      <c r="E19" s="30" t="n">
        <v>0.274133603495108</v>
      </c>
      <c r="F19" s="30" t="n">
        <v>0.0154711828287443</v>
      </c>
      <c r="G19" s="30" t="n">
        <v>0.158329748583406</v>
      </c>
      <c r="H19" s="31" t="n">
        <f aca="false">MAX(D19,F19+0.015)</f>
        <v>0.0747302055198914</v>
      </c>
      <c r="I19" s="25" t="n">
        <f aca="false">(C19-'DCF Base Case'!$B$3)*(1-E19)+'DCF Base Case'!$B$3-G19</f>
        <v>0.186670702171433</v>
      </c>
      <c r="J19" s="24" t="n">
        <f aca="false">'DCF Base Case'!$B$2*(1+B19)^1*$I19-'DCF Base Case'!$B$2*(1+B19)^0*B19*'DCF Base Case'!$B$4</f>
        <v>28.9408522367141</v>
      </c>
      <c r="K19" s="24" t="n">
        <f aca="false">'DCF Base Case'!$B$2*(1+B19)^2*$I19-'DCF Base Case'!$B$2*(1+B19)^1*B19*'DCF Base Case'!$B$4</f>
        <v>31.3277427550524</v>
      </c>
      <c r="L19" s="24" t="n">
        <f aca="false">'DCF Base Case'!$B$2*(1+B19)^3*$I19-'DCF Base Case'!$B$2*(1+B19)^2*B19*'DCF Base Case'!$B$4</f>
        <v>33.9114915517832</v>
      </c>
      <c r="M19" s="24" t="n">
        <f aca="false">'DCF Base Case'!$B$2*(1+B19)^4*$I19-'DCF Base Case'!$B$2*(1+B19)^3*B19*'DCF Base Case'!$B$4</f>
        <v>36.7083344707687</v>
      </c>
      <c r="N19" s="24" t="n">
        <f aca="false">'DCF Base Case'!$B$2*(1+B19)^5*$I19-'DCF Base Case'!$B$2*(1+B19)^4*B19*'DCF Base Case'!$B$4</f>
        <v>39.7358464035761</v>
      </c>
      <c r="O19" s="24" t="n">
        <f aca="false">J19/(1+H19)^1+K19/(1+H19)^2+L19/(1+H19)^3+M19/(1+H19)^4+N19/(1+H19)^5</f>
        <v>136.596924587261</v>
      </c>
      <c r="P19" s="24" t="n">
        <f aca="false">N19*(1+F19)/(H19-F19)</f>
        <v>680.919210538531</v>
      </c>
      <c r="Q19" s="24" t="n">
        <f aca="false">O19+P19/(1+H19)^5</f>
        <v>611.492706367811</v>
      </c>
      <c r="R19" s="24" t="n">
        <f aca="false">Q19-'DCF Base Case'!$B$5</f>
        <v>426.492706367811</v>
      </c>
      <c r="S19" s="32" t="n">
        <f aca="false">R19/'DCF Base Case'!$B$6</f>
        <v>17.0597082547124</v>
      </c>
    </row>
    <row r="20" customFormat="false" ht="15" hidden="false" customHeight="true" outlineLevel="0" collapsed="false">
      <c r="A20" s="6" t="n">
        <v>19</v>
      </c>
      <c r="B20" s="30" t="n">
        <v>0.108348158030577</v>
      </c>
      <c r="C20" s="30" t="n">
        <v>0.383591310807455</v>
      </c>
      <c r="D20" s="30" t="n">
        <v>0.0897786600790044</v>
      </c>
      <c r="E20" s="30" t="n">
        <v>0.286597898030736</v>
      </c>
      <c r="F20" s="30" t="n">
        <v>0.0169524121234736</v>
      </c>
      <c r="G20" s="30" t="n">
        <v>0.137214004498577</v>
      </c>
      <c r="H20" s="31" t="n">
        <f aca="false">MAX(D20,F20+0.015)</f>
        <v>0.0897786600790044</v>
      </c>
      <c r="I20" s="25" t="n">
        <f aca="false">(C20-'DCF Base Case'!$B$3)*(1-E20)+'DCF Base Case'!$B$3-G20</f>
        <v>0.173698569672602</v>
      </c>
      <c r="J20" s="24" t="n">
        <f aca="false">'DCF Base Case'!$B$2*(1+B20)^1*$I20-'DCF Base Case'!$B$2*(1+B20)^0*B20*'DCF Base Case'!$B$4</f>
        <v>27.4438665261973</v>
      </c>
      <c r="K20" s="24" t="n">
        <f aca="false">'DCF Base Case'!$B$2*(1+B20)^2*$I20-'DCF Base Case'!$B$2*(1+B20)^1*B20*'DCF Base Case'!$B$4</f>
        <v>30.4173589135478</v>
      </c>
      <c r="L20" s="24" t="n">
        <f aca="false">'DCF Base Case'!$B$2*(1+B20)^3*$I20-'DCF Base Case'!$B$2*(1+B20)^2*B20*'DCF Base Case'!$B$4</f>
        <v>33.7130237239857</v>
      </c>
      <c r="M20" s="24" t="n">
        <f aca="false">'DCF Base Case'!$B$2*(1+B20)^4*$I20-'DCF Base Case'!$B$2*(1+B20)^3*B20*'DCF Base Case'!$B$4</f>
        <v>37.3657677461206</v>
      </c>
      <c r="N20" s="24" t="n">
        <f aca="false">'DCF Base Case'!$B$2*(1+B20)^5*$I20-'DCF Base Case'!$B$2*(1+B20)^4*B20*'DCF Base Case'!$B$4</f>
        <v>41.4142798548112</v>
      </c>
      <c r="O20" s="24" t="n">
        <f aca="false">J20/(1+H20)^1+K20/(1+H20)^2+L20/(1+H20)^3+M20/(1+H20)^4+N20/(1+H20)^5</f>
        <v>130.279711192273</v>
      </c>
      <c r="P20" s="24" t="n">
        <f aca="false">N20*(1+F20)/(H20-F20)</f>
        <v>578.312805850219</v>
      </c>
      <c r="Q20" s="24" t="n">
        <f aca="false">O20+P20/(1+H20)^5</f>
        <v>506.525209556341</v>
      </c>
      <c r="R20" s="24" t="n">
        <f aca="false">Q20-'DCF Base Case'!$B$5</f>
        <v>321.525209556341</v>
      </c>
      <c r="S20" s="32" t="n">
        <f aca="false">R20/'DCF Base Case'!$B$6</f>
        <v>12.8610083822537</v>
      </c>
    </row>
    <row r="21" customFormat="false" ht="15" hidden="false" customHeight="true" outlineLevel="0" collapsed="false">
      <c r="A21" s="6" t="n">
        <v>20</v>
      </c>
      <c r="B21" s="30" t="n">
        <v>0.0914588101809814</v>
      </c>
      <c r="C21" s="30" t="n">
        <v>0.403742922104557</v>
      </c>
      <c r="D21" s="30" t="n">
        <v>0.0875594383249018</v>
      </c>
      <c r="E21" s="30" t="n">
        <v>0.280259759141196</v>
      </c>
      <c r="F21" s="30" t="n">
        <v>0.024822959445542</v>
      </c>
      <c r="G21" s="30" t="n">
        <v>0.16027135948795</v>
      </c>
      <c r="H21" s="31" t="n">
        <f aca="false">MAX(D21,F21+0.015)</f>
        <v>0.0875594383249018</v>
      </c>
      <c r="I21" s="25" t="n">
        <f aca="false">(C21-'DCF Base Case'!$B$3)*(1-E21)+'DCF Base Case'!$B$3-G21</f>
        <v>0.166752437200977</v>
      </c>
      <c r="J21" s="24" t="n">
        <f aca="false">'DCF Base Case'!$B$2*(1+B21)^1*$I21-'DCF Base Case'!$B$2*(1+B21)^0*B21*'DCF Base Case'!$B$4</f>
        <v>25.9926495975255</v>
      </c>
      <c r="K21" s="24" t="n">
        <f aca="false">'DCF Base Case'!$B$2*(1+B21)^2*$I21-'DCF Base Case'!$B$2*(1+B21)^1*B21*'DCF Base Case'!$B$4</f>
        <v>28.3699064031663</v>
      </c>
      <c r="L21" s="24" t="n">
        <f aca="false">'DCF Base Case'!$B$2*(1+B21)^3*$I21-'DCF Base Case'!$B$2*(1+B21)^2*B21*'DCF Base Case'!$B$4</f>
        <v>30.9645842877457</v>
      </c>
      <c r="M21" s="24" t="n">
        <f aca="false">'DCF Base Case'!$B$2*(1+B21)^4*$I21-'DCF Base Case'!$B$2*(1+B21)^3*B21*'DCF Base Case'!$B$4</f>
        <v>33.7965683244517</v>
      </c>
      <c r="N21" s="24" t="n">
        <f aca="false">'DCF Base Case'!$B$2*(1+B21)^5*$I21-'DCF Base Case'!$B$2*(1+B21)^4*B21*'DCF Base Case'!$B$4</f>
        <v>36.8875622516063</v>
      </c>
      <c r="O21" s="24" t="n">
        <f aca="false">J21/(1+H21)^1+K21/(1+H21)^2+L21/(1+H21)^3+M21/(1+H21)^4+N21/(1+H21)^5</f>
        <v>120.359899360232</v>
      </c>
      <c r="P21" s="24" t="n">
        <f aca="false">N21*(1+F21)/(H21-F21)</f>
        <v>602.571604092049</v>
      </c>
      <c r="Q21" s="24" t="n">
        <f aca="false">O21+P21/(1+H21)^5</f>
        <v>516.404095396447</v>
      </c>
      <c r="R21" s="24" t="n">
        <f aca="false">Q21-'DCF Base Case'!$B$5</f>
        <v>331.404095396447</v>
      </c>
      <c r="S21" s="32" t="n">
        <f aca="false">R21/'DCF Base Case'!$B$6</f>
        <v>13.2561638158579</v>
      </c>
    </row>
    <row r="22" customFormat="false" ht="15" hidden="false" customHeight="true" outlineLevel="0" collapsed="false">
      <c r="A22" s="6" t="n">
        <v>21</v>
      </c>
      <c r="B22" s="30" t="n">
        <v>0.0676619180832473</v>
      </c>
      <c r="C22" s="30" t="n">
        <v>0.410470298348481</v>
      </c>
      <c r="D22" s="30" t="n">
        <v>0.0874199635236894</v>
      </c>
      <c r="E22" s="30" t="n">
        <v>0.320644737622668</v>
      </c>
      <c r="F22" s="30" t="n">
        <v>0.0223531694879774</v>
      </c>
      <c r="G22" s="30" t="n">
        <v>0.173485862264687</v>
      </c>
      <c r="H22" s="31" t="n">
        <f aca="false">MAX(D22,F22+0.015)</f>
        <v>0.0874199635236894</v>
      </c>
      <c r="I22" s="25" t="n">
        <f aca="false">(C22-'DCF Base Case'!$B$3)*(1-E22)+'DCF Base Case'!$B$3-G22</f>
        <v>0.147053110858894</v>
      </c>
      <c r="J22" s="24" t="n">
        <f aca="false">'DCF Base Case'!$B$2*(1+B22)^1*$I22-'DCF Base Case'!$B$2*(1+B22)^0*B22*'DCF Base Case'!$B$4</f>
        <v>22.4711065842966</v>
      </c>
      <c r="K22" s="24" t="n">
        <f aca="false">'DCF Base Case'!$B$2*(1+B22)^2*$I22-'DCF Base Case'!$B$2*(1+B22)^1*B22*'DCF Base Case'!$B$4</f>
        <v>23.9915447572431</v>
      </c>
      <c r="L22" s="24" t="n">
        <f aca="false">'DCF Base Case'!$B$2*(1+B22)^3*$I22-'DCF Base Case'!$B$2*(1+B22)^2*B22*'DCF Base Case'!$B$4</f>
        <v>25.6148586932983</v>
      </c>
      <c r="M22" s="24" t="n">
        <f aca="false">'DCF Base Case'!$B$2*(1+B22)^4*$I22-'DCF Base Case'!$B$2*(1+B22)^3*B22*'DCF Base Case'!$B$4</f>
        <v>27.3480091639182</v>
      </c>
      <c r="N22" s="24" t="n">
        <f aca="false">'DCF Base Case'!$B$2*(1+B22)^5*$I22-'DCF Base Case'!$B$2*(1+B22)^4*B22*'DCF Base Case'!$B$4</f>
        <v>29.1984279197071</v>
      </c>
      <c r="O22" s="24" t="n">
        <f aca="false">J22/(1+H22)^1+K22/(1+H22)^2+L22/(1+H22)^3+M22/(1+H22)^4+N22/(1+H22)^5</f>
        <v>99.6359528283009</v>
      </c>
      <c r="P22" s="24" t="n">
        <f aca="false">N22*(1+F22)/(H22-F22)</f>
        <v>458.776335459144</v>
      </c>
      <c r="Q22" s="24" t="n">
        <f aca="false">O22+P22/(1+H22)^5</f>
        <v>401.363178254504</v>
      </c>
      <c r="R22" s="24" t="n">
        <f aca="false">Q22-'DCF Base Case'!$B$5</f>
        <v>216.363178254504</v>
      </c>
      <c r="S22" s="32" t="n">
        <f aca="false">R22/'DCF Base Case'!$B$6</f>
        <v>8.65452713018016</v>
      </c>
    </row>
    <row r="23" customFormat="false" ht="15" hidden="false" customHeight="true" outlineLevel="0" collapsed="false">
      <c r="A23" s="6" t="n">
        <v>22</v>
      </c>
      <c r="B23" s="30" t="n">
        <v>0.121066925964665</v>
      </c>
      <c r="C23" s="30" t="n">
        <v>0.400530062821024</v>
      </c>
      <c r="D23" s="30" t="n">
        <v>0.0779627331397528</v>
      </c>
      <c r="E23" s="30" t="n">
        <v>0.259737310509351</v>
      </c>
      <c r="F23" s="30" t="n">
        <v>0.0178076407764661</v>
      </c>
      <c r="G23" s="30" t="n">
        <v>0.138363512918773</v>
      </c>
      <c r="H23" s="31" t="n">
        <f aca="false">MAX(D23,F23+0.015)</f>
        <v>0.0779627331397528</v>
      </c>
      <c r="I23" s="25" t="n">
        <f aca="false">(C23-'DCF Base Case'!$B$3)*(1-E23)+'DCF Base Case'!$B$3-G23</f>
        <v>0.191899798973192</v>
      </c>
      <c r="J23" s="24" t="n">
        <f aca="false">'DCF Base Case'!$B$2*(1+B23)^1*$I23-'DCF Base Case'!$B$2*(1+B23)^0*B23*'DCF Base Case'!$B$4</f>
        <v>30.6675739426302</v>
      </c>
      <c r="K23" s="24" t="n">
        <f aca="false">'DCF Base Case'!$B$2*(1+B23)^2*$I23-'DCF Base Case'!$B$2*(1+B23)^1*B23*'DCF Base Case'!$B$4</f>
        <v>34.3804028466586</v>
      </c>
      <c r="L23" s="24" t="n">
        <f aca="false">'DCF Base Case'!$B$2*(1+B23)^3*$I23-'DCF Base Case'!$B$2*(1+B23)^2*B23*'DCF Base Case'!$B$4</f>
        <v>38.5427325327303</v>
      </c>
      <c r="M23" s="24" t="n">
        <f aca="false">'DCF Base Case'!$B$2*(1+B23)^4*$I23-'DCF Base Case'!$B$2*(1+B23)^3*B23*'DCF Base Case'!$B$4</f>
        <v>43.2089826787463</v>
      </c>
      <c r="N23" s="24" t="n">
        <f aca="false">'DCF Base Case'!$B$2*(1+B23)^5*$I23-'DCF Base Case'!$B$2*(1+B23)^4*B23*'DCF Base Case'!$B$4</f>
        <v>48.4401613857226</v>
      </c>
      <c r="O23" s="24" t="n">
        <f aca="false">J23/(1+H23)^1+K23/(1+H23)^2+L23/(1+H23)^3+M23/(1+H23)^4+N23/(1+H23)^5</f>
        <v>154.087946508984</v>
      </c>
      <c r="P23" s="24" t="n">
        <f aca="false">N23*(1+F23)/(H23-F23)</f>
        <v>819.594226222542</v>
      </c>
      <c r="Q23" s="24" t="n">
        <f aca="false">O23+P23/(1+H23)^5</f>
        <v>717.180982053087</v>
      </c>
      <c r="R23" s="24" t="n">
        <f aca="false">Q23-'DCF Base Case'!$B$5</f>
        <v>532.180982053087</v>
      </c>
      <c r="S23" s="32" t="n">
        <f aca="false">R23/'DCF Base Case'!$B$6</f>
        <v>21.2872392821235</v>
      </c>
    </row>
    <row r="24" customFormat="false" ht="15" hidden="false" customHeight="true" outlineLevel="0" collapsed="false">
      <c r="A24" s="6" t="n">
        <v>23</v>
      </c>
      <c r="B24" s="30" t="n">
        <v>0.103760174800774</v>
      </c>
      <c r="C24" s="30" t="n">
        <v>0.415080260083061</v>
      </c>
      <c r="D24" s="30" t="n">
        <v>0.0688211307604708</v>
      </c>
      <c r="E24" s="30" t="n">
        <v>0.258461117452346</v>
      </c>
      <c r="F24" s="30" t="n">
        <v>0.0204662207128806</v>
      </c>
      <c r="G24" s="30" t="n">
        <v>0.185274233354578</v>
      </c>
      <c r="H24" s="31" t="n">
        <f aca="false">MAX(D24,F24+0.015)</f>
        <v>0.0688211307604708</v>
      </c>
      <c r="I24" s="25" t="n">
        <f aca="false">(C24-'DCF Base Case'!$B$3)*(1-E24)+'DCF Base Case'!$B$3-G24</f>
        <v>0.15612386414381</v>
      </c>
      <c r="J24" s="24" t="n">
        <f aca="false">'DCF Base Case'!$B$2*(1+B24)^1*$I24-'DCF Base Case'!$B$2*(1+B24)^0*B24*'DCF Base Case'!$B$4</f>
        <v>24.5355222584185</v>
      </c>
      <c r="K24" s="24" t="n">
        <f aca="false">'DCF Base Case'!$B$2*(1+B24)^2*$I24-'DCF Base Case'!$B$2*(1+B24)^1*B24*'DCF Base Case'!$B$4</f>
        <v>27.0813323367802</v>
      </c>
      <c r="L24" s="24" t="n">
        <f aca="false">'DCF Base Case'!$B$2*(1+B24)^3*$I24-'DCF Base Case'!$B$2*(1+B24)^2*B24*'DCF Base Case'!$B$4</f>
        <v>29.8912961138824</v>
      </c>
      <c r="M24" s="24" t="n">
        <f aca="false">'DCF Base Case'!$B$2*(1+B24)^4*$I24-'DCF Base Case'!$B$2*(1+B24)^3*B24*'DCF Base Case'!$B$4</f>
        <v>32.9928222236805</v>
      </c>
      <c r="N24" s="24" t="n">
        <f aca="false">'DCF Base Case'!$B$2*(1+B24)^5*$I24-'DCF Base Case'!$B$2*(1+B24)^4*B24*'DCF Base Case'!$B$4</f>
        <v>36.4161632247805</v>
      </c>
      <c r="O24" s="24" t="n">
        <f aca="false">J24/(1+H24)^1+K24/(1+H24)^2+L24/(1+H24)^3+M24/(1+H24)^4+N24/(1+H24)^5</f>
        <v>122.531827599119</v>
      </c>
      <c r="P24" s="24" t="n">
        <f aca="false">N24*(1+F24)/(H24-F24)</f>
        <v>768.514808987988</v>
      </c>
      <c r="Q24" s="24" t="n">
        <f aca="false">O24+P24/(1+H24)^5</f>
        <v>673.500726109759</v>
      </c>
      <c r="R24" s="24" t="n">
        <f aca="false">Q24-'DCF Base Case'!$B$5</f>
        <v>488.500726109759</v>
      </c>
      <c r="S24" s="32" t="n">
        <f aca="false">R24/'DCF Base Case'!$B$6</f>
        <v>19.5400290443903</v>
      </c>
    </row>
    <row r="25" customFormat="false" ht="15" hidden="false" customHeight="true" outlineLevel="0" collapsed="false">
      <c r="A25" s="6" t="n">
        <v>24</v>
      </c>
      <c r="B25" s="30" t="n">
        <v>0.12929317689176</v>
      </c>
      <c r="C25" s="30" t="n">
        <v>0.458898078704907</v>
      </c>
      <c r="D25" s="30" t="n">
        <v>0.089558503766036</v>
      </c>
      <c r="E25" s="30" t="n">
        <v>0.258831885766349</v>
      </c>
      <c r="F25" s="30" t="n">
        <v>0.0116993428682637</v>
      </c>
      <c r="G25" s="30" t="n">
        <v>0.171350598376747</v>
      </c>
      <c r="H25" s="31" t="n">
        <f aca="false">MAX(D25,F25+0.015)</f>
        <v>0.089558503766036</v>
      </c>
      <c r="I25" s="25" t="n">
        <f aca="false">(C25-'DCF Base Case'!$B$3)*(1-E25)+'DCF Base Case'!$B$3-G25</f>
        <v>0.20241817039204</v>
      </c>
      <c r="J25" s="24" t="n">
        <f aca="false">'DCF Base Case'!$B$2*(1+B25)^1*$I25-'DCF Base Case'!$B$2*(1+B25)^0*B25*'DCF Base Case'!$B$4</f>
        <v>32.5830461924043</v>
      </c>
      <c r="K25" s="24" t="n">
        <f aca="false">'DCF Base Case'!$B$2*(1+B25)^2*$I25-'DCF Base Case'!$B$2*(1+B25)^1*B25*'DCF Base Case'!$B$4</f>
        <v>36.7958117474312</v>
      </c>
      <c r="L25" s="24" t="n">
        <f aca="false">'DCF Base Case'!$B$2*(1+B25)^3*$I25-'DCF Base Case'!$B$2*(1+B25)^2*B25*'DCF Base Case'!$B$4</f>
        <v>41.5532591445677</v>
      </c>
      <c r="M25" s="24" t="n">
        <f aca="false">'DCF Base Case'!$B$2*(1+B25)^4*$I25-'DCF Base Case'!$B$2*(1+B25)^3*B25*'DCF Base Case'!$B$4</f>
        <v>46.9258120295754</v>
      </c>
      <c r="N25" s="24" t="n">
        <f aca="false">'DCF Base Case'!$B$2*(1+B25)^5*$I25-'DCF Base Case'!$B$2*(1+B25)^4*B25*'DCF Base Case'!$B$4</f>
        <v>52.9929993451048</v>
      </c>
      <c r="O25" s="24" t="n">
        <f aca="false">J25/(1+H25)^1+K25/(1+H25)^2+L25/(1+H25)^3+M25/(1+H25)^4+N25/(1+H25)^5</f>
        <v>160.83497259619</v>
      </c>
      <c r="P25" s="24" t="n">
        <f aca="false">N25*(1+F25)/(H25-F25)</f>
        <v>688.589268056122</v>
      </c>
      <c r="Q25" s="24" t="n">
        <f aca="false">O25+P25/(1+H25)^5</f>
        <v>609.278207416336</v>
      </c>
      <c r="R25" s="24" t="n">
        <f aca="false">Q25-'DCF Base Case'!$B$5</f>
        <v>424.278207416336</v>
      </c>
      <c r="S25" s="32" t="n">
        <f aca="false">R25/'DCF Base Case'!$B$6</f>
        <v>16.9711282966534</v>
      </c>
    </row>
    <row r="26" customFormat="false" ht="15" hidden="false" customHeight="true" outlineLevel="0" collapsed="false">
      <c r="A26" s="6" t="n">
        <v>25</v>
      </c>
      <c r="B26" s="30" t="n">
        <v>0.0722587907169181</v>
      </c>
      <c r="C26" s="30" t="n">
        <v>0.398751361450234</v>
      </c>
      <c r="D26" s="30" t="n">
        <v>0.0782669352103421</v>
      </c>
      <c r="E26" s="30" t="n">
        <v>0.275809528627534</v>
      </c>
      <c r="F26" s="30" t="n">
        <v>0.0231644333736649</v>
      </c>
      <c r="G26" s="30" t="n">
        <v>0.168759198727249</v>
      </c>
      <c r="H26" s="31" t="n">
        <f aca="false">MAX(D26,F26+0.015)</f>
        <v>0.0782669352103421</v>
      </c>
      <c r="I26" s="25" t="n">
        <f aca="false">(C26-'DCF Base Case'!$B$3)*(1-E26)+'DCF Base Case'!$B$3-G26</f>
        <v>0.155867976403388</v>
      </c>
      <c r="J26" s="24" t="n">
        <f aca="false">'DCF Base Case'!$B$2*(1+B26)^1*$I26-'DCF Base Case'!$B$2*(1+B26)^0*B26*'DCF Base Case'!$B$4</f>
        <v>23.9196414044009</v>
      </c>
      <c r="K26" s="24" t="n">
        <f aca="false">'DCF Base Case'!$B$2*(1+B26)^2*$I26-'DCF Base Case'!$B$2*(1+B26)^1*B26*'DCF Base Case'!$B$4</f>
        <v>25.6480457666653</v>
      </c>
      <c r="L26" s="24" t="n">
        <f aca="false">'DCF Base Case'!$B$2*(1+B26)^3*$I26-'DCF Base Case'!$B$2*(1+B26)^2*B26*'DCF Base Case'!$B$4</f>
        <v>27.5013425380167</v>
      </c>
      <c r="M26" s="24" t="n">
        <f aca="false">'DCF Base Case'!$B$2*(1+B26)^4*$I26-'DCF Base Case'!$B$2*(1+B26)^3*B26*'DCF Base Case'!$B$4</f>
        <v>29.4885562929055</v>
      </c>
      <c r="N26" s="24" t="n">
        <f aca="false">'DCF Base Case'!$B$2*(1+B26)^5*$I26-'DCF Base Case'!$B$2*(1+B26)^4*B26*'DCF Base Case'!$B$4</f>
        <v>31.6193637106186</v>
      </c>
      <c r="O26" s="24" t="n">
        <f aca="false">J26/(1+H26)^1+K26/(1+H26)^2+L26/(1+H26)^3+M26/(1+H26)^4+N26/(1+H26)^5</f>
        <v>109.687868028018</v>
      </c>
      <c r="P26" s="24" t="n">
        <f aca="false">N26*(1+F26)/(H26-F26)</f>
        <v>587.120498639084</v>
      </c>
      <c r="Q26" s="24" t="n">
        <f aca="false">O26+P26/(1+H26)^5</f>
        <v>512.493750391176</v>
      </c>
      <c r="R26" s="24" t="n">
        <f aca="false">Q26-'DCF Base Case'!$B$5</f>
        <v>327.493750391176</v>
      </c>
      <c r="S26" s="32" t="n">
        <f aca="false">R26/'DCF Base Case'!$B$6</f>
        <v>13.099750015647</v>
      </c>
    </row>
    <row r="27" customFormat="false" ht="15" hidden="false" customHeight="true" outlineLevel="0" collapsed="false">
      <c r="A27" s="6" t="n">
        <v>26</v>
      </c>
      <c r="B27" s="30" t="n">
        <v>0.0867428224526449</v>
      </c>
      <c r="C27" s="30" t="n">
        <v>0.390251292907997</v>
      </c>
      <c r="D27" s="30" t="n">
        <v>0.0665784876082521</v>
      </c>
      <c r="E27" s="30" t="n">
        <v>0.267552482867909</v>
      </c>
      <c r="F27" s="30" t="n">
        <v>0.0191513379368694</v>
      </c>
      <c r="G27" s="30" t="n">
        <v>0.204794150348423</v>
      </c>
      <c r="H27" s="31" t="n">
        <f aca="false">MAX(D27,F27+0.015)</f>
        <v>0.0665784876082521</v>
      </c>
      <c r="I27" s="25" t="n">
        <f aca="false">(C27-'DCF Base Case'!$B$3)*(1-E27)+'DCF Base Case'!$B$3-G27</f>
        <v>0.115826262972456</v>
      </c>
      <c r="J27" s="24" t="n">
        <f aca="false">'DCF Base Case'!$B$2*(1+B27)^1*$I27-'DCF Base Case'!$B$2*(1+B27)^0*B27*'DCF Base Case'!$B$4</f>
        <v>17.8743059131712</v>
      </c>
      <c r="K27" s="24" t="n">
        <f aca="false">'DCF Base Case'!$B$2*(1+B27)^2*$I27-'DCF Base Case'!$B$2*(1+B27)^1*B27*'DCF Base Case'!$B$4</f>
        <v>19.4247736574617</v>
      </c>
      <c r="L27" s="24" t="n">
        <f aca="false">'DCF Base Case'!$B$2*(1+B27)^3*$I27-'DCF Base Case'!$B$2*(1+B27)^2*B27*'DCF Base Case'!$B$4</f>
        <v>21.1097333500137</v>
      </c>
      <c r="M27" s="24" t="n">
        <f aca="false">'DCF Base Case'!$B$2*(1+B27)^4*$I27-'DCF Base Case'!$B$2*(1+B27)^3*B27*'DCF Base Case'!$B$4</f>
        <v>22.9408512020166</v>
      </c>
      <c r="N27" s="24" t="n">
        <f aca="false">'DCF Base Case'!$B$2*(1+B27)^5*$I27-'DCF Base Case'!$B$2*(1+B27)^4*B27*'DCF Base Case'!$B$4</f>
        <v>24.9308053847457</v>
      </c>
      <c r="O27" s="24" t="n">
        <f aca="false">J27/(1+H27)^1+K27/(1+H27)^2+L27/(1+H27)^3+M27/(1+H27)^4+N27/(1+H27)^5</f>
        <v>87.0215115334117</v>
      </c>
      <c r="P27" s="24" t="n">
        <f aca="false">N27*(1+F27)/(H27-F27)</f>
        <v>535.732462097306</v>
      </c>
      <c r="Q27" s="24" t="n">
        <f aca="false">O27+P27/(1+H27)^5</f>
        <v>475.157455504126</v>
      </c>
      <c r="R27" s="24" t="n">
        <f aca="false">Q27-'DCF Base Case'!$B$5</f>
        <v>290.157455504126</v>
      </c>
      <c r="S27" s="32" t="n">
        <f aca="false">R27/'DCF Base Case'!$B$6</f>
        <v>11.606298220165</v>
      </c>
    </row>
    <row r="28" customFormat="false" ht="15" hidden="false" customHeight="true" outlineLevel="0" collapsed="false">
      <c r="A28" s="6" t="n">
        <v>27</v>
      </c>
      <c r="B28" s="30" t="n">
        <v>0.0926621389059356</v>
      </c>
      <c r="C28" s="30" t="n">
        <v>0.434156021686631</v>
      </c>
      <c r="D28" s="30" t="n">
        <v>0.0795077484160693</v>
      </c>
      <c r="E28" s="30" t="n">
        <v>0.256113461748204</v>
      </c>
      <c r="F28" s="30" t="n">
        <v>0.0154099495430486</v>
      </c>
      <c r="G28" s="30" t="n">
        <v>0.150604357702716</v>
      </c>
      <c r="H28" s="31" t="n">
        <f aca="false">MAX(D28,F28+0.015)</f>
        <v>0.0795077484160693</v>
      </c>
      <c r="I28" s="25" t="n">
        <f aca="false">(C28-'DCF Base Case'!$B$3)*(1-E28)+'DCF Base Case'!$B$3-G28</f>
        <v>0.20565321235819</v>
      </c>
      <c r="J28" s="24" t="n">
        <f aca="false">'DCF Base Case'!$B$2*(1+B28)^1*$I28-'DCF Base Case'!$B$2*(1+B28)^0*B28*'DCF Base Case'!$B$4</f>
        <v>32.1797941345448</v>
      </c>
      <c r="K28" s="24" t="n">
        <f aca="false">'DCF Base Case'!$B$2*(1+B28)^2*$I28-'DCF Base Case'!$B$2*(1+B28)^1*B28*'DCF Base Case'!$B$4</f>
        <v>35.1616426886044</v>
      </c>
      <c r="L28" s="24" t="n">
        <f aca="false">'DCF Base Case'!$B$2*(1+B28)^3*$I28-'DCF Base Case'!$B$2*(1+B28)^2*B28*'DCF Base Case'!$B$4</f>
        <v>38.4197957075767</v>
      </c>
      <c r="M28" s="24" t="n">
        <f aca="false">'DCF Base Case'!$B$2*(1+B28)^4*$I28-'DCF Base Case'!$B$2*(1+B28)^3*B28*'DCF Base Case'!$B$4</f>
        <v>41.9798561541699</v>
      </c>
      <c r="N28" s="24" t="n">
        <f aca="false">'DCF Base Case'!$B$2*(1+B28)^5*$I28-'DCF Base Case'!$B$2*(1+B28)^4*B28*'DCF Base Case'!$B$4</f>
        <v>45.8697994163788</v>
      </c>
      <c r="O28" s="24" t="n">
        <f aca="false">J28/(1+H28)^1+K28/(1+H28)^2+L28/(1+H28)^3+M28/(1+H28)^4+N28/(1+H28)^5</f>
        <v>152.725470566184</v>
      </c>
      <c r="P28" s="24" t="n">
        <f aca="false">N28*(1+F28)/(H28-F28)</f>
        <v>726.649768476518</v>
      </c>
      <c r="Q28" s="24" t="n">
        <f aca="false">O28+P28/(1+H28)^5</f>
        <v>648.399676883692</v>
      </c>
      <c r="R28" s="24" t="n">
        <f aca="false">Q28-'DCF Base Case'!$B$5</f>
        <v>463.399676883692</v>
      </c>
      <c r="S28" s="32" t="n">
        <f aca="false">R28/'DCF Base Case'!$B$6</f>
        <v>18.5359870753477</v>
      </c>
    </row>
    <row r="29" customFormat="false" ht="15" hidden="false" customHeight="true" outlineLevel="0" collapsed="false">
      <c r="A29" s="6" t="n">
        <v>28</v>
      </c>
      <c r="B29" s="30" t="n">
        <v>0.130876108712392</v>
      </c>
      <c r="C29" s="30" t="n">
        <v>0.414234995798931</v>
      </c>
      <c r="D29" s="30" t="n">
        <v>0.0942233812410998</v>
      </c>
      <c r="E29" s="30" t="n">
        <v>0.260080561049372</v>
      </c>
      <c r="F29" s="30" t="n">
        <v>0.0226967777926808</v>
      </c>
      <c r="G29" s="30" t="n">
        <v>0.174165283531965</v>
      </c>
      <c r="H29" s="31" t="n">
        <f aca="false">MAX(D29,F29+0.015)</f>
        <v>0.0942233812410998</v>
      </c>
      <c r="I29" s="25" t="n">
        <f aca="false">(C29-'DCF Base Case'!$B$3)*(1-E29)+'DCF Base Case'!$B$3-G29</f>
        <v>0.166145715089714</v>
      </c>
      <c r="J29" s="24" t="n">
        <f aca="false">'DCF Base Case'!$B$2*(1+B29)^1*$I29-'DCF Base Case'!$B$2*(1+B29)^0*B29*'DCF Base Case'!$B$4</f>
        <v>26.6747707922857</v>
      </c>
      <c r="K29" s="24" t="n">
        <f aca="false">'DCF Base Case'!$B$2*(1+B29)^2*$I29-'DCF Base Case'!$B$2*(1+B29)^1*B29*'DCF Base Case'!$B$4</f>
        <v>30.165860994375</v>
      </c>
      <c r="L29" s="24" t="n">
        <f aca="false">'DCF Base Case'!$B$2*(1+B29)^3*$I29-'DCF Base Case'!$B$2*(1+B29)^2*B29*'DCF Base Case'!$B$4</f>
        <v>34.1138514972777</v>
      </c>
      <c r="M29" s="24" t="n">
        <f aca="false">'DCF Base Case'!$B$2*(1+B29)^4*$I29-'DCF Base Case'!$B$2*(1+B29)^3*B29*'DCF Base Case'!$B$4</f>
        <v>38.5785396344338</v>
      </c>
      <c r="N29" s="24" t="n">
        <f aca="false">'DCF Base Case'!$B$2*(1+B29)^5*$I29-'DCF Base Case'!$B$2*(1+B29)^4*B29*'DCF Base Case'!$B$4</f>
        <v>43.6275487815953</v>
      </c>
      <c r="O29" s="24" t="n">
        <f aca="false">J29/(1+H29)^1+K29/(1+H29)^2+L29/(1+H29)^3+M29/(1+H29)^4+N29/(1+H29)^5</f>
        <v>130.332920676719</v>
      </c>
      <c r="P29" s="24" t="n">
        <f aca="false">N29*(1+F29)/(H29-F29)</f>
        <v>623.792427024811</v>
      </c>
      <c r="Q29" s="24" t="n">
        <f aca="false">O29+P29/(1+H29)^5</f>
        <v>527.991306732559</v>
      </c>
      <c r="R29" s="24" t="n">
        <f aca="false">Q29-'DCF Base Case'!$B$5</f>
        <v>342.991306732559</v>
      </c>
      <c r="S29" s="32" t="n">
        <f aca="false">R29/'DCF Base Case'!$B$6</f>
        <v>13.7196522693024</v>
      </c>
    </row>
    <row r="30" customFormat="false" ht="15" hidden="false" customHeight="true" outlineLevel="0" collapsed="false">
      <c r="A30" s="6" t="n">
        <v>29</v>
      </c>
      <c r="B30" s="30" t="n">
        <v>0.0867848862664049</v>
      </c>
      <c r="C30" s="30" t="n">
        <v>0.412703820484188</v>
      </c>
      <c r="D30" s="30" t="n">
        <v>0.0777973353502767</v>
      </c>
      <c r="E30" s="30" t="n">
        <v>0.293035553135993</v>
      </c>
      <c r="F30" s="30" t="n">
        <v>0.0175364513073823</v>
      </c>
      <c r="G30" s="30" t="n">
        <v>0.140992716251127</v>
      </c>
      <c r="H30" s="31" t="n">
        <f aca="false">MAX(D30,F30+0.015)</f>
        <v>0.0777973353502767</v>
      </c>
      <c r="I30" s="25" t="n">
        <f aca="false">(C30-'DCF Base Case'!$B$3)*(1-E30)+'DCF Base Case'!$B$3-G30</f>
        <v>0.188868833823819</v>
      </c>
      <c r="J30" s="24" t="n">
        <f aca="false">'DCF Base Case'!$B$2*(1+B30)^1*$I30-'DCF Base Case'!$B$2*(1+B30)^0*B30*'DCF Base Case'!$B$4</f>
        <v>29.3851558872818</v>
      </c>
      <c r="K30" s="24" t="n">
        <f aca="false">'DCF Base Case'!$B$2*(1+B30)^2*$I30-'DCF Base Case'!$B$2*(1+B30)^1*B30*'DCF Base Case'!$B$4</f>
        <v>31.9353432988801</v>
      </c>
      <c r="L30" s="24" t="n">
        <f aca="false">'DCF Base Case'!$B$2*(1+B30)^3*$I30-'DCF Base Case'!$B$2*(1+B30)^2*B30*'DCF Base Case'!$B$4</f>
        <v>34.706848434952</v>
      </c>
      <c r="M30" s="24" t="n">
        <f aca="false">'DCF Base Case'!$B$2*(1+B30)^4*$I30-'DCF Base Case'!$B$2*(1+B30)^3*B30*'DCF Base Case'!$B$4</f>
        <v>37.7188783290447</v>
      </c>
      <c r="N30" s="24" t="n">
        <f aca="false">'DCF Base Case'!$B$2*(1+B30)^5*$I30-'DCF Base Case'!$B$2*(1+B30)^4*B30*'DCF Base Case'!$B$4</f>
        <v>40.9923068949272</v>
      </c>
      <c r="O30" s="24" t="n">
        <f aca="false">J30/(1+H30)^1+K30/(1+H30)^2+L30/(1+H30)^3+M30/(1+H30)^4+N30/(1+H30)^5</f>
        <v>138.612952927499</v>
      </c>
      <c r="P30" s="24" t="n">
        <f aca="false">N30*(1+F30)/(H30-F30)</f>
        <v>692.17647817906</v>
      </c>
      <c r="Q30" s="24" t="n">
        <f aca="false">O30+P30/(1+H30)^5</f>
        <v>614.530052416122</v>
      </c>
      <c r="R30" s="24" t="n">
        <f aca="false">Q30-'DCF Base Case'!$B$5</f>
        <v>429.530052416122</v>
      </c>
      <c r="S30" s="32" t="n">
        <f aca="false">R30/'DCF Base Case'!$B$6</f>
        <v>17.1812020966449</v>
      </c>
    </row>
    <row r="31" customFormat="false" ht="15" hidden="false" customHeight="true" outlineLevel="0" collapsed="false">
      <c r="A31" s="6" t="n">
        <v>30</v>
      </c>
      <c r="B31" s="30" t="n">
        <v>0.0624316427267992</v>
      </c>
      <c r="C31" s="30" t="n">
        <v>0.40822383892095</v>
      </c>
      <c r="D31" s="30" t="n">
        <v>0.102370003820515</v>
      </c>
      <c r="E31" s="30" t="n">
        <v>0.284267253073047</v>
      </c>
      <c r="F31" s="30" t="n">
        <v>0.0189014979774911</v>
      </c>
      <c r="G31" s="30" t="n">
        <v>0.171781395091251</v>
      </c>
      <c r="H31" s="31" t="n">
        <f aca="false">MAX(D31,F31+0.015)</f>
        <v>0.102370003820515</v>
      </c>
      <c r="I31" s="25" t="n">
        <f aca="false">(C31-'DCF Base Case'!$B$3)*(1-E31)+'DCF Base Case'!$B$3-G31</f>
        <v>0.157352517400203</v>
      </c>
      <c r="J31" s="24" t="n">
        <f aca="false">'DCF Base Case'!$B$2*(1+B31)^1*$I31-'DCF Base Case'!$B$2*(1+B31)^0*B31*'DCF Base Case'!$B$4</f>
        <v>23.9689849186991</v>
      </c>
      <c r="K31" s="24" t="n">
        <f aca="false">'DCF Base Case'!$B$2*(1+B31)^2*$I31-'DCF Base Case'!$B$2*(1+B31)^1*B31*'DCF Base Case'!$B$4</f>
        <v>25.4654080216674</v>
      </c>
      <c r="L31" s="24" t="n">
        <f aca="false">'DCF Base Case'!$B$2*(1+B31)^3*$I31-'DCF Base Case'!$B$2*(1+B31)^2*B31*'DCF Base Case'!$B$4</f>
        <v>27.0552552771683</v>
      </c>
      <c r="M31" s="24" t="n">
        <f aca="false">'DCF Base Case'!$B$2*(1+B31)^4*$I31-'DCF Base Case'!$B$2*(1+B31)^3*B31*'DCF Base Case'!$B$4</f>
        <v>28.7443593085148</v>
      </c>
      <c r="N31" s="24" t="n">
        <f aca="false">'DCF Base Case'!$B$2*(1+B31)^5*$I31-'DCF Base Case'!$B$2*(1+B31)^4*B31*'DCF Base Case'!$B$4</f>
        <v>30.5389168792748</v>
      </c>
      <c r="O31" s="24" t="n">
        <f aca="false">J31/(1+H31)^1+K31/(1+H31)^2+L31/(1+H31)^3+M31/(1+H31)^4+N31/(1+H31)^5</f>
        <v>101.118521733489</v>
      </c>
      <c r="P31" s="24" t="n">
        <f aca="false">N31*(1+F31)/(H31-F31)</f>
        <v>372.789087819808</v>
      </c>
      <c r="Q31" s="24" t="n">
        <f aca="false">O31+P31/(1+H31)^5</f>
        <v>330.113656189919</v>
      </c>
      <c r="R31" s="24" t="n">
        <f aca="false">Q31-'DCF Base Case'!$B$5</f>
        <v>145.113656189919</v>
      </c>
      <c r="S31" s="32" t="n">
        <f aca="false">R31/'DCF Base Case'!$B$6</f>
        <v>5.80454624759675</v>
      </c>
    </row>
    <row r="32" customFormat="false" ht="15" hidden="false" customHeight="true" outlineLevel="0" collapsed="false">
      <c r="A32" s="6" t="n">
        <v>31</v>
      </c>
      <c r="B32" s="30" t="n">
        <v>0.118116674997075</v>
      </c>
      <c r="C32" s="30" t="n">
        <v>0.42813835470181</v>
      </c>
      <c r="D32" s="30" t="n">
        <v>0.0804798004608289</v>
      </c>
      <c r="E32" s="30" t="n">
        <v>0.313536623780093</v>
      </c>
      <c r="F32" s="30" t="n">
        <v>0.0208785126882426</v>
      </c>
      <c r="G32" s="30" t="n">
        <v>0.200666228759871</v>
      </c>
      <c r="H32" s="31" t="n">
        <f aca="false">MAX(D32,F32+0.015)</f>
        <v>0.0804798004608289</v>
      </c>
      <c r="I32" s="25" t="n">
        <f aca="false">(C32-'DCF Base Case'!$B$3)*(1-E32)+'DCF Base Case'!$B$3-G32</f>
        <v>0.133994832789382</v>
      </c>
      <c r="J32" s="24" t="n">
        <f aca="false">'DCF Base Case'!$B$2*(1+B32)^1*$I32-'DCF Base Case'!$B$2*(1+B32)^0*B32*'DCF Base Case'!$B$4</f>
        <v>21.2103617150243</v>
      </c>
      <c r="K32" s="24" t="n">
        <f aca="false">'DCF Base Case'!$B$2*(1+B32)^2*$I32-'DCF Base Case'!$B$2*(1+B32)^1*B32*'DCF Base Case'!$B$4</f>
        <v>23.7156591162883</v>
      </c>
      <c r="L32" s="24" t="n">
        <f aca="false">'DCF Base Case'!$B$2*(1+B32)^3*$I32-'DCF Base Case'!$B$2*(1+B32)^2*B32*'DCF Base Case'!$B$4</f>
        <v>26.5168739164683</v>
      </c>
      <c r="M32" s="24" t="n">
        <f aca="false">'DCF Base Case'!$B$2*(1+B32)^4*$I32-'DCF Base Case'!$B$2*(1+B32)^3*B32*'DCF Base Case'!$B$4</f>
        <v>29.6489588947982</v>
      </c>
      <c r="N32" s="24" t="n">
        <f aca="false">'DCF Base Case'!$B$2*(1+B32)^5*$I32-'DCF Base Case'!$B$2*(1+B32)^4*B32*'DCF Base Case'!$B$4</f>
        <v>33.1509953365767</v>
      </c>
      <c r="O32" s="24" t="n">
        <f aca="false">J32/(1+H32)^1+K32/(1+H32)^2+L32/(1+H32)^3+M32/(1+H32)^4+N32/(1+H32)^5</f>
        <v>105.232869991872</v>
      </c>
      <c r="P32" s="24" t="n">
        <f aca="false">N32*(1+F32)/(H32-F32)</f>
        <v>567.825630588229</v>
      </c>
      <c r="Q32" s="24" t="n">
        <f aca="false">O32+P32/(1+H32)^5</f>
        <v>490.82816940743</v>
      </c>
      <c r="R32" s="24" t="n">
        <f aca="false">Q32-'DCF Base Case'!$B$5</f>
        <v>305.82816940743</v>
      </c>
      <c r="S32" s="32" t="n">
        <f aca="false">R32/'DCF Base Case'!$B$6</f>
        <v>12.2331267762972</v>
      </c>
    </row>
    <row r="33" customFormat="false" ht="15" hidden="false" customHeight="true" outlineLevel="0" collapsed="false">
      <c r="A33" s="6" t="n">
        <v>32</v>
      </c>
      <c r="B33" s="30" t="n">
        <v>0.0937773303786201</v>
      </c>
      <c r="C33" s="30" t="n">
        <v>0.388923574440387</v>
      </c>
      <c r="D33" s="30" t="n">
        <v>0.0699502488082977</v>
      </c>
      <c r="E33" s="30" t="n">
        <v>0.327890527080132</v>
      </c>
      <c r="F33" s="30" t="n">
        <v>0.0251414170429255</v>
      </c>
      <c r="G33" s="30" t="n">
        <v>0.161455914876815</v>
      </c>
      <c r="H33" s="31" t="n">
        <f aca="false">MAX(D33,F33+0.015)</f>
        <v>0.0699502488082977</v>
      </c>
      <c r="I33" s="25" t="n">
        <f aca="false">(C33-'DCF Base Case'!$B$3)*(1-E33)+'DCF Base Case'!$B$3-G33</f>
        <v>0.142569072266842</v>
      </c>
      <c r="J33" s="24" t="n">
        <f aca="false">'DCF Base Case'!$B$2*(1+B33)^1*$I33-'DCF Base Case'!$B$2*(1+B33)^0*B33*'DCF Base Case'!$B$4</f>
        <v>22.2031974053475</v>
      </c>
      <c r="K33" s="24" t="n">
        <f aca="false">'DCF Base Case'!$B$2*(1+B33)^2*$I33-'DCF Base Case'!$B$2*(1+B33)^1*B33*'DCF Base Case'!$B$4</f>
        <v>24.2853539838905</v>
      </c>
      <c r="L33" s="24" t="n">
        <f aca="false">'DCF Base Case'!$B$2*(1+B33)^3*$I33-'DCF Base Case'!$B$2*(1+B33)^2*B33*'DCF Base Case'!$B$4</f>
        <v>26.5627696477995</v>
      </c>
      <c r="M33" s="24" t="n">
        <f aca="false">'DCF Base Case'!$B$2*(1+B33)^4*$I33-'DCF Base Case'!$B$2*(1+B33)^3*B33*'DCF Base Case'!$B$4</f>
        <v>29.0537552728324</v>
      </c>
      <c r="N33" s="24" t="n">
        <f aca="false">'DCF Base Case'!$B$2*(1+B33)^5*$I33-'DCF Base Case'!$B$2*(1+B33)^4*B33*'DCF Base Case'!$B$4</f>
        <v>31.7783388797924</v>
      </c>
      <c r="O33" s="24" t="n">
        <f aca="false">J33/(1+H33)^1+K33/(1+H33)^2+L33/(1+H33)^3+M33/(1+H33)^4+N33/(1+H33)^5</f>
        <v>108.483393622359</v>
      </c>
      <c r="P33" s="24" t="n">
        <f aca="false">N33*(1+F33)/(H33-F33)</f>
        <v>727.028357290851</v>
      </c>
      <c r="Q33" s="24" t="n">
        <f aca="false">O33+P33/(1+H33)^5</f>
        <v>626.965091022674</v>
      </c>
      <c r="R33" s="24" t="n">
        <f aca="false">Q33-'DCF Base Case'!$B$5</f>
        <v>441.965091022674</v>
      </c>
      <c r="S33" s="32" t="n">
        <f aca="false">R33/'DCF Base Case'!$B$6</f>
        <v>17.678603640907</v>
      </c>
    </row>
    <row r="34" customFormat="false" ht="15" hidden="false" customHeight="true" outlineLevel="0" collapsed="false">
      <c r="A34" s="6" t="n">
        <v>33</v>
      </c>
      <c r="B34" s="30" t="n">
        <v>0.0818802124570507</v>
      </c>
      <c r="C34" s="30" t="n">
        <v>0.439173539729523</v>
      </c>
      <c r="D34" s="30" t="n">
        <v>0.0728224974975217</v>
      </c>
      <c r="E34" s="30" t="n">
        <v>0.260200882557789</v>
      </c>
      <c r="F34" s="30" t="n">
        <v>0.0216582714615431</v>
      </c>
      <c r="G34" s="30" t="n">
        <v>0.157232629029886</v>
      </c>
      <c r="H34" s="31" t="n">
        <f aca="false">MAX(D34,F34+0.015)</f>
        <v>0.0728224974975217</v>
      </c>
      <c r="I34" s="25" t="n">
        <f aca="false">(C34-'DCF Base Case'!$B$3)*(1-E34)+'DCF Base Case'!$B$3-G34</f>
        <v>0.201493682798499</v>
      </c>
      <c r="J34" s="24" t="n">
        <f aca="false">'DCF Base Case'!$B$2*(1+B34)^1*$I34-'DCF Base Case'!$B$2*(1+B34)^0*B34*'DCF Base Case'!$B$4</f>
        <v>31.252665187257</v>
      </c>
      <c r="K34" s="24" t="n">
        <f aca="false">'DCF Base Case'!$B$2*(1+B34)^2*$I34-'DCF Base Case'!$B$2*(1+B34)^1*B34*'DCF Base Case'!$B$4</f>
        <v>33.8116400526387</v>
      </c>
      <c r="L34" s="24" t="n">
        <f aca="false">'DCF Base Case'!$B$2*(1+B34)^3*$I34-'DCF Base Case'!$B$2*(1+B34)^2*B34*'DCF Base Case'!$B$4</f>
        <v>36.58014432367</v>
      </c>
      <c r="M34" s="24" t="n">
        <f aca="false">'DCF Base Case'!$B$2*(1+B34)^4*$I34-'DCF Base Case'!$B$2*(1+B34)^3*B34*'DCF Base Case'!$B$4</f>
        <v>39.5753343126017</v>
      </c>
      <c r="N34" s="24" t="n">
        <f aca="false">'DCF Base Case'!$B$2*(1+B34)^5*$I34-'DCF Base Case'!$B$2*(1+B34)^4*B34*'DCF Base Case'!$B$4</f>
        <v>42.8157710941764</v>
      </c>
      <c r="O34" s="24" t="n">
        <f aca="false">J34/(1+H34)^1+K34/(1+H34)^2+L34/(1+H34)^3+M34/(1+H34)^4+N34/(1+H34)^5</f>
        <v>148.136643401225</v>
      </c>
      <c r="P34" s="24" t="n">
        <f aca="false">N34*(1+F34)/(H34-F34)</f>
        <v>854.954527341218</v>
      </c>
      <c r="Q34" s="24" t="n">
        <f aca="false">O34+P34/(1+H34)^5</f>
        <v>749.730863589963</v>
      </c>
      <c r="R34" s="24" t="n">
        <f aca="false">Q34-'DCF Base Case'!$B$5</f>
        <v>564.730863589963</v>
      </c>
      <c r="S34" s="32" t="n">
        <f aca="false">R34/'DCF Base Case'!$B$6</f>
        <v>22.5892345435985</v>
      </c>
    </row>
    <row r="35" customFormat="false" ht="15" hidden="false" customHeight="true" outlineLevel="0" collapsed="false">
      <c r="A35" s="6" t="n">
        <v>34</v>
      </c>
      <c r="B35" s="30" t="n">
        <v>0.0898977293944674</v>
      </c>
      <c r="C35" s="30" t="n">
        <v>0.411290406581889</v>
      </c>
      <c r="D35" s="30" t="n">
        <v>0.0887133200367883</v>
      </c>
      <c r="E35" s="30" t="n">
        <v>0.321920496208905</v>
      </c>
      <c r="F35" s="30" t="n">
        <v>0.0196858421315736</v>
      </c>
      <c r="G35" s="30" t="n">
        <v>0.180517784077657</v>
      </c>
      <c r="H35" s="31" t="n">
        <f aca="false">MAX(D35,F35+0.015)</f>
        <v>0.0887133200367883</v>
      </c>
      <c r="I35" s="25" t="n">
        <f aca="false">(C35-'DCF Base Case'!$B$3)*(1-E35)+'DCF Base Case'!$B$3-G35</f>
        <v>0.140219475238586</v>
      </c>
      <c r="J35" s="24" t="n">
        <f aca="false">'DCF Base Case'!$B$2*(1+B35)^1*$I35-'DCF Base Case'!$B$2*(1+B35)^0*B35*'DCF Base Case'!$B$4</f>
        <v>21.7685535906497</v>
      </c>
      <c r="K35" s="24" t="n">
        <f aca="false">'DCF Base Case'!$B$2*(1+B35)^2*$I35-'DCF Base Case'!$B$2*(1+B35)^1*B35*'DCF Base Case'!$B$4</f>
        <v>23.7254971306509</v>
      </c>
      <c r="L35" s="24" t="n">
        <f aca="false">'DCF Base Case'!$B$2*(1+B35)^3*$I35-'DCF Base Case'!$B$2*(1+B35)^2*B35*'DCF Base Case'!$B$4</f>
        <v>25.8583654514514</v>
      </c>
      <c r="M35" s="24" t="n">
        <f aca="false">'DCF Base Case'!$B$2*(1+B35)^4*$I35-'DCF Base Case'!$B$2*(1+B35)^3*B35*'DCF Base Case'!$B$4</f>
        <v>28.1829737913892</v>
      </c>
      <c r="N35" s="24" t="n">
        <f aca="false">'DCF Base Case'!$B$2*(1+B35)^5*$I35-'DCF Base Case'!$B$2*(1+B35)^4*B35*'DCF Base Case'!$B$4</f>
        <v>30.7165591428189</v>
      </c>
      <c r="O35" s="24" t="n">
        <f aca="false">J35/(1+H35)^1+K35/(1+H35)^2+L35/(1+H35)^3+M35/(1+H35)^4+N35/(1+H35)^5</f>
        <v>100.191522822075</v>
      </c>
      <c r="P35" s="24" t="n">
        <f aca="false">N35*(1+F35)/(H35-F35)</f>
        <v>453.750324181602</v>
      </c>
      <c r="Q35" s="24" t="n">
        <f aca="false">O35+P35/(1+H35)^5</f>
        <v>396.84487917688</v>
      </c>
      <c r="R35" s="24" t="n">
        <f aca="false">Q35-'DCF Base Case'!$B$5</f>
        <v>211.84487917688</v>
      </c>
      <c r="S35" s="32" t="n">
        <f aca="false">R35/'DCF Base Case'!$B$6</f>
        <v>8.47379516707518</v>
      </c>
    </row>
    <row r="36" customFormat="false" ht="15" hidden="false" customHeight="true" outlineLevel="0" collapsed="false">
      <c r="A36" s="6" t="n">
        <v>35</v>
      </c>
      <c r="B36" s="30" t="n">
        <v>0.0500433609240525</v>
      </c>
      <c r="C36" s="30" t="n">
        <v>0.396551845703257</v>
      </c>
      <c r="D36" s="30" t="n">
        <v>0.0757244670267784</v>
      </c>
      <c r="E36" s="30" t="n">
        <v>0.255659076237353</v>
      </c>
      <c r="F36" s="30" t="n">
        <v>0.015765226863635</v>
      </c>
      <c r="G36" s="30" t="n">
        <v>0.158426199718712</v>
      </c>
      <c r="H36" s="31" t="n">
        <f aca="false">MAX(D36,F36+0.015)</f>
        <v>0.0757244670267784</v>
      </c>
      <c r="I36" s="25" t="n">
        <f aca="false">(C36-'DCF Base Case'!$B$3)*(1-E36)+'DCF Base Case'!$B$3-G36</f>
        <v>0.169979247342689</v>
      </c>
      <c r="J36" s="24" t="n">
        <f aca="false">'DCF Base Case'!$B$2*(1+B36)^1*$I36-'DCF Base Case'!$B$2*(1+B36)^0*B36*'DCF Base Case'!$B$4</f>
        <v>25.6627205042038</v>
      </c>
      <c r="K36" s="24" t="n">
        <f aca="false">'DCF Base Case'!$B$2*(1+B36)^2*$I36-'DCF Base Case'!$B$2*(1+B36)^1*B36*'DCF Base Case'!$B$4</f>
        <v>26.9469692886887</v>
      </c>
      <c r="L36" s="24" t="n">
        <f aca="false">'DCF Base Case'!$B$2*(1+B36)^3*$I36-'DCF Base Case'!$B$2*(1+B36)^2*B36*'DCF Base Case'!$B$4</f>
        <v>28.2954861986119</v>
      </c>
      <c r="M36" s="24" t="n">
        <f aca="false">'DCF Base Case'!$B$2*(1+B36)^4*$I36-'DCF Base Case'!$B$2*(1+B36)^3*B36*'DCF Base Case'!$B$4</f>
        <v>29.7114874269706</v>
      </c>
      <c r="N36" s="24" t="n">
        <f aca="false">'DCF Base Case'!$B$2*(1+B36)^5*$I36-'DCF Base Case'!$B$2*(1+B36)^4*B36*'DCF Base Case'!$B$4</f>
        <v>31.1983501158689</v>
      </c>
      <c r="O36" s="24" t="n">
        <f aca="false">J36/(1+H36)^1+K36/(1+H36)^2+L36/(1+H36)^3+M36/(1+H36)^4+N36/(1+H36)^5</f>
        <v>113.720184097213</v>
      </c>
      <c r="P36" s="24" t="n">
        <f aca="false">N36*(1+F36)/(H36-F36)</f>
        <v>528.529032339147</v>
      </c>
      <c r="Q36" s="24" t="n">
        <f aca="false">O36+P36/(1+H36)^5</f>
        <v>480.633619800968</v>
      </c>
      <c r="R36" s="24" t="n">
        <f aca="false">Q36-'DCF Base Case'!$B$5</f>
        <v>295.633619800968</v>
      </c>
      <c r="S36" s="32" t="n">
        <f aca="false">R36/'DCF Base Case'!$B$6</f>
        <v>11.8253447920387</v>
      </c>
    </row>
    <row r="37" customFormat="false" ht="15" hidden="false" customHeight="true" outlineLevel="0" collapsed="false">
      <c r="A37" s="6" t="n">
        <v>36</v>
      </c>
      <c r="B37" s="30" t="n">
        <v>0.110011751750226</v>
      </c>
      <c r="C37" s="30" t="n">
        <v>0.392706146175727</v>
      </c>
      <c r="D37" s="30" t="n">
        <v>0.0853369464185386</v>
      </c>
      <c r="E37" s="30" t="n">
        <v>0.267598027077847</v>
      </c>
      <c r="F37" s="30" t="n">
        <v>0.0180638947953197</v>
      </c>
      <c r="G37" s="30" t="n">
        <v>0.189211476705477</v>
      </c>
      <c r="H37" s="31" t="n">
        <f aca="false">MAX(D37,F37+0.015)</f>
        <v>0.0853369464185386</v>
      </c>
      <c r="I37" s="25" t="n">
        <f aca="false">(C37-'DCF Base Case'!$B$3)*(1-E37)+'DCF Base Case'!$B$3-G37</f>
        <v>0.133195023052401</v>
      </c>
      <c r="J37" s="24" t="n">
        <f aca="false">'DCF Base Case'!$B$2*(1+B37)^1*$I37-'DCF Base Case'!$B$2*(1+B37)^0*B37*'DCF Base Case'!$B$4</f>
        <v>20.9594148049936</v>
      </c>
      <c r="K37" s="24" t="n">
        <f aca="false">'DCF Base Case'!$B$2*(1+B37)^2*$I37-'DCF Base Case'!$B$2*(1+B37)^1*B37*'DCF Base Case'!$B$4</f>
        <v>23.2651967433505</v>
      </c>
      <c r="L37" s="24" t="n">
        <f aca="false">'DCF Base Case'!$B$2*(1+B37)^3*$I37-'DCF Base Case'!$B$2*(1+B37)^2*B37*'DCF Base Case'!$B$4</f>
        <v>25.8246417919002</v>
      </c>
      <c r="M37" s="24" t="n">
        <f aca="false">'DCF Base Case'!$B$2*(1+B37)^4*$I37-'DCF Base Case'!$B$2*(1+B37)^3*B37*'DCF Base Case'!$B$4</f>
        <v>28.6656558737492</v>
      </c>
      <c r="N37" s="24" t="n">
        <f aca="false">'DCF Base Case'!$B$2*(1+B37)^5*$I37-'DCF Base Case'!$B$2*(1+B37)^4*B37*'DCF Base Case'!$B$4</f>
        <v>31.8192148914895</v>
      </c>
      <c r="O37" s="24" t="n">
        <f aca="false">J37/(1+H37)^1+K37/(1+H37)^2+L37/(1+H37)^3+M37/(1+H37)^4+N37/(1+H37)^5</f>
        <v>101.048529497935</v>
      </c>
      <c r="P37" s="24" t="n">
        <f aca="false">N37*(1+F37)/(H37-F37)</f>
        <v>481.530019229549</v>
      </c>
      <c r="Q37" s="24" t="n">
        <f aca="false">O37+P37/(1+H37)^5</f>
        <v>420.791076751641</v>
      </c>
      <c r="R37" s="24" t="n">
        <f aca="false">Q37-'DCF Base Case'!$B$5</f>
        <v>235.791076751641</v>
      </c>
      <c r="S37" s="32" t="n">
        <f aca="false">R37/'DCF Base Case'!$B$6</f>
        <v>9.43164307006566</v>
      </c>
    </row>
    <row r="38" customFormat="false" ht="15" hidden="false" customHeight="true" outlineLevel="0" collapsed="false">
      <c r="A38" s="6" t="n">
        <v>37</v>
      </c>
      <c r="B38" s="30" t="n">
        <v>0.101578087121815</v>
      </c>
      <c r="C38" s="30" t="n">
        <v>0.442705898915282</v>
      </c>
      <c r="D38" s="30" t="n">
        <v>0.0833004375282511</v>
      </c>
      <c r="E38" s="30" t="n">
        <v>0.263443663502642</v>
      </c>
      <c r="F38" s="30" t="n">
        <v>0.0184853330318741</v>
      </c>
      <c r="G38" s="30" t="n">
        <v>0.170753825238816</v>
      </c>
      <c r="H38" s="31" t="n">
        <f aca="false">MAX(D38,F38+0.015)</f>
        <v>0.0833004375282511</v>
      </c>
      <c r="I38" s="25" t="n">
        <f aca="false">(C38-'DCF Base Case'!$B$3)*(1-E38)+'DCF Base Case'!$B$3-G38</f>
        <v>0.189571686067337</v>
      </c>
      <c r="J38" s="24" t="n">
        <f aca="false">'DCF Base Case'!$B$2*(1+B38)^1*$I38-'DCF Base Case'!$B$2*(1+B38)^0*B38*'DCF Base Case'!$B$4</f>
        <v>29.8381975410447</v>
      </c>
      <c r="K38" s="24" t="n">
        <f aca="false">'DCF Base Case'!$B$2*(1+B38)^2*$I38-'DCF Base Case'!$B$2*(1+B38)^1*B38*'DCF Base Case'!$B$4</f>
        <v>32.8691045704269</v>
      </c>
      <c r="L38" s="24" t="n">
        <f aca="false">'DCF Base Case'!$B$2*(1+B38)^3*$I38-'DCF Base Case'!$B$2*(1+B38)^2*B38*'DCF Base Case'!$B$4</f>
        <v>36.2078853380978</v>
      </c>
      <c r="M38" s="24" t="n">
        <f aca="false">'DCF Base Case'!$B$2*(1+B38)^4*$I38-'DCF Base Case'!$B$2*(1+B38)^3*B38*'DCF Base Case'!$B$4</f>
        <v>39.8858130694678</v>
      </c>
      <c r="N38" s="24" t="n">
        <f aca="false">'DCF Base Case'!$B$2*(1+B38)^5*$I38-'DCF Base Case'!$B$2*(1+B38)^4*B38*'DCF Base Case'!$B$4</f>
        <v>43.9373376643626</v>
      </c>
      <c r="O38" s="24" t="n">
        <f aca="false">J38/(1+H38)^1+K38/(1+H38)^2+L38/(1+H38)^3+M38/(1+H38)^4+N38/(1+H38)^5</f>
        <v>142.445252502918</v>
      </c>
      <c r="P38" s="24" t="n">
        <f aca="false">N38*(1+F38)/(H38-F38)</f>
        <v>690.418295724936</v>
      </c>
      <c r="Q38" s="24" t="n">
        <f aca="false">O38+P38/(1+H38)^5</f>
        <v>605.217918032681</v>
      </c>
      <c r="R38" s="24" t="n">
        <f aca="false">Q38-'DCF Base Case'!$B$5</f>
        <v>420.217918032681</v>
      </c>
      <c r="S38" s="32" t="n">
        <f aca="false">R38/'DCF Base Case'!$B$6</f>
        <v>16.8087167213072</v>
      </c>
    </row>
    <row r="39" customFormat="false" ht="15" hidden="false" customHeight="true" outlineLevel="0" collapsed="false">
      <c r="A39" s="6" t="n">
        <v>38</v>
      </c>
      <c r="B39" s="30" t="n">
        <v>0.0936361260756763</v>
      </c>
      <c r="C39" s="30" t="n">
        <v>0.391941378296859</v>
      </c>
      <c r="D39" s="30" t="n">
        <v>0.0859953875979066</v>
      </c>
      <c r="E39" s="30" t="n">
        <v>0.286310359911926</v>
      </c>
      <c r="F39" s="30" t="n">
        <v>0.0266192699602676</v>
      </c>
      <c r="G39" s="30" t="n">
        <v>0.206523420968096</v>
      </c>
      <c r="H39" s="31" t="n">
        <f aca="false">MAX(D39,F39+0.015)</f>
        <v>0.0859953875979066</v>
      </c>
      <c r="I39" s="25" t="n">
        <f aca="false">(C39-'DCF Base Case'!$B$3)*(1-E39)+'DCF Base Case'!$B$3-G39</f>
        <v>0.110421427032763</v>
      </c>
      <c r="J39" s="24" t="n">
        <f aca="false">'DCF Base Case'!$B$2*(1+B39)^1*$I39-'DCF Base Case'!$B$2*(1+B39)^0*B39*'DCF Base Case'!$B$4</f>
        <v>17.1030077974704</v>
      </c>
      <c r="K39" s="24" t="n">
        <f aca="false">'DCF Base Case'!$B$2*(1+B39)^2*$I39-'DCF Base Case'!$B$2*(1+B39)^1*B39*'DCF Base Case'!$B$4</f>
        <v>18.7044671918676</v>
      </c>
      <c r="L39" s="24" t="n">
        <f aca="false">'DCF Base Case'!$B$2*(1+B39)^3*$I39-'DCF Base Case'!$B$2*(1+B39)^2*B39*'DCF Base Case'!$B$4</f>
        <v>20.4558810400237</v>
      </c>
      <c r="M39" s="24" t="n">
        <f aca="false">'DCF Base Case'!$B$2*(1+B39)^4*$I39-'DCF Base Case'!$B$2*(1+B39)^3*B39*'DCF Base Case'!$B$4</f>
        <v>22.3712904960764</v>
      </c>
      <c r="N39" s="24" t="n">
        <f aca="false">'DCF Base Case'!$B$2*(1+B39)^5*$I39-'DCF Base Case'!$B$2*(1+B39)^4*B39*'DCF Base Case'!$B$4</f>
        <v>24.4660514734426</v>
      </c>
      <c r="O39" s="24" t="n">
        <f aca="false">J39/(1+H39)^1+K39/(1+H39)^2+L39/(1+H39)^3+M39/(1+H39)^4+N39/(1+H39)^5</f>
        <v>79.8593183830397</v>
      </c>
      <c r="P39" s="24" t="n">
        <f aca="false">N39*(1+F39)/(H39-F39)</f>
        <v>423.020583052636</v>
      </c>
      <c r="Q39" s="24" t="n">
        <f aca="false">O39+P39/(1+H39)^5</f>
        <v>359.90030291462</v>
      </c>
      <c r="R39" s="24" t="n">
        <f aca="false">Q39-'DCF Base Case'!$B$5</f>
        <v>174.90030291462</v>
      </c>
      <c r="S39" s="32" t="n">
        <f aca="false">R39/'DCF Base Case'!$B$6</f>
        <v>6.99601211658478</v>
      </c>
    </row>
    <row r="40" customFormat="false" ht="15" hidden="false" customHeight="true" outlineLevel="0" collapsed="false">
      <c r="A40" s="6" t="n">
        <v>39</v>
      </c>
      <c r="B40" s="30" t="n">
        <v>0.0713657603059058</v>
      </c>
      <c r="C40" s="30" t="n">
        <v>0.40135731971434</v>
      </c>
      <c r="D40" s="30" t="n">
        <v>0.068902137979793</v>
      </c>
      <c r="E40" s="30" t="n">
        <v>0.265417779057693</v>
      </c>
      <c r="F40" s="30" t="n">
        <v>0.0204736324448631</v>
      </c>
      <c r="G40" s="30" t="n">
        <v>0.193853837598197</v>
      </c>
      <c r="H40" s="31" t="n">
        <f aca="false">MAX(D40,F40+0.015)</f>
        <v>0.068902137979793</v>
      </c>
      <c r="I40" s="25" t="n">
        <f aca="false">(C40-'DCF Base Case'!$B$3)*(1-E40)+'DCF Base Case'!$B$3-G40</f>
        <v>0.135480424986515</v>
      </c>
      <c r="J40" s="24" t="n">
        <f aca="false">'DCF Base Case'!$B$2*(1+B40)^1*$I40-'DCF Base Case'!$B$2*(1+B40)^0*B40*'DCF Base Case'!$B$4</f>
        <v>20.7361767783948</v>
      </c>
      <c r="K40" s="24" t="n">
        <f aca="false">'DCF Base Case'!$B$2*(1+B40)^2*$I40-'DCF Base Case'!$B$2*(1+B40)^1*B40*'DCF Base Case'!$B$4</f>
        <v>22.2160298000226</v>
      </c>
      <c r="L40" s="24" t="n">
        <f aca="false">'DCF Base Case'!$B$2*(1+B40)^3*$I40-'DCF Base Case'!$B$2*(1+B40)^2*B40*'DCF Base Case'!$B$4</f>
        <v>23.8014936576798</v>
      </c>
      <c r="M40" s="24" t="n">
        <f aca="false">'DCF Base Case'!$B$2*(1+B40)^4*$I40-'DCF Base Case'!$B$2*(1+B40)^3*B40*'DCF Base Case'!$B$4</f>
        <v>25.5001053489764</v>
      </c>
      <c r="N40" s="24" t="n">
        <f aca="false">'DCF Base Case'!$B$2*(1+B40)^5*$I40-'DCF Base Case'!$B$2*(1+B40)^4*B40*'DCF Base Case'!$B$4</f>
        <v>27.3199397550867</v>
      </c>
      <c r="O40" s="24" t="n">
        <f aca="false">J40/(1+H40)^1+K40/(1+H40)^2+L40/(1+H40)^3+M40/(1+H40)^4+N40/(1+H40)^5</f>
        <v>97.4457002572487</v>
      </c>
      <c r="P40" s="24" t="n">
        <f aca="false">N40*(1+F40)/(H40-F40)</f>
        <v>575.679093378997</v>
      </c>
      <c r="Q40" s="24" t="n">
        <f aca="false">O40+P40/(1+H40)^5</f>
        <v>510.009130224662</v>
      </c>
      <c r="R40" s="24" t="n">
        <f aca="false">Q40-'DCF Base Case'!$B$5</f>
        <v>325.009130224662</v>
      </c>
      <c r="S40" s="32" t="n">
        <f aca="false">R40/'DCF Base Case'!$B$6</f>
        <v>13.0003652089865</v>
      </c>
    </row>
    <row r="41" customFormat="false" ht="15" hidden="false" customHeight="true" outlineLevel="0" collapsed="false">
      <c r="A41" s="6" t="n">
        <v>40</v>
      </c>
      <c r="B41" s="30" t="n">
        <v>0.074130279094478</v>
      </c>
      <c r="C41" s="30" t="n">
        <v>0.394003878623117</v>
      </c>
      <c r="D41" s="30" t="n">
        <v>0.0613798206728748</v>
      </c>
      <c r="E41" s="30" t="n">
        <v>0.275236160685792</v>
      </c>
      <c r="F41" s="30" t="n">
        <v>0.0150203749337643</v>
      </c>
      <c r="G41" s="30" t="n">
        <v>0.154539850995256</v>
      </c>
      <c r="H41" s="31" t="n">
        <f aca="false">MAX(D41,F41+0.015)</f>
        <v>0.0613798206728748</v>
      </c>
      <c r="I41" s="25" t="n">
        <f aca="false">(C41-'DCF Base Case'!$B$3)*(1-E41)+'DCF Base Case'!$B$3-G41</f>
        <v>0.166800613669476</v>
      </c>
      <c r="J41" s="24" t="n">
        <f aca="false">'DCF Base Case'!$B$2*(1+B41)^1*$I41-'DCF Base Case'!$B$2*(1+B41)^0*B41*'DCF Base Case'!$B$4</f>
        <v>25.6565437944581</v>
      </c>
      <c r="K41" s="24" t="n">
        <f aca="false">'DCF Base Case'!$B$2*(1+B41)^2*$I41-'DCF Base Case'!$B$2*(1+B41)^1*B41*'DCF Base Case'!$B$4</f>
        <v>27.558470546541</v>
      </c>
      <c r="L41" s="24" t="n">
        <f aca="false">'DCF Base Case'!$B$2*(1+B41)^3*$I41-'DCF Base Case'!$B$2*(1+B41)^2*B41*'DCF Base Case'!$B$4</f>
        <v>29.6013876595731</v>
      </c>
      <c r="M41" s="24" t="n">
        <f aca="false">'DCF Base Case'!$B$2*(1+B41)^4*$I41-'DCF Base Case'!$B$2*(1+B41)^3*B41*'DCF Base Case'!$B$4</f>
        <v>31.795746788361</v>
      </c>
      <c r="N41" s="24" t="n">
        <f aca="false">'DCF Base Case'!$B$2*(1+B41)^5*$I41-'DCF Base Case'!$B$2*(1+B41)^4*B41*'DCF Base Case'!$B$4</f>
        <v>34.1527743717996</v>
      </c>
      <c r="O41" s="24" t="n">
        <f aca="false">J41/(1+H41)^1+K41/(1+H41)^2+L41/(1+H41)^3+M41/(1+H41)^4+N41/(1+H41)^5</f>
        <v>123.803101277533</v>
      </c>
      <c r="P41" s="24" t="n">
        <f aca="false">N41*(1+F41)/(H41-F41)</f>
        <v>747.760489695566</v>
      </c>
      <c r="Q41" s="24" t="n">
        <f aca="false">O41+P41/(1+H41)^5</f>
        <v>678.950593147124</v>
      </c>
      <c r="R41" s="24" t="n">
        <f aca="false">Q41-'DCF Base Case'!$B$5</f>
        <v>493.950593147124</v>
      </c>
      <c r="S41" s="32" t="n">
        <f aca="false">R41/'DCF Base Case'!$B$6</f>
        <v>19.7580237258849</v>
      </c>
    </row>
    <row r="42" customFormat="false" ht="15" hidden="false" customHeight="true" outlineLevel="0" collapsed="false">
      <c r="A42" s="6" t="n">
        <v>41</v>
      </c>
      <c r="B42" s="30" t="n">
        <v>0.0708448643245204</v>
      </c>
      <c r="C42" s="30" t="n">
        <v>0.405585986144558</v>
      </c>
      <c r="D42" s="30" t="n">
        <v>0.0656649876950771</v>
      </c>
      <c r="E42" s="30" t="n">
        <v>0.252513997056166</v>
      </c>
      <c r="F42" s="30" t="n">
        <v>0.0260231894163627</v>
      </c>
      <c r="G42" s="30" t="n">
        <v>0.139897087114442</v>
      </c>
      <c r="H42" s="31" t="n">
        <f aca="false">MAX(D42,F42+0.015)</f>
        <v>0.0656649876950771</v>
      </c>
      <c r="I42" s="25" t="n">
        <f aca="false">(C42-'DCF Base Case'!$B$3)*(1-E42)+'DCF Base Case'!$B$3-G42</f>
        <v>0.196099580136088</v>
      </c>
      <c r="J42" s="24" t="n">
        <f aca="false">'DCF Base Case'!$B$2*(1+B42)^1*$I42-'DCF Base Case'!$B$2*(1+B42)^0*B42*'DCF Base Case'!$B$4</f>
        <v>30.1406979415025</v>
      </c>
      <c r="K42" s="24" t="n">
        <f aca="false">'DCF Base Case'!$B$2*(1+B42)^2*$I42-'DCF Base Case'!$B$2*(1+B42)^1*B42*'DCF Base Case'!$B$4</f>
        <v>32.2760115978146</v>
      </c>
      <c r="L42" s="24" t="n">
        <f aca="false">'DCF Base Case'!$B$2*(1+B42)^3*$I42-'DCF Base Case'!$B$2*(1+B42)^2*B42*'DCF Base Case'!$B$4</f>
        <v>34.5626012603984</v>
      </c>
      <c r="M42" s="24" t="n">
        <f aca="false">'DCF Base Case'!$B$2*(1+B42)^4*$I42-'DCF Base Case'!$B$2*(1+B42)^3*B42*'DCF Base Case'!$B$4</f>
        <v>37.0111840573938</v>
      </c>
      <c r="N42" s="24" t="n">
        <f aca="false">'DCF Base Case'!$B$2*(1+B42)^5*$I42-'DCF Base Case'!$B$2*(1+B42)^4*B42*'DCF Base Case'!$B$4</f>
        <v>39.6332363704297</v>
      </c>
      <c r="O42" s="24" t="n">
        <f aca="false">J42/(1+H42)^1+K42/(1+H42)^2+L42/(1+H42)^3+M42/(1+H42)^4+N42/(1+H42)^5</f>
        <v>142.798795606977</v>
      </c>
      <c r="P42" s="24" t="n">
        <f aca="false">N42*(1+F42)/(H42-F42)</f>
        <v>1025.80158704646</v>
      </c>
      <c r="Q42" s="24" t="n">
        <f aca="false">O42+P42/(1+H42)^5</f>
        <v>889.178600590699</v>
      </c>
      <c r="R42" s="24" t="n">
        <f aca="false">Q42-'DCF Base Case'!$B$5</f>
        <v>704.178600590699</v>
      </c>
      <c r="S42" s="32" t="n">
        <f aca="false">R42/'DCF Base Case'!$B$6</f>
        <v>28.167144023628</v>
      </c>
    </row>
    <row r="43" customFormat="false" ht="15" hidden="false" customHeight="true" outlineLevel="0" collapsed="false">
      <c r="A43" s="6" t="n">
        <v>42</v>
      </c>
      <c r="B43" s="30" t="n">
        <v>0.066112024812016</v>
      </c>
      <c r="C43" s="30" t="n">
        <v>0.440959488164861</v>
      </c>
      <c r="D43" s="30" t="n">
        <v>0.116955738861644</v>
      </c>
      <c r="E43" s="30" t="n">
        <v>0.256294422418076</v>
      </c>
      <c r="F43" s="30" t="n">
        <v>0.0178968453053838</v>
      </c>
      <c r="G43" s="30" t="n">
        <v>0.173116568193408</v>
      </c>
      <c r="H43" s="31" t="n">
        <f aca="false">MAX(D43,F43+0.015)</f>
        <v>0.116955738861644</v>
      </c>
      <c r="I43" s="25" t="n">
        <f aca="false">(C43-'DCF Base Case'!$B$3)*(1-E43)+'DCF Base Case'!$B$3-G43</f>
        <v>0.188145737556819</v>
      </c>
      <c r="J43" s="24" t="n">
        <f aca="false">'DCF Base Case'!$B$2*(1+B43)^1*$I43-'DCF Base Case'!$B$2*(1+B43)^0*B43*'DCF Base Case'!$B$4</f>
        <v>28.7971555099031</v>
      </c>
      <c r="K43" s="24" t="n">
        <f aca="false">'DCF Base Case'!$B$2*(1+B43)^2*$I43-'DCF Base Case'!$B$2*(1+B43)^1*B43*'DCF Base Case'!$B$4</f>
        <v>30.7009937694893</v>
      </c>
      <c r="L43" s="24" t="n">
        <f aca="false">'DCF Base Case'!$B$2*(1+B43)^3*$I43-'DCF Base Case'!$B$2*(1+B43)^2*B43*'DCF Base Case'!$B$4</f>
        <v>32.7306986313313</v>
      </c>
      <c r="M43" s="24" t="n">
        <f aca="false">'DCF Base Case'!$B$2*(1+B43)^4*$I43-'DCF Base Case'!$B$2*(1+B43)^3*B43*'DCF Base Case'!$B$4</f>
        <v>34.8945913913605</v>
      </c>
      <c r="N43" s="24" t="n">
        <f aca="false">'DCF Base Case'!$B$2*(1+B43)^5*$I43-'DCF Base Case'!$B$2*(1+B43)^4*B43*'DCF Base Case'!$B$4</f>
        <v>37.2015434832313</v>
      </c>
      <c r="O43" s="24" t="n">
        <f aca="false">J43/(1+H43)^1+K43/(1+H43)^2+L43/(1+H43)^3+M43/(1+H43)^4+N43/(1+H43)^5</f>
        <v>117.69542343972</v>
      </c>
      <c r="P43" s="24" t="n">
        <f aca="false">N43*(1+F43)/(H43-F43)</f>
        <v>382.270913722306</v>
      </c>
      <c r="Q43" s="24" t="n">
        <f aca="false">O43+P43/(1+H43)^5</f>
        <v>337.578312907887</v>
      </c>
      <c r="R43" s="24" t="n">
        <f aca="false">Q43-'DCF Base Case'!$B$5</f>
        <v>152.578312907887</v>
      </c>
      <c r="S43" s="32" t="n">
        <f aca="false">R43/'DCF Base Case'!$B$6</f>
        <v>6.10313251631546</v>
      </c>
    </row>
    <row r="44" customFormat="false" ht="15" hidden="false" customHeight="true" outlineLevel="0" collapsed="false">
      <c r="A44" s="6" t="n">
        <v>43</v>
      </c>
      <c r="B44" s="30" t="n">
        <v>0.125520426182776</v>
      </c>
      <c r="C44" s="30" t="n">
        <v>0.407416068119325</v>
      </c>
      <c r="D44" s="30" t="n">
        <v>0.0823019436946368</v>
      </c>
      <c r="E44" s="30" t="n">
        <v>0.303492471853102</v>
      </c>
      <c r="F44" s="30" t="n">
        <v>0.0209001948707527</v>
      </c>
      <c r="G44" s="30" t="n">
        <v>0.157597895452717</v>
      </c>
      <c r="H44" s="31" t="n">
        <f aca="false">MAX(D44,F44+0.015)</f>
        <v>0.0823019436946368</v>
      </c>
      <c r="I44" s="25" t="n">
        <f aca="false">(C44-'DCF Base Case'!$B$3)*(1-E44)+'DCF Base Case'!$B$3-G44</f>
        <v>0.165624484421306</v>
      </c>
      <c r="J44" s="24" t="n">
        <f aca="false">'DCF Base Case'!$B$2*(1+B44)^1*$I44-'DCF Base Case'!$B$2*(1+B44)^0*B44*'DCF Base Case'!$B$4</f>
        <v>26.4839784884696</v>
      </c>
      <c r="K44" s="24" t="n">
        <f aca="false">'DCF Base Case'!$B$2*(1+B44)^2*$I44-'DCF Base Case'!$B$2*(1+B44)^1*B44*'DCF Base Case'!$B$4</f>
        <v>29.8082587553578</v>
      </c>
      <c r="L44" s="24" t="n">
        <f aca="false">'DCF Base Case'!$B$2*(1+B44)^3*$I44-'DCF Base Case'!$B$2*(1+B44)^2*B44*'DCF Base Case'!$B$4</f>
        <v>33.5498040980968</v>
      </c>
      <c r="M44" s="24" t="n">
        <f aca="false">'DCF Base Case'!$B$2*(1+B44)^4*$I44-'DCF Base Case'!$B$2*(1+B44)^3*B44*'DCF Base Case'!$B$4</f>
        <v>37.7609898068385</v>
      </c>
      <c r="N44" s="24" t="n">
        <f aca="false">'DCF Base Case'!$B$2*(1+B44)^5*$I44-'DCF Base Case'!$B$2*(1+B44)^4*B44*'DCF Base Case'!$B$4</f>
        <v>42.5007653404764</v>
      </c>
      <c r="O44" s="24" t="n">
        <f aca="false">J44/(1+H44)^1+K44/(1+H44)^2+L44/(1+H44)^3+M44/(1+H44)^4+N44/(1+H44)^5</f>
        <v>132.519653245369</v>
      </c>
      <c r="P44" s="24" t="n">
        <f aca="false">N44*(1+F44)/(H44-F44)</f>
        <v>706.641756128141</v>
      </c>
      <c r="Q44" s="24" t="n">
        <f aca="false">O44+P44/(1+H44)^5</f>
        <v>608.355443646772</v>
      </c>
      <c r="R44" s="24" t="n">
        <f aca="false">Q44-'DCF Base Case'!$B$5</f>
        <v>423.355443646772</v>
      </c>
      <c r="S44" s="32" t="n">
        <f aca="false">R44/'DCF Base Case'!$B$6</f>
        <v>16.9342177458709</v>
      </c>
    </row>
    <row r="45" customFormat="false" ht="15" hidden="false" customHeight="true" outlineLevel="0" collapsed="false">
      <c r="A45" s="6" t="n">
        <v>44</v>
      </c>
      <c r="B45" s="30" t="n">
        <v>0.0872636902778642</v>
      </c>
      <c r="C45" s="30" t="n">
        <v>0.38336351117942</v>
      </c>
      <c r="D45" s="30" t="n">
        <v>0.0823800888162787</v>
      </c>
      <c r="E45" s="30" t="n">
        <v>0.272606246725087</v>
      </c>
      <c r="F45" s="30" t="n">
        <v>0.0201803929127037</v>
      </c>
      <c r="G45" s="30" t="n">
        <v>0.154019725588295</v>
      </c>
      <c r="H45" s="31" t="n">
        <f aca="false">MAX(D45,F45+0.015)</f>
        <v>0.0823800888162787</v>
      </c>
      <c r="I45" s="25" t="n">
        <f aca="false">(C45-'DCF Base Case'!$B$3)*(1-E45)+'DCF Base Case'!$B$3-G45</f>
        <v>0.160275309751414</v>
      </c>
      <c r="J45" s="24" t="n">
        <f aca="false">'DCF Base Case'!$B$2*(1+B45)^1*$I45-'DCF Base Case'!$B$2*(1+B45)^0*B45*'DCF Base Case'!$B$4</f>
        <v>24.8883240347</v>
      </c>
      <c r="K45" s="24" t="n">
        <f aca="false">'DCF Base Case'!$B$2*(1+B45)^2*$I45-'DCF Base Case'!$B$2*(1+B45)^1*B45*'DCF Base Case'!$B$4</f>
        <v>27.0601710347992</v>
      </c>
      <c r="L45" s="24" t="n">
        <f aca="false">'DCF Base Case'!$B$2*(1+B45)^3*$I45-'DCF Base Case'!$B$2*(1+B45)^2*B45*'DCF Base Case'!$B$4</f>
        <v>29.421541418846</v>
      </c>
      <c r="M45" s="24" t="n">
        <f aca="false">'DCF Base Case'!$B$2*(1+B45)^4*$I45-'DCF Base Case'!$B$2*(1+B45)^3*B45*'DCF Base Case'!$B$4</f>
        <v>31.9889736967175</v>
      </c>
      <c r="N45" s="24" t="n">
        <f aca="false">'DCF Base Case'!$B$2*(1+B45)^5*$I45-'DCF Base Case'!$B$2*(1+B45)^4*B45*'DCF Base Case'!$B$4</f>
        <v>34.7804495896946</v>
      </c>
      <c r="O45" s="24" t="n">
        <f aca="false">J45/(1+H45)^1+K45/(1+H45)^2+L45/(1+H45)^3+M45/(1+H45)^4+N45/(1+H45)^5</f>
        <v>116.012515632211</v>
      </c>
      <c r="P45" s="24" t="n">
        <f aca="false">N45*(1+F45)/(H45-F45)</f>
        <v>570.458299074349</v>
      </c>
      <c r="Q45" s="24" t="n">
        <f aca="false">O45+P45/(1+H45)^5</f>
        <v>500.006950410239</v>
      </c>
      <c r="R45" s="24" t="n">
        <f aca="false">Q45-'DCF Base Case'!$B$5</f>
        <v>315.006950410239</v>
      </c>
      <c r="S45" s="32" t="n">
        <f aca="false">R45/'DCF Base Case'!$B$6</f>
        <v>12.6002780164096</v>
      </c>
    </row>
    <row r="46" customFormat="false" ht="15" hidden="false" customHeight="true" outlineLevel="0" collapsed="false">
      <c r="A46" s="6" t="n">
        <v>45</v>
      </c>
      <c r="B46" s="30" t="n">
        <v>0.100085835318527</v>
      </c>
      <c r="C46" s="30" t="n">
        <v>0.436960554304631</v>
      </c>
      <c r="D46" s="30" t="n">
        <v>0.0867097226043531</v>
      </c>
      <c r="E46" s="30" t="n">
        <v>0.290092957706006</v>
      </c>
      <c r="F46" s="30" t="n">
        <v>0.0195503554061539</v>
      </c>
      <c r="G46" s="30" t="n">
        <v>0.165229588351317</v>
      </c>
      <c r="H46" s="31" t="n">
        <f aca="false">MAX(D46,F46+0.015)</f>
        <v>0.0867097226043531</v>
      </c>
      <c r="I46" s="25" t="n">
        <f aca="false">(C46-'DCF Base Case'!$B$3)*(1-E46)+'DCF Base Case'!$B$3-G46</f>
        <v>0.182683870856009</v>
      </c>
      <c r="J46" s="24" t="n">
        <f aca="false">'DCF Base Case'!$B$2*(1+B46)^1*$I46-'DCF Base Case'!$B$2*(1+B46)^0*B46*'DCF Base Case'!$B$4</f>
        <v>28.7049777234932</v>
      </c>
      <c r="K46" s="24" t="n">
        <f aca="false">'DCF Base Case'!$B$2*(1+B46)^2*$I46-'DCF Base Case'!$B$2*(1+B46)^1*B46*'DCF Base Case'!$B$4</f>
        <v>31.5779393967488</v>
      </c>
      <c r="L46" s="24" t="n">
        <f aca="false">'DCF Base Case'!$B$2*(1+B46)^3*$I46-'DCF Base Case'!$B$2*(1+B46)^2*B46*'DCF Base Case'!$B$4</f>
        <v>34.7384438389102</v>
      </c>
      <c r="M46" s="24" t="n">
        <f aca="false">'DCF Base Case'!$B$2*(1+B46)^4*$I46-'DCF Base Case'!$B$2*(1+B46)^3*B46*'DCF Base Case'!$B$4</f>
        <v>38.2152700081933</v>
      </c>
      <c r="N46" s="24" t="n">
        <f aca="false">'DCF Base Case'!$B$2*(1+B46)^5*$I46-'DCF Base Case'!$B$2*(1+B46)^4*B46*'DCF Base Case'!$B$4</f>
        <v>42.0400772288863</v>
      </c>
      <c r="O46" s="24" t="n">
        <f aca="false">J46/(1+H46)^1+K46/(1+H46)^2+L46/(1+H46)^3+M46/(1+H46)^4+N46/(1+H46)^5</f>
        <v>135.364474549648</v>
      </c>
      <c r="P46" s="24" t="n">
        <f aca="false">N46*(1+F46)/(H46-F46)</f>
        <v>638.212917544621</v>
      </c>
      <c r="Q46" s="24" t="n">
        <f aca="false">O46+P46/(1+H46)^5</f>
        <v>556.476677905888</v>
      </c>
      <c r="R46" s="24" t="n">
        <f aca="false">Q46-'DCF Base Case'!$B$5</f>
        <v>371.476677905888</v>
      </c>
      <c r="S46" s="32" t="n">
        <f aca="false">R46/'DCF Base Case'!$B$6</f>
        <v>14.8590671162355</v>
      </c>
    </row>
    <row r="47" customFormat="false" ht="15" hidden="false" customHeight="true" outlineLevel="0" collapsed="false">
      <c r="A47" s="6" t="n">
        <v>46</v>
      </c>
      <c r="B47" s="30" t="n">
        <v>0.0742989157489184</v>
      </c>
      <c r="C47" s="30" t="n">
        <v>0.415723610904372</v>
      </c>
      <c r="D47" s="30" t="n">
        <v>0.0839298474174516</v>
      </c>
      <c r="E47" s="30" t="n">
        <v>0.336589035954036</v>
      </c>
      <c r="F47" s="30" t="n">
        <v>0.024745248464647</v>
      </c>
      <c r="G47" s="30" t="n">
        <v>0.17418700023101</v>
      </c>
      <c r="H47" s="31" t="n">
        <f aca="false">MAX(D47,F47+0.015)</f>
        <v>0.0839298474174516</v>
      </c>
      <c r="I47" s="25" t="n">
        <f aca="false">(C47-'DCF Base Case'!$B$3)*(1-E47)+'DCF Base Case'!$B$3-G47</f>
        <v>0.145365175929753</v>
      </c>
      <c r="J47" s="24" t="n">
        <f aca="false">'DCF Base Case'!$B$2*(1+B47)^1*$I47-'DCF Base Case'!$B$2*(1+B47)^0*B47*'DCF Base Case'!$B$4</f>
        <v>22.320819095395</v>
      </c>
      <c r="K47" s="24" t="n">
        <f aca="false">'DCF Base Case'!$B$2*(1+B47)^2*$I47-'DCF Base Case'!$B$2*(1+B47)^1*B47*'DCF Base Case'!$B$4</f>
        <v>23.9792317528106</v>
      </c>
      <c r="L47" s="24" t="n">
        <f aca="false">'DCF Base Case'!$B$2*(1+B47)^3*$I47-'DCF Base Case'!$B$2*(1+B47)^2*B47*'DCF Base Case'!$B$4</f>
        <v>25.7608626725365</v>
      </c>
      <c r="M47" s="24" t="n">
        <f aca="false">'DCF Base Case'!$B$2*(1+B47)^4*$I47-'DCF Base Case'!$B$2*(1+B47)^3*B47*'DCF Base Case'!$B$4</f>
        <v>27.6748668378627</v>
      </c>
      <c r="N47" s="24" t="n">
        <f aca="false">'DCF Base Case'!$B$2*(1+B47)^5*$I47-'DCF Base Case'!$B$2*(1+B47)^4*B47*'DCF Base Case'!$B$4</f>
        <v>29.7310794374116</v>
      </c>
      <c r="O47" s="24" t="n">
        <f aca="false">J47/(1+H47)^1+K47/(1+H47)^2+L47/(1+H47)^3+M47/(1+H47)^4+N47/(1+H47)^5</f>
        <v>101.148972055434</v>
      </c>
      <c r="P47" s="24" t="n">
        <f aca="false">N47*(1+F47)/(H47-F47)</f>
        <v>514.775514648795</v>
      </c>
      <c r="Q47" s="24" t="n">
        <f aca="false">O47+P47/(1+H47)^5</f>
        <v>445.191400804686</v>
      </c>
      <c r="R47" s="24" t="n">
        <f aca="false">Q47-'DCF Base Case'!$B$5</f>
        <v>260.191400804686</v>
      </c>
      <c r="S47" s="32" t="n">
        <f aca="false">R47/'DCF Base Case'!$B$6</f>
        <v>10.4076560321874</v>
      </c>
    </row>
    <row r="48" customFormat="false" ht="15" hidden="false" customHeight="true" outlineLevel="0" collapsed="false">
      <c r="A48" s="6" t="n">
        <v>47</v>
      </c>
      <c r="B48" s="30" t="n">
        <v>0.0733702441495468</v>
      </c>
      <c r="C48" s="30" t="n">
        <v>0.3839056470843</v>
      </c>
      <c r="D48" s="30" t="n">
        <v>0.0981025724839775</v>
      </c>
      <c r="E48" s="30" t="n">
        <v>0.287357505060783</v>
      </c>
      <c r="F48" s="30" t="n">
        <v>0.0210643488151382</v>
      </c>
      <c r="G48" s="30" t="n">
        <v>0.132732396617182</v>
      </c>
      <c r="H48" s="31" t="n">
        <f aca="false">MAX(D48,F48+0.015)</f>
        <v>0.0981025724839775</v>
      </c>
      <c r="I48" s="25" t="n">
        <f aca="false">(C48-'DCF Base Case'!$B$3)*(1-E48)+'DCF Base Case'!$B$3-G48</f>
        <v>0.17821155720013</v>
      </c>
      <c r="J48" s="24" t="n">
        <f aca="false">'DCF Base Case'!$B$2*(1+B48)^1*$I48-'DCF Base Case'!$B$2*(1+B48)^0*B48*'DCF Base Case'!$B$4</f>
        <v>27.4174519239648</v>
      </c>
      <c r="K48" s="24" t="n">
        <f aca="false">'DCF Base Case'!$B$2*(1+B48)^2*$I48-'DCF Base Case'!$B$2*(1+B48)^1*B48*'DCF Base Case'!$B$4</f>
        <v>29.4290770655845</v>
      </c>
      <c r="L48" s="24" t="n">
        <f aca="false">'DCF Base Case'!$B$2*(1+B48)^3*$I48-'DCF Base Case'!$B$2*(1+B48)^2*B48*'DCF Base Case'!$B$4</f>
        <v>31.5882956349823</v>
      </c>
      <c r="M48" s="24" t="n">
        <f aca="false">'DCF Base Case'!$B$2*(1+B48)^4*$I48-'DCF Base Case'!$B$2*(1+B48)^3*B48*'DCF Base Case'!$B$4</f>
        <v>33.905936597989</v>
      </c>
      <c r="N48" s="24" t="n">
        <f aca="false">'DCF Base Case'!$B$2*(1+B48)^5*$I48-'DCF Base Case'!$B$2*(1+B48)^4*B48*'DCF Base Case'!$B$4</f>
        <v>36.3936234443025</v>
      </c>
      <c r="O48" s="24" t="n">
        <f aca="false">J48/(1+H48)^1+K48/(1+H48)^2+L48/(1+H48)^3+M48/(1+H48)^4+N48/(1+H48)^5</f>
        <v>119.341864792592</v>
      </c>
      <c r="P48" s="24" t="n">
        <f aca="false">N48*(1+F48)/(H48-F48)</f>
        <v>482.360958670582</v>
      </c>
      <c r="Q48" s="24" t="n">
        <f aca="false">O48+P48/(1+H48)^5</f>
        <v>421.446650355643</v>
      </c>
      <c r="R48" s="24" t="n">
        <f aca="false">Q48-'DCF Base Case'!$B$5</f>
        <v>236.446650355643</v>
      </c>
      <c r="S48" s="32" t="n">
        <f aca="false">R48/'DCF Base Case'!$B$6</f>
        <v>9.45786601422573</v>
      </c>
    </row>
    <row r="49" customFormat="false" ht="15" hidden="false" customHeight="true" outlineLevel="0" collapsed="false">
      <c r="A49" s="6" t="n">
        <v>48</v>
      </c>
      <c r="B49" s="30" t="n">
        <v>0.110263704055818</v>
      </c>
      <c r="C49" s="30" t="n">
        <v>0.429897337933737</v>
      </c>
      <c r="D49" s="30" t="n">
        <v>0.0727852624714408</v>
      </c>
      <c r="E49" s="30" t="n">
        <v>0.267868804601962</v>
      </c>
      <c r="F49" s="30" t="n">
        <v>0.020290640937715</v>
      </c>
      <c r="G49" s="30" t="n">
        <v>0.16638591369923</v>
      </c>
      <c r="H49" s="31" t="n">
        <f aca="false">MAX(D49,F49+0.015)</f>
        <v>0.0727852624714408</v>
      </c>
      <c r="I49" s="25" t="n">
        <f aca="false">(C49-'DCF Base Case'!$B$3)*(1-E49)+'DCF Base Case'!$B$3-G49</f>
        <v>0.183178282818886</v>
      </c>
      <c r="J49" s="24" t="n">
        <f aca="false">'DCF Base Case'!$B$2*(1+B49)^1*$I49-'DCF Base Case'!$B$2*(1+B49)^0*B49*'DCF Base Case'!$B$4</f>
        <v>29.0099017111939</v>
      </c>
      <c r="K49" s="24" t="n">
        <f aca="false">'DCF Base Case'!$B$2*(1+B49)^2*$I49-'DCF Base Case'!$B$2*(1+B49)^1*B49*'DCF Base Case'!$B$4</f>
        <v>32.2086409281654</v>
      </c>
      <c r="L49" s="24" t="n">
        <f aca="false">'DCF Base Case'!$B$2*(1+B49)^3*$I49-'DCF Base Case'!$B$2*(1+B49)^2*B49*'DCF Base Case'!$B$4</f>
        <v>35.7600849795087</v>
      </c>
      <c r="M49" s="24" t="n">
        <f aca="false">'DCF Base Case'!$B$2*(1+B49)^4*$I49-'DCF Base Case'!$B$2*(1+B49)^3*B49*'DCF Base Case'!$B$4</f>
        <v>39.7031244067002</v>
      </c>
      <c r="N49" s="24" t="n">
        <f aca="false">'DCF Base Case'!$B$2*(1+B49)^5*$I49-'DCF Base Case'!$B$2*(1+B49)^4*B49*'DCF Base Case'!$B$4</f>
        <v>44.0809379663719</v>
      </c>
      <c r="O49" s="24" t="n">
        <f aca="false">J49/(1+H49)^1+K49/(1+H49)^2+L49/(1+H49)^3+M49/(1+H49)^4+N49/(1+H49)^5</f>
        <v>144.991363017478</v>
      </c>
      <c r="P49" s="24" t="n">
        <f aca="false">N49*(1+F49)/(H49-F49)</f>
        <v>856.761457399026</v>
      </c>
      <c r="Q49" s="24" t="n">
        <f aca="false">O49+P49/(1+H49)^5</f>
        <v>747.961671902914</v>
      </c>
      <c r="R49" s="24" t="n">
        <f aca="false">Q49-'DCF Base Case'!$B$5</f>
        <v>562.961671902914</v>
      </c>
      <c r="S49" s="32" t="n">
        <f aca="false">R49/'DCF Base Case'!$B$6</f>
        <v>22.5184668761166</v>
      </c>
    </row>
    <row r="50" customFormat="false" ht="15" hidden="false" customHeight="true" outlineLevel="0" collapsed="false">
      <c r="A50" s="6" t="n">
        <v>49</v>
      </c>
      <c r="B50" s="30" t="n">
        <v>0.0838792588050332</v>
      </c>
      <c r="C50" s="30" t="n">
        <v>0.410262441115978</v>
      </c>
      <c r="D50" s="30" t="n">
        <v>0.0822282488397243</v>
      </c>
      <c r="E50" s="30" t="n">
        <v>0.284047143467689</v>
      </c>
      <c r="F50" s="30" t="n">
        <v>0.0244563999258745</v>
      </c>
      <c r="G50" s="30" t="n">
        <v>0.124531748053954</v>
      </c>
      <c r="H50" s="31" t="n">
        <f aca="false">MAX(D50,F50+0.015)</f>
        <v>0.0822282488397243</v>
      </c>
      <c r="I50" s="25" t="n">
        <f aca="false">(C50-'DCF Base Case'!$B$3)*(1-E50)+'DCF Base Case'!$B$3-G50</f>
        <v>0.206122947241749</v>
      </c>
      <c r="J50" s="24" t="n">
        <f aca="false">'DCF Base Case'!$B$2*(1+B50)^1*$I50-'DCF Base Case'!$B$2*(1+B50)^0*B50*'DCF Base Case'!$B$4</f>
        <v>32.029921379667</v>
      </c>
      <c r="K50" s="24" t="n">
        <f aca="false">'DCF Base Case'!$B$2*(1+B50)^2*$I50-'DCF Base Case'!$B$2*(1+B50)^1*B50*'DCF Base Case'!$B$4</f>
        <v>34.716567444577</v>
      </c>
      <c r="L50" s="24" t="n">
        <f aca="false">'DCF Base Case'!$B$2*(1+B50)^3*$I50-'DCF Base Case'!$B$2*(1+B50)^2*B50*'DCF Base Case'!$B$4</f>
        <v>37.628567390083</v>
      </c>
      <c r="M50" s="24" t="n">
        <f aca="false">'DCF Base Case'!$B$2*(1+B50)^4*$I50-'DCF Base Case'!$B$2*(1+B50)^3*B50*'DCF Base Case'!$B$4</f>
        <v>40.7848237326584</v>
      </c>
      <c r="N50" s="24" t="n">
        <f aca="false">'DCF Base Case'!$B$2*(1+B50)^5*$I50-'DCF Base Case'!$B$2*(1+B50)^4*B50*'DCF Base Case'!$B$4</f>
        <v>44.2058245178478</v>
      </c>
      <c r="O50" s="24" t="n">
        <f aca="false">J50/(1+H50)^1+K50/(1+H50)^2+L50/(1+H50)^3+M50/(1+H50)^4+N50/(1+H50)^5</f>
        <v>148.43355871008</v>
      </c>
      <c r="P50" s="24" t="n">
        <f aca="false">N50*(1+F50)/(H50-F50)</f>
        <v>783.892859458969</v>
      </c>
      <c r="Q50" s="24" t="n">
        <f aca="false">O50+P50/(1+H50)^5</f>
        <v>676.468156105366</v>
      </c>
      <c r="R50" s="24" t="n">
        <f aca="false">Q50-'DCF Base Case'!$B$5</f>
        <v>491.468156105366</v>
      </c>
      <c r="S50" s="32" t="n">
        <f aca="false">R50/'DCF Base Case'!$B$6</f>
        <v>19.6587262442146</v>
      </c>
    </row>
    <row r="51" customFormat="false" ht="15" hidden="false" customHeight="true" outlineLevel="0" collapsed="false">
      <c r="A51" s="6" t="n">
        <v>50</v>
      </c>
      <c r="B51" s="30" t="n">
        <v>0.0850769607263814</v>
      </c>
      <c r="C51" s="30" t="n">
        <v>0.416543206839837</v>
      </c>
      <c r="D51" s="30" t="n">
        <v>0.0882559338865581</v>
      </c>
      <c r="E51" s="30" t="n">
        <v>0.270089327491263</v>
      </c>
      <c r="F51" s="30" t="n">
        <v>0.0126285849328381</v>
      </c>
      <c r="G51" s="30" t="n">
        <v>0.172790411650262</v>
      </c>
      <c r="H51" s="31" t="n">
        <f aca="false">MAX(D51,F51+0.015)</f>
        <v>0.0882559338865581</v>
      </c>
      <c r="I51" s="25" t="n">
        <f aca="false">(C51-'DCF Base Case'!$B$3)*(1-E51)+'DCF Base Case'!$B$3-G51</f>
        <v>0.166360533157014</v>
      </c>
      <c r="J51" s="24" t="n">
        <f aca="false">'DCF Base Case'!$B$2*(1+B51)^1*$I51-'DCF Base Case'!$B$2*(1+B51)^0*B51*'DCF Base Case'!$B$4</f>
        <v>25.804442567751</v>
      </c>
      <c r="K51" s="24" t="n">
        <f aca="false">'DCF Base Case'!$B$2*(1+B51)^2*$I51-'DCF Base Case'!$B$2*(1+B51)^1*B51*'DCF Base Case'!$B$4</f>
        <v>27.9998061146537</v>
      </c>
      <c r="L51" s="24" t="n">
        <f aca="false">'DCF Base Case'!$B$2*(1+B51)^3*$I51-'DCF Base Case'!$B$2*(1+B51)^2*B51*'DCF Base Case'!$B$4</f>
        <v>30.3819445198164</v>
      </c>
      <c r="M51" s="24" t="n">
        <f aca="false">'DCF Base Case'!$B$2*(1+B51)^4*$I51-'DCF Base Case'!$B$2*(1+B51)^3*B51*'DCF Base Case'!$B$4</f>
        <v>32.9667480205199</v>
      </c>
      <c r="N51" s="24" t="n">
        <f aca="false">'DCF Base Case'!$B$2*(1+B51)^5*$I51-'DCF Base Case'!$B$2*(1+B51)^4*B51*'DCF Base Case'!$B$4</f>
        <v>35.7714587471382</v>
      </c>
      <c r="O51" s="24" t="n">
        <f aca="false">J51/(1+H51)^1+K51/(1+H51)^2+L51/(1+H51)^3+M51/(1+H51)^4+N51/(1+H51)^5</f>
        <v>117.86806549776</v>
      </c>
      <c r="P51" s="24" t="n">
        <f aca="false">N51*(1+F51)/(H51-F51)</f>
        <v>478.969607598762</v>
      </c>
      <c r="Q51" s="24" t="n">
        <f aca="false">O51+P51/(1+H51)^5</f>
        <v>431.667919517355</v>
      </c>
      <c r="R51" s="24" t="n">
        <f aca="false">Q51-'DCF Base Case'!$B$5</f>
        <v>246.667919517355</v>
      </c>
      <c r="S51" s="32" t="n">
        <f aca="false">R51/'DCF Base Case'!$B$6</f>
        <v>9.8667167806942</v>
      </c>
    </row>
    <row r="52" customFormat="false" ht="15" hidden="false" customHeight="true" outlineLevel="0" collapsed="false">
      <c r="A52" s="6" t="n">
        <v>51</v>
      </c>
      <c r="B52" s="30" t="n">
        <v>0.125499587411732</v>
      </c>
      <c r="C52" s="30" t="n">
        <v>0.394867849250447</v>
      </c>
      <c r="D52" s="30" t="n">
        <v>0.0945021081506801</v>
      </c>
      <c r="E52" s="30" t="n">
        <v>0.271104164576369</v>
      </c>
      <c r="F52" s="30" t="n">
        <v>0.0191225724954914</v>
      </c>
      <c r="G52" s="30" t="n">
        <v>0.14418212185714</v>
      </c>
      <c r="H52" s="31" t="n">
        <f aca="false">MAX(D52,F52+0.015)</f>
        <v>0.0945021081506801</v>
      </c>
      <c r="I52" s="25" t="n">
        <f aca="false">(C52-'DCF Base Case'!$B$3)*(1-E52)+'DCF Base Case'!$B$3-G52</f>
        <v>0.178878950399125</v>
      </c>
      <c r="J52" s="24" t="n">
        <f aca="false">'DCF Base Case'!$B$2*(1+B52)^1*$I52-'DCF Base Case'!$B$2*(1+B52)^0*B52*'DCF Base Case'!$B$4</f>
        <v>28.6466636010335</v>
      </c>
      <c r="K52" s="24" t="n">
        <f aca="false">'DCF Base Case'!$B$2*(1+B52)^2*$I52-'DCF Base Case'!$B$2*(1+B52)^1*B52*'DCF Base Case'!$B$4</f>
        <v>32.2418080636859</v>
      </c>
      <c r="L52" s="24" t="n">
        <f aca="false">'DCF Base Case'!$B$2*(1+B52)^3*$I52-'DCF Base Case'!$B$2*(1+B52)^2*B52*'DCF Base Case'!$B$4</f>
        <v>36.2881416730867</v>
      </c>
      <c r="M52" s="24" t="n">
        <f aca="false">'DCF Base Case'!$B$2*(1+B52)^4*$I52-'DCF Base Case'!$B$2*(1+B52)^3*B52*'DCF Base Case'!$B$4</f>
        <v>40.8422884809976</v>
      </c>
      <c r="N52" s="24" t="n">
        <f aca="false">'DCF Base Case'!$B$2*(1+B52)^5*$I52-'DCF Base Case'!$B$2*(1+B52)^4*B52*'DCF Base Case'!$B$4</f>
        <v>45.9679788343137</v>
      </c>
      <c r="O52" s="24" t="n">
        <f aca="false">J52/(1+H52)^1+K52/(1+H52)^2+L52/(1+H52)^3+M52/(1+H52)^4+N52/(1+H52)^5</f>
        <v>138.49165111786</v>
      </c>
      <c r="P52" s="24" t="n">
        <f aca="false">N52*(1+F52)/(H52-F52)</f>
        <v>621.481738178091</v>
      </c>
      <c r="Q52" s="24" t="n">
        <f aca="false">O52+P52/(1+H52)^5</f>
        <v>534.172799672727</v>
      </c>
      <c r="R52" s="24" t="n">
        <f aca="false">Q52-'DCF Base Case'!$B$5</f>
        <v>349.172799672727</v>
      </c>
      <c r="S52" s="32" t="n">
        <f aca="false">R52/'DCF Base Case'!$B$6</f>
        <v>13.9669119869091</v>
      </c>
    </row>
    <row r="53" customFormat="false" ht="15" hidden="false" customHeight="true" outlineLevel="0" collapsed="false">
      <c r="A53" s="6" t="n">
        <v>52</v>
      </c>
      <c r="B53" s="30" t="n">
        <v>0.0829544921367445</v>
      </c>
      <c r="C53" s="30" t="n">
        <v>0.436718996953964</v>
      </c>
      <c r="D53" s="30" t="n">
        <v>0.0914092076618648</v>
      </c>
      <c r="E53" s="30" t="n">
        <v>0.3297039516418</v>
      </c>
      <c r="F53" s="30" t="n">
        <v>0.0235393915857092</v>
      </c>
      <c r="G53" s="30" t="n">
        <v>0.17548263043493</v>
      </c>
      <c r="H53" s="31" t="n">
        <f aca="false">MAX(D53,F53+0.015)</f>
        <v>0.0914092076618648</v>
      </c>
      <c r="I53" s="25" t="n">
        <f aca="false">(C53-'DCF Base Case'!$B$3)*(1-E53)+'DCF Base Case'!$B$3-G53</f>
        <v>0.160109901179703</v>
      </c>
      <c r="J53" s="24" t="n">
        <f aca="false">'DCF Base Case'!$B$2*(1+B53)^1*$I53-'DCF Base Case'!$B$2*(1+B53)^0*B53*'DCF Base Case'!$B$4</f>
        <v>24.7809497833339</v>
      </c>
      <c r="K53" s="24" t="n">
        <f aca="false">'DCF Base Case'!$B$2*(1+B53)^2*$I53-'DCF Base Case'!$B$2*(1+B53)^1*B53*'DCF Base Case'!$B$4</f>
        <v>26.8366408872766</v>
      </c>
      <c r="L53" s="24" t="n">
        <f aca="false">'DCF Base Case'!$B$2*(1+B53)^3*$I53-'DCF Base Case'!$B$2*(1+B53)^2*B53*'DCF Base Case'!$B$4</f>
        <v>29.0628608027368</v>
      </c>
      <c r="M53" s="24" t="n">
        <f aca="false">'DCF Base Case'!$B$2*(1+B53)^4*$I53-'DCF Base Case'!$B$2*(1+B53)^3*B53*'DCF Base Case'!$B$4</f>
        <v>31.4737556606687</v>
      </c>
      <c r="N53" s="24" t="n">
        <f aca="false">'DCF Base Case'!$B$2*(1+B53)^5*$I53-'DCF Base Case'!$B$2*(1+B53)^4*B53*'DCF Base Case'!$B$4</f>
        <v>34.0846450771355</v>
      </c>
      <c r="O53" s="24" t="n">
        <f aca="false">J53/(1+H53)^1+K53/(1+H53)^2+L53/(1+H53)^3+M53/(1+H53)^4+N53/(1+H53)^5</f>
        <v>111.78197818634</v>
      </c>
      <c r="P53" s="24" t="n">
        <f aca="false">N53*(1+F53)/(H53-F53)</f>
        <v>514.027868375538</v>
      </c>
      <c r="Q53" s="24" t="n">
        <f aca="false">O53+P53/(1+H53)^5</f>
        <v>443.71357737221</v>
      </c>
      <c r="R53" s="24" t="n">
        <f aca="false">Q53-'DCF Base Case'!$B$5</f>
        <v>258.71357737221</v>
      </c>
      <c r="S53" s="32" t="n">
        <f aca="false">R53/'DCF Base Case'!$B$6</f>
        <v>10.3485430948884</v>
      </c>
    </row>
    <row r="54" customFormat="false" ht="15" hidden="false" customHeight="true" outlineLevel="0" collapsed="false">
      <c r="A54" s="6" t="n">
        <v>53</v>
      </c>
      <c r="B54" s="30" t="n">
        <v>0.125754780859046</v>
      </c>
      <c r="C54" s="30" t="n">
        <v>0.435222249441873</v>
      </c>
      <c r="D54" s="30" t="n">
        <v>0.0941078699447677</v>
      </c>
      <c r="E54" s="30" t="n">
        <v>0.271869536942671</v>
      </c>
      <c r="F54" s="30" t="n">
        <v>0.0195990865586385</v>
      </c>
      <c r="G54" s="30" t="n">
        <v>0.151162079416612</v>
      </c>
      <c r="H54" s="31" t="n">
        <f aca="false">MAX(D54,F54+0.015)</f>
        <v>0.0941078699447677</v>
      </c>
      <c r="I54" s="25" t="n">
        <f aca="false">(C54-'DCF Base Case'!$B$3)*(1-E54)+'DCF Base Case'!$B$3-G54</f>
        <v>0.201079538404899</v>
      </c>
      <c r="J54" s="24" t="n">
        <f aca="false">'DCF Base Case'!$B$2*(1+B54)^1*$I54-'DCF Base Case'!$B$2*(1+B54)^0*B54*'DCF Base Case'!$B$4</f>
        <v>32.2760731986386</v>
      </c>
      <c r="K54" s="24" t="n">
        <f aca="false">'DCF Base Case'!$B$2*(1+B54)^2*$I54-'DCF Base Case'!$B$2*(1+B54)^1*B54*'DCF Base Case'!$B$4</f>
        <v>36.334943710724</v>
      </c>
      <c r="L54" s="24" t="n">
        <f aca="false">'DCF Base Case'!$B$2*(1+B54)^3*$I54-'DCF Base Case'!$B$2*(1+B54)^2*B54*'DCF Base Case'!$B$4</f>
        <v>40.9042365945918</v>
      </c>
      <c r="M54" s="24" t="n">
        <f aca="false">'DCF Base Case'!$B$2*(1+B54)^4*$I54-'DCF Base Case'!$B$2*(1+B54)^3*B54*'DCF Base Case'!$B$4</f>
        <v>46.0481399037513</v>
      </c>
      <c r="N54" s="24" t="n">
        <f aca="false">'DCF Base Case'!$B$2*(1+B54)^5*$I54-'DCF Base Case'!$B$2*(1+B54)^4*B54*'DCF Base Case'!$B$4</f>
        <v>51.8389136463142</v>
      </c>
      <c r="O54" s="24" t="n">
        <f aca="false">J54/(1+H54)^1+K54/(1+H54)^2+L54/(1+H54)^3+M54/(1+H54)^4+N54/(1+H54)^5</f>
        <v>156.282705515498</v>
      </c>
      <c r="P54" s="24" t="n">
        <f aca="false">N54*(1+F54)/(H54-F54)</f>
        <v>709.378231665151</v>
      </c>
      <c r="Q54" s="24" t="n">
        <f aca="false">O54+P54/(1+H54)^5</f>
        <v>608.73953473804</v>
      </c>
      <c r="R54" s="24" t="n">
        <f aca="false">Q54-'DCF Base Case'!$B$5</f>
        <v>423.73953473804</v>
      </c>
      <c r="S54" s="32" t="n">
        <f aca="false">R54/'DCF Base Case'!$B$6</f>
        <v>16.9495813895216</v>
      </c>
    </row>
    <row r="55" customFormat="false" ht="15" hidden="false" customHeight="true" outlineLevel="0" collapsed="false">
      <c r="A55" s="6" t="n">
        <v>54</v>
      </c>
      <c r="B55" s="30" t="n">
        <v>0.111610850415796</v>
      </c>
      <c r="C55" s="30" t="n">
        <v>0.39669322414963</v>
      </c>
      <c r="D55" s="30" t="n">
        <v>0.0936058537665943</v>
      </c>
      <c r="E55" s="30" t="n">
        <v>0.274511954450614</v>
      </c>
      <c r="F55" s="30" t="n">
        <v>0.0235189947541761</v>
      </c>
      <c r="G55" s="30" t="n">
        <v>0.18314630933285</v>
      </c>
      <c r="H55" s="31" t="n">
        <f aca="false">MAX(D55,F55+0.015)</f>
        <v>0.0936058537665943</v>
      </c>
      <c r="I55" s="25" t="n">
        <f aca="false">(C55-'DCF Base Case'!$B$3)*(1-E55)+'DCF Base Case'!$B$3-G55</f>
        <v>0.140336436616729</v>
      </c>
      <c r="J55" s="24" t="n">
        <f aca="false">'DCF Base Case'!$B$2*(1+B55)^1*$I55-'DCF Base Case'!$B$2*(1+B55)^0*B55*'DCF Base Case'!$B$4</f>
        <v>22.1344211202088</v>
      </c>
      <c r="K55" s="24" t="n">
        <f aca="false">'DCF Base Case'!$B$2*(1+B55)^2*$I55-'DCF Base Case'!$B$2*(1+B55)^1*B55*'DCF Base Case'!$B$4</f>
        <v>24.6048626848967</v>
      </c>
      <c r="L55" s="24" t="n">
        <f aca="false">'DCF Base Case'!$B$2*(1+B55)^3*$I55-'DCF Base Case'!$B$2*(1+B55)^2*B55*'DCF Base Case'!$B$4</f>
        <v>27.3510323335219</v>
      </c>
      <c r="M55" s="24" t="n">
        <f aca="false">'DCF Base Case'!$B$2*(1+B55)^4*$I55-'DCF Base Case'!$B$2*(1+B55)^3*B55*'DCF Base Case'!$B$4</f>
        <v>30.4037043120162</v>
      </c>
      <c r="N55" s="24" t="n">
        <f aca="false">'DCF Base Case'!$B$2*(1+B55)^5*$I55-'DCF Base Case'!$B$2*(1+B55)^4*B55*'DCF Base Case'!$B$4</f>
        <v>33.7970876060707</v>
      </c>
      <c r="O55" s="24" t="n">
        <f aca="false">J55/(1+H55)^1+K55/(1+H55)^2+L55/(1+H55)^3+M55/(1+H55)^4+N55/(1+H55)^5</f>
        <v>104.586842607412</v>
      </c>
      <c r="P55" s="24" t="n">
        <f aca="false">N55*(1+F55)/(H55-F55)</f>
        <v>493.558444758599</v>
      </c>
      <c r="Q55" s="24" t="n">
        <f aca="false">O55+P55/(1+H55)^5</f>
        <v>420.112337035288</v>
      </c>
      <c r="R55" s="24" t="n">
        <f aca="false">Q55-'DCF Base Case'!$B$5</f>
        <v>235.112337035288</v>
      </c>
      <c r="S55" s="32" t="n">
        <f aca="false">R55/'DCF Base Case'!$B$6</f>
        <v>9.40449348141153</v>
      </c>
    </row>
    <row r="56" customFormat="false" ht="15" hidden="false" customHeight="true" outlineLevel="0" collapsed="false">
      <c r="A56" s="6" t="n">
        <v>55</v>
      </c>
      <c r="B56" s="30" t="n">
        <v>0.126898410247317</v>
      </c>
      <c r="C56" s="30" t="n">
        <v>0.440700170434899</v>
      </c>
      <c r="D56" s="30" t="n">
        <v>0.0677075571878144</v>
      </c>
      <c r="E56" s="30" t="n">
        <v>0.277790332790351</v>
      </c>
      <c r="F56" s="30" t="n">
        <v>0.0145939623135718</v>
      </c>
      <c r="G56" s="30" t="n">
        <v>0.154763861551399</v>
      </c>
      <c r="H56" s="31" t="n">
        <f aca="false">MAX(D56,F56+0.015)</f>
        <v>0.0677075571878144</v>
      </c>
      <c r="I56" s="25" t="n">
        <f aca="false">(C56-'DCF Base Case'!$B$3)*(1-E56)+'DCF Base Case'!$B$3-G56</f>
        <v>0.199626805140371</v>
      </c>
      <c r="J56" s="24" t="n">
        <f aca="false">'DCF Base Case'!$B$2*(1+B56)^1*$I56-'DCF Base Case'!$B$2*(1+B56)^0*B56*'DCF Base Case'!$B$4</f>
        <v>32.0670656719622</v>
      </c>
      <c r="K56" s="24" t="n">
        <f aca="false">'DCF Base Case'!$B$2*(1+B56)^2*$I56-'DCF Base Case'!$B$2*(1+B56)^1*B56*'DCF Base Case'!$B$4</f>
        <v>36.1363253270305</v>
      </c>
      <c r="L56" s="24" t="n">
        <f aca="false">'DCF Base Case'!$B$2*(1+B56)^3*$I56-'DCF Base Case'!$B$2*(1+B56)^2*B56*'DCF Base Case'!$B$4</f>
        <v>40.7219675632105</v>
      </c>
      <c r="M56" s="24" t="n">
        <f aca="false">'DCF Base Case'!$B$2*(1+B56)^4*$I56-'DCF Base Case'!$B$2*(1+B56)^3*B56*'DCF Base Case'!$B$4</f>
        <v>45.8895205091248</v>
      </c>
      <c r="N56" s="24" t="n">
        <f aca="false">'DCF Base Case'!$B$2*(1+B56)^5*$I56-'DCF Base Case'!$B$2*(1+B56)^4*B56*'DCF Base Case'!$B$4</f>
        <v>51.7128277087443</v>
      </c>
      <c r="O56" s="24" t="n">
        <f aca="false">J56/(1+H56)^1+K56/(1+H56)^2+L56/(1+H56)^3+M56/(1+H56)^4+N56/(1+H56)^5</f>
        <v>167.766527027508</v>
      </c>
      <c r="P56" s="24" t="n">
        <f aca="false">N56*(1+F56)/(H56-F56)</f>
        <v>987.836031277522</v>
      </c>
      <c r="Q56" s="24" t="n">
        <f aca="false">O56+P56/(1+H56)^5</f>
        <v>879.673554013913</v>
      </c>
      <c r="R56" s="24" t="n">
        <f aca="false">Q56-'DCF Base Case'!$B$5</f>
        <v>694.673554013913</v>
      </c>
      <c r="S56" s="32" t="n">
        <f aca="false">R56/'DCF Base Case'!$B$6</f>
        <v>27.7869421605565</v>
      </c>
    </row>
    <row r="57" customFormat="false" ht="15" hidden="false" customHeight="true" outlineLevel="0" collapsed="false">
      <c r="A57" s="6" t="n">
        <v>56</v>
      </c>
      <c r="B57" s="30" t="n">
        <v>0.121921680075891</v>
      </c>
      <c r="C57" s="30" t="n">
        <v>0.43719182372485</v>
      </c>
      <c r="D57" s="30" t="n">
        <v>0.0773117652856338</v>
      </c>
      <c r="E57" s="30" t="n">
        <v>0.258487547117965</v>
      </c>
      <c r="F57" s="30" t="n">
        <v>0.0194756671872851</v>
      </c>
      <c r="G57" s="30" t="n">
        <v>0.141155217448294</v>
      </c>
      <c r="H57" s="31" t="n">
        <f aca="false">MAX(D57,F57+0.015)</f>
        <v>0.0773117652856338</v>
      </c>
      <c r="I57" s="25" t="n">
        <f aca="false">(C57-'DCF Base Case'!$B$3)*(1-E57)+'DCF Base Case'!$B$3-G57</f>
        <v>0.216631345267225</v>
      </c>
      <c r="J57" s="24" t="n">
        <f aca="false">'DCF Base Case'!$B$2*(1+B57)^1*$I57-'DCF Base Case'!$B$2*(1+B57)^0*B57*'DCF Base Case'!$B$4</f>
        <v>34.7109341033692</v>
      </c>
      <c r="K57" s="24" t="n">
        <f aca="false">'DCF Base Case'!$B$2*(1+B57)^2*$I57-'DCF Base Case'!$B$2*(1+B57)^1*B57*'DCF Base Case'!$B$4</f>
        <v>38.9429495062555</v>
      </c>
      <c r="L57" s="24" t="n">
        <f aca="false">'DCF Base Case'!$B$2*(1+B57)^3*$I57-'DCF Base Case'!$B$2*(1+B57)^2*B57*'DCF Base Case'!$B$4</f>
        <v>43.6909393371688</v>
      </c>
      <c r="M57" s="24" t="n">
        <f aca="false">'DCF Base Case'!$B$2*(1+B57)^4*$I57-'DCF Base Case'!$B$2*(1+B57)^3*B57*'DCF Base Case'!$B$4</f>
        <v>49.0178120652503</v>
      </c>
      <c r="N57" s="24" t="n">
        <f aca="false">'DCF Base Case'!$B$2*(1+B57)^5*$I57-'DCF Base Case'!$B$2*(1+B57)^4*B57*'DCF Base Case'!$B$4</f>
        <v>54.9941460658899</v>
      </c>
      <c r="O57" s="24" t="n">
        <f aca="false">J57/(1+H57)^1+K57/(1+H57)^2+L57/(1+H57)^3+M57/(1+H57)^4+N57/(1+H57)^5</f>
        <v>175.005575906817</v>
      </c>
      <c r="P57" s="24" t="n">
        <f aca="false">N57*(1+F57)/(H57-F57)</f>
        <v>969.380639347087</v>
      </c>
      <c r="Q57" s="24" t="n">
        <f aca="false">O57+P57/(1+H57)^5</f>
        <v>843.022288250156</v>
      </c>
      <c r="R57" s="24" t="n">
        <f aca="false">Q57-'DCF Base Case'!$B$5</f>
        <v>658.022288250156</v>
      </c>
      <c r="S57" s="32" t="n">
        <f aca="false">R57/'DCF Base Case'!$B$6</f>
        <v>26.3208915300062</v>
      </c>
    </row>
    <row r="58" customFormat="false" ht="15" hidden="false" customHeight="true" outlineLevel="0" collapsed="false">
      <c r="A58" s="6" t="n">
        <v>57</v>
      </c>
      <c r="B58" s="30" t="n">
        <v>0.0754306071934335</v>
      </c>
      <c r="C58" s="30" t="n">
        <v>0.416011268484078</v>
      </c>
      <c r="D58" s="30" t="n">
        <v>0.0977084323971737</v>
      </c>
      <c r="E58" s="30" t="n">
        <v>0.298170677750324</v>
      </c>
      <c r="F58" s="30" t="n">
        <v>0.0113857611850148</v>
      </c>
      <c r="G58" s="30" t="n">
        <v>0.172224006682807</v>
      </c>
      <c r="H58" s="31" t="n">
        <f aca="false">MAX(D58,F58+0.015)</f>
        <v>0.0977084323971737</v>
      </c>
      <c r="I58" s="25" t="n">
        <f aca="false">(C58-'DCF Base Case'!$B$3)*(1-E58)+'DCF Base Case'!$B$3-G58</f>
        <v>0.158507088033144</v>
      </c>
      <c r="J58" s="24" t="n">
        <f aca="false">'DCF Base Case'!$B$2*(1+B58)^1*$I58-'DCF Base Case'!$B$2*(1+B58)^0*B58*'DCF Base Case'!$B$4</f>
        <v>24.3890660782608</v>
      </c>
      <c r="K58" s="24" t="n">
        <f aca="false">'DCF Base Case'!$B$2*(1+B58)^2*$I58-'DCF Base Case'!$B$2*(1+B58)^1*B58*'DCF Base Case'!$B$4</f>
        <v>26.2287481414248</v>
      </c>
      <c r="L58" s="24" t="n">
        <f aca="false">'DCF Base Case'!$B$2*(1+B58)^3*$I58-'DCF Base Case'!$B$2*(1+B58)^2*B58*'DCF Base Case'!$B$4</f>
        <v>28.2071985396561</v>
      </c>
      <c r="M58" s="24" t="n">
        <f aca="false">'DCF Base Case'!$B$2*(1+B58)^4*$I58-'DCF Base Case'!$B$2*(1+B58)^3*B58*'DCF Base Case'!$B$4</f>
        <v>30.3348846527281</v>
      </c>
      <c r="N58" s="24" t="n">
        <f aca="false">'DCF Base Case'!$B$2*(1+B58)^5*$I58-'DCF Base Case'!$B$2*(1+B58)^4*B58*'DCF Base Case'!$B$4</f>
        <v>32.6230634212262</v>
      </c>
      <c r="O58" s="24" t="n">
        <f aca="false">J58/(1+H58)^1+K58/(1+H58)^2+L58/(1+H58)^3+M58/(1+H58)^4+N58/(1+H58)^5</f>
        <v>106.67226546975</v>
      </c>
      <c r="P58" s="24" t="n">
        <f aca="false">N58*(1+F58)/(H58-F58)</f>
        <v>382.222901204851</v>
      </c>
      <c r="Q58" s="24" t="n">
        <f aca="false">O58+P58/(1+H58)^5</f>
        <v>346.490224535808</v>
      </c>
      <c r="R58" s="24" t="n">
        <f aca="false">Q58-'DCF Base Case'!$B$5</f>
        <v>161.490224535808</v>
      </c>
      <c r="S58" s="32" t="n">
        <f aca="false">R58/'DCF Base Case'!$B$6</f>
        <v>6.45960898143231</v>
      </c>
    </row>
    <row r="59" customFormat="false" ht="15" hidden="false" customHeight="true" outlineLevel="0" collapsed="false">
      <c r="A59" s="6" t="n">
        <v>58</v>
      </c>
      <c r="B59" s="30" t="n">
        <v>0.0914568442088753</v>
      </c>
      <c r="C59" s="30" t="n">
        <v>0.423130967682488</v>
      </c>
      <c r="D59" s="30" t="n">
        <v>0.102778306498163</v>
      </c>
      <c r="E59" s="30" t="n">
        <v>0.246557361865676</v>
      </c>
      <c r="F59" s="30" t="n">
        <v>0.0169652331935125</v>
      </c>
      <c r="G59" s="30" t="n">
        <v>0.17921091361804</v>
      </c>
      <c r="H59" s="31" t="n">
        <f aca="false">MAX(D59,F59+0.015)</f>
        <v>0.102778306498163</v>
      </c>
      <c r="I59" s="25" t="n">
        <f aca="false">(C59-'DCF Base Case'!$B$3)*(1-E59)+'DCF Base Case'!$B$3-G59</f>
        <v>0.171646455991521</v>
      </c>
      <c r="J59" s="24" t="n">
        <f aca="false">'DCF Base Case'!$B$2*(1+B59)^1*$I59-'DCF Base Case'!$B$2*(1+B59)^0*B59*'DCF Base Case'!$B$4</f>
        <v>26.7671441082322</v>
      </c>
      <c r="K59" s="24" t="n">
        <f aca="false">'DCF Base Case'!$B$2*(1+B59)^2*$I59-'DCF Base Case'!$B$2*(1+B59)^1*B59*'DCF Base Case'!$B$4</f>
        <v>29.2151826368552</v>
      </c>
      <c r="L59" s="24" t="n">
        <f aca="false">'DCF Base Case'!$B$2*(1+B59)^3*$I59-'DCF Base Case'!$B$2*(1+B59)^2*B59*'DCF Base Case'!$B$4</f>
        <v>31.887111043808</v>
      </c>
      <c r="M59" s="24" t="n">
        <f aca="false">'DCF Base Case'!$B$2*(1+B59)^4*$I59-'DCF Base Case'!$B$2*(1+B59)^3*B59*'DCF Base Case'!$B$4</f>
        <v>34.8034055908126</v>
      </c>
      <c r="N59" s="24" t="n">
        <f aca="false">'DCF Base Case'!$B$2*(1+B59)^5*$I59-'DCF Base Case'!$B$2*(1+B59)^4*B59*'DCF Base Case'!$B$4</f>
        <v>37.9864152338698</v>
      </c>
      <c r="O59" s="24" t="n">
        <f aca="false">J59/(1+H59)^1+K59/(1+H59)^2+L59/(1+H59)^3+M59/(1+H59)^4+N59/(1+H59)^5</f>
        <v>118.895873679769</v>
      </c>
      <c r="P59" s="24" t="n">
        <f aca="false">N59*(1+F59)/(H59-F59)</f>
        <v>450.174572927276</v>
      </c>
      <c r="Q59" s="24" t="n">
        <f aca="false">O59+P59/(1+H59)^5</f>
        <v>394.915453331486</v>
      </c>
      <c r="R59" s="24" t="n">
        <f aca="false">Q59-'DCF Base Case'!$B$5</f>
        <v>209.915453331486</v>
      </c>
      <c r="S59" s="32" t="n">
        <f aca="false">R59/'DCF Base Case'!$B$6</f>
        <v>8.39661813325943</v>
      </c>
    </row>
    <row r="60" customFormat="false" ht="15" hidden="false" customHeight="true" outlineLevel="0" collapsed="false">
      <c r="A60" s="6" t="n">
        <v>59</v>
      </c>
      <c r="B60" s="30" t="n">
        <v>0.0568628432785134</v>
      </c>
      <c r="C60" s="30" t="n">
        <v>0.431466385056944</v>
      </c>
      <c r="D60" s="30" t="n">
        <v>0.0890519227397073</v>
      </c>
      <c r="E60" s="30" t="n">
        <v>0.305657313304962</v>
      </c>
      <c r="F60" s="30" t="n">
        <v>0.0170500574750472</v>
      </c>
      <c r="G60" s="30" t="n">
        <v>0.184682284620476</v>
      </c>
      <c r="H60" s="31" t="n">
        <f aca="false">MAX(D60,F60+0.015)</f>
        <v>0.0890519227397073</v>
      </c>
      <c r="I60" s="25" t="n">
        <f aca="false">(C60-'DCF Base Case'!$B$3)*(1-E60)+'DCF Base Case'!$B$3-G60</f>
        <v>0.154638695128203</v>
      </c>
      <c r="J60" s="24" t="n">
        <f aca="false">'DCF Base Case'!$B$2*(1+B60)^1*$I60-'DCF Base Case'!$B$2*(1+B60)^0*B60*'DCF Base Case'!$B$4</f>
        <v>23.4502708287789</v>
      </c>
      <c r="K60" s="24" t="n">
        <f aca="false">'DCF Base Case'!$B$2*(1+B60)^2*$I60-'DCF Base Case'!$B$2*(1+B60)^1*B60*'DCF Base Case'!$B$4</f>
        <v>24.7837199037545</v>
      </c>
      <c r="L60" s="24" t="n">
        <f aca="false">'DCF Base Case'!$B$2*(1+B60)^3*$I60-'DCF Base Case'!$B$2*(1+B60)^2*B60*'DCF Base Case'!$B$4</f>
        <v>26.1929926845003</v>
      </c>
      <c r="M60" s="24" t="n">
        <f aca="false">'DCF Base Case'!$B$2*(1+B60)^4*$I60-'DCF Base Case'!$B$2*(1+B60)^3*B60*'DCF Base Case'!$B$4</f>
        <v>27.6824007225142</v>
      </c>
      <c r="N60" s="24" t="n">
        <f aca="false">'DCF Base Case'!$B$2*(1+B60)^5*$I60-'DCF Base Case'!$B$2*(1+B60)^4*B60*'DCF Base Case'!$B$4</f>
        <v>29.2565007363716</v>
      </c>
      <c r="O60" s="24" t="n">
        <f aca="false">J60/(1+H60)^1+K60/(1+H60)^2+L60/(1+H60)^3+M60/(1+H60)^4+N60/(1+H60)^5</f>
        <v>101.484618578028</v>
      </c>
      <c r="P60" s="24" t="n">
        <f aca="false">N60*(1+F60)/(H60-F60)</f>
        <v>413.257707228454</v>
      </c>
      <c r="Q60" s="24" t="n">
        <f aca="false">O60+P60/(1+H60)^5</f>
        <v>371.244915720428</v>
      </c>
      <c r="R60" s="24" t="n">
        <f aca="false">Q60-'DCF Base Case'!$B$5</f>
        <v>186.244915720428</v>
      </c>
      <c r="S60" s="32" t="n">
        <f aca="false">R60/'DCF Base Case'!$B$6</f>
        <v>7.44979662881712</v>
      </c>
    </row>
    <row r="61" customFormat="false" ht="15" hidden="false" customHeight="true" outlineLevel="0" collapsed="false">
      <c r="A61" s="6" t="n">
        <v>60</v>
      </c>
      <c r="B61" s="30" t="n">
        <v>0.113292891660334</v>
      </c>
      <c r="C61" s="30" t="n">
        <v>0.426720137794839</v>
      </c>
      <c r="D61" s="30" t="n">
        <v>0.0875784098196857</v>
      </c>
      <c r="E61" s="30" t="n">
        <v>0.287588973684861</v>
      </c>
      <c r="F61" s="30" t="n">
        <v>0.0158262698698618</v>
      </c>
      <c r="G61" s="30" t="n">
        <v>0.162104786307601</v>
      </c>
      <c r="H61" s="31" t="n">
        <f aca="false">MAX(D61,F61+0.015)</f>
        <v>0.0875784098196857</v>
      </c>
      <c r="I61" s="25" t="n">
        <f aca="false">(C61-'DCF Base Case'!$B$3)*(1-E61)+'DCF Base Case'!$B$3-G61</f>
        <v>0.17928191158719</v>
      </c>
      <c r="J61" s="24" t="n">
        <f aca="false">'DCF Base Case'!$B$2*(1+B61)^1*$I61-'DCF Base Case'!$B$2*(1+B61)^0*B61*'DCF Base Case'!$B$4</f>
        <v>28.4482011984053</v>
      </c>
      <c r="K61" s="24" t="n">
        <f aca="false">'DCF Base Case'!$B$2*(1+B61)^2*$I61-'DCF Base Case'!$B$2*(1+B61)^1*B61*'DCF Base Case'!$B$4</f>
        <v>31.6711801747076</v>
      </c>
      <c r="L61" s="24" t="n">
        <f aca="false">'DCF Base Case'!$B$2*(1+B61)^3*$I61-'DCF Base Case'!$B$2*(1+B61)^2*B61*'DCF Base Case'!$B$4</f>
        <v>35.2592997589957</v>
      </c>
      <c r="M61" s="24" t="n">
        <f aca="false">'DCF Base Case'!$B$2*(1+B61)^4*$I61-'DCF Base Case'!$B$2*(1+B61)^3*B61*'DCF Base Case'!$B$4</f>
        <v>39.2539277866108</v>
      </c>
      <c r="N61" s="24" t="n">
        <f aca="false">'DCF Base Case'!$B$2*(1+B61)^5*$I61-'DCF Base Case'!$B$2*(1+B61)^4*B61*'DCF Base Case'!$B$4</f>
        <v>43.7011187745819</v>
      </c>
      <c r="O61" s="24" t="n">
        <f aca="false">J61/(1+H61)^1+K61/(1+H61)^2+L61/(1+H61)^3+M61/(1+H61)^4+N61/(1+H61)^5</f>
        <v>137.119459097881</v>
      </c>
      <c r="P61" s="24" t="n">
        <f aca="false">N61*(1+F61)/(H61-F61)</f>
        <v>618.695756042496</v>
      </c>
      <c r="Q61" s="24" t="n">
        <f aca="false">O61+P61/(1+H61)^5</f>
        <v>543.725895634064</v>
      </c>
      <c r="R61" s="24" t="n">
        <f aca="false">Q61-'DCF Base Case'!$B$5</f>
        <v>358.725895634064</v>
      </c>
      <c r="S61" s="32" t="n">
        <f aca="false">R61/'DCF Base Case'!$B$6</f>
        <v>14.3490358253626</v>
      </c>
    </row>
    <row r="62" customFormat="false" ht="15" hidden="false" customHeight="true" outlineLevel="0" collapsed="false">
      <c r="A62" s="6" t="n">
        <v>61</v>
      </c>
      <c r="B62" s="30" t="n">
        <v>0.0868714950693628</v>
      </c>
      <c r="C62" s="30" t="n">
        <v>0.421018299891981</v>
      </c>
      <c r="D62" s="30" t="n">
        <v>0.0959980667160132</v>
      </c>
      <c r="E62" s="30" t="n">
        <v>0.257854753452852</v>
      </c>
      <c r="F62" s="30" t="n">
        <v>0.0188766652021151</v>
      </c>
      <c r="G62" s="30" t="n">
        <v>0.199617270398058</v>
      </c>
      <c r="H62" s="31" t="n">
        <f aca="false">MAX(D62,F62+0.015)</f>
        <v>0.0959980667160132</v>
      </c>
      <c r="I62" s="25" t="n">
        <f aca="false">(C62-'DCF Base Case'!$B$3)*(1-E62)+'DCF Base Case'!$B$3-G62</f>
        <v>0.146360577525008</v>
      </c>
      <c r="J62" s="24" t="n">
        <f aca="false">'DCF Base Case'!$B$2*(1+B62)^1*$I62-'DCF Base Case'!$B$2*(1+B62)^0*B62*'DCF Base Case'!$B$4</f>
        <v>22.6880042549523</v>
      </c>
      <c r="K62" s="24" t="n">
        <f aca="false">'DCF Base Case'!$B$2*(1+B62)^2*$I62-'DCF Base Case'!$B$2*(1+B62)^1*B62*'DCF Base Case'!$B$4</f>
        <v>24.6589451047201</v>
      </c>
      <c r="L62" s="24" t="n">
        <f aca="false">'DCF Base Case'!$B$2*(1+B62)^3*$I62-'DCF Base Case'!$B$2*(1+B62)^2*B62*'DCF Base Case'!$B$4</f>
        <v>26.8011045328005</v>
      </c>
      <c r="M62" s="24" t="n">
        <f aca="false">'DCF Base Case'!$B$2*(1+B62)^4*$I62-'DCF Base Case'!$B$2*(1+B62)^3*B62*'DCF Base Case'!$B$4</f>
        <v>29.1293565530751</v>
      </c>
      <c r="N62" s="24" t="n">
        <f aca="false">'DCF Base Case'!$B$2*(1+B62)^5*$I62-'DCF Base Case'!$B$2*(1+B62)^4*B62*'DCF Base Case'!$B$4</f>
        <v>31.6598673072493</v>
      </c>
      <c r="O62" s="24" t="n">
        <f aca="false">J62/(1+H62)^1+K62/(1+H62)^2+L62/(1+H62)^3+M62/(1+H62)^4+N62/(1+H62)^5</f>
        <v>101.794356147251</v>
      </c>
      <c r="P62" s="24" t="n">
        <f aca="false">N62*(1+F62)/(H62-F62)</f>
        <v>418.269110642893</v>
      </c>
      <c r="Q62" s="24" t="n">
        <f aca="false">O62+P62/(1+H62)^5</f>
        <v>366.282892051398</v>
      </c>
      <c r="R62" s="24" t="n">
        <f aca="false">Q62-'DCF Base Case'!$B$5</f>
        <v>181.282892051398</v>
      </c>
      <c r="S62" s="32" t="n">
        <f aca="false">R62/'DCF Base Case'!$B$6</f>
        <v>7.25131568205592</v>
      </c>
    </row>
    <row r="63" customFormat="false" ht="15" hidden="false" customHeight="true" outlineLevel="0" collapsed="false">
      <c r="A63" s="6" t="n">
        <v>62</v>
      </c>
      <c r="B63" s="30" t="n">
        <v>0.0738055330798428</v>
      </c>
      <c r="C63" s="30" t="n">
        <v>0.390138486983449</v>
      </c>
      <c r="D63" s="30" t="n">
        <v>0.0872253681101431</v>
      </c>
      <c r="E63" s="30" t="n">
        <v>0.305588872268701</v>
      </c>
      <c r="F63" s="30" t="n">
        <v>0.0193966851367187</v>
      </c>
      <c r="G63" s="30" t="n">
        <v>0.196514197556858</v>
      </c>
      <c r="H63" s="31" t="n">
        <f aca="false">MAX(D63,F63+0.015)</f>
        <v>0.0872253681101431</v>
      </c>
      <c r="I63" s="25" t="n">
        <f aca="false">(C63-'DCF Base Case'!$B$3)*(1-E63)+'DCF Base Case'!$B$3-G63</f>
        <v>0.114128862555633</v>
      </c>
      <c r="J63" s="24" t="n">
        <f aca="false">'DCF Base Case'!$B$2*(1+B63)^1*$I63-'DCF Base Case'!$B$2*(1+B63)^0*B63*'DCF Base Case'!$B$4</f>
        <v>17.449015525073</v>
      </c>
      <c r="K63" s="24" t="n">
        <f aca="false">'DCF Base Case'!$B$2*(1+B63)^2*$I63-'DCF Base Case'!$B$2*(1+B63)^1*B63*'DCF Base Case'!$B$4</f>
        <v>18.7368494176195</v>
      </c>
      <c r="L63" s="24" t="n">
        <f aca="false">'DCF Base Case'!$B$2*(1+B63)^3*$I63-'DCF Base Case'!$B$2*(1+B63)^2*B63*'DCF Base Case'!$B$4</f>
        <v>20.1197325771237</v>
      </c>
      <c r="M63" s="24" t="n">
        <f aca="false">'DCF Base Case'!$B$2*(1+B63)^4*$I63-'DCF Base Case'!$B$2*(1+B63)^3*B63*'DCF Base Case'!$B$4</f>
        <v>21.6046801654021</v>
      </c>
      <c r="N63" s="24" t="n">
        <f aca="false">'DCF Base Case'!$B$2*(1+B63)^5*$I63-'DCF Base Case'!$B$2*(1+B63)^4*B63*'DCF Base Case'!$B$4</f>
        <v>23.1992251020292</v>
      </c>
      <c r="O63" s="24" t="n">
        <f aca="false">J63/(1+H63)^1+K63/(1+H63)^2+L63/(1+H63)^3+M63/(1+H63)^4+N63/(1+H63)^5</f>
        <v>78.2889497924775</v>
      </c>
      <c r="P63" s="24" t="n">
        <f aca="false">N63*(1+F63)/(H63-F63)</f>
        <v>348.66095182793</v>
      </c>
      <c r="Q63" s="24" t="n">
        <f aca="false">O63+P63/(1+H63)^5</f>
        <v>307.800964589143</v>
      </c>
      <c r="R63" s="24" t="n">
        <f aca="false">Q63-'DCF Base Case'!$B$5</f>
        <v>122.800964589143</v>
      </c>
      <c r="S63" s="32" t="n">
        <f aca="false">R63/'DCF Base Case'!$B$6</f>
        <v>4.91203858356573</v>
      </c>
    </row>
    <row r="64" customFormat="false" ht="15" hidden="false" customHeight="true" outlineLevel="0" collapsed="false">
      <c r="A64" s="6" t="n">
        <v>63</v>
      </c>
      <c r="B64" s="30" t="n">
        <v>0.108712672219298</v>
      </c>
      <c r="C64" s="30" t="n">
        <v>0.436488498305365</v>
      </c>
      <c r="D64" s="30" t="n">
        <v>0.091095281514565</v>
      </c>
      <c r="E64" s="30" t="n">
        <v>0.340067420759775</v>
      </c>
      <c r="F64" s="30" t="n">
        <v>0.0185601698319388</v>
      </c>
      <c r="G64" s="30" t="n">
        <v>0.129499606024954</v>
      </c>
      <c r="H64" s="31" t="n">
        <f aca="false">MAX(D64,F64+0.015)</f>
        <v>0.091095281514565</v>
      </c>
      <c r="I64" s="25" t="n">
        <f aca="false">(C64-'DCF Base Case'!$B$3)*(1-E64)+'DCF Base Case'!$B$3-G64</f>
        <v>0.202762139169169</v>
      </c>
      <c r="J64" s="24" t="n">
        <f aca="false">'DCF Base Case'!$B$2*(1+B64)^1*$I64-'DCF Base Case'!$B$2*(1+B64)^0*B64*'DCF Base Case'!$B$4</f>
        <v>32.1238180816029</v>
      </c>
      <c r="K64" s="24" t="n">
        <f aca="false">'DCF Base Case'!$B$2*(1+B64)^2*$I64-'DCF Base Case'!$B$2*(1+B64)^1*B64*'DCF Base Case'!$B$4</f>
        <v>35.6160841871405</v>
      </c>
      <c r="L64" s="24" t="n">
        <f aca="false">'DCF Base Case'!$B$2*(1+B64)^3*$I64-'DCF Base Case'!$B$2*(1+B64)^2*B64*'DCF Base Case'!$B$4</f>
        <v>39.488003873112</v>
      </c>
      <c r="M64" s="24" t="n">
        <f aca="false">'DCF Base Case'!$B$2*(1+B64)^4*$I64-'DCF Base Case'!$B$2*(1+B64)^3*B64*'DCF Base Case'!$B$4</f>
        <v>43.780850294764</v>
      </c>
      <c r="N64" s="24" t="n">
        <f aca="false">'DCF Base Case'!$B$2*(1+B64)^5*$I64-'DCF Base Case'!$B$2*(1+B64)^4*B64*'DCF Base Case'!$B$4</f>
        <v>48.5403835223409</v>
      </c>
      <c r="O64" s="24" t="n">
        <f aca="false">J64/(1+H64)^1+K64/(1+H64)^2+L64/(1+H64)^3+M64/(1+H64)^4+N64/(1+H64)^5</f>
        <v>152.040247961473</v>
      </c>
      <c r="P64" s="24" t="n">
        <f aca="false">N64*(1+F64)/(H64-F64)</f>
        <v>681.618875842515</v>
      </c>
      <c r="Q64" s="24" t="n">
        <f aca="false">O64+P64/(1+H64)^5</f>
        <v>592.826682543009</v>
      </c>
      <c r="R64" s="24" t="n">
        <f aca="false">Q64-'DCF Base Case'!$B$5</f>
        <v>407.826682543009</v>
      </c>
      <c r="S64" s="32" t="n">
        <f aca="false">R64/'DCF Base Case'!$B$6</f>
        <v>16.3130673017204</v>
      </c>
    </row>
    <row r="65" customFormat="false" ht="15" hidden="false" customHeight="true" outlineLevel="0" collapsed="false">
      <c r="A65" s="6" t="n">
        <v>64</v>
      </c>
      <c r="B65" s="30" t="n">
        <v>0.123518343796092</v>
      </c>
      <c r="C65" s="30" t="n">
        <v>0.417591675892135</v>
      </c>
      <c r="D65" s="30" t="n">
        <v>0.0861866848877734</v>
      </c>
      <c r="E65" s="30" t="n">
        <v>0.319304364974665</v>
      </c>
      <c r="F65" s="30" t="n">
        <v>0.0130896755478413</v>
      </c>
      <c r="G65" s="30" t="n">
        <v>0.140527953739283</v>
      </c>
      <c r="H65" s="31" t="n">
        <f aca="false">MAX(D65,F65+0.015)</f>
        <v>0.0861866848877734</v>
      </c>
      <c r="I65" s="25" t="n">
        <f aca="false">(C65-'DCF Base Case'!$B$3)*(1-E65)+'DCF Base Case'!$B$3-G65</f>
        <v>0.185234444710114</v>
      </c>
      <c r="J65" s="24" t="n">
        <f aca="false">'DCF Base Case'!$B$2*(1+B65)^1*$I65-'DCF Base Case'!$B$2*(1+B65)^0*B65*'DCF Base Case'!$B$4</f>
        <v>29.639268202018</v>
      </c>
      <c r="K65" s="24" t="n">
        <f aca="false">'DCF Base Case'!$B$2*(1+B65)^2*$I65-'DCF Base Case'!$B$2*(1+B65)^1*B65*'DCF Base Case'!$B$4</f>
        <v>33.3002615216594</v>
      </c>
      <c r="L65" s="24" t="n">
        <f aca="false">'DCF Base Case'!$B$2*(1+B65)^3*$I65-'DCF Base Case'!$B$2*(1+B65)^2*B65*'DCF Base Case'!$B$4</f>
        <v>37.4134546727915</v>
      </c>
      <c r="M65" s="24" t="n">
        <f aca="false">'DCF Base Case'!$B$2*(1+B65)^4*$I65-'DCF Base Case'!$B$2*(1+B65)^3*B65*'DCF Base Case'!$B$4</f>
        <v>42.0347026296649</v>
      </c>
      <c r="N65" s="24" t="n">
        <f aca="false">'DCF Base Case'!$B$2*(1+B65)^5*$I65-'DCF Base Case'!$B$2*(1+B65)^4*B65*'DCF Base Case'!$B$4</f>
        <v>47.2267594804423</v>
      </c>
      <c r="O65" s="24" t="n">
        <f aca="false">J65/(1+H65)^1+K65/(1+H65)^2+L65/(1+H65)^3+M65/(1+H65)^4+N65/(1+H65)^5</f>
        <v>146.143731162612</v>
      </c>
      <c r="P65" s="24" t="n">
        <f aca="false">N65*(1+F65)/(H65-F65)</f>
        <v>654.540354951021</v>
      </c>
      <c r="Q65" s="24" t="n">
        <f aca="false">O65+P65/(1+H65)^5</f>
        <v>579.070115550048</v>
      </c>
      <c r="R65" s="24" t="n">
        <f aca="false">Q65-'DCF Base Case'!$B$5</f>
        <v>394.070115550048</v>
      </c>
      <c r="S65" s="32" t="n">
        <f aca="false">R65/'DCF Base Case'!$B$6</f>
        <v>15.7628046220019</v>
      </c>
    </row>
    <row r="66" customFormat="false" ht="15" hidden="false" customHeight="true" outlineLevel="0" collapsed="false">
      <c r="A66" s="6" t="n">
        <v>65</v>
      </c>
      <c r="B66" s="30" t="n">
        <v>0.0565314377332081</v>
      </c>
      <c r="C66" s="30" t="n">
        <v>0.384007051476314</v>
      </c>
      <c r="D66" s="30" t="n">
        <v>0.0898360026661869</v>
      </c>
      <c r="E66" s="30" t="n">
        <v>0.295495577390825</v>
      </c>
      <c r="F66" s="30" t="n">
        <v>0.020334743721239</v>
      </c>
      <c r="G66" s="30" t="n">
        <v>0.137760888068037</v>
      </c>
      <c r="H66" s="31" t="n">
        <f aca="false">MAX(D66,F66+0.015)</f>
        <v>0.0898360026661869</v>
      </c>
      <c r="I66" s="25" t="n">
        <f aca="false">(C66-'DCF Base Case'!$B$3)*(1-E66)+'DCF Base Case'!$B$3-G66</f>
        <v>0.171188203070943</v>
      </c>
      <c r="J66" s="24" t="n">
        <f aca="false">'DCF Base Case'!$B$2*(1+B66)^1*$I66-'DCF Base Case'!$B$2*(1+B66)^0*B66*'DCF Base Case'!$B$4</f>
        <v>25.9796174013191</v>
      </c>
      <c r="K66" s="24" t="n">
        <f aca="false">'DCF Base Case'!$B$2*(1+B66)^2*$I66-'DCF Base Case'!$B$2*(1+B66)^1*B66*'DCF Base Case'!$B$4</f>
        <v>27.4482825247744</v>
      </c>
      <c r="L66" s="24" t="n">
        <f aca="false">'DCF Base Case'!$B$2*(1+B66)^3*$I66-'DCF Base Case'!$B$2*(1+B66)^2*B66*'DCF Base Case'!$B$4</f>
        <v>28.9999733992071</v>
      </c>
      <c r="M66" s="24" t="n">
        <f aca="false">'DCF Base Case'!$B$2*(1+B66)^4*$I66-'DCF Base Case'!$B$2*(1+B66)^3*B66*'DCF Base Case'!$B$4</f>
        <v>30.6393835896891</v>
      </c>
      <c r="N66" s="24" t="n">
        <f aca="false">'DCF Base Case'!$B$2*(1+B66)^5*$I66-'DCF Base Case'!$B$2*(1+B66)^4*B66*'DCF Base Case'!$B$4</f>
        <v>32.3714719952735</v>
      </c>
      <c r="O66" s="24" t="n">
        <f aca="false">J66/(1+H66)^1+K66/(1+H66)^2+L66/(1+H66)^3+M66/(1+H66)^4+N66/(1+H66)^5</f>
        <v>112.124982716997</v>
      </c>
      <c r="P66" s="24" t="n">
        <f aca="false">N66*(1+F66)/(H66-F66)</f>
        <v>475.239414128305</v>
      </c>
      <c r="Q66" s="24" t="n">
        <f aca="false">O66+P66/(1+H66)^5</f>
        <v>421.230458286829</v>
      </c>
      <c r="R66" s="24" t="n">
        <f aca="false">Q66-'DCF Base Case'!$B$5</f>
        <v>236.230458286829</v>
      </c>
      <c r="S66" s="32" t="n">
        <f aca="false">R66/'DCF Base Case'!$B$6</f>
        <v>9.44921833147316</v>
      </c>
    </row>
    <row r="67" customFormat="false" ht="15" hidden="false" customHeight="true" outlineLevel="0" collapsed="false">
      <c r="A67" s="6" t="n">
        <v>66</v>
      </c>
      <c r="B67" s="30" t="n">
        <v>0.047225376846889</v>
      </c>
      <c r="C67" s="30" t="n">
        <v>0.396688344417116</v>
      </c>
      <c r="D67" s="30" t="n">
        <v>0.0798104636299783</v>
      </c>
      <c r="E67" s="30" t="n">
        <v>0.293453665359326</v>
      </c>
      <c r="F67" s="30" t="n">
        <v>0.0218717038083222</v>
      </c>
      <c r="G67" s="30" t="n">
        <v>0.168326517108478</v>
      </c>
      <c r="H67" s="31" t="n">
        <f aca="false">MAX(D67,F67+0.015)</f>
        <v>0.0798104636299783</v>
      </c>
      <c r="I67" s="25" t="n">
        <f aca="false">(C67-'DCF Base Case'!$B$3)*(1-E67)+'DCF Base Case'!$B$3-G67</f>
        <v>0.150101155130825</v>
      </c>
      <c r="J67" s="24" t="n">
        <f aca="false">'DCF Base Case'!$B$2*(1+B67)^1*$I67-'DCF Base Case'!$B$2*(1+B67)^0*B67*'DCF Base Case'!$B$4</f>
        <v>22.5870817290356</v>
      </c>
      <c r="K67" s="24" t="n">
        <f aca="false">'DCF Base Case'!$B$2*(1+B67)^2*$I67-'DCF Base Case'!$B$2*(1+B67)^1*B67*'DCF Base Case'!$B$4</f>
        <v>23.6537651755608</v>
      </c>
      <c r="L67" s="24" t="n">
        <f aca="false">'DCF Base Case'!$B$2*(1+B67)^3*$I67-'DCF Base Case'!$B$2*(1+B67)^2*B67*'DCF Base Case'!$B$4</f>
        <v>24.7708231498245</v>
      </c>
      <c r="M67" s="24" t="n">
        <f aca="false">'DCF Base Case'!$B$2*(1+B67)^4*$I67-'DCF Base Case'!$B$2*(1+B67)^3*B67*'DCF Base Case'!$B$4</f>
        <v>25.9406346078826</v>
      </c>
      <c r="N67" s="24" t="n">
        <f aca="false">'DCF Base Case'!$B$2*(1+B67)^5*$I67-'DCF Base Case'!$B$2*(1+B67)^4*B67*'DCF Base Case'!$B$4</f>
        <v>27.1656908528873</v>
      </c>
      <c r="O67" s="24" t="n">
        <f aca="false">J67/(1+H67)^1+K67/(1+H67)^2+L67/(1+H67)^3+M67/(1+H67)^4+N67/(1+H67)^5</f>
        <v>98.4635571831143</v>
      </c>
      <c r="P67" s="24" t="n">
        <f aca="false">N67*(1+F67)/(H67-F67)</f>
        <v>479.124007528275</v>
      </c>
      <c r="Q67" s="24" t="n">
        <f aca="false">O67+P67/(1+H67)^5</f>
        <v>424.833589719789</v>
      </c>
      <c r="R67" s="24" t="n">
        <f aca="false">Q67-'DCF Base Case'!$B$5</f>
        <v>239.833589719789</v>
      </c>
      <c r="S67" s="32" t="n">
        <f aca="false">R67/'DCF Base Case'!$B$6</f>
        <v>9.59334358879157</v>
      </c>
    </row>
    <row r="68" customFormat="false" ht="15" hidden="false" customHeight="true" outlineLevel="0" collapsed="false">
      <c r="A68" s="6" t="n">
        <v>67</v>
      </c>
      <c r="B68" s="30" t="n">
        <v>0.106564426212286</v>
      </c>
      <c r="C68" s="30" t="n">
        <v>0.424484175546882</v>
      </c>
      <c r="D68" s="30" t="n">
        <v>0.0908307117616161</v>
      </c>
      <c r="E68" s="30" t="n">
        <v>0.263287932157058</v>
      </c>
      <c r="F68" s="30" t="n">
        <v>0.0186618441341097</v>
      </c>
      <c r="G68" s="30" t="n">
        <v>0.169680935298197</v>
      </c>
      <c r="H68" s="31" t="n">
        <f aca="false">MAX(D68,F68+0.015)</f>
        <v>0.0908307117616161</v>
      </c>
      <c r="I68" s="25" t="n">
        <f aca="false">(C68-'DCF Base Case'!$B$3)*(1-E68)+'DCF Base Case'!$B$3-G68</f>
        <v>0.17726911061597</v>
      </c>
      <c r="J68" s="24" t="n">
        <f aca="false">'DCF Base Case'!$B$2*(1+B68)^1*$I68-'DCF Base Case'!$B$2*(1+B68)^0*B68*'DCF Base Case'!$B$4</f>
        <v>27.9796000386955</v>
      </c>
      <c r="K68" s="24" t="n">
        <f aca="false">'DCF Base Case'!$B$2*(1+B68)^2*$I68-'DCF Base Case'!$B$2*(1+B68)^1*B68*'DCF Base Case'!$B$4</f>
        <v>30.9612300624683</v>
      </c>
      <c r="L68" s="24" t="n">
        <f aca="false">'DCF Base Case'!$B$2*(1+B68)^3*$I68-'DCF Base Case'!$B$2*(1+B68)^2*B68*'DCF Base Case'!$B$4</f>
        <v>34.2605957789018</v>
      </c>
      <c r="M68" s="24" t="n">
        <f aca="false">'DCF Base Case'!$B$2*(1+B68)^4*$I68-'DCF Base Case'!$B$2*(1+B68)^3*B68*'DCF Base Case'!$B$4</f>
        <v>37.9115565097716</v>
      </c>
      <c r="N68" s="24" t="n">
        <f aca="false">'DCF Base Case'!$B$2*(1+B68)^5*$I68-'DCF Base Case'!$B$2*(1+B68)^4*B68*'DCF Base Case'!$B$4</f>
        <v>41.95157977605</v>
      </c>
      <c r="O68" s="24" t="n">
        <f aca="false">J68/(1+H68)^1+K68/(1+H68)^2+L68/(1+H68)^3+M68/(1+H68)^4+N68/(1+H68)^5</f>
        <v>132.002423775746</v>
      </c>
      <c r="P68" s="24" t="n">
        <f aca="false">N68*(1+F68)/(H68-F68)</f>
        <v>592.145547295833</v>
      </c>
      <c r="Q68" s="24" t="n">
        <f aca="false">O68+P68/(1+H68)^5</f>
        <v>515.393221017197</v>
      </c>
      <c r="R68" s="24" t="n">
        <f aca="false">Q68-'DCF Base Case'!$B$5</f>
        <v>330.393221017197</v>
      </c>
      <c r="S68" s="32" t="n">
        <f aca="false">R68/'DCF Base Case'!$B$6</f>
        <v>13.2157288406879</v>
      </c>
    </row>
    <row r="69" customFormat="false" ht="15" hidden="false" customHeight="true" outlineLevel="0" collapsed="false">
      <c r="A69" s="6" t="n">
        <v>68</v>
      </c>
      <c r="B69" s="30" t="n">
        <v>0.107909701503543</v>
      </c>
      <c r="C69" s="30" t="n">
        <v>0.412960083524748</v>
      </c>
      <c r="D69" s="30" t="n">
        <v>0.0907328398130533</v>
      </c>
      <c r="E69" s="30" t="n">
        <v>0.272619761324561</v>
      </c>
      <c r="F69" s="30" t="n">
        <v>0.0189057657001261</v>
      </c>
      <c r="G69" s="30" t="n">
        <v>0.185065313815884</v>
      </c>
      <c r="H69" s="31" t="n">
        <f aca="false">MAX(D69,F69+0.015)</f>
        <v>0.0907328398130533</v>
      </c>
      <c r="I69" s="25" t="n">
        <f aca="false">(C69-'DCF Base Case'!$B$3)*(1-E69)+'DCF Base Case'!$B$3-G69</f>
        <v>0.150754259273969</v>
      </c>
      <c r="J69" s="24" t="n">
        <f aca="false">'DCF Base Case'!$B$2*(1+B69)^1*$I69-'DCF Base Case'!$B$2*(1+B69)^0*B69*'DCF Base Case'!$B$4</f>
        <v>23.7487982253882</v>
      </c>
      <c r="K69" s="24" t="n">
        <f aca="false">'DCF Base Case'!$B$2*(1+B69)^2*$I69-'DCF Base Case'!$B$2*(1+B69)^1*B69*'DCF Base Case'!$B$4</f>
        <v>26.3115239529577</v>
      </c>
      <c r="L69" s="24" t="n">
        <f aca="false">'DCF Base Case'!$B$2*(1+B69)^3*$I69-'DCF Base Case'!$B$2*(1+B69)^2*B69*'DCF Base Case'!$B$4</f>
        <v>29.1507926488247</v>
      </c>
      <c r="M69" s="24" t="n">
        <f aca="false">'DCF Base Case'!$B$2*(1+B69)^4*$I69-'DCF Base Case'!$B$2*(1+B69)^3*B69*'DCF Base Case'!$B$4</f>
        <v>32.2964459821511</v>
      </c>
      <c r="N69" s="24" t="n">
        <f aca="false">'DCF Base Case'!$B$2*(1+B69)^5*$I69-'DCF Base Case'!$B$2*(1+B69)^4*B69*'DCF Base Case'!$B$4</f>
        <v>35.7815458277103</v>
      </c>
      <c r="O69" s="24" t="n">
        <f aca="false">J69/(1+H69)^1+K69/(1+H69)^2+L69/(1+H69)^3+M69/(1+H69)^4+N69/(1+H69)^5</f>
        <v>112.349522929807</v>
      </c>
      <c r="P69" s="24" t="n">
        <f aca="false">N69*(1+F69)/(H69-F69)</f>
        <v>507.580516118444</v>
      </c>
      <c r="Q69" s="24" t="n">
        <f aca="false">O69+P69/(1+H69)^5</f>
        <v>441.135281410712</v>
      </c>
      <c r="R69" s="24" t="n">
        <f aca="false">Q69-'DCF Base Case'!$B$5</f>
        <v>256.135281410712</v>
      </c>
      <c r="S69" s="32" t="n">
        <f aca="false">R69/'DCF Base Case'!$B$6</f>
        <v>10.2454112564285</v>
      </c>
    </row>
    <row r="70" customFormat="false" ht="15" hidden="false" customHeight="true" outlineLevel="0" collapsed="false">
      <c r="A70" s="6" t="n">
        <v>69</v>
      </c>
      <c r="B70" s="30" t="n">
        <v>0.0507534688300569</v>
      </c>
      <c r="C70" s="30" t="n">
        <v>0.372946533577162</v>
      </c>
      <c r="D70" s="30" t="n">
        <v>0.068695960628129</v>
      </c>
      <c r="E70" s="30" t="n">
        <v>0.244645149613473</v>
      </c>
      <c r="F70" s="30" t="n">
        <v>0.0165985114672586</v>
      </c>
      <c r="G70" s="30" t="n">
        <v>0.183111151071518</v>
      </c>
      <c r="H70" s="31" t="n">
        <f aca="false">MAX(D70,F70+0.015)</f>
        <v>0.068695960628129</v>
      </c>
      <c r="I70" s="25" t="n">
        <f aca="false">(C70-'DCF Base Case'!$B$3)*(1-E70)+'DCF Base Case'!$B$3-G70</f>
        <v>0.130399691450585</v>
      </c>
      <c r="J70" s="24" t="n">
        <f aca="false">'DCF Base Case'!$B$2*(1+B70)^1*$I70-'DCF Base Case'!$B$2*(1+B70)^0*B70*'DCF Base Case'!$B$4</f>
        <v>19.6468219888695</v>
      </c>
      <c r="K70" s="24" t="n">
        <f aca="false">'DCF Base Case'!$B$2*(1+B70)^2*$I70-'DCF Base Case'!$B$2*(1+B70)^1*B70*'DCF Base Case'!$B$4</f>
        <v>20.6439663562913</v>
      </c>
      <c r="L70" s="24" t="n">
        <f aca="false">'DCF Base Case'!$B$2*(1+B70)^3*$I70-'DCF Base Case'!$B$2*(1+B70)^2*B70*'DCF Base Case'!$B$4</f>
        <v>21.6917192592841</v>
      </c>
      <c r="M70" s="24" t="n">
        <f aca="false">'DCF Base Case'!$B$2*(1+B70)^4*$I70-'DCF Base Case'!$B$2*(1+B70)^3*B70*'DCF Base Case'!$B$4</f>
        <v>22.7926492565805</v>
      </c>
      <c r="N70" s="24" t="n">
        <f aca="false">'DCF Base Case'!$B$2*(1+B70)^5*$I70-'DCF Base Case'!$B$2*(1+B70)^4*B70*'DCF Base Case'!$B$4</f>
        <v>23.9494552701788</v>
      </c>
      <c r="O70" s="24" t="n">
        <f aca="false">J70/(1+H70)^1+K70/(1+H70)^2+L70/(1+H70)^3+M70/(1+H70)^4+N70/(1+H70)^5</f>
        <v>88.8844874302203</v>
      </c>
      <c r="P70" s="24" t="n">
        <f aca="false">N70*(1+F70)/(H70-F70)</f>
        <v>467.335368051034</v>
      </c>
      <c r="Q70" s="24" t="n">
        <f aca="false">O70+P70/(1+H70)^5</f>
        <v>424.1260145854</v>
      </c>
      <c r="R70" s="24" t="n">
        <f aca="false">Q70-'DCF Base Case'!$B$5</f>
        <v>239.1260145854</v>
      </c>
      <c r="S70" s="32" t="n">
        <f aca="false">R70/'DCF Base Case'!$B$6</f>
        <v>9.56504058341601</v>
      </c>
    </row>
    <row r="71" customFormat="false" ht="15" hidden="false" customHeight="true" outlineLevel="0" collapsed="false">
      <c r="A71" s="6" t="n">
        <v>70</v>
      </c>
      <c r="B71" s="30" t="n">
        <v>0.0840378520018647</v>
      </c>
      <c r="C71" s="30" t="n">
        <v>0.416608975929379</v>
      </c>
      <c r="D71" s="30" t="n">
        <v>0.0969813924638187</v>
      </c>
      <c r="E71" s="30" t="n">
        <v>0.319797434003273</v>
      </c>
      <c r="F71" s="30" t="n">
        <v>0.019092688532541</v>
      </c>
      <c r="G71" s="30" t="n">
        <v>0.197030333187752</v>
      </c>
      <c r="H71" s="31" t="n">
        <f aca="false">MAX(D71,F71+0.015)</f>
        <v>0.0969813924638187</v>
      </c>
      <c r="I71" s="25" t="n">
        <f aca="false">(C71-'DCF Base Case'!$B$3)*(1-E71)+'DCF Base Case'!$B$3-G71</f>
        <v>0.127921827677106</v>
      </c>
      <c r="J71" s="24" t="n">
        <f aca="false">'DCF Base Case'!$B$2*(1+B71)^1*$I71-'DCF Base Case'!$B$2*(1+B71)^0*B71*'DCF Base Case'!$B$4</f>
        <v>19.741890322182</v>
      </c>
      <c r="K71" s="24" t="n">
        <f aca="false">'DCF Base Case'!$B$2*(1+B71)^2*$I71-'DCF Base Case'!$B$2*(1+B71)^1*B71*'DCF Base Case'!$B$4</f>
        <v>21.4009563793146</v>
      </c>
      <c r="L71" s="24" t="n">
        <f aca="false">'DCF Base Case'!$B$2*(1+B71)^3*$I71-'DCF Base Case'!$B$2*(1+B71)^2*B71*'DCF Base Case'!$B$4</f>
        <v>23.1994467842178</v>
      </c>
      <c r="M71" s="24" t="n">
        <f aca="false">'DCF Base Case'!$B$2*(1+B71)^4*$I71-'DCF Base Case'!$B$2*(1+B71)^3*B71*'DCF Base Case'!$B$4</f>
        <v>25.1490784595951</v>
      </c>
      <c r="N71" s="24" t="n">
        <f aca="false">'DCF Base Case'!$B$2*(1+B71)^5*$I71-'DCF Base Case'!$B$2*(1+B71)^4*B71*'DCF Base Case'!$B$4</f>
        <v>27.2625529931658</v>
      </c>
      <c r="O71" s="24" t="n">
        <f aca="false">J71/(1+H71)^1+K71/(1+H71)^2+L71/(1+H71)^3+M71/(1+H71)^4+N71/(1+H71)^5</f>
        <v>87.8842463991373</v>
      </c>
      <c r="P71" s="24" t="n">
        <f aca="false">N71*(1+F71)/(H71-F71)</f>
        <v>356.702153505849</v>
      </c>
      <c r="Q71" s="24" t="n">
        <f aca="false">O71+P71/(1+H71)^5</f>
        <v>312.432368132024</v>
      </c>
      <c r="R71" s="24" t="n">
        <f aca="false">Q71-'DCF Base Case'!$B$5</f>
        <v>127.432368132024</v>
      </c>
      <c r="S71" s="32" t="n">
        <f aca="false">R71/'DCF Base Case'!$B$6</f>
        <v>5.09729472528097</v>
      </c>
    </row>
    <row r="72" customFormat="false" ht="15" hidden="false" customHeight="true" outlineLevel="0" collapsed="false">
      <c r="A72" s="6" t="n">
        <v>71</v>
      </c>
      <c r="B72" s="30" t="n">
        <v>0.0918700351094147</v>
      </c>
      <c r="C72" s="30" t="n">
        <v>0.396821375023398</v>
      </c>
      <c r="D72" s="30" t="n">
        <v>0.0784615961258139</v>
      </c>
      <c r="E72" s="30" t="n">
        <v>0.252353264203279</v>
      </c>
      <c r="F72" s="30" t="n">
        <v>0.0157241607244708</v>
      </c>
      <c r="G72" s="30" t="n">
        <v>0.157956048923091</v>
      </c>
      <c r="H72" s="31" t="n">
        <f aca="false">MAX(D72,F72+0.015)</f>
        <v>0.0784615961258139</v>
      </c>
      <c r="I72" s="25" t="n">
        <f aca="false">(C72-'DCF Base Case'!$B$3)*(1-E72)+'DCF Base Case'!$B$3-G72</f>
        <v>0.171532081153945</v>
      </c>
      <c r="J72" s="24" t="n">
        <f aca="false">'DCF Base Case'!$B$2*(1+B72)^1*$I72-'DCF Base Case'!$B$2*(1+B72)^0*B72*'DCF Base Case'!$B$4</f>
        <v>26.7575225707067</v>
      </c>
      <c r="K72" s="24" t="n">
        <f aca="false">'DCF Base Case'!$B$2*(1+B72)^2*$I72-'DCF Base Case'!$B$2*(1+B72)^1*B72*'DCF Base Case'!$B$4</f>
        <v>29.2157371087184</v>
      </c>
      <c r="L72" s="24" t="n">
        <f aca="false">'DCF Base Case'!$B$2*(1+B72)^3*$I72-'DCF Base Case'!$B$2*(1+B72)^2*B72*'DCF Base Case'!$B$4</f>
        <v>31.8997879026438</v>
      </c>
      <c r="M72" s="24" t="n">
        <f aca="false">'DCF Base Case'!$B$2*(1+B72)^4*$I72-'DCF Base Case'!$B$2*(1+B72)^3*B72*'DCF Base Case'!$B$4</f>
        <v>34.8304225372426</v>
      </c>
      <c r="N72" s="24" t="n">
        <f aca="false">'DCF Base Case'!$B$2*(1+B72)^5*$I72-'DCF Base Case'!$B$2*(1+B72)^4*B72*'DCF Base Case'!$B$4</f>
        <v>38.0302946786148</v>
      </c>
      <c r="O72" s="24" t="n">
        <f aca="false">J72/(1+H72)^1+K72/(1+H72)^2+L72/(1+H72)^3+M72/(1+H72)^4+N72/(1+H72)^5</f>
        <v>127.177431910299</v>
      </c>
      <c r="P72" s="24" t="n">
        <f aca="false">N72*(1+F72)/(H72-F72)</f>
        <v>615.713551206357</v>
      </c>
      <c r="Q72" s="24" t="n">
        <f aca="false">O72+P72/(1+H72)^5</f>
        <v>549.219059621257</v>
      </c>
      <c r="R72" s="24" t="n">
        <f aca="false">Q72-'DCF Base Case'!$B$5</f>
        <v>364.219059621257</v>
      </c>
      <c r="S72" s="32" t="n">
        <f aca="false">R72/'DCF Base Case'!$B$6</f>
        <v>14.5687623848503</v>
      </c>
    </row>
    <row r="73" customFormat="false" ht="15" hidden="false" customHeight="true" outlineLevel="0" collapsed="false">
      <c r="A73" s="6" t="n">
        <v>72</v>
      </c>
      <c r="B73" s="30" t="n">
        <v>0.107533221684425</v>
      </c>
      <c r="C73" s="30" t="n">
        <v>0.449198775900356</v>
      </c>
      <c r="D73" s="30" t="n">
        <v>0.0697960033308526</v>
      </c>
      <c r="E73" s="30" t="n">
        <v>0.291369698690936</v>
      </c>
      <c r="F73" s="30" t="n">
        <v>0.0151071161491342</v>
      </c>
      <c r="G73" s="30" t="n">
        <v>0.176353594873832</v>
      </c>
      <c r="H73" s="31" t="n">
        <f aca="false">MAX(D73,F73+0.015)</f>
        <v>0.0697960033308526</v>
      </c>
      <c r="I73" s="25" t="n">
        <f aca="false">(C73-'DCF Base Case'!$B$3)*(1-E73)+'DCF Base Case'!$B$3-G73</f>
        <v>0.179840329869922</v>
      </c>
      <c r="J73" s="24" t="n">
        <f aca="false">'DCF Base Case'!$B$2*(1+B73)^1*$I73-'DCF Base Case'!$B$2*(1+B73)^0*B73*'DCF Base Case'!$B$4</f>
        <v>28.4132057754682</v>
      </c>
      <c r="K73" s="24" t="n">
        <f aca="false">'DCF Base Case'!$B$2*(1+B73)^2*$I73-'DCF Base Case'!$B$2*(1+B73)^1*B73*'DCF Base Case'!$B$4</f>
        <v>31.4685693308869</v>
      </c>
      <c r="L73" s="24" t="n">
        <f aca="false">'DCF Base Case'!$B$2*(1+B73)^3*$I73-'DCF Base Case'!$B$2*(1+B73)^2*B73*'DCF Base Case'!$B$4</f>
        <v>34.8524859728368</v>
      </c>
      <c r="M73" s="24" t="n">
        <f aca="false">'DCF Base Case'!$B$2*(1+B73)^4*$I73-'DCF Base Case'!$B$2*(1+B73)^3*B73*'DCF Base Case'!$B$4</f>
        <v>38.6002860732072</v>
      </c>
      <c r="N73" s="24" t="n">
        <f aca="false">'DCF Base Case'!$B$2*(1+B73)^5*$I73-'DCF Base Case'!$B$2*(1+B73)^4*B73*'DCF Base Case'!$B$4</f>
        <v>42.7510991925996</v>
      </c>
      <c r="O73" s="24" t="n">
        <f aca="false">J73/(1+H73)^1+K73/(1+H73)^2+L73/(1+H73)^3+M73/(1+H73)^4+N73/(1+H73)^5</f>
        <v>142.502557618111</v>
      </c>
      <c r="P73" s="24" t="n">
        <f aca="false">N73*(1+F73)/(H73-F73)</f>
        <v>793.524009172237</v>
      </c>
      <c r="Q73" s="24" t="n">
        <f aca="false">O73+P73/(1+H73)^5</f>
        <v>708.813842770215</v>
      </c>
      <c r="R73" s="24" t="n">
        <f aca="false">Q73-'DCF Base Case'!$B$5</f>
        <v>523.813842770215</v>
      </c>
      <c r="S73" s="32" t="n">
        <f aca="false">R73/'DCF Base Case'!$B$6</f>
        <v>20.9525537108086</v>
      </c>
    </row>
    <row r="74" customFormat="false" ht="15" hidden="false" customHeight="true" outlineLevel="0" collapsed="false">
      <c r="A74" s="6" t="n">
        <v>73</v>
      </c>
      <c r="B74" s="30" t="n">
        <v>0.0873208928815387</v>
      </c>
      <c r="C74" s="30" t="n">
        <v>0.375320736044491</v>
      </c>
      <c r="D74" s="30" t="n">
        <v>0.0952112669072533</v>
      </c>
      <c r="E74" s="30" t="n">
        <v>0.265139135576115</v>
      </c>
      <c r="F74" s="30" t="n">
        <v>0.0172057909871294</v>
      </c>
      <c r="G74" s="30" t="n">
        <v>0.143863393223606</v>
      </c>
      <c r="H74" s="31" t="n">
        <f aca="false">MAX(D74,F74+0.015)</f>
        <v>0.0952112669072533</v>
      </c>
      <c r="I74" s="25" t="n">
        <f aca="false">(C74-'DCF Base Case'!$B$3)*(1-E74)+'DCF Base Case'!$B$3-G74</f>
        <v>0.166413214927152</v>
      </c>
      <c r="J74" s="24" t="n">
        <f aca="false">'DCF Base Case'!$B$2*(1+B74)^1*$I74-'DCF Base Case'!$B$2*(1+B74)^0*B74*'DCF Base Case'!$B$4</f>
        <v>25.8571161050377</v>
      </c>
      <c r="K74" s="24" t="n">
        <f aca="false">'DCF Base Case'!$B$2*(1+B74)^2*$I74-'DCF Base Case'!$B$2*(1+B74)^1*B74*'DCF Base Case'!$B$4</f>
        <v>28.1149825706712</v>
      </c>
      <c r="L74" s="24" t="n">
        <f aca="false">'DCF Base Case'!$B$2*(1+B74)^3*$I74-'DCF Base Case'!$B$2*(1+B74)^2*B74*'DCF Base Case'!$B$4</f>
        <v>30.5700079520912</v>
      </c>
      <c r="M74" s="24" t="n">
        <f aca="false">'DCF Base Case'!$B$2*(1+B74)^4*$I74-'DCF Base Case'!$B$2*(1+B74)^3*B74*'DCF Base Case'!$B$4</f>
        <v>33.2394083418635</v>
      </c>
      <c r="N74" s="24" t="n">
        <f aca="false">'DCF Base Case'!$B$2*(1+B74)^5*$I74-'DCF Base Case'!$B$2*(1+B74)^4*B74*'DCF Base Case'!$B$4</f>
        <v>36.1419031571291</v>
      </c>
      <c r="O74" s="24" t="n">
        <f aca="false">J74/(1+H74)^1+K74/(1+H74)^2+L74/(1+H74)^3+M74/(1+H74)^4+N74/(1+H74)^5</f>
        <v>116.357545653128</v>
      </c>
      <c r="P74" s="24" t="n">
        <f aca="false">N74*(1+F74)/(H74-F74)</f>
        <v>471.297082096815</v>
      </c>
      <c r="Q74" s="24" t="n">
        <f aca="false">O74+P74/(1+H74)^5</f>
        <v>415.44984833247</v>
      </c>
      <c r="R74" s="24" t="n">
        <f aca="false">Q74-'DCF Base Case'!$B$5</f>
        <v>230.44984833247</v>
      </c>
      <c r="S74" s="32" t="n">
        <f aca="false">R74/'DCF Base Case'!$B$6</f>
        <v>9.2179939332988</v>
      </c>
    </row>
    <row r="75" customFormat="false" ht="15" hidden="false" customHeight="true" outlineLevel="0" collapsed="false">
      <c r="A75" s="6" t="n">
        <v>74</v>
      </c>
      <c r="B75" s="30" t="n">
        <v>0.0758095419558087</v>
      </c>
      <c r="C75" s="30" t="n">
        <v>0.418389036721425</v>
      </c>
      <c r="D75" s="30" t="n">
        <v>0.0829183122496996</v>
      </c>
      <c r="E75" s="30" t="n">
        <v>0.289378755120307</v>
      </c>
      <c r="F75" s="30" t="n">
        <v>0.0206385089548734</v>
      </c>
      <c r="G75" s="30" t="n">
        <v>0.196339006478286</v>
      </c>
      <c r="H75" s="31" t="n">
        <f aca="false">MAX(D75,F75+0.015)</f>
        <v>0.0829183122496996</v>
      </c>
      <c r="I75" s="25" t="n">
        <f aca="false">(C75-'DCF Base Case'!$B$3)*(1-E75)+'DCF Base Case'!$B$3-G75</f>
        <v>0.138596369806349</v>
      </c>
      <c r="J75" s="24" t="n">
        <f aca="false">'DCF Base Case'!$B$2*(1+B75)^1*$I75-'DCF Base Case'!$B$2*(1+B75)^0*B75*'DCF Base Case'!$B$4</f>
        <v>21.2902065746176</v>
      </c>
      <c r="K75" s="24" t="n">
        <f aca="false">'DCF Base Case'!$B$2*(1+B75)^2*$I75-'DCF Base Case'!$B$2*(1+B75)^1*B75*'DCF Base Case'!$B$4</f>
        <v>22.9042073831839</v>
      </c>
      <c r="L75" s="24" t="n">
        <f aca="false">'DCF Base Case'!$B$2*(1+B75)^3*$I75-'DCF Base Case'!$B$2*(1+B75)^2*B75*'DCF Base Case'!$B$4</f>
        <v>24.6405648537639</v>
      </c>
      <c r="M75" s="24" t="n">
        <f aca="false">'DCF Base Case'!$B$2*(1+B75)^4*$I75-'DCF Base Case'!$B$2*(1+B75)^3*B75*'DCF Base Case'!$B$4</f>
        <v>26.5085547888601</v>
      </c>
      <c r="N75" s="24" t="n">
        <f aca="false">'DCF Base Case'!$B$2*(1+B75)^5*$I75-'DCF Base Case'!$B$2*(1+B75)^4*B75*'DCF Base Case'!$B$4</f>
        <v>28.5181561853141</v>
      </c>
      <c r="O75" s="24" t="n">
        <f aca="false">J75/(1+H75)^1+K75/(1+H75)^2+L75/(1+H75)^3+M75/(1+H75)^4+N75/(1+H75)^5</f>
        <v>97.0180203160186</v>
      </c>
      <c r="P75" s="24" t="n">
        <f aca="false">N75*(1+F75)/(H75-F75)</f>
        <v>467.354212236877</v>
      </c>
      <c r="Q75" s="24" t="n">
        <f aca="false">O75+P75/(1+H75)^5</f>
        <v>410.828666121083</v>
      </c>
      <c r="R75" s="24" t="n">
        <f aca="false">Q75-'DCF Base Case'!$B$5</f>
        <v>225.828666121083</v>
      </c>
      <c r="S75" s="32" t="n">
        <f aca="false">R75/'DCF Base Case'!$B$6</f>
        <v>9.03314664484332</v>
      </c>
    </row>
    <row r="76" customFormat="false" ht="15" hidden="false" customHeight="true" outlineLevel="0" collapsed="false">
      <c r="A76" s="6" t="n">
        <v>75</v>
      </c>
      <c r="B76" s="30" t="n">
        <v>0.0827714666992559</v>
      </c>
      <c r="C76" s="30" t="n">
        <v>0.379954732163825</v>
      </c>
      <c r="D76" s="30" t="n">
        <v>0.0967394465822918</v>
      </c>
      <c r="E76" s="30" t="n">
        <v>0.271033963503642</v>
      </c>
      <c r="F76" s="30" t="n">
        <v>0.0233295956057731</v>
      </c>
      <c r="G76" s="30" t="n">
        <v>0.174127126629053</v>
      </c>
      <c r="H76" s="31" t="n">
        <f aca="false">MAX(D76,F76+0.015)</f>
        <v>0.0967394465822918</v>
      </c>
      <c r="I76" s="25" t="n">
        <f aca="false">(C76-'DCF Base Case'!$B$3)*(1-E76)+'DCF Base Case'!$B$3-G76</f>
        <v>0.138081383779919</v>
      </c>
      <c r="J76" s="24" t="n">
        <f aca="false">'DCF Base Case'!$B$2*(1+B76)^1*$I76-'DCF Base Case'!$B$2*(1+B76)^0*B76*'DCF Base Case'!$B$4</f>
        <v>21.3189785735489</v>
      </c>
      <c r="K76" s="24" t="n">
        <f aca="false">'DCF Base Case'!$B$2*(1+B76)^2*$I76-'DCF Base Case'!$B$2*(1+B76)^1*B76*'DCF Base Case'!$B$4</f>
        <v>23.0835816986116</v>
      </c>
      <c r="L76" s="24" t="n">
        <f aca="false">'DCF Base Case'!$B$2*(1+B76)^3*$I76-'DCF Base Case'!$B$2*(1+B76)^2*B76*'DCF Base Case'!$B$4</f>
        <v>24.9942436124777</v>
      </c>
      <c r="M76" s="24" t="n">
        <f aca="false">'DCF Base Case'!$B$2*(1+B76)^4*$I76-'DCF Base Case'!$B$2*(1+B76)^3*B76*'DCF Base Case'!$B$4</f>
        <v>27.063053815321</v>
      </c>
      <c r="N76" s="24" t="n">
        <f aca="false">'DCF Base Case'!$B$2*(1+B76)^5*$I76-'DCF Base Case'!$B$2*(1+B76)^4*B76*'DCF Base Case'!$B$4</f>
        <v>29.303102472976</v>
      </c>
      <c r="O76" s="24" t="n">
        <f aca="false">J76/(1+H76)^1+K76/(1+H76)^2+L76/(1+H76)^3+M76/(1+H76)^4+N76/(1+H76)^5</f>
        <v>94.7481982030267</v>
      </c>
      <c r="P76" s="24" t="n">
        <f aca="false">N76*(1+F76)/(H76-F76)</f>
        <v>408.483760759259</v>
      </c>
      <c r="Q76" s="24" t="n">
        <f aca="false">O76+P76/(1+H76)^5</f>
        <v>352.177201647149</v>
      </c>
      <c r="R76" s="24" t="n">
        <f aca="false">Q76-'DCF Base Case'!$B$5</f>
        <v>167.177201647149</v>
      </c>
      <c r="S76" s="32" t="n">
        <f aca="false">R76/'DCF Base Case'!$B$6</f>
        <v>6.68708806588597</v>
      </c>
    </row>
    <row r="77" customFormat="false" ht="15" hidden="false" customHeight="true" outlineLevel="0" collapsed="false">
      <c r="A77" s="6" t="n">
        <v>76</v>
      </c>
      <c r="B77" s="30" t="n">
        <v>0.0873198296884443</v>
      </c>
      <c r="C77" s="30" t="n">
        <v>0.420532283565782</v>
      </c>
      <c r="D77" s="30" t="n">
        <v>0.106461138161389</v>
      </c>
      <c r="E77" s="30" t="n">
        <v>0.336320576989225</v>
      </c>
      <c r="F77" s="30" t="n">
        <v>0.019609368011874</v>
      </c>
      <c r="G77" s="30" t="n">
        <v>0.168831720593159</v>
      </c>
      <c r="H77" s="31" t="n">
        <f aca="false">MAX(D77,F77+0.015)</f>
        <v>0.106461138161389</v>
      </c>
      <c r="I77" s="25" t="n">
        <f aca="false">(C77-'DCF Base Case'!$B$3)*(1-E77)+'DCF Base Case'!$B$3-G77</f>
        <v>0.153988577729782</v>
      </c>
      <c r="J77" s="24" t="n">
        <f aca="false">'DCF Base Case'!$B$2*(1+B77)^1*$I77-'DCF Base Case'!$B$2*(1+B77)^0*B77*'DCF Base Case'!$B$4</f>
        <v>23.8982096869666</v>
      </c>
      <c r="K77" s="24" t="n">
        <f aca="false">'DCF Base Case'!$B$2*(1+B77)^2*$I77-'DCF Base Case'!$B$2*(1+B77)^1*B77*'DCF Base Case'!$B$4</f>
        <v>25.9849972866912</v>
      </c>
      <c r="L77" s="24" t="n">
        <f aca="false">'DCF Base Case'!$B$2*(1+B77)^3*$I77-'DCF Base Case'!$B$2*(1+B77)^2*B77*'DCF Base Case'!$B$4</f>
        <v>28.2540028242198</v>
      </c>
      <c r="M77" s="24" t="n">
        <f aca="false">'DCF Base Case'!$B$2*(1+B77)^4*$I77-'DCF Base Case'!$B$2*(1+B77)^3*B77*'DCF Base Case'!$B$4</f>
        <v>30.7211375388475</v>
      </c>
      <c r="N77" s="24" t="n">
        <f aca="false">'DCF Base Case'!$B$2*(1+B77)^5*$I77-'DCF Base Case'!$B$2*(1+B77)^4*B77*'DCF Base Case'!$B$4</f>
        <v>33.4037020365749</v>
      </c>
      <c r="O77" s="24" t="n">
        <f aca="false">J77/(1+H77)^1+K77/(1+H77)^2+L77/(1+H77)^3+M77/(1+H77)^4+N77/(1+H77)^5</f>
        <v>104.321480857779</v>
      </c>
      <c r="P77" s="24" t="n">
        <f aca="false">N77*(1+F77)/(H77-F77)</f>
        <v>392.147764681562</v>
      </c>
      <c r="Q77" s="24" t="n">
        <f aca="false">O77+P77/(1+H77)^5</f>
        <v>340.787597359668</v>
      </c>
      <c r="R77" s="24" t="n">
        <f aca="false">Q77-'DCF Base Case'!$B$5</f>
        <v>155.787597359668</v>
      </c>
      <c r="S77" s="32" t="n">
        <f aca="false">R77/'DCF Base Case'!$B$6</f>
        <v>6.23150389438673</v>
      </c>
    </row>
    <row r="78" customFormat="false" ht="15" hidden="false" customHeight="true" outlineLevel="0" collapsed="false">
      <c r="A78" s="6" t="n">
        <v>77</v>
      </c>
      <c r="B78" s="30" t="n">
        <v>0.113456645636781</v>
      </c>
      <c r="C78" s="30" t="n">
        <v>0.405092711575517</v>
      </c>
      <c r="D78" s="30" t="n">
        <v>0.0886637740988008</v>
      </c>
      <c r="E78" s="30" t="n">
        <v>0.278921630077553</v>
      </c>
      <c r="F78" s="30" t="n">
        <v>0.0204676182411447</v>
      </c>
      <c r="G78" s="30" t="n">
        <v>0.14844773319333</v>
      </c>
      <c r="H78" s="31" t="n">
        <f aca="false">MAX(D78,F78+0.015)</f>
        <v>0.0886637740988008</v>
      </c>
      <c r="I78" s="25" t="n">
        <f aca="false">(C78-'DCF Base Case'!$B$3)*(1-E78)+'DCF Base Case'!$B$3-G78</f>
        <v>0.17991567084709</v>
      </c>
      <c r="J78" s="24" t="n">
        <f aca="false">'DCF Base Case'!$B$2*(1+B78)^1*$I78-'DCF Base Case'!$B$2*(1+B78)^0*B78*'DCF Base Case'!$B$4</f>
        <v>28.5540669985193</v>
      </c>
      <c r="K78" s="24" t="n">
        <f aca="false">'DCF Base Case'!$B$2*(1+B78)^2*$I78-'DCF Base Case'!$B$2*(1+B78)^1*B78*'DCF Base Case'!$B$4</f>
        <v>31.7937156594592</v>
      </c>
      <c r="L78" s="24" t="n">
        <f aca="false">'DCF Base Case'!$B$2*(1+B78)^3*$I78-'DCF Base Case'!$B$2*(1+B78)^2*B78*'DCF Base Case'!$B$4</f>
        <v>35.400923990511</v>
      </c>
      <c r="M78" s="24" t="n">
        <f aca="false">'DCF Base Case'!$B$2*(1+B78)^4*$I78-'DCF Base Case'!$B$2*(1+B78)^3*B78*'DCF Base Case'!$B$4</f>
        <v>39.4173940789171</v>
      </c>
      <c r="N78" s="24" t="n">
        <f aca="false">'DCF Base Case'!$B$2*(1+B78)^5*$I78-'DCF Base Case'!$B$2*(1+B78)^4*B78*'DCF Base Case'!$B$4</f>
        <v>43.8895593908541</v>
      </c>
      <c r="O78" s="24" t="n">
        <f aca="false">J78/(1+H78)^1+K78/(1+H78)^2+L78/(1+H78)^3+M78/(1+H78)^4+N78/(1+H78)^5</f>
        <v>137.253516561454</v>
      </c>
      <c r="P78" s="24" t="n">
        <f aca="false">N78*(1+F78)/(H78-F78)</f>
        <v>656.750715256189</v>
      </c>
      <c r="Q78" s="24" t="n">
        <f aca="false">O78+P78/(1+H78)^5</f>
        <v>566.722392576952</v>
      </c>
      <c r="R78" s="24" t="n">
        <f aca="false">Q78-'DCF Base Case'!$B$5</f>
        <v>381.722392576952</v>
      </c>
      <c r="S78" s="32" t="n">
        <f aca="false">R78/'DCF Base Case'!$B$6</f>
        <v>15.2688957030781</v>
      </c>
    </row>
    <row r="79" customFormat="false" ht="15" hidden="false" customHeight="true" outlineLevel="0" collapsed="false">
      <c r="A79" s="6" t="n">
        <v>78</v>
      </c>
      <c r="B79" s="30" t="n">
        <v>0.0567281446380004</v>
      </c>
      <c r="C79" s="30" t="n">
        <v>0.366119323061634</v>
      </c>
      <c r="D79" s="30" t="n">
        <v>0.0727087747571143</v>
      </c>
      <c r="E79" s="30" t="n">
        <v>0.268146554473618</v>
      </c>
      <c r="F79" s="30" t="n">
        <v>0.0182048994523618</v>
      </c>
      <c r="G79" s="30" t="n">
        <v>0.207424178842927</v>
      </c>
      <c r="H79" s="31" t="n">
        <f aca="false">MAX(D79,F79+0.015)</f>
        <v>0.0727087747571143</v>
      </c>
      <c r="I79" s="25" t="n">
        <f aca="false">(C79-'DCF Base Case'!$B$3)*(1-E79)+'DCF Base Case'!$B$3-G79</f>
        <v>0.0953805612950867</v>
      </c>
      <c r="J79" s="24" t="n">
        <f aca="false">'DCF Base Case'!$B$2*(1+B79)^1*$I79-'DCF Base Case'!$B$2*(1+B79)^0*B79*'DCF Base Case'!$B$4</f>
        <v>14.3679744887485</v>
      </c>
      <c r="K79" s="24" t="n">
        <f aca="false">'DCF Base Case'!$B$2*(1+B79)^2*$I79-'DCF Base Case'!$B$2*(1+B79)^1*B79*'DCF Base Case'!$B$4</f>
        <v>15.1830430237013</v>
      </c>
      <c r="L79" s="24" t="n">
        <f aca="false">'DCF Base Case'!$B$2*(1+B79)^3*$I79-'DCF Base Case'!$B$2*(1+B79)^2*B79*'DCF Base Case'!$B$4</f>
        <v>16.0443488843948</v>
      </c>
      <c r="M79" s="24" t="n">
        <f aca="false">'DCF Base Case'!$B$2*(1+B79)^4*$I79-'DCF Base Case'!$B$2*(1+B79)^3*B79*'DCF Base Case'!$B$4</f>
        <v>16.9545150285313</v>
      </c>
      <c r="N79" s="24" t="n">
        <f aca="false">'DCF Base Case'!$B$2*(1+B79)^5*$I79-'DCF Base Case'!$B$2*(1+B79)^4*B79*'DCF Base Case'!$B$4</f>
        <v>17.916313209337</v>
      </c>
      <c r="O79" s="24" t="n">
        <f aca="false">J79/(1+H79)^1+K79/(1+H79)^2+L79/(1+H79)^3+M79/(1+H79)^4+N79/(1+H79)^5</f>
        <v>65.004652014954</v>
      </c>
      <c r="P79" s="24" t="n">
        <f aca="false">N79*(1+F79)/(H79-F79)</f>
        <v>334.700565562891</v>
      </c>
      <c r="Q79" s="24" t="n">
        <f aca="false">O79+P79/(1+H79)^5</f>
        <v>300.643711354346</v>
      </c>
      <c r="R79" s="24" t="n">
        <f aca="false">Q79-'DCF Base Case'!$B$5</f>
        <v>115.643711354346</v>
      </c>
      <c r="S79" s="32" t="n">
        <f aca="false">R79/'DCF Base Case'!$B$6</f>
        <v>4.62574845417384</v>
      </c>
    </row>
    <row r="80" customFormat="false" ht="15" hidden="false" customHeight="true" outlineLevel="0" collapsed="false">
      <c r="A80" s="6" t="n">
        <v>79</v>
      </c>
      <c r="B80" s="30" t="n">
        <v>0.114080442273715</v>
      </c>
      <c r="C80" s="30" t="n">
        <v>0.402678571713103</v>
      </c>
      <c r="D80" s="30" t="n">
        <v>0.0888247929769605</v>
      </c>
      <c r="E80" s="30" t="n">
        <v>0.269287888831412</v>
      </c>
      <c r="F80" s="30" t="n">
        <v>0.0182408441469699</v>
      </c>
      <c r="G80" s="30" t="n">
        <v>0.16941422271563</v>
      </c>
      <c r="H80" s="31" t="n">
        <f aca="false">MAX(D80,F80+0.015)</f>
        <v>0.0888247929769605</v>
      </c>
      <c r="I80" s="25" t="n">
        <f aca="false">(C80-'DCF Base Case'!$B$3)*(1-E80)+'DCF Base Case'!$B$3-G80</f>
        <v>0.159835312091287</v>
      </c>
      <c r="J80" s="24" t="n">
        <f aca="false">'DCF Base Case'!$B$2*(1+B80)^1*$I80-'DCF Base Case'!$B$2*(1+B80)^0*B80*'DCF Base Case'!$B$4</f>
        <v>25.3238123780239</v>
      </c>
      <c r="K80" s="24" t="n">
        <f aca="false">'DCF Base Case'!$B$2*(1+B80)^2*$I80-'DCF Base Case'!$B$2*(1+B80)^1*B80*'DCF Base Case'!$B$4</f>
        <v>28.2127640941655</v>
      </c>
      <c r="L80" s="24" t="n">
        <f aca="false">'DCF Base Case'!$B$2*(1+B80)^3*$I80-'DCF Base Case'!$B$2*(1+B80)^2*B80*'DCF Base Case'!$B$4</f>
        <v>31.4312886997919</v>
      </c>
      <c r="M80" s="24" t="n">
        <f aca="false">'DCF Base Case'!$B$2*(1+B80)^4*$I80-'DCF Base Case'!$B$2*(1+B80)^3*B80*'DCF Base Case'!$B$4</f>
        <v>35.016984015897</v>
      </c>
      <c r="N80" s="24" t="n">
        <f aca="false">'DCF Base Case'!$B$2*(1+B80)^5*$I80-'DCF Base Case'!$B$2*(1+B80)^4*B80*'DCF Base Case'!$B$4</f>
        <v>39.0117370395221</v>
      </c>
      <c r="O80" s="24" t="n">
        <f aca="false">J80/(1+H80)^1+K80/(1+H80)^2+L80/(1+H80)^3+M80/(1+H80)^4+N80/(1+H80)^5</f>
        <v>121.81100195284</v>
      </c>
      <c r="P80" s="24" t="n">
        <f aca="false">N80*(1+F80)/(H80-F80)</f>
        <v>562.781548967184</v>
      </c>
      <c r="Q80" s="24" t="n">
        <f aca="false">O80+P80/(1+H80)^5</f>
        <v>489.558599006503</v>
      </c>
      <c r="R80" s="24" t="n">
        <f aca="false">Q80-'DCF Base Case'!$B$5</f>
        <v>304.558599006503</v>
      </c>
      <c r="S80" s="32" t="n">
        <f aca="false">R80/'DCF Base Case'!$B$6</f>
        <v>12.1823439602601</v>
      </c>
    </row>
    <row r="81" customFormat="false" ht="15" hidden="false" customHeight="true" outlineLevel="0" collapsed="false">
      <c r="A81" s="6" t="n">
        <v>80</v>
      </c>
      <c r="B81" s="30" t="n">
        <v>0.103400695460302</v>
      </c>
      <c r="C81" s="30" t="n">
        <v>0.41252081601798</v>
      </c>
      <c r="D81" s="30" t="n">
        <v>0.096702366860078</v>
      </c>
      <c r="E81" s="30" t="n">
        <v>0.256698133658119</v>
      </c>
      <c r="F81" s="30" t="n">
        <v>0.0193777693528409</v>
      </c>
      <c r="G81" s="30" t="n">
        <v>0.214693655809618</v>
      </c>
      <c r="H81" s="31" t="n">
        <f aca="false">MAX(D81,F81+0.015)</f>
        <v>0.096702366860078</v>
      </c>
      <c r="I81" s="25" t="n">
        <f aca="false">(C81-'DCF Base Case'!$B$3)*(1-E81)+'DCF Base Case'!$B$3-G81</f>
        <v>0.125304594016978</v>
      </c>
      <c r="J81" s="24" t="n">
        <f aca="false">'DCF Base Case'!$B$2*(1+B81)^1*$I81-'DCF Base Case'!$B$2*(1+B81)^0*B81*'DCF Base Case'!$B$4</f>
        <v>19.5980775212398</v>
      </c>
      <c r="K81" s="24" t="n">
        <f aca="false">'DCF Base Case'!$B$2*(1+B81)^2*$I81-'DCF Base Case'!$B$2*(1+B81)^1*B81*'DCF Base Case'!$B$4</f>
        <v>21.6245323666209</v>
      </c>
      <c r="L81" s="24" t="n">
        <f aca="false">'DCF Base Case'!$B$2*(1+B81)^3*$I81-'DCF Base Case'!$B$2*(1+B81)^2*B81*'DCF Base Case'!$B$4</f>
        <v>23.8605240523333</v>
      </c>
      <c r="M81" s="24" t="n">
        <f aca="false">'DCF Base Case'!$B$2*(1+B81)^4*$I81-'DCF Base Case'!$B$2*(1+B81)^3*B81*'DCF Base Case'!$B$4</f>
        <v>26.3277188333918</v>
      </c>
      <c r="N81" s="24" t="n">
        <f aca="false">'DCF Base Case'!$B$2*(1+B81)^5*$I81-'DCF Base Case'!$B$2*(1+B81)^4*B81*'DCF Base Case'!$B$4</f>
        <v>29.0500232706478</v>
      </c>
      <c r="O81" s="24" t="n">
        <f aca="false">J81/(1+H81)^1+K81/(1+H81)^2+L81/(1+H81)^3+M81/(1+H81)^4+N81/(1+H81)^5</f>
        <v>90.448161255068</v>
      </c>
      <c r="P81" s="24" t="n">
        <f aca="false">N81*(1+F81)/(H81-F81)</f>
        <v>382.969312171454</v>
      </c>
      <c r="Q81" s="24" t="n">
        <f aca="false">O81+P81/(1+H81)^5</f>
        <v>331.83860386123</v>
      </c>
      <c r="R81" s="24" t="n">
        <f aca="false">Q81-'DCF Base Case'!$B$5</f>
        <v>146.83860386123</v>
      </c>
      <c r="S81" s="32" t="n">
        <f aca="false">R81/'DCF Base Case'!$B$6</f>
        <v>5.87354415444921</v>
      </c>
    </row>
    <row r="82" customFormat="false" ht="15" hidden="false" customHeight="true" outlineLevel="0" collapsed="false">
      <c r="A82" s="6" t="n">
        <v>81</v>
      </c>
      <c r="B82" s="30" t="n">
        <v>0.0946272812101354</v>
      </c>
      <c r="C82" s="30" t="n">
        <v>0.442369282278137</v>
      </c>
      <c r="D82" s="30" t="n">
        <v>0.0860067219599053</v>
      </c>
      <c r="E82" s="30" t="n">
        <v>0.297284879442916</v>
      </c>
      <c r="F82" s="30" t="n">
        <v>0.0191399024262267</v>
      </c>
      <c r="G82" s="30" t="n">
        <v>0.161639643860815</v>
      </c>
      <c r="H82" s="31" t="n">
        <f aca="false">MAX(D82,F82+0.015)</f>
        <v>0.0860067219599053</v>
      </c>
      <c r="I82" s="25" t="n">
        <f aca="false">(C82-'DCF Base Case'!$B$3)*(1-E82)+'DCF Base Case'!$B$3-G82</f>
        <v>0.187866973993596</v>
      </c>
      <c r="J82" s="24" t="n">
        <f aca="false">'DCF Base Case'!$B$2*(1+B82)^1*$I82-'DCF Base Case'!$B$2*(1+B82)^0*B82*'DCF Base Case'!$B$4</f>
        <v>29.4067969976447</v>
      </c>
      <c r="K82" s="24" t="n">
        <f aca="false">'DCF Base Case'!$B$2*(1+B82)^2*$I82-'DCF Base Case'!$B$2*(1+B82)^1*B82*'DCF Base Case'!$B$4</f>
        <v>32.1894822466302</v>
      </c>
      <c r="L82" s="24" t="n">
        <f aca="false">'DCF Base Case'!$B$2*(1+B82)^3*$I82-'DCF Base Case'!$B$2*(1+B82)^2*B82*'DCF Base Case'!$B$4</f>
        <v>35.2354854351908</v>
      </c>
      <c r="M82" s="24" t="n">
        <f aca="false">'DCF Base Case'!$B$2*(1+B82)^4*$I82-'DCF Base Case'!$B$2*(1+B82)^3*B82*'DCF Base Case'!$B$4</f>
        <v>38.5697236240422</v>
      </c>
      <c r="N82" s="24" t="n">
        <f aca="false">'DCF Base Case'!$B$2*(1+B82)^5*$I82-'DCF Base Case'!$B$2*(1+B82)^4*B82*'DCF Base Case'!$B$4</f>
        <v>42.2194717076116</v>
      </c>
      <c r="O82" s="24" t="n">
        <f aca="false">J82/(1+H82)^1+K82/(1+H82)^2+L82/(1+H82)^3+M82/(1+H82)^4+N82/(1+H82)^5</f>
        <v>137.556105632621</v>
      </c>
      <c r="P82" s="24" t="n">
        <f aca="false">N82*(1+F82)/(H82-F82)</f>
        <v>643.481304728583</v>
      </c>
      <c r="Q82" s="24" t="n">
        <f aca="false">O82+P82/(1+H82)^5</f>
        <v>563.520566851421</v>
      </c>
      <c r="R82" s="24" t="n">
        <f aca="false">Q82-'DCF Base Case'!$B$5</f>
        <v>378.520566851421</v>
      </c>
      <c r="S82" s="32" t="n">
        <f aca="false">R82/'DCF Base Case'!$B$6</f>
        <v>15.1408226740569</v>
      </c>
    </row>
    <row r="83" customFormat="false" ht="15" hidden="false" customHeight="true" outlineLevel="0" collapsed="false">
      <c r="A83" s="6" t="n">
        <v>82</v>
      </c>
      <c r="B83" s="30" t="n">
        <v>0.0730036211332185</v>
      </c>
      <c r="C83" s="30" t="n">
        <v>0.417540695683555</v>
      </c>
      <c r="D83" s="30" t="n">
        <v>0.0756330909189566</v>
      </c>
      <c r="E83" s="30" t="n">
        <v>0.299969035429903</v>
      </c>
      <c r="F83" s="30" t="n">
        <v>0.0232303082090154</v>
      </c>
      <c r="G83" s="30" t="n">
        <v>0.173719272440802</v>
      </c>
      <c r="H83" s="31" t="n">
        <f aca="false">MAX(D83,F83+0.015)</f>
        <v>0.0756330909189566</v>
      </c>
      <c r="I83" s="25" t="n">
        <f aca="false">(C83-'DCF Base Case'!$B$3)*(1-E83)+'DCF Base Case'!$B$3-G83</f>
        <v>0.157568118111714</v>
      </c>
      <c r="J83" s="24" t="n">
        <f aca="false">'DCF Base Case'!$B$2*(1+B83)^1*$I83-'DCF Base Case'!$B$2*(1+B83)^0*B83*'DCF Base Case'!$B$4</f>
        <v>24.1977526378778</v>
      </c>
      <c r="K83" s="24" t="n">
        <f aca="false">'DCF Base Case'!$B$2*(1+B83)^2*$I83-'DCF Base Case'!$B$2*(1+B83)^1*B83*'DCF Base Case'!$B$4</f>
        <v>25.9642762037287</v>
      </c>
      <c r="L83" s="24" t="n">
        <f aca="false">'DCF Base Case'!$B$2*(1+B83)^3*$I83-'DCF Base Case'!$B$2*(1+B83)^2*B83*'DCF Base Case'!$B$4</f>
        <v>27.859762386704</v>
      </c>
      <c r="M83" s="24" t="n">
        <f aca="false">'DCF Base Case'!$B$2*(1+B83)^4*$I83-'DCF Base Case'!$B$2*(1+B83)^3*B83*'DCF Base Case'!$B$4</f>
        <v>29.8936259248444</v>
      </c>
      <c r="N83" s="24" t="n">
        <f aca="false">'DCF Base Case'!$B$2*(1+B83)^5*$I83-'DCF Base Case'!$B$2*(1+B83)^4*B83*'DCF Base Case'!$B$4</f>
        <v>32.0759688661599</v>
      </c>
      <c r="O83" s="24" t="n">
        <f aca="false">J83/(1+H83)^1+K83/(1+H83)^2+L83/(1+H83)^3+M83/(1+H83)^4+N83/(1+H83)^5</f>
        <v>111.932847150248</v>
      </c>
      <c r="P83" s="24" t="n">
        <f aca="false">N83*(1+F83)/(H83-F83)</f>
        <v>626.323676181364</v>
      </c>
      <c r="Q83" s="24" t="n">
        <f aca="false">O83+P83/(1+H83)^5</f>
        <v>546.921629034639</v>
      </c>
      <c r="R83" s="24" t="n">
        <f aca="false">Q83-'DCF Base Case'!$B$5</f>
        <v>361.921629034639</v>
      </c>
      <c r="S83" s="32" t="n">
        <f aca="false">R83/'DCF Base Case'!$B$6</f>
        <v>14.4768651613856</v>
      </c>
    </row>
    <row r="84" customFormat="false" ht="15" hidden="false" customHeight="true" outlineLevel="0" collapsed="false">
      <c r="A84" s="6" t="n">
        <v>83</v>
      </c>
      <c r="B84" s="30" t="n">
        <v>0.0840081702805029</v>
      </c>
      <c r="C84" s="30" t="n">
        <v>0.421396066789203</v>
      </c>
      <c r="D84" s="30" t="n">
        <v>0.0816045963889895</v>
      </c>
      <c r="E84" s="30" t="n">
        <v>0.308406049424231</v>
      </c>
      <c r="F84" s="30" t="n">
        <v>0.0124219818254619</v>
      </c>
      <c r="G84" s="30" t="n">
        <v>0.158397056319871</v>
      </c>
      <c r="H84" s="31" t="n">
        <f aca="false">MAX(D84,F84+0.015)</f>
        <v>0.0816045963889895</v>
      </c>
      <c r="I84" s="25" t="n">
        <f aca="false">(C84-'DCF Base Case'!$B$3)*(1-E84)+'DCF Base Case'!$B$3-G84</f>
        <v>0.173130700693115</v>
      </c>
      <c r="J84" s="24" t="n">
        <f aca="false">'DCF Base Case'!$B$2*(1+B84)^1*$I84-'DCF Base Case'!$B$2*(1+B84)^0*B84*'DCF Base Case'!$B$4</f>
        <v>26.8474531005499</v>
      </c>
      <c r="K84" s="24" t="n">
        <f aca="false">'DCF Base Case'!$B$2*(1+B84)^2*$I84-'DCF Base Case'!$B$2*(1+B84)^1*B84*'DCF Base Case'!$B$4</f>
        <v>29.1028585122187</v>
      </c>
      <c r="L84" s="24" t="n">
        <f aca="false">'DCF Base Case'!$B$2*(1+B84)^3*$I84-'DCF Base Case'!$B$2*(1+B84)^2*B84*'DCF Base Case'!$B$4</f>
        <v>31.5477364057625</v>
      </c>
      <c r="M84" s="24" t="n">
        <f aca="false">'DCF Base Case'!$B$2*(1+B84)^4*$I84-'DCF Base Case'!$B$2*(1+B84)^3*B84*'DCF Base Case'!$B$4</f>
        <v>34.1980040177022</v>
      </c>
      <c r="N84" s="24" t="n">
        <f aca="false">'DCF Base Case'!$B$2*(1+B84)^5*$I84-'DCF Base Case'!$B$2*(1+B84)^4*B84*'DCF Base Case'!$B$4</f>
        <v>37.0709157624747</v>
      </c>
      <c r="O84" s="24" t="n">
        <f aca="false">J84/(1+H84)^1+K84/(1+H84)^2+L84/(1+H84)^3+M84/(1+H84)^4+N84/(1+H84)^5</f>
        <v>124.662196629595</v>
      </c>
      <c r="P84" s="24" t="n">
        <f aca="false">N84*(1+F84)/(H84-F84)</f>
        <v>542.497710459697</v>
      </c>
      <c r="Q84" s="24" t="n">
        <f aca="false">O84+P84/(1+H84)^5</f>
        <v>491.146424326499</v>
      </c>
      <c r="R84" s="24" t="n">
        <f aca="false">Q84-'DCF Base Case'!$B$5</f>
        <v>306.146424326499</v>
      </c>
      <c r="S84" s="32" t="n">
        <f aca="false">R84/'DCF Base Case'!$B$6</f>
        <v>12.24585697306</v>
      </c>
    </row>
    <row r="85" customFormat="false" ht="15" hidden="false" customHeight="true" outlineLevel="0" collapsed="false">
      <c r="A85" s="6" t="n">
        <v>84</v>
      </c>
      <c r="B85" s="30" t="n">
        <v>0.0507821101991759</v>
      </c>
      <c r="C85" s="30" t="n">
        <v>0.370387774673829</v>
      </c>
      <c r="D85" s="30" t="n">
        <v>0.100002484527953</v>
      </c>
      <c r="E85" s="30" t="n">
        <v>0.307164189668652</v>
      </c>
      <c r="F85" s="30" t="n">
        <v>0.0164254528437371</v>
      </c>
      <c r="G85" s="30" t="n">
        <v>0.13630749128854</v>
      </c>
      <c r="H85" s="31" t="n">
        <f aca="false">MAX(D85,F85+0.015)</f>
        <v>0.100002484527953</v>
      </c>
      <c r="I85" s="25" t="n">
        <f aca="false">(C85-'DCF Base Case'!$B$3)*(1-E85)+'DCF Base Case'!$B$3-G85</f>
        <v>0.160241767371352</v>
      </c>
      <c r="J85" s="24" t="n">
        <f aca="false">'DCF Base Case'!$B$2*(1+B85)^1*$I85-'DCF Base Case'!$B$2*(1+B85)^0*B85*'DCF Base Case'!$B$4</f>
        <v>24.1940792774082</v>
      </c>
      <c r="K85" s="24" t="n">
        <f aca="false">'DCF Base Case'!$B$2*(1+B85)^2*$I85-'DCF Base Case'!$B$2*(1+B85)^1*B85*'DCF Base Case'!$B$4</f>
        <v>25.4227056774411</v>
      </c>
      <c r="L85" s="24" t="n">
        <f aca="false">'DCF Base Case'!$B$2*(1+B85)^3*$I85-'DCF Base Case'!$B$2*(1+B85)^2*B85*'DCF Base Case'!$B$4</f>
        <v>26.7137243187142</v>
      </c>
      <c r="M85" s="24" t="n">
        <f aca="false">'DCF Base Case'!$B$2*(1+B85)^4*$I85-'DCF Base Case'!$B$2*(1+B85)^3*B85*'DCF Base Case'!$B$4</f>
        <v>28.0703036108975</v>
      </c>
      <c r="N85" s="24" t="n">
        <f aca="false">'DCF Base Case'!$B$2*(1+B85)^5*$I85-'DCF Base Case'!$B$2*(1+B85)^4*B85*'DCF Base Case'!$B$4</f>
        <v>29.4957728621904</v>
      </c>
      <c r="O85" s="24" t="n">
        <f aca="false">J85/(1+H85)^1+K85/(1+H85)^2+L85/(1+H85)^3+M85/(1+H85)^4+N85/(1+H85)^5</f>
        <v>100.561823294516</v>
      </c>
      <c r="P85" s="24" t="n">
        <f aca="false">N85*(1+F85)/(H85-F85)</f>
        <v>358.714035235232</v>
      </c>
      <c r="Q85" s="24" t="n">
        <f aca="false">O85+P85/(1+H85)^5</f>
        <v>323.292501274959</v>
      </c>
      <c r="R85" s="24" t="n">
        <f aca="false">Q85-'DCF Base Case'!$B$5</f>
        <v>138.292501274959</v>
      </c>
      <c r="S85" s="32" t="n">
        <f aca="false">R85/'DCF Base Case'!$B$6</f>
        <v>5.53170005099836</v>
      </c>
    </row>
    <row r="86" customFormat="false" ht="15" hidden="false" customHeight="true" outlineLevel="0" collapsed="false">
      <c r="A86" s="6" t="n">
        <v>85</v>
      </c>
      <c r="B86" s="30" t="n">
        <v>0.0427529385605116</v>
      </c>
      <c r="C86" s="30" t="n">
        <v>0.379125994435875</v>
      </c>
      <c r="D86" s="30" t="n">
        <v>0.111624565134722</v>
      </c>
      <c r="E86" s="30" t="n">
        <v>0.292684645710408</v>
      </c>
      <c r="F86" s="30" t="n">
        <v>0.0170978856790216</v>
      </c>
      <c r="G86" s="30" t="n">
        <v>0.176118089678309</v>
      </c>
      <c r="H86" s="31" t="n">
        <f aca="false">MAX(D86,F86+0.015)</f>
        <v>0.111624565134722</v>
      </c>
      <c r="I86" s="25" t="n">
        <f aca="false">(C86-'DCF Base Case'!$B$3)*(1-E86)+'DCF Base Case'!$B$3-G86</f>
        <v>0.130092551338849</v>
      </c>
      <c r="J86" s="24" t="n">
        <f aca="false">'DCF Base Case'!$B$2*(1+B86)^1*$I86-'DCF Base Case'!$B$2*(1+B86)^0*B86*'DCF Base Case'!$B$4</f>
        <v>19.4839112953075</v>
      </c>
      <c r="K86" s="24" t="n">
        <f aca="false">'DCF Base Case'!$B$2*(1+B86)^2*$I86-'DCF Base Case'!$B$2*(1+B86)^1*B86*'DCF Base Case'!$B$4</f>
        <v>20.3169057578343</v>
      </c>
      <c r="L86" s="24" t="n">
        <f aca="false">'DCF Base Case'!$B$2*(1+B86)^3*$I86-'DCF Base Case'!$B$2*(1+B86)^2*B86*'DCF Base Case'!$B$4</f>
        <v>21.1855131814387</v>
      </c>
      <c r="M86" s="24" t="n">
        <f aca="false">'DCF Base Case'!$B$2*(1+B86)^4*$I86-'DCF Base Case'!$B$2*(1+B86)^3*B86*'DCF Base Case'!$B$4</f>
        <v>22.0912561248576</v>
      </c>
      <c r="N86" s="24" t="n">
        <f aca="false">'DCF Base Case'!$B$2*(1+B86)^5*$I86-'DCF Base Case'!$B$2*(1+B86)^4*B86*'DCF Base Case'!$B$4</f>
        <v>23.0357222406882</v>
      </c>
      <c r="O86" s="24" t="n">
        <f aca="false">J86/(1+H86)^1+K86/(1+H86)^2+L86/(1+H86)^3+M86/(1+H86)^4+N86/(1+H86)^5</f>
        <v>77.4300543914038</v>
      </c>
      <c r="P86" s="24" t="n">
        <f aca="false">N86*(1+F86)/(H86-F86)</f>
        <v>247.86213290263</v>
      </c>
      <c r="Q86" s="24" t="n">
        <f aca="false">O86+P86/(1+H86)^5</f>
        <v>223.452462214553</v>
      </c>
      <c r="R86" s="24" t="n">
        <f aca="false">Q86-'DCF Base Case'!$B$5</f>
        <v>38.4524622145527</v>
      </c>
      <c r="S86" s="32" t="n">
        <f aca="false">R86/'DCF Base Case'!$B$6</f>
        <v>1.53809848858211</v>
      </c>
    </row>
    <row r="87" customFormat="false" ht="15" hidden="false" customHeight="true" outlineLevel="0" collapsed="false">
      <c r="A87" s="6" t="n">
        <v>86</v>
      </c>
      <c r="B87" s="30" t="n">
        <v>0.0572143528513779</v>
      </c>
      <c r="C87" s="30" t="n">
        <v>0.395048040848205</v>
      </c>
      <c r="D87" s="30" t="n">
        <v>0.0860942522031731</v>
      </c>
      <c r="E87" s="30" t="n">
        <v>0.277270107294781</v>
      </c>
      <c r="F87" s="30" t="n">
        <v>0.0221936948239284</v>
      </c>
      <c r="G87" s="30" t="n">
        <v>0.173190991222116</v>
      </c>
      <c r="H87" s="31" t="n">
        <f aca="false">MAX(D87,F87+0.015)</f>
        <v>0.0860942522031731</v>
      </c>
      <c r="I87" s="25" t="n">
        <f aca="false">(C87-'DCF Base Case'!$B$3)*(1-E87)+'DCF Base Case'!$B$3-G87</f>
        <v>0.148367150901836</v>
      </c>
      <c r="J87" s="24" t="n">
        <f aca="false">'DCF Base Case'!$B$2*(1+B87)^1*$I87-'DCF Base Case'!$B$2*(1+B87)^0*B87*'DCF Base Case'!$B$4</f>
        <v>22.4952203717341</v>
      </c>
      <c r="K87" s="24" t="n">
        <f aca="false">'DCF Base Case'!$B$2*(1+B87)^2*$I87-'DCF Base Case'!$B$2*(1+B87)^1*B87*'DCF Base Case'!$B$4</f>
        <v>23.782269847552</v>
      </c>
      <c r="L87" s="24" t="n">
        <f aca="false">'DCF Base Case'!$B$2*(1+B87)^3*$I87-'DCF Base Case'!$B$2*(1+B87)^2*B87*'DCF Base Case'!$B$4</f>
        <v>25.1429570262166</v>
      </c>
      <c r="M87" s="24" t="n">
        <f aca="false">'DCF Base Case'!$B$2*(1+B87)^4*$I87-'DCF Base Case'!$B$2*(1+B87)^3*B87*'DCF Base Case'!$B$4</f>
        <v>26.5814950412415</v>
      </c>
      <c r="N87" s="24" t="n">
        <f aca="false">'DCF Base Case'!$B$2*(1+B87)^5*$I87-'DCF Base Case'!$B$2*(1+B87)^4*B87*'DCF Base Case'!$B$4</f>
        <v>28.1023380778483</v>
      </c>
      <c r="O87" s="24" t="n">
        <f aca="false">J87/(1+H87)^1+K87/(1+H87)^2+L87/(1+H87)^3+M87/(1+H87)^4+N87/(1+H87)^5</f>
        <v>98.1972223378083</v>
      </c>
      <c r="P87" s="24" t="n">
        <f aca="false">N87*(1+F87)/(H87-F87)</f>
        <v>449.542757858906</v>
      </c>
      <c r="Q87" s="24" t="n">
        <f aca="false">O87+P87/(1+H87)^5</f>
        <v>395.660547854233</v>
      </c>
      <c r="R87" s="24" t="n">
        <f aca="false">Q87-'DCF Base Case'!$B$5</f>
        <v>210.660547854233</v>
      </c>
      <c r="S87" s="32" t="n">
        <f aca="false">R87/'DCF Base Case'!$B$6</f>
        <v>8.42642191416933</v>
      </c>
    </row>
    <row r="88" customFormat="false" ht="15" hidden="false" customHeight="true" outlineLevel="0" collapsed="false">
      <c r="A88" s="6" t="n">
        <v>87</v>
      </c>
      <c r="B88" s="30" t="n">
        <v>0.104506144590373</v>
      </c>
      <c r="C88" s="30" t="n">
        <v>0.405203949611922</v>
      </c>
      <c r="D88" s="30" t="n">
        <v>0.094875969492516</v>
      </c>
      <c r="E88" s="30" t="n">
        <v>0.3273843965599</v>
      </c>
      <c r="F88" s="30" t="n">
        <v>0.0153895776512146</v>
      </c>
      <c r="G88" s="30" t="n">
        <v>0.147375335007142</v>
      </c>
      <c r="H88" s="31" t="n">
        <f aca="false">MAX(D88,F88+0.015)</f>
        <v>0.094875969492516</v>
      </c>
      <c r="I88" s="25" t="n">
        <f aca="false">(C88-'DCF Base Case'!$B$3)*(1-E88)+'DCF Base Case'!$B$3-G88</f>
        <v>0.16773113563018</v>
      </c>
      <c r="J88" s="24" t="n">
        <f aca="false">'DCF Base Case'!$B$2*(1+B88)^1*$I88-'DCF Base Case'!$B$2*(1+B88)^0*B88*'DCF Base Case'!$B$4</f>
        <v>26.4081084127168</v>
      </c>
      <c r="K88" s="24" t="n">
        <f aca="false">'DCF Base Case'!$B$2*(1+B88)^2*$I88-'DCF Base Case'!$B$2*(1+B88)^1*B88*'DCF Base Case'!$B$4</f>
        <v>29.1679180088545</v>
      </c>
      <c r="L88" s="24" t="n">
        <f aca="false">'DCF Base Case'!$B$2*(1+B88)^3*$I88-'DCF Base Case'!$B$2*(1+B88)^2*B88*'DCF Base Case'!$B$4</f>
        <v>32.216144665688</v>
      </c>
      <c r="M88" s="24" t="n">
        <f aca="false">'DCF Base Case'!$B$2*(1+B88)^4*$I88-'DCF Base Case'!$B$2*(1+B88)^3*B88*'DCF Base Case'!$B$4</f>
        <v>35.5829297382647</v>
      </c>
      <c r="N88" s="24" t="n">
        <f aca="false">'DCF Base Case'!$B$2*(1+B88)^5*$I88-'DCF Base Case'!$B$2*(1+B88)^4*B88*'DCF Base Case'!$B$4</f>
        <v>39.3015645384409</v>
      </c>
      <c r="O88" s="24" t="n">
        <f aca="false">J88/(1+H88)^1+K88/(1+H88)^2+L88/(1+H88)^3+M88/(1+H88)^4+N88/(1+H88)^5</f>
        <v>122.738865419357</v>
      </c>
      <c r="P88" s="24" t="n">
        <f aca="false">N88*(1+F88)/(H88-F88)</f>
        <v>502.053220599</v>
      </c>
      <c r="Q88" s="24" t="n">
        <f aca="false">O88+P88/(1+H88)^5</f>
        <v>441.837641035675</v>
      </c>
      <c r="R88" s="24" t="n">
        <f aca="false">Q88-'DCF Base Case'!$B$5</f>
        <v>256.837641035675</v>
      </c>
      <c r="S88" s="32" t="n">
        <f aca="false">R88/'DCF Base Case'!$B$6</f>
        <v>10.273505641427</v>
      </c>
    </row>
    <row r="89" customFormat="false" ht="15" hidden="false" customHeight="true" outlineLevel="0" collapsed="false">
      <c r="A89" s="6" t="n">
        <v>88</v>
      </c>
      <c r="B89" s="30" t="n">
        <v>0.1186915642197</v>
      </c>
      <c r="C89" s="30" t="n">
        <v>0.420677486197248</v>
      </c>
      <c r="D89" s="30" t="n">
        <v>0.100442035312732</v>
      </c>
      <c r="E89" s="30" t="n">
        <v>0.268499097490789</v>
      </c>
      <c r="F89" s="30" t="n">
        <v>0.02440828246908</v>
      </c>
      <c r="G89" s="30" t="n">
        <v>0.168171696756085</v>
      </c>
      <c r="H89" s="31" t="n">
        <f aca="false">MAX(D89,F89+0.015)</f>
        <v>0.100442035312732</v>
      </c>
      <c r="I89" s="25" t="n">
        <f aca="false">(C89-'DCF Base Case'!$B$3)*(1-E89)+'DCF Base Case'!$B$3-G89</f>
        <v>0.174459146736311</v>
      </c>
      <c r="J89" s="24" t="n">
        <f aca="false">'DCF Base Case'!$B$2*(1+B89)^1*$I89-'DCF Base Case'!$B$2*(1+B89)^0*B89*'DCF Base Case'!$B$4</f>
        <v>27.7827581801015</v>
      </c>
      <c r="K89" s="24" t="n">
        <f aca="false">'DCF Base Case'!$B$2*(1+B89)^2*$I89-'DCF Base Case'!$B$2*(1+B89)^1*B89*'DCF Base Case'!$B$4</f>
        <v>31.0803372068355</v>
      </c>
      <c r="L89" s="24" t="n">
        <f aca="false">'DCF Base Case'!$B$2*(1+B89)^3*$I89-'DCF Base Case'!$B$2*(1+B89)^2*B89*'DCF Base Case'!$B$4</f>
        <v>34.7693110463905</v>
      </c>
      <c r="M89" s="24" t="n">
        <f aca="false">'DCF Base Case'!$B$2*(1+B89)^4*$I89-'DCF Base Case'!$B$2*(1+B89)^3*B89*'DCF Base Case'!$B$4</f>
        <v>38.8961349613279</v>
      </c>
      <c r="N89" s="24" t="n">
        <f aca="false">'DCF Base Case'!$B$2*(1+B89)^5*$I89-'DCF Base Case'!$B$2*(1+B89)^4*B89*'DCF Base Case'!$B$4</f>
        <v>43.5127780619884</v>
      </c>
      <c r="O89" s="24" t="n">
        <f aca="false">J89/(1+H89)^1+K89/(1+H89)^2+L89/(1+H89)^3+M89/(1+H89)^4+N89/(1+H89)^5</f>
        <v>130.491450348475</v>
      </c>
      <c r="P89" s="24" t="n">
        <f aca="false">N89*(1+F89)/(H89-F89)</f>
        <v>586.250823783471</v>
      </c>
      <c r="Q89" s="24" t="n">
        <f aca="false">O89+P89/(1+H89)^5</f>
        <v>493.776569472749</v>
      </c>
      <c r="R89" s="24" t="n">
        <f aca="false">Q89-'DCF Base Case'!$B$5</f>
        <v>308.776569472749</v>
      </c>
      <c r="S89" s="32" t="n">
        <f aca="false">R89/'DCF Base Case'!$B$6</f>
        <v>12.35106277891</v>
      </c>
    </row>
    <row r="90" customFormat="false" ht="15" hidden="false" customHeight="true" outlineLevel="0" collapsed="false">
      <c r="A90" s="6" t="n">
        <v>89</v>
      </c>
      <c r="B90" s="30" t="n">
        <v>0.0953841307861024</v>
      </c>
      <c r="C90" s="30" t="n">
        <v>0.444528906518429</v>
      </c>
      <c r="D90" s="30" t="n">
        <v>0.0810205247481141</v>
      </c>
      <c r="E90" s="30" t="n">
        <v>0.259527071536587</v>
      </c>
      <c r="F90" s="30" t="n">
        <v>0.017563251952088</v>
      </c>
      <c r="G90" s="30" t="n">
        <v>0.175806275741462</v>
      </c>
      <c r="H90" s="31" t="n">
        <f aca="false">MAX(D90,F90+0.015)</f>
        <v>0.0810205247481141</v>
      </c>
      <c r="I90" s="25" t="n">
        <f aca="false">(C90-'DCF Base Case'!$B$3)*(1-E90)+'DCF Base Case'!$B$3-G90</f>
        <v>0.187093864754634</v>
      </c>
      <c r="J90" s="24" t="n">
        <f aca="false">'DCF Base Case'!$B$2*(1+B90)^1*$I90-'DCF Base Case'!$B$2*(1+B90)^0*B90*'DCF Base Case'!$B$4</f>
        <v>29.3013283419323</v>
      </c>
      <c r="K90" s="24" t="n">
        <f aca="false">'DCF Base Case'!$B$2*(1+B90)^2*$I90-'DCF Base Case'!$B$2*(1+B90)^1*B90*'DCF Base Case'!$B$4</f>
        <v>32.0962100767057</v>
      </c>
      <c r="L90" s="24" t="n">
        <f aca="false">'DCF Base Case'!$B$2*(1+B90)^3*$I90-'DCF Base Case'!$B$2*(1+B90)^2*B90*'DCF Base Case'!$B$4</f>
        <v>35.1576791764004</v>
      </c>
      <c r="M90" s="24" t="n">
        <f aca="false">'DCF Base Case'!$B$2*(1+B90)^4*$I90-'DCF Base Case'!$B$2*(1+B90)^3*B90*'DCF Base Case'!$B$4</f>
        <v>38.511163845098</v>
      </c>
      <c r="N90" s="24" t="n">
        <f aca="false">'DCF Base Case'!$B$2*(1+B90)^5*$I90-'DCF Base Case'!$B$2*(1+B90)^4*B90*'DCF Base Case'!$B$4</f>
        <v>42.1845177340238</v>
      </c>
      <c r="O90" s="24" t="n">
        <f aca="false">J90/(1+H90)^1+K90/(1+H90)^2+L90/(1+H90)^3+M90/(1+H90)^4+N90/(1+H90)^5</f>
        <v>139.175902968199</v>
      </c>
      <c r="P90" s="24" t="n">
        <f aca="false">N90*(1+F90)/(H90-F90)</f>
        <v>676.445947896959</v>
      </c>
      <c r="Q90" s="24" t="n">
        <f aca="false">O90+P90/(1+H90)^5</f>
        <v>597.38467680333</v>
      </c>
      <c r="R90" s="24" t="n">
        <f aca="false">Q90-'DCF Base Case'!$B$5</f>
        <v>412.38467680333</v>
      </c>
      <c r="S90" s="32" t="n">
        <f aca="false">R90/'DCF Base Case'!$B$6</f>
        <v>16.4953870721332</v>
      </c>
    </row>
    <row r="91" customFormat="false" ht="15" hidden="false" customHeight="true" outlineLevel="0" collapsed="false">
      <c r="A91" s="6" t="n">
        <v>90</v>
      </c>
      <c r="B91" s="30" t="n">
        <v>0.0571322087832321</v>
      </c>
      <c r="C91" s="30" t="n">
        <v>0.415835158010017</v>
      </c>
      <c r="D91" s="30" t="n">
        <v>0.0790735155062048</v>
      </c>
      <c r="E91" s="30" t="n">
        <v>0.314748372344688</v>
      </c>
      <c r="F91" s="30" t="n">
        <v>0.0112071530217188</v>
      </c>
      <c r="G91" s="30" t="n">
        <v>0.149378090502614</v>
      </c>
      <c r="H91" s="31" t="n">
        <f aca="false">MAX(D91,F91+0.015)</f>
        <v>0.0790735155062048</v>
      </c>
      <c r="I91" s="25" t="n">
        <f aca="false">(C91-'DCF Base Case'!$B$3)*(1-E91)+'DCF Base Case'!$B$3-G91</f>
        <v>0.176490916764863</v>
      </c>
      <c r="J91" s="24" t="n">
        <f aca="false">'DCF Base Case'!$B$2*(1+B91)^1*$I91-'DCF Base Case'!$B$2*(1+B91)^0*B91*'DCF Base Case'!$B$4</f>
        <v>26.8047386289165</v>
      </c>
      <c r="K91" s="24" t="n">
        <f aca="false">'DCF Base Case'!$B$2*(1+B91)^2*$I91-'DCF Base Case'!$B$2*(1+B91)^1*B91*'DCF Base Case'!$B$4</f>
        <v>28.3361525526437</v>
      </c>
      <c r="L91" s="24" t="n">
        <f aca="false">'DCF Base Case'!$B$2*(1+B91)^3*$I91-'DCF Base Case'!$B$2*(1+B91)^2*B91*'DCF Base Case'!$B$4</f>
        <v>29.9550595363949</v>
      </c>
      <c r="M91" s="24" t="n">
        <f aca="false">'DCF Base Case'!$B$2*(1+B91)^4*$I91-'DCF Base Case'!$B$2*(1+B91)^3*B91*'DCF Base Case'!$B$4</f>
        <v>31.6664582519423</v>
      </c>
      <c r="N91" s="24" t="n">
        <f aca="false">'DCF Base Case'!$B$2*(1+B91)^5*$I91-'DCF Base Case'!$B$2*(1+B91)^4*B91*'DCF Base Case'!$B$4</f>
        <v>33.4756329562178</v>
      </c>
      <c r="O91" s="24" t="n">
        <f aca="false">J91/(1+H91)^1+K91/(1+H91)^2+L91/(1+H91)^3+M91/(1+H91)^4+N91/(1+H91)^5</f>
        <v>119.25328570699</v>
      </c>
      <c r="P91" s="24" t="n">
        <f aca="false">N91*(1+F91)/(H91-F91)</f>
        <v>498.786118159717</v>
      </c>
      <c r="Q91" s="24" t="n">
        <f aca="false">O91+P91/(1+H91)^5</f>
        <v>460.178553820552</v>
      </c>
      <c r="R91" s="24" t="n">
        <f aca="false">Q91-'DCF Base Case'!$B$5</f>
        <v>275.178553820552</v>
      </c>
      <c r="S91" s="32" t="n">
        <f aca="false">R91/'DCF Base Case'!$B$6</f>
        <v>11.0071421528221</v>
      </c>
    </row>
    <row r="92" customFormat="false" ht="15" hidden="false" customHeight="true" outlineLevel="0" collapsed="false">
      <c r="A92" s="6" t="n">
        <v>91</v>
      </c>
      <c r="B92" s="30" t="n">
        <v>0.055141471565259</v>
      </c>
      <c r="C92" s="30" t="n">
        <v>0.382748224927991</v>
      </c>
      <c r="D92" s="30" t="n">
        <v>0.0877243249121984</v>
      </c>
      <c r="E92" s="30" t="n">
        <v>0.274806322092101</v>
      </c>
      <c r="F92" s="30" t="n">
        <v>0.0183664771688036</v>
      </c>
      <c r="G92" s="30" t="n">
        <v>0.161867132087806</v>
      </c>
      <c r="H92" s="31" t="n">
        <f aca="false">MAX(D92,F92+0.015)</f>
        <v>0.0877243249121984</v>
      </c>
      <c r="I92" s="25" t="n">
        <f aca="false">(C92-'DCF Base Case'!$B$3)*(1-E92)+'DCF Base Case'!$B$3-G92</f>
        <v>0.151424282732417</v>
      </c>
      <c r="J92" s="24" t="n">
        <f aca="false">'DCF Base Case'!$B$2*(1+B92)^1*$I92-'DCF Base Case'!$B$2*(1+B92)^0*B92*'DCF Base Case'!$B$4</f>
        <v>22.9273704730755</v>
      </c>
      <c r="K92" s="24" t="n">
        <f aca="false">'DCF Base Case'!$B$2*(1+B92)^2*$I92-'DCF Base Case'!$B$2*(1+B92)^1*B92*'DCF Base Case'!$B$4</f>
        <v>24.1916194200828</v>
      </c>
      <c r="L92" s="24" t="n">
        <f aca="false">'DCF Base Case'!$B$2*(1+B92)^3*$I92-'DCF Base Case'!$B$2*(1+B92)^2*B92*'DCF Base Case'!$B$4</f>
        <v>25.5255809144529</v>
      </c>
      <c r="M92" s="24" t="n">
        <f aca="false">'DCF Base Case'!$B$2*(1+B92)^4*$I92-'DCF Base Case'!$B$2*(1+B92)^3*B92*'DCF Base Case'!$B$4</f>
        <v>26.9330990086339</v>
      </c>
      <c r="N92" s="24" t="n">
        <f aca="false">'DCF Base Case'!$B$2*(1+B92)^5*$I92-'DCF Base Case'!$B$2*(1+B92)^4*B92*'DCF Base Case'!$B$4</f>
        <v>28.4182297217828</v>
      </c>
      <c r="O92" s="24" t="n">
        <f aca="false">J92/(1+H92)^1+K92/(1+H92)^2+L92/(1+H92)^3+M92/(1+H92)^4+N92/(1+H92)^5</f>
        <v>99.2637627676274</v>
      </c>
      <c r="P92" s="24" t="n">
        <f aca="false">N92*(1+F92)/(H92-F92)</f>
        <v>417.25880243886</v>
      </c>
      <c r="Q92" s="24" t="n">
        <f aca="false">O92+P92/(1+H92)^5</f>
        <v>373.302087032562</v>
      </c>
      <c r="R92" s="24" t="n">
        <f aca="false">Q92-'DCF Base Case'!$B$5</f>
        <v>188.302087032562</v>
      </c>
      <c r="S92" s="32" t="n">
        <f aca="false">R92/'DCF Base Case'!$B$6</f>
        <v>7.5320834813025</v>
      </c>
    </row>
    <row r="93" customFormat="false" ht="15" hidden="false" customHeight="true" outlineLevel="0" collapsed="false">
      <c r="A93" s="6" t="n">
        <v>92</v>
      </c>
      <c r="B93" s="30" t="n">
        <v>0.0942061251269726</v>
      </c>
      <c r="C93" s="30" t="n">
        <v>0.393868478475386</v>
      </c>
      <c r="D93" s="30" t="n">
        <v>0.0927753460498896</v>
      </c>
      <c r="E93" s="30" t="n">
        <v>0.299876698845088</v>
      </c>
      <c r="F93" s="30" t="n">
        <v>0.0207212659112628</v>
      </c>
      <c r="G93" s="30" t="n">
        <v>0.178364213504936</v>
      </c>
      <c r="H93" s="31" t="n">
        <f aca="false">MAX(D93,F93+0.015)</f>
        <v>0.0927753460498896</v>
      </c>
      <c r="I93" s="25" t="n">
        <f aca="false">(C93-'DCF Base Case'!$B$3)*(1-E93)+'DCF Base Case'!$B$3-G93</f>
        <v>0.136376256715975</v>
      </c>
      <c r="J93" s="24" t="n">
        <f aca="false">'DCF Base Case'!$B$2*(1+B93)^1*$I93-'DCF Base Case'!$B$2*(1+B93)^0*B93*'DCF Base Case'!$B$4</f>
        <v>21.2276449916714</v>
      </c>
      <c r="K93" s="24" t="n">
        <f aca="false">'DCF Base Case'!$B$2*(1+B93)^2*$I93-'DCF Base Case'!$B$2*(1+B93)^1*B93*'DCF Base Case'!$B$4</f>
        <v>23.2274191719077</v>
      </c>
      <c r="L93" s="24" t="n">
        <f aca="false">'DCF Base Case'!$B$2*(1+B93)^3*$I93-'DCF Base Case'!$B$2*(1+B93)^2*B93*'DCF Base Case'!$B$4</f>
        <v>25.4155843287931</v>
      </c>
      <c r="M93" s="24" t="n">
        <f aca="false">'DCF Base Case'!$B$2*(1+B93)^4*$I93-'DCF Base Case'!$B$2*(1+B93)^3*B93*'DCF Base Case'!$B$4</f>
        <v>27.8098880462465</v>
      </c>
      <c r="N93" s="24" t="n">
        <f aca="false">'DCF Base Case'!$B$2*(1+B93)^5*$I93-'DCF Base Case'!$B$2*(1+B93)^4*B93*'DCF Base Case'!$B$4</f>
        <v>30.4297498392983</v>
      </c>
      <c r="O93" s="24" t="n">
        <f aca="false">J93/(1+H93)^1+K93/(1+H93)^2+L93/(1+H93)^3+M93/(1+H93)^4+N93/(1+H93)^5</f>
        <v>97.3818860897134</v>
      </c>
      <c r="P93" s="24" t="n">
        <f aca="false">N93*(1+F93)/(H93-F93)</f>
        <v>431.069173564826</v>
      </c>
      <c r="Q93" s="24" t="n">
        <f aca="false">O93+P93/(1+H93)^5</f>
        <v>374.007585457616</v>
      </c>
      <c r="R93" s="24" t="n">
        <f aca="false">Q93-'DCF Base Case'!$B$5</f>
        <v>189.007585457616</v>
      </c>
      <c r="S93" s="32" t="n">
        <f aca="false">R93/'DCF Base Case'!$B$6</f>
        <v>7.56030341830466</v>
      </c>
    </row>
    <row r="94" customFormat="false" ht="15" hidden="false" customHeight="true" outlineLevel="0" collapsed="false">
      <c r="A94" s="6" t="n">
        <v>93</v>
      </c>
      <c r="B94" s="30" t="n">
        <v>0.0962132759835362</v>
      </c>
      <c r="C94" s="30" t="n">
        <v>0.450574445162908</v>
      </c>
      <c r="D94" s="30" t="n">
        <v>0.0840419641184224</v>
      </c>
      <c r="E94" s="30" t="n">
        <v>0.271616080428361</v>
      </c>
      <c r="F94" s="30" t="n">
        <v>0.016282844309291</v>
      </c>
      <c r="G94" s="30" t="n">
        <v>0.144574339599411</v>
      </c>
      <c r="H94" s="31" t="n">
        <f aca="false">MAX(D94,F94+0.015)</f>
        <v>0.0840419641184224</v>
      </c>
      <c r="I94" s="25" t="n">
        <f aca="false">(C94-'DCF Base Case'!$B$3)*(1-E94)+'DCF Base Case'!$B$3-G94</f>
        <v>0.218926931282851</v>
      </c>
      <c r="J94" s="24" t="n">
        <f aca="false">'DCF Base Case'!$B$2*(1+B94)^1*$I94-'DCF Base Case'!$B$2*(1+B94)^0*B94*'DCF Base Case'!$B$4</f>
        <v>34.3801104881482</v>
      </c>
      <c r="K94" s="24" t="n">
        <f aca="false">'DCF Base Case'!$B$2*(1+B94)^2*$I94-'DCF Base Case'!$B$2*(1+B94)^1*B94*'DCF Base Case'!$B$4</f>
        <v>37.6879335468889</v>
      </c>
      <c r="L94" s="24" t="n">
        <f aca="false">'DCF Base Case'!$B$2*(1+B94)^3*$I94-'DCF Base Case'!$B$2*(1+B94)^2*B94*'DCF Base Case'!$B$4</f>
        <v>41.3140130984848</v>
      </c>
      <c r="M94" s="24" t="n">
        <f aca="false">'DCF Base Case'!$B$2*(1+B94)^4*$I94-'DCF Base Case'!$B$2*(1+B94)^3*B94*'DCF Base Case'!$B$4</f>
        <v>45.2889696427168</v>
      </c>
      <c r="N94" s="24" t="n">
        <f aca="false">'DCF Base Case'!$B$2*(1+B94)^5*$I94-'DCF Base Case'!$B$2*(1+B94)^4*B94*'DCF Base Case'!$B$4</f>
        <v>49.6463697779615</v>
      </c>
      <c r="O94" s="24" t="n">
        <f aca="false">J94/(1+H94)^1+K94/(1+H94)^2+L94/(1+H94)^3+M94/(1+H94)^4+N94/(1+H94)^5</f>
        <v>162.174751791402</v>
      </c>
      <c r="P94" s="24" t="n">
        <f aca="false">N94*(1+F94)/(H94-F94)</f>
        <v>744.619381563722</v>
      </c>
      <c r="Q94" s="24" t="n">
        <f aca="false">O94+P94/(1+H94)^5</f>
        <v>659.572556499107</v>
      </c>
      <c r="R94" s="24" t="n">
        <f aca="false">Q94-'DCF Base Case'!$B$5</f>
        <v>474.572556499107</v>
      </c>
      <c r="S94" s="32" t="n">
        <f aca="false">R94/'DCF Base Case'!$B$6</f>
        <v>18.9829022599643</v>
      </c>
    </row>
    <row r="95" customFormat="false" ht="15" hidden="false" customHeight="true" outlineLevel="0" collapsed="false">
      <c r="A95" s="6" t="n">
        <v>94</v>
      </c>
      <c r="B95" s="30" t="n">
        <v>0.0630936125597867</v>
      </c>
      <c r="C95" s="30" t="n">
        <v>0.384783819865136</v>
      </c>
      <c r="D95" s="30" t="n">
        <v>0.0842225158018272</v>
      </c>
      <c r="E95" s="30" t="n">
        <v>0.289552696609317</v>
      </c>
      <c r="F95" s="30" t="n">
        <v>0.0195430038158719</v>
      </c>
      <c r="G95" s="30" t="n">
        <v>0.149797747166772</v>
      </c>
      <c r="H95" s="31" t="n">
        <f aca="false">MAX(D95,F95+0.015)</f>
        <v>0.0842225158018272</v>
      </c>
      <c r="I95" s="25" t="n">
        <f aca="false">(C95-'DCF Base Case'!$B$3)*(1-E95)+'DCF Base Case'!$B$3-G95</f>
        <v>0.161212730603991</v>
      </c>
      <c r="J95" s="24" t="n">
        <f aca="false">'DCF Base Case'!$B$2*(1+B95)^1*$I95-'DCF Base Case'!$B$2*(1+B95)^0*B95*'DCF Base Case'!$B$4</f>
        <v>24.5762552897865</v>
      </c>
      <c r="K95" s="24" t="n">
        <f aca="false">'DCF Base Case'!$B$2*(1+B95)^2*$I95-'DCF Base Case'!$B$2*(1+B95)^1*B95*'DCF Base Case'!$B$4</f>
        <v>26.1268600192107</v>
      </c>
      <c r="L95" s="24" t="n">
        <f aca="false">'DCF Base Case'!$B$2*(1+B95)^3*$I95-'DCF Base Case'!$B$2*(1+B95)^2*B95*'DCF Base Case'!$B$4</f>
        <v>27.7752980026666</v>
      </c>
      <c r="M95" s="24" t="n">
        <f aca="false">'DCF Base Case'!$B$2*(1+B95)^4*$I95-'DCF Base Case'!$B$2*(1+B95)^3*B95*'DCF Base Case'!$B$4</f>
        <v>29.5277418935795</v>
      </c>
      <c r="N95" s="24" t="n">
        <f aca="false">'DCF Base Case'!$B$2*(1+B95)^5*$I95-'DCF Base Case'!$B$2*(1+B95)^4*B95*'DCF Base Case'!$B$4</f>
        <v>31.3907538003784</v>
      </c>
      <c r="O95" s="24" t="n">
        <f aca="false">J95/(1+H95)^1+K95/(1+H95)^2+L95/(1+H95)^3+M95/(1+H95)^4+N95/(1+H95)^5</f>
        <v>109.003804171664</v>
      </c>
      <c r="P95" s="24" t="n">
        <f aca="false">N95*(1+F95)/(H95-F95)</f>
        <v>494.812382453222</v>
      </c>
      <c r="Q95" s="24" t="n">
        <f aca="false">O95+P95/(1+H95)^5</f>
        <v>439.258080214291</v>
      </c>
      <c r="R95" s="24" t="n">
        <f aca="false">Q95-'DCF Base Case'!$B$5</f>
        <v>254.258080214291</v>
      </c>
      <c r="S95" s="32" t="n">
        <f aca="false">R95/'DCF Base Case'!$B$6</f>
        <v>10.1703232085716</v>
      </c>
    </row>
    <row r="96" customFormat="false" ht="15" hidden="false" customHeight="true" outlineLevel="0" collapsed="false">
      <c r="A96" s="6" t="n">
        <v>95</v>
      </c>
      <c r="B96" s="30" t="n">
        <v>0.109667589968633</v>
      </c>
      <c r="C96" s="30" t="n">
        <v>0.434956274682801</v>
      </c>
      <c r="D96" s="30" t="n">
        <v>0.0832438686183578</v>
      </c>
      <c r="E96" s="30" t="n">
        <v>0.264229149378789</v>
      </c>
      <c r="F96" s="30" t="n">
        <v>0.0213124721482011</v>
      </c>
      <c r="G96" s="30" t="n">
        <v>0.169475826887973</v>
      </c>
      <c r="H96" s="31" t="n">
        <f aca="false">MAX(D96,F96+0.015)</f>
        <v>0.0832438686183578</v>
      </c>
      <c r="I96" s="25" t="n">
        <f aca="false">(C96-'DCF Base Case'!$B$3)*(1-E96)+'DCF Base Case'!$B$3-G96</f>
        <v>0.184902110737667</v>
      </c>
      <c r="J96" s="24" t="n">
        <f aca="false">'DCF Base Case'!$B$2*(1+B96)^1*$I96-'DCF Base Case'!$B$2*(1+B96)^0*B96*'DCF Base Case'!$B$4</f>
        <v>29.2740285259816</v>
      </c>
      <c r="K96" s="24" t="n">
        <f aca="false">'DCF Base Case'!$B$2*(1+B96)^2*$I96-'DCF Base Case'!$B$2*(1+B96)^1*B96*'DCF Base Case'!$B$4</f>
        <v>32.484440683099</v>
      </c>
      <c r="L96" s="24" t="n">
        <f aca="false">'DCF Base Case'!$B$2*(1+B96)^3*$I96-'DCF Base Case'!$B$2*(1+B96)^2*B96*'DCF Base Case'!$B$4</f>
        <v>36.0469310042935</v>
      </c>
      <c r="M96" s="24" t="n">
        <f aca="false">'DCF Base Case'!$B$2*(1+B96)^4*$I96-'DCF Base Case'!$B$2*(1+B96)^3*B96*'DCF Base Case'!$B$4</f>
        <v>40.0001110533</v>
      </c>
      <c r="N96" s="24" t="n">
        <f aca="false">'DCF Base Case'!$B$2*(1+B96)^5*$I96-'DCF Base Case'!$B$2*(1+B96)^4*B96*'DCF Base Case'!$B$4</f>
        <v>44.3868268309931</v>
      </c>
      <c r="O96" s="24" t="n">
        <f aca="false">J96/(1+H96)^1+K96/(1+H96)^2+L96/(1+H96)^3+M96/(1+H96)^4+N96/(1+H96)^5</f>
        <v>141.876935695823</v>
      </c>
      <c r="P96" s="24" t="n">
        <f aca="false">N96*(1+F96)/(H96-F96)</f>
        <v>731.98446063493</v>
      </c>
      <c r="Q96" s="24" t="n">
        <f aca="false">O96+P96/(1+H96)^5</f>
        <v>632.638637617337</v>
      </c>
      <c r="R96" s="24" t="n">
        <f aca="false">Q96-'DCF Base Case'!$B$5</f>
        <v>447.638637617337</v>
      </c>
      <c r="S96" s="32" t="n">
        <f aca="false">R96/'DCF Base Case'!$B$6</f>
        <v>17.9055455046935</v>
      </c>
    </row>
    <row r="97" customFormat="false" ht="15" hidden="false" customHeight="true" outlineLevel="0" collapsed="false">
      <c r="A97" s="6" t="n">
        <v>96</v>
      </c>
      <c r="B97" s="30" t="n">
        <v>0.059208166438649</v>
      </c>
      <c r="C97" s="30" t="n">
        <v>0.401291221359317</v>
      </c>
      <c r="D97" s="30" t="n">
        <v>0.0878823939328182</v>
      </c>
      <c r="E97" s="30" t="n">
        <v>0.260127865042679</v>
      </c>
      <c r="F97" s="30" t="n">
        <v>0.0200338118654059</v>
      </c>
      <c r="G97" s="30" t="n">
        <v>0.137071520822798</v>
      </c>
      <c r="H97" s="31" t="n">
        <f aca="false">MAX(D97,F97+0.015)</f>
        <v>0.0878823939328182</v>
      </c>
      <c r="I97" s="25" t="n">
        <f aca="false">(C97-'DCF Base Case'!$B$3)*(1-E97)+'DCF Base Case'!$B$3-G97</f>
        <v>0.193649294319499</v>
      </c>
      <c r="J97" s="24" t="n">
        <f aca="false">'DCF Base Case'!$B$2*(1+B97)^1*$I97-'DCF Base Case'!$B$2*(1+B97)^0*B97*'DCF Base Case'!$B$4</f>
        <v>29.4841070013946</v>
      </c>
      <c r="K97" s="24" t="n">
        <f aca="false">'DCF Base Case'!$B$2*(1+B97)^2*$I97-'DCF Base Case'!$B$2*(1+B97)^1*B97*'DCF Base Case'!$B$4</f>
        <v>31.2298069160281</v>
      </c>
      <c r="L97" s="24" t="n">
        <f aca="false">'DCF Base Case'!$B$2*(1+B97)^3*$I97-'DCF Base Case'!$B$2*(1+B97)^2*B97*'DCF Base Case'!$B$4</f>
        <v>33.0788665217592</v>
      </c>
      <c r="M97" s="24" t="n">
        <f aca="false">'DCF Base Case'!$B$2*(1+B97)^4*$I97-'DCF Base Case'!$B$2*(1+B97)^3*B97*'DCF Base Case'!$B$4</f>
        <v>35.0374055563814</v>
      </c>
      <c r="N97" s="24" t="n">
        <f aca="false">'DCF Base Case'!$B$2*(1+B97)^5*$I97-'DCF Base Case'!$B$2*(1+B97)^4*B97*'DCF Base Case'!$B$4</f>
        <v>37.1119060961421</v>
      </c>
      <c r="O97" s="24" t="n">
        <f aca="false">J97/(1+H97)^1+K97/(1+H97)^2+L97/(1+H97)^3+M97/(1+H97)^4+N97/(1+H97)^5</f>
        <v>128.553705835545</v>
      </c>
      <c r="P97" s="24" t="n">
        <f aca="false">N97*(1+F97)/(H97-F97)</f>
        <v>557.939427580473</v>
      </c>
      <c r="Q97" s="24" t="n">
        <f aca="false">O97+P97/(1+H97)^5</f>
        <v>494.719111687125</v>
      </c>
      <c r="R97" s="24" t="n">
        <f aca="false">Q97-'DCF Base Case'!$B$5</f>
        <v>309.719111687125</v>
      </c>
      <c r="S97" s="32" t="n">
        <f aca="false">R97/'DCF Base Case'!$B$6</f>
        <v>12.388764467485</v>
      </c>
    </row>
    <row r="98" customFormat="false" ht="15" hidden="false" customHeight="true" outlineLevel="0" collapsed="false">
      <c r="A98" s="6" t="n">
        <v>97</v>
      </c>
      <c r="B98" s="30" t="n">
        <v>0.118699269191505</v>
      </c>
      <c r="C98" s="30" t="n">
        <v>0.445738376600844</v>
      </c>
      <c r="D98" s="30" t="n">
        <v>0.0822223093226674</v>
      </c>
      <c r="E98" s="30" t="n">
        <v>0.290455778535796</v>
      </c>
      <c r="F98" s="30" t="n">
        <v>0.0111815854289285</v>
      </c>
      <c r="G98" s="30" t="n">
        <v>0.142250347459187</v>
      </c>
      <c r="H98" s="31" t="n">
        <f aca="false">MAX(D98,F98+0.015)</f>
        <v>0.0822223093226674</v>
      </c>
      <c r="I98" s="25" t="n">
        <f aca="false">(C98-'DCF Base Case'!$B$3)*(1-E98)+'DCF Base Case'!$B$3-G98</f>
        <v>0.211779993152431</v>
      </c>
      <c r="J98" s="24" t="n">
        <f aca="false">'DCF Base Case'!$B$2*(1+B98)^1*$I98-'DCF Base Case'!$B$2*(1+B98)^0*B98*'DCF Base Case'!$B$4</f>
        <v>33.8367860965228</v>
      </c>
      <c r="K98" s="24" t="n">
        <f aca="false">'DCF Base Case'!$B$2*(1+B98)^2*$I98-'DCF Base Case'!$B$2*(1+B98)^1*B98*'DCF Base Case'!$B$4</f>
        <v>37.8531878779694</v>
      </c>
      <c r="L98" s="24" t="n">
        <f aca="false">'DCF Base Case'!$B$2*(1+B98)^3*$I98-'DCF Base Case'!$B$2*(1+B98)^2*B98*'DCF Base Case'!$B$4</f>
        <v>42.3463336156531</v>
      </c>
      <c r="M98" s="24" t="n">
        <f aca="false">'DCF Base Case'!$B$2*(1+B98)^4*$I98-'DCF Base Case'!$B$2*(1+B98)^3*B98*'DCF Base Case'!$B$4</f>
        <v>47.3728124687707</v>
      </c>
      <c r="N98" s="24" t="n">
        <f aca="false">'DCF Base Case'!$B$2*(1+B98)^5*$I98-'DCF Base Case'!$B$2*(1+B98)^4*B98*'DCF Base Case'!$B$4</f>
        <v>52.99593068836</v>
      </c>
      <c r="O98" s="24" t="n">
        <f aca="false">J98/(1+H98)^1+K98/(1+H98)^2+L98/(1+H98)^3+M98/(1+H98)^4+N98/(1+H98)^5</f>
        <v>167.229740131426</v>
      </c>
      <c r="P98" s="24" t="n">
        <f aca="false">N98*(1+F98)/(H98-F98)</f>
        <v>754.335066952499</v>
      </c>
      <c r="Q98" s="24" t="n">
        <f aca="false">O98+P98/(1+H98)^5</f>
        <v>675.367987564153</v>
      </c>
      <c r="R98" s="24" t="n">
        <f aca="false">Q98-'DCF Base Case'!$B$5</f>
        <v>490.367987564153</v>
      </c>
      <c r="S98" s="32" t="n">
        <f aca="false">R98/'DCF Base Case'!$B$6</f>
        <v>19.6147195025661</v>
      </c>
    </row>
    <row r="99" customFormat="false" ht="15" hidden="false" customHeight="true" outlineLevel="0" collapsed="false">
      <c r="A99" s="6" t="n">
        <v>98</v>
      </c>
      <c r="B99" s="30" t="n">
        <v>0.0838442369062142</v>
      </c>
      <c r="C99" s="30" t="n">
        <v>0.388367171873891</v>
      </c>
      <c r="D99" s="30" t="n">
        <v>0.0928583613089373</v>
      </c>
      <c r="E99" s="30" t="n">
        <v>0.334944261856064</v>
      </c>
      <c r="F99" s="30" t="n">
        <v>0.0145763594158946</v>
      </c>
      <c r="G99" s="30" t="n">
        <v>0.148366604985817</v>
      </c>
      <c r="H99" s="31" t="n">
        <f aca="false">MAX(D99,F99+0.015)</f>
        <v>0.0928583613089373</v>
      </c>
      <c r="I99" s="25" t="n">
        <f aca="false">(C99-'DCF Base Case'!$B$3)*(1-E99)+'DCF Base Case'!$B$3-G99</f>
        <v>0.153461965216935</v>
      </c>
      <c r="J99" s="24" t="n">
        <f aca="false">'DCF Base Case'!$B$2*(1+B99)^1*$I99-'DCF Base Case'!$B$2*(1+B99)^0*B99*'DCF Base Case'!$B$4</f>
        <v>23.7529632242361</v>
      </c>
      <c r="K99" s="24" t="n">
        <f aca="false">'DCF Base Case'!$B$2*(1+B99)^2*$I99-'DCF Base Case'!$B$2*(1+B99)^1*B99*'DCF Base Case'!$B$4</f>
        <v>25.7445123000335</v>
      </c>
      <c r="L99" s="24" t="n">
        <f aca="false">'DCF Base Case'!$B$2*(1+B99)^3*$I99-'DCF Base Case'!$B$2*(1+B99)^2*B99*'DCF Base Case'!$B$4</f>
        <v>27.9030412883525</v>
      </c>
      <c r="M99" s="24" t="n">
        <f aca="false">'DCF Base Case'!$B$2*(1+B99)^4*$I99-'DCF Base Case'!$B$2*(1+B99)^3*B99*'DCF Base Case'!$B$4</f>
        <v>30.242550492537</v>
      </c>
      <c r="N99" s="24" t="n">
        <f aca="false">'DCF Base Case'!$B$2*(1+B99)^5*$I99-'DCF Base Case'!$B$2*(1+B99)^4*B99*'DCF Base Case'!$B$4</f>
        <v>32.7782140606814</v>
      </c>
      <c r="O99" s="24" t="n">
        <f aca="false">J99/(1+H99)^1+K99/(1+H99)^2+L99/(1+H99)^3+M99/(1+H99)^4+N99/(1+H99)^5</f>
        <v>106.895568048231</v>
      </c>
      <c r="P99" s="24" t="n">
        <f aca="false">N99*(1+F99)/(H99-F99)</f>
        <v>424.823079196147</v>
      </c>
      <c r="Q99" s="24" t="n">
        <f aca="false">O99+P99/(1+H99)^5</f>
        <v>379.409497344684</v>
      </c>
      <c r="R99" s="24" t="n">
        <f aca="false">Q99-'DCF Base Case'!$B$5</f>
        <v>194.409497344684</v>
      </c>
      <c r="S99" s="32" t="n">
        <f aca="false">R99/'DCF Base Case'!$B$6</f>
        <v>7.77637989378734</v>
      </c>
    </row>
    <row r="100" customFormat="false" ht="15" hidden="false" customHeight="true" outlineLevel="0" collapsed="false">
      <c r="A100" s="6" t="n">
        <v>99</v>
      </c>
      <c r="B100" s="30" t="n">
        <v>0.0948928844708475</v>
      </c>
      <c r="C100" s="30" t="n">
        <v>0.445068809392428</v>
      </c>
      <c r="D100" s="30" t="n">
        <v>0.0715538825620611</v>
      </c>
      <c r="E100" s="30" t="n">
        <v>0.286940523651024</v>
      </c>
      <c r="F100" s="30" t="n">
        <v>0.0253788341487356</v>
      </c>
      <c r="G100" s="30" t="n">
        <v>0.134041628082969</v>
      </c>
      <c r="H100" s="31" t="n">
        <f aca="false">MAX(D100,F100+0.015)</f>
        <v>0.0715538825620611</v>
      </c>
      <c r="I100" s="25" t="n">
        <f aca="false">(C100-'DCF Base Case'!$B$3)*(1-E100)+'DCF Base Case'!$B$3-G100</f>
        <v>0.220621172156291</v>
      </c>
      <c r="J100" s="24" t="n">
        <f aca="false">'DCF Base Case'!$B$2*(1+B100)^1*$I100-'DCF Base Case'!$B$2*(1+B100)^0*B100*'DCF Base Case'!$B$4</f>
        <v>34.6129159283952</v>
      </c>
      <c r="K100" s="24" t="n">
        <f aca="false">'DCF Base Case'!$B$2*(1+B100)^2*$I100-'DCF Base Case'!$B$2*(1+B100)^1*B100*'DCF Base Case'!$B$4</f>
        <v>37.8974353607876</v>
      </c>
      <c r="L100" s="24" t="n">
        <f aca="false">'DCF Base Case'!$B$2*(1+B100)^3*$I100-'DCF Base Case'!$B$2*(1+B100)^2*B100*'DCF Base Case'!$B$4</f>
        <v>41.4936323162202</v>
      </c>
      <c r="M100" s="24" t="n">
        <f aca="false">'DCF Base Case'!$B$2*(1+B100)^4*$I100-'DCF Base Case'!$B$2*(1+B100)^3*B100*'DCF Base Case'!$B$4</f>
        <v>45.4310827738791</v>
      </c>
      <c r="N100" s="24" t="n">
        <f aca="false">'DCF Base Case'!$B$2*(1+B100)^5*$I100-'DCF Base Case'!$B$2*(1+B100)^4*B100*'DCF Base Case'!$B$4</f>
        <v>49.7421692629264</v>
      </c>
      <c r="O100" s="24" t="n">
        <f aca="false">J100/(1+H100)^1+K100/(1+H100)^2+L100/(1+H100)^3+M100/(1+H100)^4+N100/(1+H100)^5</f>
        <v>168.698422539887</v>
      </c>
      <c r="P100" s="24" t="n">
        <f aca="false">N100*(1+F100)/(H100-F100)</f>
        <v>1104.59153329505</v>
      </c>
      <c r="Q100" s="24" t="n">
        <f aca="false">O100+P100/(1+H100)^5</f>
        <v>950.563182183509</v>
      </c>
      <c r="R100" s="24" t="n">
        <f aca="false">Q100-'DCF Base Case'!$B$5</f>
        <v>765.563182183509</v>
      </c>
      <c r="S100" s="32" t="n">
        <f aca="false">R100/'DCF Base Case'!$B$6</f>
        <v>30.6225272873404</v>
      </c>
    </row>
    <row r="101" customFormat="false" ht="15" hidden="false" customHeight="true" outlineLevel="0" collapsed="false">
      <c r="A101" s="6" t="n">
        <v>100</v>
      </c>
      <c r="B101" s="30" t="n">
        <v>0.0623701452067314</v>
      </c>
      <c r="C101" s="30" t="n">
        <v>0.3945545704738</v>
      </c>
      <c r="D101" s="30" t="n">
        <v>0.0792735274585905</v>
      </c>
      <c r="E101" s="30" t="n">
        <v>0.304597234330825</v>
      </c>
      <c r="F101" s="30" t="n">
        <v>0.0202134711811902</v>
      </c>
      <c r="G101" s="30" t="n">
        <v>0.132321051252089</v>
      </c>
      <c r="H101" s="31" t="n">
        <f aca="false">MAX(D101,F101+0.015)</f>
        <v>0.0792735274585905</v>
      </c>
      <c r="I101" s="25" t="n">
        <f aca="false">(C101-'DCF Base Case'!$B$3)*(1-E101)+'DCF Base Case'!$B$3-G101</f>
        <v>0.181650928725812</v>
      </c>
      <c r="J101" s="24" t="n">
        <f aca="false">'DCF Base Case'!$B$2*(1+B101)^1*$I101-'DCF Base Case'!$B$2*(1+B101)^0*B101*'DCF Base Case'!$B$4</f>
        <v>27.7108657798206</v>
      </c>
      <c r="K101" s="24" t="n">
        <f aca="false">'DCF Base Case'!$B$2*(1+B101)^2*$I101-'DCF Base Case'!$B$2*(1+B101)^1*B101*'DCF Base Case'!$B$4</f>
        <v>29.4391965023123</v>
      </c>
      <c r="L101" s="24" t="n">
        <f aca="false">'DCF Base Case'!$B$2*(1+B101)^3*$I101-'DCF Base Case'!$B$2*(1+B101)^2*B101*'DCF Base Case'!$B$4</f>
        <v>31.275323462931</v>
      </c>
      <c r="M101" s="24" t="n">
        <f aca="false">'DCF Base Case'!$B$2*(1+B101)^4*$I101-'DCF Base Case'!$B$2*(1+B101)^3*B101*'DCF Base Case'!$B$4</f>
        <v>33.2259699287015</v>
      </c>
      <c r="N101" s="24" t="n">
        <f aca="false">'DCF Base Case'!$B$2*(1+B101)^5*$I101-'DCF Base Case'!$B$2*(1+B101)^4*B101*'DCF Base Case'!$B$4</f>
        <v>35.2982784977891</v>
      </c>
      <c r="O101" s="24" t="n">
        <f aca="false">J101/(1+H101)^1+K101/(1+H101)^2+L101/(1+H101)^3+M101/(1+H101)^4+N101/(1+H101)^5</f>
        <v>124.418641806507</v>
      </c>
      <c r="P101" s="24" t="n">
        <f aca="false">N101*(1+F101)/(H101-F101)</f>
        <v>609.748474735706</v>
      </c>
      <c r="Q101" s="24" t="n">
        <f aca="false">O101+P101/(1+H101)^5</f>
        <v>540.801746178477</v>
      </c>
      <c r="R101" s="24" t="n">
        <f aca="false">Q101-'DCF Base Case'!$B$5</f>
        <v>355.801746178477</v>
      </c>
      <c r="S101" s="32" t="n">
        <f aca="false">R101/'DCF Base Case'!$B$6</f>
        <v>14.2320698471391</v>
      </c>
    </row>
    <row r="102" customFormat="false" ht="15" hidden="false" customHeight="true" outlineLevel="0" collapsed="false">
      <c r="A102" s="6" t="n">
        <v>101</v>
      </c>
      <c r="B102" s="30" t="n">
        <v>0.101068449024536</v>
      </c>
      <c r="C102" s="30" t="n">
        <v>0.406423702645901</v>
      </c>
      <c r="D102" s="30" t="n">
        <v>0.0990189193863536</v>
      </c>
      <c r="E102" s="30" t="n">
        <v>0.264705552167432</v>
      </c>
      <c r="F102" s="30" t="n">
        <v>0.0167736883178667</v>
      </c>
      <c r="G102" s="30" t="n">
        <v>0.177985114372288</v>
      </c>
      <c r="H102" s="31" t="n">
        <f aca="false">MAX(D102,F102+0.015)</f>
        <v>0.0990189193863536</v>
      </c>
      <c r="I102" s="25" t="n">
        <f aca="false">(C102-'DCF Base Case'!$B$3)*(1-E102)+'DCF Base Case'!$B$3-G102</f>
        <v>0.155267699432564</v>
      </c>
      <c r="J102" s="24" t="n">
        <f aca="false">'DCF Base Case'!$B$2*(1+B102)^1*$I102-'DCF Base Case'!$B$2*(1+B102)^0*B102*'DCF Base Case'!$B$4</f>
        <v>24.3496051714273</v>
      </c>
      <c r="K102" s="24" t="n">
        <f aca="false">'DCF Base Case'!$B$2*(1+B102)^2*$I102-'DCF Base Case'!$B$2*(1+B102)^1*B102*'DCF Base Case'!$B$4</f>
        <v>26.8105820004633</v>
      </c>
      <c r="L102" s="24" t="n">
        <f aca="false">'DCF Base Case'!$B$2*(1+B102)^3*$I102-'DCF Base Case'!$B$2*(1+B102)^2*B102*'DCF Base Case'!$B$4</f>
        <v>29.5202859406952</v>
      </c>
      <c r="M102" s="24" t="n">
        <f aca="false">'DCF Base Case'!$B$2*(1+B102)^4*$I102-'DCF Base Case'!$B$2*(1+B102)^3*B102*'DCF Base Case'!$B$4</f>
        <v>32.5038554554821</v>
      </c>
      <c r="N102" s="24" t="n">
        <f aca="false">'DCF Base Case'!$B$2*(1+B102)^5*$I102-'DCF Base Case'!$B$2*(1+B102)^4*B102*'DCF Base Case'!$B$4</f>
        <v>35.7889697136854</v>
      </c>
      <c r="O102" s="24" t="n">
        <f aca="false">J102/(1+H102)^1+K102/(1+H102)^2+L102/(1+H102)^3+M102/(1+H102)^4+N102/(1+H102)^5</f>
        <v>111.192774104598</v>
      </c>
      <c r="P102" s="24" t="n">
        <f aca="false">N102*(1+F102)/(H102-F102)</f>
        <v>442.448543996166</v>
      </c>
      <c r="Q102" s="24" t="n">
        <f aca="false">O102+P102/(1+H102)^5</f>
        <v>387.1469220006</v>
      </c>
      <c r="R102" s="24" t="n">
        <f aca="false">Q102-'DCF Base Case'!$B$5</f>
        <v>202.1469220006</v>
      </c>
      <c r="S102" s="32" t="n">
        <f aca="false">R102/'DCF Base Case'!$B$6</f>
        <v>8.08587688002401</v>
      </c>
    </row>
    <row r="103" customFormat="false" ht="15" hidden="false" customHeight="true" outlineLevel="0" collapsed="false">
      <c r="A103" s="6" t="n">
        <v>102</v>
      </c>
      <c r="B103" s="30" t="n">
        <v>0.10662683557054</v>
      </c>
      <c r="C103" s="30" t="n">
        <v>0.4286241937123</v>
      </c>
      <c r="D103" s="30" t="n">
        <v>0.0664584295087671</v>
      </c>
      <c r="E103" s="30" t="n">
        <v>0.295933016569324</v>
      </c>
      <c r="F103" s="30" t="n">
        <v>0.0151319406875101</v>
      </c>
      <c r="G103" s="30" t="n">
        <v>0.170583572520027</v>
      </c>
      <c r="H103" s="31" t="n">
        <f aca="false">MAX(D103,F103+0.015)</f>
        <v>0.0664584295087671</v>
      </c>
      <c r="I103" s="25" t="n">
        <f aca="false">(C103-'DCF Base Case'!$B$3)*(1-E103)+'DCF Base Case'!$B$3-G103</f>
        <v>0.16966786272641</v>
      </c>
      <c r="J103" s="24" t="n">
        <f aca="false">'DCF Base Case'!$B$2*(1+B103)^1*$I103-'DCF Base Case'!$B$2*(1+B103)^0*B103*'DCF Base Case'!$B$4</f>
        <v>26.761229719175</v>
      </c>
      <c r="K103" s="24" t="n">
        <f aca="false">'DCF Base Case'!$B$2*(1+B103)^2*$I103-'DCF Base Case'!$B$2*(1+B103)^1*B103*'DCF Base Case'!$B$4</f>
        <v>29.6146949601069</v>
      </c>
      <c r="L103" s="24" t="n">
        <f aca="false">'DCF Base Case'!$B$2*(1+B103)^3*$I103-'DCF Base Case'!$B$2*(1+B103)^2*B103*'DCF Base Case'!$B$4</f>
        <v>32.7724161700899</v>
      </c>
      <c r="M103" s="24" t="n">
        <f aca="false">'DCF Base Case'!$B$2*(1+B103)^4*$I103-'DCF Base Case'!$B$2*(1+B103)^3*B103*'DCF Base Case'!$B$4</f>
        <v>36.2668352003074</v>
      </c>
      <c r="N103" s="24" t="n">
        <f aca="false">'DCF Base Case'!$B$2*(1+B103)^5*$I103-'DCF Base Case'!$B$2*(1+B103)^4*B103*'DCF Base Case'!$B$4</f>
        <v>40.1338530738745</v>
      </c>
      <c r="O103" s="24" t="n">
        <f aca="false">J103/(1+H103)^1+K103/(1+H103)^2+L103/(1+H103)^3+M103/(1+H103)^4+N103/(1+H103)^5</f>
        <v>135.282052785324</v>
      </c>
      <c r="P103" s="24" t="n">
        <f aca="false">N103*(1+F103)/(H103-F103)</f>
        <v>793.764722539846</v>
      </c>
      <c r="Q103" s="24" t="n">
        <f aca="false">O103+P103/(1+H103)^5</f>
        <v>710.685072653985</v>
      </c>
      <c r="R103" s="24" t="n">
        <f aca="false">Q103-'DCF Base Case'!$B$5</f>
        <v>525.685072653985</v>
      </c>
      <c r="S103" s="32" t="n">
        <f aca="false">R103/'DCF Base Case'!$B$6</f>
        <v>21.0274029061594</v>
      </c>
    </row>
    <row r="104" customFormat="false" ht="15" hidden="false" customHeight="true" outlineLevel="0" collapsed="false">
      <c r="A104" s="6" t="n">
        <v>103</v>
      </c>
      <c r="B104" s="30" t="n">
        <v>0.0596547298032756</v>
      </c>
      <c r="C104" s="30" t="n">
        <v>0.41299244271173</v>
      </c>
      <c r="D104" s="30" t="n">
        <v>0.0761274120526189</v>
      </c>
      <c r="E104" s="30" t="n">
        <v>0.254818303382398</v>
      </c>
      <c r="F104" s="30" t="n">
        <v>0.0219148336708961</v>
      </c>
      <c r="G104" s="30" t="n">
        <v>0.170733714746783</v>
      </c>
      <c r="H104" s="31" t="n">
        <f aca="false">MAX(D104,F104+0.015)</f>
        <v>0.0761274120526189</v>
      </c>
      <c r="I104" s="25" t="n">
        <f aca="false">(C104-'DCF Base Case'!$B$3)*(1-E104)+'DCF Base Case'!$B$3-G104</f>
        <v>0.170147073843103</v>
      </c>
      <c r="J104" s="24" t="n">
        <f aca="false">'DCF Base Case'!$B$2*(1+B104)^1*$I104-'DCF Base Case'!$B$2*(1+B104)^0*B104*'DCF Base Case'!$B$4</f>
        <v>25.8835889015604</v>
      </c>
      <c r="K104" s="24" t="n">
        <f aca="false">'DCF Base Case'!$B$2*(1+B104)^2*$I104-'DCF Base Case'!$B$2*(1+B104)^1*B104*'DCF Base Case'!$B$4</f>
        <v>27.427667403822</v>
      </c>
      <c r="L104" s="24" t="n">
        <f aca="false">'DCF Base Case'!$B$2*(1+B104)^3*$I104-'DCF Base Case'!$B$2*(1+B104)^2*B104*'DCF Base Case'!$B$4</f>
        <v>29.0638574919311</v>
      </c>
      <c r="M104" s="24" t="n">
        <f aca="false">'DCF Base Case'!$B$2*(1+B104)^4*$I104-'DCF Base Case'!$B$2*(1+B104)^3*B104*'DCF Base Case'!$B$4</f>
        <v>30.7976540576532</v>
      </c>
      <c r="N104" s="24" t="n">
        <f aca="false">'DCF Base Case'!$B$2*(1+B104)^5*$I104-'DCF Base Case'!$B$2*(1+B104)^4*B104*'DCF Base Case'!$B$4</f>
        <v>32.6348797890372</v>
      </c>
      <c r="O104" s="24" t="n">
        <f aca="false">J104/(1+H104)^1+K104/(1+H104)^2+L104/(1+H104)^3+M104/(1+H104)^4+N104/(1+H104)^5</f>
        <v>116.636777833322</v>
      </c>
      <c r="P104" s="24" t="n">
        <f aca="false">N104*(1+F104)/(H104-F104)</f>
        <v>615.172138035171</v>
      </c>
      <c r="Q104" s="24" t="n">
        <f aca="false">O104+P104/(1+H104)^5</f>
        <v>542.900316686138</v>
      </c>
      <c r="R104" s="24" t="n">
        <f aca="false">Q104-'DCF Base Case'!$B$5</f>
        <v>357.900316686138</v>
      </c>
      <c r="S104" s="32" t="n">
        <f aca="false">R104/'DCF Base Case'!$B$6</f>
        <v>14.3160126674455</v>
      </c>
    </row>
    <row r="105" customFormat="false" ht="15" hidden="false" customHeight="true" outlineLevel="0" collapsed="false">
      <c r="A105" s="6" t="n">
        <v>104</v>
      </c>
      <c r="B105" s="30" t="n">
        <v>0.0767161632383913</v>
      </c>
      <c r="C105" s="30" t="n">
        <v>0.437531508403815</v>
      </c>
      <c r="D105" s="30" t="n">
        <v>0.0801528233627328</v>
      </c>
      <c r="E105" s="30" t="n">
        <v>0.280550654366407</v>
      </c>
      <c r="F105" s="30" t="n">
        <v>0.0203088765537987</v>
      </c>
      <c r="G105" s="30" t="n">
        <v>0.152725456389965</v>
      </c>
      <c r="H105" s="31" t="n">
        <f aca="false">MAX(D105,F105+0.015)</f>
        <v>0.0801528233627328</v>
      </c>
      <c r="I105" s="25" t="n">
        <f aca="false">(C105-'DCF Base Case'!$B$3)*(1-E105)+'DCF Base Case'!$B$3-G105</f>
        <v>0.198527886092871</v>
      </c>
      <c r="J105" s="24" t="n">
        <f aca="false">'DCF Base Case'!$B$2*(1+B105)^1*$I105-'DCF Base Case'!$B$2*(1+B105)^0*B105*'DCF Base Case'!$B$4</f>
        <v>30.661221342326</v>
      </c>
      <c r="K105" s="24" t="n">
        <f aca="false">'DCF Base Case'!$B$2*(1+B105)^2*$I105-'DCF Base Case'!$B$2*(1+B105)^1*B105*'DCF Base Case'!$B$4</f>
        <v>33.0134326039124</v>
      </c>
      <c r="L105" s="24" t="n">
        <f aca="false">'DCF Base Case'!$B$2*(1+B105)^3*$I105-'DCF Base Case'!$B$2*(1+B105)^2*B105*'DCF Base Case'!$B$4</f>
        <v>35.5460964886137</v>
      </c>
      <c r="M105" s="24" t="n">
        <f aca="false">'DCF Base Case'!$B$2*(1+B105)^4*$I105-'DCF Base Case'!$B$2*(1+B105)^3*B105*'DCF Base Case'!$B$4</f>
        <v>38.2730566293218</v>
      </c>
      <c r="N105" s="24" t="n">
        <f aca="false">'DCF Base Case'!$B$2*(1+B105)^5*$I105-'DCF Base Case'!$B$2*(1+B105)^4*B105*'DCF Base Case'!$B$4</f>
        <v>41.2092186893291</v>
      </c>
      <c r="O105" s="24" t="n">
        <f aca="false">J105/(1+H105)^1+K105/(1+H105)^2+L105/(1+H105)^3+M105/(1+H105)^4+N105/(1+H105)^5</f>
        <v>141.029743036031</v>
      </c>
      <c r="P105" s="24" t="n">
        <f aca="false">N105*(1+F105)/(H105-F105)</f>
        <v>702.596233480578</v>
      </c>
      <c r="Q105" s="24" t="n">
        <f aca="false">O105+P105/(1+H105)^5</f>
        <v>618.866761021352</v>
      </c>
      <c r="R105" s="24" t="n">
        <f aca="false">Q105-'DCF Base Case'!$B$5</f>
        <v>433.866761021352</v>
      </c>
      <c r="S105" s="32" t="n">
        <f aca="false">R105/'DCF Base Case'!$B$6</f>
        <v>17.3546704408541</v>
      </c>
    </row>
    <row r="106" customFormat="false" ht="15" hidden="false" customHeight="true" outlineLevel="0" collapsed="false">
      <c r="A106" s="6" t="n">
        <v>105</v>
      </c>
      <c r="B106" s="30" t="n">
        <v>0.100076842280344</v>
      </c>
      <c r="C106" s="30" t="n">
        <v>0.407045691081861</v>
      </c>
      <c r="D106" s="30" t="n">
        <v>0.0804719784556217</v>
      </c>
      <c r="E106" s="30" t="n">
        <v>0.320736950609013</v>
      </c>
      <c r="F106" s="30" t="n">
        <v>0.0151069486364754</v>
      </c>
      <c r="G106" s="30" t="n">
        <v>0.125626963272208</v>
      </c>
      <c r="H106" s="31" t="n">
        <f aca="false">MAX(D106,F106+0.015)</f>
        <v>0.0804719784556217</v>
      </c>
      <c r="I106" s="25" t="n">
        <f aca="false">(C106-'DCF Base Case'!$B$3)*(1-E106)+'DCF Base Case'!$B$3-G106</f>
        <v>0.19255993767269</v>
      </c>
      <c r="J106" s="24" t="n">
        <f aca="false">'DCF Base Case'!$B$2*(1+B106)^1*$I106-'DCF Base Case'!$B$2*(1+B106)^0*B106*'DCF Base Case'!$B$4</f>
        <v>30.2801213228581</v>
      </c>
      <c r="K106" s="24" t="n">
        <f aca="false">'DCF Base Case'!$B$2*(1+B106)^2*$I106-'DCF Base Case'!$B$2*(1+B106)^1*B106*'DCF Base Case'!$B$4</f>
        <v>33.3104602487154</v>
      </c>
      <c r="L106" s="24" t="n">
        <f aca="false">'DCF Base Case'!$B$2*(1+B106)^3*$I106-'DCF Base Case'!$B$2*(1+B106)^2*B106*'DCF Base Case'!$B$4</f>
        <v>36.6440659253118</v>
      </c>
      <c r="M106" s="24" t="n">
        <f aca="false">'DCF Base Case'!$B$2*(1+B106)^4*$I106-'DCF Base Case'!$B$2*(1+B106)^3*B106*'DCF Base Case'!$B$4</f>
        <v>40.3112883314298</v>
      </c>
      <c r="N106" s="24" t="n">
        <f aca="false">'DCF Base Case'!$B$2*(1+B106)^5*$I106-'DCF Base Case'!$B$2*(1+B106)^4*B106*'DCF Base Case'!$B$4</f>
        <v>44.3455147758917</v>
      </c>
      <c r="O106" s="24" t="n">
        <f aca="false">J106/(1+H106)^1+K106/(1+H106)^2+L106/(1+H106)^3+M106/(1+H106)^4+N106/(1+H106)^5</f>
        <v>145.302657421366</v>
      </c>
      <c r="P106" s="24" t="n">
        <f aca="false">N106*(1+F106)/(H106-F106)</f>
        <v>688.677727439567</v>
      </c>
      <c r="Q106" s="24" t="n">
        <f aca="false">O106+P106/(1+H106)^5</f>
        <v>612.982333253145</v>
      </c>
      <c r="R106" s="24" t="n">
        <f aca="false">Q106-'DCF Base Case'!$B$5</f>
        <v>427.982333253145</v>
      </c>
      <c r="S106" s="32" t="n">
        <f aca="false">R106/'DCF Base Case'!$B$6</f>
        <v>17.1192933301258</v>
      </c>
    </row>
    <row r="107" customFormat="false" ht="15" hidden="false" customHeight="true" outlineLevel="0" collapsed="false">
      <c r="A107" s="6" t="n">
        <v>106</v>
      </c>
      <c r="B107" s="30" t="n">
        <v>0.123629794167593</v>
      </c>
      <c r="C107" s="30" t="n">
        <v>0.457486775695575</v>
      </c>
      <c r="D107" s="30" t="n">
        <v>0.0805420380800574</v>
      </c>
      <c r="E107" s="30" t="n">
        <v>0.247618507640946</v>
      </c>
      <c r="F107" s="30" t="n">
        <v>0.0181343028287458</v>
      </c>
      <c r="G107" s="30" t="n">
        <v>0.159362605789571</v>
      </c>
      <c r="H107" s="31" t="n">
        <f aca="false">MAX(D107,F107+0.015)</f>
        <v>0.0805420380800574</v>
      </c>
      <c r="I107" s="25" t="n">
        <f aca="false">(C107-'DCF Base Case'!$B$3)*(1-E107)+'DCF Base Case'!$B$3-G107</f>
        <v>0.21703238323612</v>
      </c>
      <c r="J107" s="24" t="n">
        <f aca="false">'DCF Base Case'!$B$2*(1+B107)^1*$I107-'DCF Base Case'!$B$2*(1+B107)^0*B107*'DCF Base Case'!$B$4</f>
        <v>34.8224979503501</v>
      </c>
      <c r="K107" s="24" t="n">
        <f aca="false">'DCF Base Case'!$B$2*(1+B107)^2*$I107-'DCF Base Case'!$B$2*(1+B107)^1*B107*'DCF Base Case'!$B$4</f>
        <v>39.1275962043533</v>
      </c>
      <c r="L107" s="24" t="n">
        <f aca="false">'DCF Base Case'!$B$2*(1+B107)^3*$I107-'DCF Base Case'!$B$2*(1+B107)^2*B107*'DCF Base Case'!$B$4</f>
        <v>43.9649328693702</v>
      </c>
      <c r="M107" s="24" t="n">
        <f aca="false">'DCF Base Case'!$B$2*(1+B107)^4*$I107-'DCF Base Case'!$B$2*(1+B107)^3*B107*'DCF Base Case'!$B$4</f>
        <v>49.4003084706025</v>
      </c>
      <c r="N107" s="24" t="n">
        <f aca="false">'DCF Base Case'!$B$2*(1+B107)^5*$I107-'DCF Base Case'!$B$2*(1+B107)^4*B107*'DCF Base Case'!$B$4</f>
        <v>55.5076584386386</v>
      </c>
      <c r="O107" s="24" t="n">
        <f aca="false">J107/(1+H107)^1+K107/(1+H107)^2+L107/(1+H107)^3+M107/(1+H107)^4+N107/(1+H107)^5</f>
        <v>174.507943973754</v>
      </c>
      <c r="P107" s="24" t="n">
        <f aca="false">N107*(1+F107)/(H107-F107)</f>
        <v>905.564845423416</v>
      </c>
      <c r="Q107" s="24" t="n">
        <f aca="false">O107+P107/(1+H107)^5</f>
        <v>789.275891726224</v>
      </c>
      <c r="R107" s="24" t="n">
        <f aca="false">Q107-'DCF Base Case'!$B$5</f>
        <v>604.275891726224</v>
      </c>
      <c r="S107" s="32" t="n">
        <f aca="false">R107/'DCF Base Case'!$B$6</f>
        <v>24.1710356690489</v>
      </c>
    </row>
    <row r="108" customFormat="false" ht="15" hidden="false" customHeight="true" outlineLevel="0" collapsed="false">
      <c r="A108" s="6" t="n">
        <v>107</v>
      </c>
      <c r="B108" s="30" t="n">
        <v>0.0860806035671902</v>
      </c>
      <c r="C108" s="30" t="n">
        <v>0.388314699420272</v>
      </c>
      <c r="D108" s="30" t="n">
        <v>0.0913751725672413</v>
      </c>
      <c r="E108" s="30" t="n">
        <v>0.295505668436536</v>
      </c>
      <c r="F108" s="30" t="n">
        <v>0.0134378180492951</v>
      </c>
      <c r="G108" s="30" t="n">
        <v>0.181877994825979</v>
      </c>
      <c r="H108" s="31" t="n">
        <f aca="false">MAX(D108,F108+0.015)</f>
        <v>0.0913751725672413</v>
      </c>
      <c r="I108" s="25" t="n">
        <f aca="false">(C108-'DCF Base Case'!$B$3)*(1-E108)+'DCF Base Case'!$B$3-G108</f>
        <v>0.130103246675123</v>
      </c>
      <c r="J108" s="24" t="n">
        <f aca="false">'DCF Base Case'!$B$2*(1+B108)^1*$I108-'DCF Base Case'!$B$2*(1+B108)^0*B108*'DCF Base Case'!$B$4</f>
        <v>20.1144282123531</v>
      </c>
      <c r="K108" s="24" t="n">
        <f aca="false">'DCF Base Case'!$B$2*(1+B108)^2*$I108-'DCF Base Case'!$B$2*(1+B108)^1*B108*'DCF Base Case'!$B$4</f>
        <v>21.8458903332814</v>
      </c>
      <c r="L108" s="24" t="n">
        <f aca="false">'DCF Base Case'!$B$2*(1+B108)^3*$I108-'DCF Base Case'!$B$2*(1+B108)^2*B108*'DCF Base Case'!$B$4</f>
        <v>23.7263977586329</v>
      </c>
      <c r="M108" s="24" t="n">
        <f aca="false">'DCF Base Case'!$B$2*(1+B108)^4*$I108-'DCF Base Case'!$B$2*(1+B108)^3*B108*'DCF Base Case'!$B$4</f>
        <v>25.7687803981712</v>
      </c>
      <c r="N108" s="24" t="n">
        <f aca="false">'DCF Base Case'!$B$2*(1+B108)^5*$I108-'DCF Base Case'!$B$2*(1+B108)^4*B108*'DCF Base Case'!$B$4</f>
        <v>27.9869725680362</v>
      </c>
      <c r="O108" s="24" t="n">
        <f aca="false">J108/(1+H108)^1+K108/(1+H108)^2+L108/(1+H108)^3+M108/(1+H108)^4+N108/(1+H108)^5</f>
        <v>91.2619769325272</v>
      </c>
      <c r="P108" s="24" t="n">
        <f aca="false">N108*(1+F108)/(H108-F108)</f>
        <v>363.921210677289</v>
      </c>
      <c r="Q108" s="24" t="n">
        <f aca="false">O108+P108/(1+H108)^5</f>
        <v>326.299401204077</v>
      </c>
      <c r="R108" s="24" t="n">
        <f aca="false">Q108-'DCF Base Case'!$B$5</f>
        <v>141.299401204077</v>
      </c>
      <c r="S108" s="32" t="n">
        <f aca="false">R108/'DCF Base Case'!$B$6</f>
        <v>5.65197604816308</v>
      </c>
    </row>
    <row r="109" customFormat="false" ht="15" hidden="false" customHeight="true" outlineLevel="0" collapsed="false">
      <c r="A109" s="6" t="n">
        <v>108</v>
      </c>
      <c r="B109" s="30" t="n">
        <v>0.129987115861429</v>
      </c>
      <c r="C109" s="30" t="n">
        <v>0.432463933508882</v>
      </c>
      <c r="D109" s="30" t="n">
        <v>0.0812894232172464</v>
      </c>
      <c r="E109" s="30" t="n">
        <v>0.275777587347946</v>
      </c>
      <c r="F109" s="30" t="n">
        <v>0.0215559671616328</v>
      </c>
      <c r="G109" s="30" t="n">
        <v>0.132923649047674</v>
      </c>
      <c r="H109" s="31" t="n">
        <f aca="false">MAX(D109,F109+0.015)</f>
        <v>0.0812894232172464</v>
      </c>
      <c r="I109" s="25" t="n">
        <f aca="false">(C109-'DCF Base Case'!$B$3)*(1-E109)+'DCF Base Case'!$B$3-G109</f>
        <v>0.216127510618359</v>
      </c>
      <c r="J109" s="24" t="n">
        <f aca="false">'DCF Base Case'!$B$2*(1+B109)^1*$I109-'DCF Base Case'!$B$2*(1+B109)^0*B109*'DCF Base Case'!$B$4</f>
        <v>34.8466448913855</v>
      </c>
      <c r="K109" s="24" t="n">
        <f aca="false">'DCF Base Case'!$B$2*(1+B109)^2*$I109-'DCF Base Case'!$B$2*(1+B109)^1*B109*'DCF Base Case'!$B$4</f>
        <v>39.3762597582641</v>
      </c>
      <c r="L109" s="24" t="n">
        <f aca="false">'DCF Base Case'!$B$2*(1+B109)^3*$I109-'DCF Base Case'!$B$2*(1+B109)^2*B109*'DCF Base Case'!$B$4</f>
        <v>44.4946661976513</v>
      </c>
      <c r="M109" s="24" t="n">
        <f aca="false">'DCF Base Case'!$B$2*(1+B109)^4*$I109-'DCF Base Case'!$B$2*(1+B109)^3*B109*'DCF Base Case'!$B$4</f>
        <v>50.278399527901</v>
      </c>
      <c r="N109" s="24" t="n">
        <f aca="false">'DCF Base Case'!$B$2*(1+B109)^5*$I109-'DCF Base Case'!$B$2*(1+B109)^4*B109*'DCF Base Case'!$B$4</f>
        <v>56.8139436726615</v>
      </c>
      <c r="O109" s="24" t="n">
        <f aca="false">J109/(1+H109)^1+K109/(1+H109)^2+L109/(1+H109)^3+M109/(1+H109)^4+N109/(1+H109)^5</f>
        <v>176.317135217817</v>
      </c>
      <c r="P109" s="24" t="n">
        <f aca="false">N109*(1+F109)/(H109-F109)</f>
        <v>971.626740009093</v>
      </c>
      <c r="Q109" s="24" t="n">
        <f aca="false">O109+P109/(1+H109)^5</f>
        <v>833.656565337463</v>
      </c>
      <c r="R109" s="24" t="n">
        <f aca="false">Q109-'DCF Base Case'!$B$5</f>
        <v>648.656565337463</v>
      </c>
      <c r="S109" s="32" t="n">
        <f aca="false">R109/'DCF Base Case'!$B$6</f>
        <v>25.9462626134985</v>
      </c>
    </row>
    <row r="110" customFormat="false" ht="15" hidden="false" customHeight="true" outlineLevel="0" collapsed="false">
      <c r="A110" s="6" t="n">
        <v>109</v>
      </c>
      <c r="B110" s="30" t="n">
        <v>0.0933785569195762</v>
      </c>
      <c r="C110" s="30" t="n">
        <v>0.407683555109595</v>
      </c>
      <c r="D110" s="30" t="n">
        <v>0.105326075142517</v>
      </c>
      <c r="E110" s="30" t="n">
        <v>0.274937106908083</v>
      </c>
      <c r="F110" s="30" t="n">
        <v>0.0249986885759415</v>
      </c>
      <c r="G110" s="30" t="n">
        <v>0.1432252292122</v>
      </c>
      <c r="H110" s="31" t="n">
        <f aca="false">MAX(D110,F110+0.015)</f>
        <v>0.105326075142517</v>
      </c>
      <c r="I110" s="25" t="n">
        <f aca="false">(C110-'DCF Base Case'!$B$3)*(1-E110)+'DCF Base Case'!$B$3-G110</f>
        <v>0.188112812619612</v>
      </c>
      <c r="J110" s="24" t="n">
        <f aca="false">'DCF Base Case'!$B$2*(1+B110)^1*$I110-'DCF Base Case'!$B$2*(1+B110)^0*B110*'DCF Base Case'!$B$4</f>
        <v>29.4171880394163</v>
      </c>
      <c r="K110" s="24" t="n">
        <f aca="false">'DCF Base Case'!$B$2*(1+B110)^2*$I110-'DCF Base Case'!$B$2*(1+B110)^1*B110*'DCF Base Case'!$B$4</f>
        <v>32.1641226071689</v>
      </c>
      <c r="L110" s="24" t="n">
        <f aca="false">'DCF Base Case'!$B$2*(1+B110)^3*$I110-'DCF Base Case'!$B$2*(1+B110)^2*B110*'DCF Base Case'!$B$4</f>
        <v>35.1675619608106</v>
      </c>
      <c r="M110" s="24" t="n">
        <f aca="false">'DCF Base Case'!$B$2*(1+B110)^4*$I110-'DCF Base Case'!$B$2*(1+B110)^3*B110*'DCF Base Case'!$B$4</f>
        <v>38.4514581470909</v>
      </c>
      <c r="N110" s="24" t="n">
        <f aca="false">'DCF Base Case'!$B$2*(1+B110)^5*$I110-'DCF Base Case'!$B$2*(1+B110)^4*B110*'DCF Base Case'!$B$4</f>
        <v>42.0419998203197</v>
      </c>
      <c r="O110" s="24" t="n">
        <f aca="false">J110/(1+H110)^1+K110/(1+H110)^2+L110/(1+H110)^3+M110/(1+H110)^4+N110/(1+H110)^5</f>
        <v>130.22438443542</v>
      </c>
      <c r="P110" s="24" t="n">
        <f aca="false">N110*(1+F110)/(H110-F110)</f>
        <v>536.467032264545</v>
      </c>
      <c r="Q110" s="24" t="n">
        <f aca="false">O110+P110/(1+H110)^5</f>
        <v>455.379777382934</v>
      </c>
      <c r="R110" s="24" t="n">
        <f aca="false">Q110-'DCF Base Case'!$B$5</f>
        <v>270.379777382934</v>
      </c>
      <c r="S110" s="32" t="n">
        <f aca="false">R110/'DCF Base Case'!$B$6</f>
        <v>10.8151910953174</v>
      </c>
    </row>
    <row r="111" customFormat="false" ht="15" hidden="false" customHeight="true" outlineLevel="0" collapsed="false">
      <c r="A111" s="6" t="n">
        <v>110</v>
      </c>
      <c r="B111" s="30" t="n">
        <v>0.102682790141145</v>
      </c>
      <c r="C111" s="30" t="n">
        <v>0.424964523729535</v>
      </c>
      <c r="D111" s="30" t="n">
        <v>0.0754404802734874</v>
      </c>
      <c r="E111" s="30" t="n">
        <v>0.284784768404917</v>
      </c>
      <c r="F111" s="30" t="n">
        <v>0.0236547145077021</v>
      </c>
      <c r="G111" s="30" t="n">
        <v>0.158628894293611</v>
      </c>
      <c r="H111" s="31" t="n">
        <f aca="false">MAX(D111,F111+0.015)</f>
        <v>0.0754404802734874</v>
      </c>
      <c r="I111" s="25" t="n">
        <f aca="false">(C111-'DCF Base Case'!$B$3)*(1-E111)+'DCF Base Case'!$B$3-G111</f>
        <v>0.182334225857942</v>
      </c>
      <c r="J111" s="24" t="n">
        <f aca="false">'DCF Base Case'!$B$2*(1+B111)^1*$I111-'DCF Base Case'!$B$2*(1+B111)^0*B111*'DCF Base Case'!$B$4</f>
        <v>28.7065677344388</v>
      </c>
      <c r="K111" s="24" t="n">
        <f aca="false">'DCF Base Case'!$B$2*(1+B111)^2*$I111-'DCF Base Case'!$B$2*(1+B111)^1*B111*'DCF Base Case'!$B$4</f>
        <v>31.6542382047868</v>
      </c>
      <c r="L111" s="24" t="n">
        <f aca="false">'DCF Base Case'!$B$2*(1+B111)^3*$I111-'DCF Base Case'!$B$2*(1+B111)^2*B111*'DCF Base Case'!$B$4</f>
        <v>34.9045837034467</v>
      </c>
      <c r="M111" s="24" t="n">
        <f aca="false">'DCF Base Case'!$B$2*(1+B111)^4*$I111-'DCF Base Case'!$B$2*(1+B111)^3*B111*'DCF Base Case'!$B$4</f>
        <v>38.4886837468318</v>
      </c>
      <c r="N111" s="24" t="n">
        <f aca="false">'DCF Base Case'!$B$2*(1+B111)^5*$I111-'DCF Base Case'!$B$2*(1+B111)^4*B111*'DCF Base Case'!$B$4</f>
        <v>42.4408091828166</v>
      </c>
      <c r="O111" s="24" t="n">
        <f aca="false">J111/(1+H111)^1+K111/(1+H111)^2+L111/(1+H111)^3+M111/(1+H111)^4+N111/(1+H111)^5</f>
        <v>140.399340684402</v>
      </c>
      <c r="P111" s="24" t="n">
        <f aca="false">N111*(1+F111)/(H111-F111)</f>
        <v>838.931968371428</v>
      </c>
      <c r="Q111" s="24" t="n">
        <f aca="false">O111+P111/(1+H111)^5</f>
        <v>723.568899712819</v>
      </c>
      <c r="R111" s="24" t="n">
        <f aca="false">Q111-'DCF Base Case'!$B$5</f>
        <v>538.568899712819</v>
      </c>
      <c r="S111" s="32" t="n">
        <f aca="false">R111/'DCF Base Case'!$B$6</f>
        <v>21.5427559885128</v>
      </c>
    </row>
    <row r="112" customFormat="false" ht="15" hidden="false" customHeight="true" outlineLevel="0" collapsed="false">
      <c r="A112" s="6" t="n">
        <v>111</v>
      </c>
      <c r="B112" s="30" t="n">
        <v>0.0550543262424319</v>
      </c>
      <c r="C112" s="30" t="n">
        <v>0.400352093422738</v>
      </c>
      <c r="D112" s="30" t="n">
        <v>0.0750733459572824</v>
      </c>
      <c r="E112" s="30" t="n">
        <v>0.270777950885252</v>
      </c>
      <c r="F112" s="30" t="n">
        <v>0.0190449030472433</v>
      </c>
      <c r="G112" s="30" t="n">
        <v>0.133271989398498</v>
      </c>
      <c r="H112" s="31" t="n">
        <f aca="false">MAX(D112,F112+0.015)</f>
        <v>0.0750733459572824</v>
      </c>
      <c r="I112" s="25" t="n">
        <f aca="false">(C112-'DCF Base Case'!$B$3)*(1-E112)+'DCF Base Case'!$B$3-G112</f>
        <v>0.193874718149693</v>
      </c>
      <c r="J112" s="24" t="n">
        <f aca="false">'DCF Base Case'!$B$2*(1+B112)^1*$I112-'DCF Base Case'!$B$2*(1+B112)^0*B112*'DCF Base Case'!$B$4</f>
        <v>29.4200259001109</v>
      </c>
      <c r="K112" s="24" t="n">
        <f aca="false">'DCF Base Case'!$B$2*(1+B112)^2*$I112-'DCF Base Case'!$B$2*(1+B112)^1*B112*'DCF Base Case'!$B$4</f>
        <v>31.0397256040764</v>
      </c>
      <c r="L112" s="24" t="n">
        <f aca="false">'DCF Base Case'!$B$2*(1+B112)^3*$I112-'DCF Base Case'!$B$2*(1+B112)^2*B112*'DCF Base Case'!$B$4</f>
        <v>32.7485967839588</v>
      </c>
      <c r="M112" s="24" t="n">
        <f aca="false">'DCF Base Case'!$B$2*(1+B112)^4*$I112-'DCF Base Case'!$B$2*(1+B112)^3*B112*'DCF Base Case'!$B$4</f>
        <v>34.5515487152847</v>
      </c>
      <c r="N112" s="24" t="n">
        <f aca="false">'DCF Base Case'!$B$2*(1+B112)^5*$I112-'DCF Base Case'!$B$2*(1+B112)^4*B112*'DCF Base Case'!$B$4</f>
        <v>36.4537609504373</v>
      </c>
      <c r="O112" s="24" t="n">
        <f aca="false">J112/(1+H112)^1+K112/(1+H112)^2+L112/(1+H112)^3+M112/(1+H112)^4+N112/(1+H112)^5</f>
        <v>131.82623440669</v>
      </c>
      <c r="P112" s="24" t="n">
        <f aca="false">N112*(1+F112)/(H112-F112)</f>
        <v>663.020733113924</v>
      </c>
      <c r="Q112" s="24" t="n">
        <f aca="false">O112+P112/(1+H112)^5</f>
        <v>593.50153023978</v>
      </c>
      <c r="R112" s="24" t="n">
        <f aca="false">Q112-'DCF Base Case'!$B$5</f>
        <v>408.50153023978</v>
      </c>
      <c r="S112" s="32" t="n">
        <f aca="false">R112/'DCF Base Case'!$B$6</f>
        <v>16.3400612095912</v>
      </c>
    </row>
    <row r="113" customFormat="false" ht="15" hidden="false" customHeight="true" outlineLevel="0" collapsed="false">
      <c r="A113" s="6" t="n">
        <v>112</v>
      </c>
      <c r="B113" s="30" t="n">
        <v>0.0562917312611768</v>
      </c>
      <c r="C113" s="30" t="n">
        <v>0.412229690800986</v>
      </c>
      <c r="D113" s="30" t="n">
        <v>0.0792500943421335</v>
      </c>
      <c r="E113" s="30" t="n">
        <v>0.243370119243048</v>
      </c>
      <c r="F113" s="30" t="n">
        <v>0.0221721705392281</v>
      </c>
      <c r="G113" s="30" t="n">
        <v>0.171461219864249</v>
      </c>
      <c r="H113" s="31" t="n">
        <f aca="false">MAX(D113,F113+0.015)</f>
        <v>0.0792500943421335</v>
      </c>
      <c r="I113" s="25" t="n">
        <f aca="false">(C113-'DCF Base Case'!$B$3)*(1-E113)+'DCF Base Case'!$B$3-G113</f>
        <v>0.172082197432572</v>
      </c>
      <c r="J113" s="24" t="n">
        <f aca="false">'DCF Base Case'!$B$2*(1+B113)^1*$I113-'DCF Base Case'!$B$2*(1+B113)^0*B113*'DCF Base Case'!$B$4</f>
        <v>26.1116362945794</v>
      </c>
      <c r="K113" s="24" t="n">
        <f aca="false">'DCF Base Case'!$B$2*(1+B113)^2*$I113-'DCF Base Case'!$B$2*(1+B113)^1*B113*'DCF Base Case'!$B$4</f>
        <v>27.5815055076635</v>
      </c>
      <c r="L113" s="24" t="n">
        <f aca="false">'DCF Base Case'!$B$2*(1+B113)^3*$I113-'DCF Base Case'!$B$2*(1+B113)^2*B113*'DCF Base Case'!$B$4</f>
        <v>29.1341162034795</v>
      </c>
      <c r="M113" s="24" t="n">
        <f aca="false">'DCF Base Case'!$B$2*(1+B113)^4*$I113-'DCF Base Case'!$B$2*(1+B113)^3*B113*'DCF Base Case'!$B$4</f>
        <v>30.7741260433377</v>
      </c>
      <c r="N113" s="24" t="n">
        <f aca="false">'DCF Base Case'!$B$2*(1+B113)^5*$I113-'DCF Base Case'!$B$2*(1+B113)^4*B113*'DCF Base Case'!$B$4</f>
        <v>32.5064548763669</v>
      </c>
      <c r="O113" s="24" t="n">
        <f aca="false">J113/(1+H113)^1+K113/(1+H113)^2+L113/(1+H113)^3+M113/(1+H113)^4+N113/(1+H113)^5</f>
        <v>115.932803216672</v>
      </c>
      <c r="P113" s="24" t="n">
        <f aca="false">N113*(1+F113)/(H113-F113)</f>
        <v>582.137389093681</v>
      </c>
      <c r="Q113" s="24" t="n">
        <f aca="false">O113+P113/(1+H113)^5</f>
        <v>513.50409534048</v>
      </c>
      <c r="R113" s="24" t="n">
        <f aca="false">Q113-'DCF Base Case'!$B$5</f>
        <v>328.50409534048</v>
      </c>
      <c r="S113" s="32" t="n">
        <f aca="false">R113/'DCF Base Case'!$B$6</f>
        <v>13.1401638136192</v>
      </c>
    </row>
    <row r="114" customFormat="false" ht="15" hidden="false" customHeight="true" outlineLevel="0" collapsed="false">
      <c r="A114" s="6" t="n">
        <v>113</v>
      </c>
      <c r="B114" s="30" t="n">
        <v>0.0744711686175607</v>
      </c>
      <c r="C114" s="30" t="n">
        <v>0.380344711739034</v>
      </c>
      <c r="D114" s="30" t="n">
        <v>0.0941938868594577</v>
      </c>
      <c r="E114" s="30" t="n">
        <v>0.290018426277306</v>
      </c>
      <c r="F114" s="30" t="n">
        <v>0.0264378590775279</v>
      </c>
      <c r="G114" s="30" t="n">
        <v>0.175021749155667</v>
      </c>
      <c r="H114" s="31" t="n">
        <f aca="false">MAX(D114,F114+0.015)</f>
        <v>0.0941938868594577</v>
      </c>
      <c r="I114" s="25" t="n">
        <f aca="false">(C114-'DCF Base Case'!$B$3)*(1-E114)+'DCF Base Case'!$B$3-G114</f>
        <v>0.132718383257967</v>
      </c>
      <c r="J114" s="24" t="n">
        <f aca="false">'DCF Base Case'!$B$2*(1+B114)^1*$I114-'DCF Base Case'!$B$2*(1+B114)^0*B114*'DCF Base Case'!$B$4</f>
        <v>20.3533514881656</v>
      </c>
      <c r="K114" s="24" t="n">
        <f aca="false">'DCF Base Case'!$B$2*(1+B114)^2*$I114-'DCF Base Case'!$B$2*(1+B114)^1*B114*'DCF Base Case'!$B$4</f>
        <v>21.8690893587733</v>
      </c>
      <c r="L114" s="24" t="n">
        <f aca="false">'DCF Base Case'!$B$2*(1+B114)^3*$I114-'DCF Base Case'!$B$2*(1+B114)^2*B114*'DCF Base Case'!$B$4</f>
        <v>23.497705999923</v>
      </c>
      <c r="M114" s="24" t="n">
        <f aca="false">'DCF Base Case'!$B$2*(1+B114)^4*$I114-'DCF Base Case'!$B$2*(1+B114)^3*B114*'DCF Base Case'!$B$4</f>
        <v>25.2476076255691</v>
      </c>
      <c r="N114" s="24" t="n">
        <f aca="false">'DCF Base Case'!$B$2*(1+B114)^5*$I114-'DCF Base Case'!$B$2*(1+B114)^4*B114*'DCF Base Case'!$B$4</f>
        <v>27.1278264702429</v>
      </c>
      <c r="O114" s="24" t="n">
        <f aca="false">J114/(1+H114)^1+K114/(1+H114)^2+L114/(1+H114)^3+M114/(1+H114)^4+N114/(1+H114)^5</f>
        <v>89.7131889097503</v>
      </c>
      <c r="P114" s="24" t="n">
        <f aca="false">N114*(1+F114)/(H114-F114)</f>
        <v>410.960161554348</v>
      </c>
      <c r="Q114" s="24" t="n">
        <f aca="false">O114+P114/(1+H114)^5</f>
        <v>351.72948493747</v>
      </c>
      <c r="R114" s="24" t="n">
        <f aca="false">Q114-'DCF Base Case'!$B$5</f>
        <v>166.72948493747</v>
      </c>
      <c r="S114" s="32" t="n">
        <f aca="false">R114/'DCF Base Case'!$B$6</f>
        <v>6.6691793974988</v>
      </c>
    </row>
    <row r="115" customFormat="false" ht="15" hidden="false" customHeight="true" outlineLevel="0" collapsed="false">
      <c r="A115" s="6" t="n">
        <v>114</v>
      </c>
      <c r="B115" s="30" t="n">
        <v>0.0982197495553295</v>
      </c>
      <c r="C115" s="30" t="n">
        <v>0.414318671857826</v>
      </c>
      <c r="D115" s="30" t="n">
        <v>0.0939845345392087</v>
      </c>
      <c r="E115" s="30" t="n">
        <v>0.298687428989735</v>
      </c>
      <c r="F115" s="30" t="n">
        <v>0.0237817713536638</v>
      </c>
      <c r="G115" s="30" t="n">
        <v>0.154702790607058</v>
      </c>
      <c r="H115" s="31" t="n">
        <f aca="false">MAX(D115,F115+0.015)</f>
        <v>0.0939845345392087</v>
      </c>
      <c r="I115" s="25" t="n">
        <f aca="false">(C115-'DCF Base Case'!$B$3)*(1-E115)+'DCF Base Case'!$B$3-G115</f>
        <v>0.174693468139778</v>
      </c>
      <c r="J115" s="24" t="n">
        <f aca="false">'DCF Base Case'!$B$2*(1+B115)^1*$I115-'DCF Base Case'!$B$2*(1+B115)^0*B115*'DCF Base Case'!$B$4</f>
        <v>27.3912575297</v>
      </c>
      <c r="K115" s="24" t="n">
        <f aca="false">'DCF Base Case'!$B$2*(1+B115)^2*$I115-'DCF Base Case'!$B$2*(1+B115)^1*B115*'DCF Base Case'!$B$4</f>
        <v>30.0816199842727</v>
      </c>
      <c r="L115" s="24" t="n">
        <f aca="false">'DCF Base Case'!$B$2*(1+B115)^3*$I115-'DCF Base Case'!$B$2*(1+B115)^2*B115*'DCF Base Case'!$B$4</f>
        <v>33.0362291653466</v>
      </c>
      <c r="M115" s="24" t="n">
        <f aca="false">'DCF Base Case'!$B$2*(1+B115)^4*$I115-'DCF Base Case'!$B$2*(1+B115)^3*B115*'DCF Base Case'!$B$4</f>
        <v>36.2810393202194</v>
      </c>
      <c r="N115" s="24" t="n">
        <f aca="false">'DCF Base Case'!$B$2*(1+B115)^5*$I115-'DCF Base Case'!$B$2*(1+B115)^4*B115*'DCF Base Case'!$B$4</f>
        <v>39.8445539158584</v>
      </c>
      <c r="O115" s="24" t="n">
        <f aca="false">J115/(1+H115)^1+K115/(1+H115)^2+L115/(1+H115)^3+M115/(1+H115)^4+N115/(1+H115)^5</f>
        <v>126.163407666735</v>
      </c>
      <c r="P115" s="24" t="n">
        <f aca="false">N115*(1+F115)/(H115-F115)</f>
        <v>581.061572732701</v>
      </c>
      <c r="Q115" s="24" t="n">
        <f aca="false">O115+P115/(1+H115)^5</f>
        <v>496.98604877692</v>
      </c>
      <c r="R115" s="24" t="n">
        <f aca="false">Q115-'DCF Base Case'!$B$5</f>
        <v>311.98604877692</v>
      </c>
      <c r="S115" s="32" t="n">
        <f aca="false">R115/'DCF Base Case'!$B$6</f>
        <v>12.4794419510768</v>
      </c>
    </row>
    <row r="116" customFormat="false" ht="15" hidden="false" customHeight="true" outlineLevel="0" collapsed="false">
      <c r="A116" s="6" t="n">
        <v>115</v>
      </c>
      <c r="B116" s="30" t="n">
        <v>0.0807205932864889</v>
      </c>
      <c r="C116" s="30" t="n">
        <v>0.400535609079354</v>
      </c>
      <c r="D116" s="30" t="n">
        <v>0.0936988189329689</v>
      </c>
      <c r="E116" s="30" t="n">
        <v>0.324241930063597</v>
      </c>
      <c r="F116" s="30" t="n">
        <v>0.0175203399164201</v>
      </c>
      <c r="G116" s="30" t="n">
        <v>0.156633362702048</v>
      </c>
      <c r="H116" s="31" t="n">
        <f aca="false">MAX(D116,F116+0.015)</f>
        <v>0.0936988189329689</v>
      </c>
      <c r="I116" s="25" t="n">
        <f aca="false">(C116-'DCF Base Case'!$B$3)*(1-E116)+'DCF Base Case'!$B$3-G116</f>
        <v>0.156183258338485</v>
      </c>
      <c r="J116" s="24" t="n">
        <f aca="false">'DCF Base Case'!$B$2*(1+B116)^1*$I116-'DCF Base Case'!$B$2*(1+B116)^0*B116*'DCF Base Case'!$B$4</f>
        <v>24.1234826430866</v>
      </c>
      <c r="K116" s="24" t="n">
        <f aca="false">'DCF Base Case'!$B$2*(1+B116)^2*$I116-'DCF Base Case'!$B$2*(1+B116)^1*B116*'DCF Base Case'!$B$4</f>
        <v>26.0707444741729</v>
      </c>
      <c r="L116" s="24" t="n">
        <f aca="false">'DCF Base Case'!$B$2*(1+B116)^3*$I116-'DCF Base Case'!$B$2*(1+B116)^2*B116*'DCF Base Case'!$B$4</f>
        <v>28.1751904355485</v>
      </c>
      <c r="M116" s="24" t="n">
        <f aca="false">'DCF Base Case'!$B$2*(1+B116)^4*$I116-'DCF Base Case'!$B$2*(1+B116)^3*B116*'DCF Base Case'!$B$4</f>
        <v>30.4495085234658</v>
      </c>
      <c r="N116" s="24" t="n">
        <f aca="false">'DCF Base Case'!$B$2*(1+B116)^5*$I116-'DCF Base Case'!$B$2*(1+B116)^4*B116*'DCF Base Case'!$B$4</f>
        <v>32.907410916762</v>
      </c>
      <c r="O116" s="24" t="n">
        <f aca="false">J116/(1+H116)^1+K116/(1+H116)^2+L116/(1+H116)^3+M116/(1+H116)^4+N116/(1+H116)^5</f>
        <v>107.697474700612</v>
      </c>
      <c r="P116" s="24" t="n">
        <f aca="false">N116*(1+F116)/(H116-F116)</f>
        <v>439.546186456663</v>
      </c>
      <c r="Q116" s="24" t="n">
        <f aca="false">O116+P116/(1+H116)^5</f>
        <v>388.574230836316</v>
      </c>
      <c r="R116" s="24" t="n">
        <f aca="false">Q116-'DCF Base Case'!$B$5</f>
        <v>203.574230836316</v>
      </c>
      <c r="S116" s="32" t="n">
        <f aca="false">R116/'DCF Base Case'!$B$6</f>
        <v>8.14296923345263</v>
      </c>
    </row>
    <row r="117" customFormat="false" ht="15" hidden="false" customHeight="true" outlineLevel="0" collapsed="false">
      <c r="A117" s="6" t="n">
        <v>116</v>
      </c>
      <c r="B117" s="30" t="n">
        <v>0.0965988943799045</v>
      </c>
      <c r="C117" s="30" t="n">
        <v>0.412084165700523</v>
      </c>
      <c r="D117" s="30" t="n">
        <v>0.0954725901845388</v>
      </c>
      <c r="E117" s="30" t="n">
        <v>0.245173971823112</v>
      </c>
      <c r="F117" s="30" t="n">
        <v>0.0159779070549969</v>
      </c>
      <c r="G117" s="30" t="n">
        <v>0.149460819321526</v>
      </c>
      <c r="H117" s="31" t="n">
        <f aca="false">MAX(D117,F117+0.015)</f>
        <v>0.0954725901845388</v>
      </c>
      <c r="I117" s="25" t="n">
        <f aca="false">(C117-'DCF Base Case'!$B$3)*(1-E117)+'DCF Base Case'!$B$3-G117</f>
        <v>0.193463651085791</v>
      </c>
      <c r="J117" s="24" t="n">
        <f aca="false">'DCF Base Case'!$B$2*(1+B117)^1*$I117-'DCF Base Case'!$B$2*(1+B117)^0*B117*'DCF Base Case'!$B$4</f>
        <v>30.3418385625372</v>
      </c>
      <c r="K117" s="24" t="n">
        <f aca="false">'DCF Base Case'!$B$2*(1+B117)^2*$I117-'DCF Base Case'!$B$2*(1+B117)^1*B117*'DCF Base Case'!$B$4</f>
        <v>33.2728266211319</v>
      </c>
      <c r="L117" s="24" t="n">
        <f aca="false">'DCF Base Case'!$B$2*(1+B117)^3*$I117-'DCF Base Case'!$B$2*(1+B117)^2*B117*'DCF Base Case'!$B$4</f>
        <v>36.4869448856275</v>
      </c>
      <c r="M117" s="24" t="n">
        <f aca="false">'DCF Base Case'!$B$2*(1+B117)^4*$I117-'DCF Base Case'!$B$2*(1+B117)^3*B117*'DCF Base Case'!$B$4</f>
        <v>40.0115434208796</v>
      </c>
      <c r="N117" s="24" t="n">
        <f aca="false">'DCF Base Case'!$B$2*(1+B117)^5*$I117-'DCF Base Case'!$B$2*(1+B117)^4*B117*'DCF Base Case'!$B$4</f>
        <v>43.8766142777701</v>
      </c>
      <c r="O117" s="24" t="n">
        <f aca="false">J117/(1+H117)^1+K117/(1+H117)^2+L117/(1+H117)^3+M117/(1+H117)^4+N117/(1+H117)^5</f>
        <v>138.772501515124</v>
      </c>
      <c r="P117" s="24" t="n">
        <f aca="false">N117*(1+F117)/(H117-F117)</f>
        <v>560.762921338349</v>
      </c>
      <c r="Q117" s="24" t="n">
        <f aca="false">O117+P117/(1+H117)^5</f>
        <v>494.216930543104</v>
      </c>
      <c r="R117" s="24" t="n">
        <f aca="false">Q117-'DCF Base Case'!$B$5</f>
        <v>309.216930543104</v>
      </c>
      <c r="S117" s="32" t="n">
        <f aca="false">R117/'DCF Base Case'!$B$6</f>
        <v>12.3686772217242</v>
      </c>
    </row>
    <row r="118" customFormat="false" ht="15" hidden="false" customHeight="true" outlineLevel="0" collapsed="false">
      <c r="A118" s="6" t="n">
        <v>117</v>
      </c>
      <c r="B118" s="30" t="n">
        <v>0.0471276970986734</v>
      </c>
      <c r="C118" s="30" t="n">
        <v>0.376097787324761</v>
      </c>
      <c r="D118" s="30" t="n">
        <v>0.0749332827256948</v>
      </c>
      <c r="E118" s="30" t="n">
        <v>0.2742441611208</v>
      </c>
      <c r="F118" s="30" t="n">
        <v>0.0233241076356886</v>
      </c>
      <c r="G118" s="30" t="n">
        <v>0.160160451285087</v>
      </c>
      <c r="H118" s="31" t="n">
        <f aca="false">MAX(D118,F118+0.015)</f>
        <v>0.0749332827256948</v>
      </c>
      <c r="I118" s="25" t="n">
        <f aca="false">(C118-'DCF Base Case'!$B$3)*(1-E118)+'DCF Base Case'!$B$3-G118</f>
        <v>0.14844645480111</v>
      </c>
      <c r="J118" s="24" t="n">
        <f aca="false">'DCF Base Case'!$B$2*(1+B118)^1*$I118-'DCF Base Case'!$B$2*(1+B118)^0*B118*'DCF Base Case'!$B$4</f>
        <v>22.3341416995813</v>
      </c>
      <c r="K118" s="24" t="n">
        <f aca="false">'DCF Base Case'!$B$2*(1+B118)^2*$I118-'DCF Base Case'!$B$2*(1+B118)^1*B118*'DCF Base Case'!$B$4</f>
        <v>23.386698364558</v>
      </c>
      <c r="L118" s="24" t="n">
        <f aca="false">'DCF Base Case'!$B$2*(1+B118)^3*$I118-'DCF Base Case'!$B$2*(1+B118)^2*B118*'DCF Base Case'!$B$4</f>
        <v>24.488859601221</v>
      </c>
      <c r="M118" s="24" t="n">
        <f aca="false">'DCF Base Case'!$B$2*(1+B118)^4*$I118-'DCF Base Case'!$B$2*(1+B118)^3*B118*'DCF Base Case'!$B$4</f>
        <v>25.6429631587992</v>
      </c>
      <c r="N118" s="24" t="n">
        <f aca="false">'DCF Base Case'!$B$2*(1+B118)^5*$I118-'DCF Base Case'!$B$2*(1+B118)^4*B118*'DCF Base Case'!$B$4</f>
        <v>26.8514569592596</v>
      </c>
      <c r="O118" s="24" t="n">
        <f aca="false">J118/(1+H118)^1+K118/(1+H118)^2+L118/(1+H118)^3+M118/(1+H118)^4+N118/(1+H118)^5</f>
        <v>98.6489083941843</v>
      </c>
      <c r="P118" s="24" t="n">
        <f aca="false">N118*(1+F118)/(H118-F118)</f>
        <v>532.419733189522</v>
      </c>
      <c r="Q118" s="24" t="n">
        <f aca="false">O118+P118/(1+H118)^5</f>
        <v>469.625574139001</v>
      </c>
      <c r="R118" s="24" t="n">
        <f aca="false">Q118-'DCF Base Case'!$B$5</f>
        <v>284.625574139001</v>
      </c>
      <c r="S118" s="32" t="n">
        <f aca="false">R118/'DCF Base Case'!$B$6</f>
        <v>11.3850229655601</v>
      </c>
    </row>
    <row r="119" customFormat="false" ht="15" hidden="false" customHeight="true" outlineLevel="0" collapsed="false">
      <c r="A119" s="6" t="n">
        <v>118</v>
      </c>
      <c r="B119" s="30" t="n">
        <v>0.0675058258808401</v>
      </c>
      <c r="C119" s="30" t="n">
        <v>0.40512561841755</v>
      </c>
      <c r="D119" s="30" t="n">
        <v>0.0965409098358549</v>
      </c>
      <c r="E119" s="30" t="n">
        <v>0.25902612311881</v>
      </c>
      <c r="F119" s="30" t="n">
        <v>0.0156320909343354</v>
      </c>
      <c r="G119" s="30" t="n">
        <v>0.178413839480879</v>
      </c>
      <c r="H119" s="31" t="n">
        <f aca="false">MAX(D119,F119+0.015)</f>
        <v>0.0965409098358549</v>
      </c>
      <c r="I119" s="25" t="n">
        <f aca="false">(C119-'DCF Base Case'!$B$3)*(1-E119)+'DCF Base Case'!$B$3-G119</f>
        <v>0.155447056627308</v>
      </c>
      <c r="J119" s="24" t="n">
        <f aca="false">'DCF Base Case'!$B$2*(1+B119)^1*$I119-'DCF Base Case'!$B$2*(1+B119)^0*B119*'DCF Base Case'!$B$4</f>
        <v>23.767742249442</v>
      </c>
      <c r="K119" s="24" t="n">
        <f aca="false">'DCF Base Case'!$B$2*(1+B119)^2*$I119-'DCF Base Case'!$B$2*(1+B119)^1*B119*'DCF Base Case'!$B$4</f>
        <v>25.3722033193135</v>
      </c>
      <c r="L119" s="24" t="n">
        <f aca="false">'DCF Base Case'!$B$2*(1+B119)^3*$I119-'DCF Base Case'!$B$2*(1+B119)^2*B119*'DCF Base Case'!$B$4</f>
        <v>27.0849748588003</v>
      </c>
      <c r="M119" s="24" t="n">
        <f aca="false">'DCF Base Case'!$B$2*(1+B119)^4*$I119-'DCF Base Case'!$B$2*(1+B119)^3*B119*'DCF Base Case'!$B$4</f>
        <v>28.9133684556054</v>
      </c>
      <c r="N119" s="24" t="n">
        <f aca="false">'DCF Base Case'!$B$2*(1+B119)^5*$I119-'DCF Base Case'!$B$2*(1+B119)^4*B119*'DCF Base Case'!$B$4</f>
        <v>30.8651892721981</v>
      </c>
      <c r="O119" s="24" t="n">
        <f aca="false">J119/(1+H119)^1+K119/(1+H119)^2+L119/(1+H119)^3+M119/(1+H119)^4+N119/(1+H119)^5</f>
        <v>102.786631564832</v>
      </c>
      <c r="P119" s="24" t="n">
        <f aca="false">N119*(1+F119)/(H119-F119)</f>
        <v>387.444497932448</v>
      </c>
      <c r="Q119" s="24" t="n">
        <f aca="false">O119+P119/(1+H119)^5</f>
        <v>347.177684693581</v>
      </c>
      <c r="R119" s="24" t="n">
        <f aca="false">Q119-'DCF Base Case'!$B$5</f>
        <v>162.177684693581</v>
      </c>
      <c r="S119" s="32" t="n">
        <f aca="false">R119/'DCF Base Case'!$B$6</f>
        <v>6.48710738774325</v>
      </c>
    </row>
    <row r="120" customFormat="false" ht="15" hidden="false" customHeight="true" outlineLevel="0" collapsed="false">
      <c r="A120" s="6" t="n">
        <v>119</v>
      </c>
      <c r="B120" s="30" t="n">
        <v>0.0854058096178396</v>
      </c>
      <c r="C120" s="30" t="n">
        <v>0.425451194108706</v>
      </c>
      <c r="D120" s="30" t="n">
        <v>0.0848498852902517</v>
      </c>
      <c r="E120" s="30" t="n">
        <v>0.301109302579602</v>
      </c>
      <c r="F120" s="30" t="n">
        <v>0.0151288729612887</v>
      </c>
      <c r="G120" s="30" t="n">
        <v>0.164964322800469</v>
      </c>
      <c r="H120" s="31" t="n">
        <f aca="false">MAX(D120,F120+0.015)</f>
        <v>0.0848498852902517</v>
      </c>
      <c r="I120" s="25" t="n">
        <f aca="false">(C120-'DCF Base Case'!$B$3)*(1-E120)+'DCF Base Case'!$B$3-G120</f>
        <v>0.171523768303854</v>
      </c>
      <c r="J120" s="24" t="n">
        <f aca="false">'DCF Base Case'!$B$2*(1+B120)^1*$I120-'DCF Base Case'!$B$2*(1+B120)^0*B120*'DCF Base Case'!$B$4</f>
        <v>26.6235544458218</v>
      </c>
      <c r="K120" s="24" t="n">
        <f aca="false">'DCF Base Case'!$B$2*(1+B120)^2*$I120-'DCF Base Case'!$B$2*(1+B120)^1*B120*'DCF Base Case'!$B$4</f>
        <v>28.8973606681718</v>
      </c>
      <c r="L120" s="24" t="n">
        <f aca="false">'DCF Base Case'!$B$2*(1+B120)^3*$I120-'DCF Base Case'!$B$2*(1+B120)^2*B120*'DCF Base Case'!$B$4</f>
        <v>31.3653631518557</v>
      </c>
      <c r="M120" s="24" t="n">
        <f aca="false">'DCF Base Case'!$B$2*(1+B120)^4*$I120-'DCF Base Case'!$B$2*(1+B120)^3*B120*'DCF Base Case'!$B$4</f>
        <v>34.0441473857975</v>
      </c>
      <c r="N120" s="24" t="n">
        <f aca="false">'DCF Base Case'!$B$2*(1+B120)^5*$I120-'DCF Base Case'!$B$2*(1+B120)^4*B120*'DCF Base Case'!$B$4</f>
        <v>36.9517153560306</v>
      </c>
      <c r="O120" s="24" t="n">
        <f aca="false">J120/(1+H120)^1+K120/(1+H120)^2+L120/(1+H120)^3+M120/(1+H120)^4+N120/(1+H120)^5</f>
        <v>122.831992384107</v>
      </c>
      <c r="P120" s="24" t="n">
        <f aca="false">N120*(1+F120)/(H120-F120)</f>
        <v>538.012170367917</v>
      </c>
      <c r="Q120" s="24" t="n">
        <f aca="false">O120+P120/(1+H120)^5</f>
        <v>480.882144808863</v>
      </c>
      <c r="R120" s="24" t="n">
        <f aca="false">Q120-'DCF Base Case'!$B$5</f>
        <v>295.882144808863</v>
      </c>
      <c r="S120" s="32" t="n">
        <f aca="false">R120/'DCF Base Case'!$B$6</f>
        <v>11.8352857923545</v>
      </c>
    </row>
    <row r="121" customFormat="false" ht="15" hidden="false" customHeight="true" outlineLevel="0" collapsed="false">
      <c r="A121" s="6" t="n">
        <v>120</v>
      </c>
      <c r="B121" s="30" t="n">
        <v>0.0856379547934913</v>
      </c>
      <c r="C121" s="30" t="n">
        <v>0.385994281726991</v>
      </c>
      <c r="D121" s="30" t="n">
        <v>0.0678017425734444</v>
      </c>
      <c r="E121" s="30" t="n">
        <v>0.300606545693459</v>
      </c>
      <c r="F121" s="30" t="n">
        <v>0.0179681934172687</v>
      </c>
      <c r="G121" s="30" t="n">
        <v>0.144764824372553</v>
      </c>
      <c r="H121" s="31" t="n">
        <f aca="false">MAX(D121,F121+0.015)</f>
        <v>0.0678017425734444</v>
      </c>
      <c r="I121" s="25" t="n">
        <f aca="false">(C121-'DCF Base Case'!$B$3)*(1-E121)+'DCF Base Case'!$B$3-G121</f>
        <v>0.164275900607209</v>
      </c>
      <c r="J121" s="24" t="n">
        <f aca="false">'DCF Base Case'!$B$2*(1+B121)^1*$I121-'DCF Base Case'!$B$2*(1+B121)^0*B121*'DCF Base Case'!$B$4</f>
        <v>25.4873770464234</v>
      </c>
      <c r="K121" s="24" t="n">
        <f aca="false">'DCF Base Case'!$B$2*(1+B121)^2*$I121-'DCF Base Case'!$B$2*(1+B121)^1*B121*'DCF Base Case'!$B$4</f>
        <v>27.6700638897296</v>
      </c>
      <c r="L121" s="24" t="n">
        <f aca="false">'DCF Base Case'!$B$2*(1+B121)^3*$I121-'DCF Base Case'!$B$2*(1+B121)^2*B121*'DCF Base Case'!$B$4</f>
        <v>30.0396715702513</v>
      </c>
      <c r="M121" s="24" t="n">
        <f aca="false">'DCF Base Case'!$B$2*(1+B121)^4*$I121-'DCF Base Case'!$B$2*(1+B121)^3*B121*'DCF Base Case'!$B$4</f>
        <v>32.6122076061958</v>
      </c>
      <c r="N121" s="24" t="n">
        <f aca="false">'DCF Base Case'!$B$2*(1+B121)^5*$I121-'DCF Base Case'!$B$2*(1+B121)^4*B121*'DCF Base Case'!$B$4</f>
        <v>35.4050503668912</v>
      </c>
      <c r="O121" s="24" t="n">
        <f aca="false">J121/(1+H121)^1+K121/(1+H121)^2+L121/(1+H121)^3+M121/(1+H121)^4+N121/(1+H121)^5</f>
        <v>123.399239099527</v>
      </c>
      <c r="P121" s="24" t="n">
        <f aca="false">N121*(1+F121)/(H121-F121)</f>
        <v>723.23195457904</v>
      </c>
      <c r="Q121" s="24" t="n">
        <f aca="false">O121+P121/(1+H121)^5</f>
        <v>644.383352110544</v>
      </c>
      <c r="R121" s="24" t="n">
        <f aca="false">Q121-'DCF Base Case'!$B$5</f>
        <v>459.383352110544</v>
      </c>
      <c r="S121" s="32" t="n">
        <f aca="false">R121/'DCF Base Case'!$B$6</f>
        <v>18.3753340844218</v>
      </c>
    </row>
    <row r="122" customFormat="false" ht="15" hidden="false" customHeight="true" outlineLevel="0" collapsed="false">
      <c r="A122" s="6" t="n">
        <v>121</v>
      </c>
      <c r="B122" s="30" t="n">
        <v>0.0880462917182983</v>
      </c>
      <c r="C122" s="30" t="n">
        <v>0.435249091600597</v>
      </c>
      <c r="D122" s="30" t="n">
        <v>0.0599118837009089</v>
      </c>
      <c r="E122" s="30" t="n">
        <v>0.252162895499159</v>
      </c>
      <c r="F122" s="30" t="n">
        <v>0.0155817388733471</v>
      </c>
      <c r="G122" s="30" t="n">
        <v>0.199217818129813</v>
      </c>
      <c r="H122" s="31" t="n">
        <f aca="false">MAX(D122,F122+0.015)</f>
        <v>0.0599118837009089</v>
      </c>
      <c r="I122" s="25" t="n">
        <f aca="false">(C122-'DCF Base Case'!$B$3)*(1-E122)+'DCF Base Case'!$B$3-G122</f>
        <v>0.159058778684289</v>
      </c>
      <c r="J122" s="24" t="n">
        <f aca="false">'DCF Base Case'!$B$2*(1+B122)^1*$I122-'DCF Base Case'!$B$2*(1+B122)^0*B122*'DCF Base Case'!$B$4</f>
        <v>24.7111792063644</v>
      </c>
      <c r="K122" s="24" t="n">
        <f aca="false">'DCF Base Case'!$B$2*(1+B122)^2*$I122-'DCF Base Case'!$B$2*(1+B122)^1*B122*'DCF Base Case'!$B$4</f>
        <v>26.8869068994711</v>
      </c>
      <c r="L122" s="24" t="n">
        <f aca="false">'DCF Base Case'!$B$2*(1+B122)^3*$I122-'DCF Base Case'!$B$2*(1+B122)^2*B122*'DCF Base Case'!$B$4</f>
        <v>29.2541993477446</v>
      </c>
      <c r="M122" s="24" t="n">
        <f aca="false">'DCF Base Case'!$B$2*(1+B122)^4*$I122-'DCF Base Case'!$B$2*(1+B122)^3*B122*'DCF Base Case'!$B$4</f>
        <v>31.8299231175014</v>
      </c>
      <c r="N122" s="24" t="n">
        <f aca="false">'DCF Base Case'!$B$2*(1+B122)^5*$I122-'DCF Base Case'!$B$2*(1+B122)^4*B122*'DCF Base Case'!$B$4</f>
        <v>34.632429813676</v>
      </c>
      <c r="O122" s="24" t="n">
        <f aca="false">J122/(1+H122)^1+K122/(1+H122)^2+L122/(1+H122)^3+M122/(1+H122)^4+N122/(1+H122)^5</f>
        <v>122.926909116969</v>
      </c>
      <c r="P122" s="24" t="n">
        <f aca="false">N122*(1+F122)/(H122-F122)</f>
        <v>793.411874208773</v>
      </c>
      <c r="Q122" s="24" t="n">
        <f aca="false">O122+P122/(1+H122)^5</f>
        <v>716.056905868364</v>
      </c>
      <c r="R122" s="24" t="n">
        <f aca="false">Q122-'DCF Base Case'!$B$5</f>
        <v>531.056905868364</v>
      </c>
      <c r="S122" s="32" t="n">
        <f aca="false">R122/'DCF Base Case'!$B$6</f>
        <v>21.2422762347346</v>
      </c>
    </row>
    <row r="123" customFormat="false" ht="15" hidden="false" customHeight="true" outlineLevel="0" collapsed="false">
      <c r="A123" s="6" t="n">
        <v>122</v>
      </c>
      <c r="B123" s="30" t="n">
        <v>0.0959122052061407</v>
      </c>
      <c r="C123" s="30" t="n">
        <v>0.431241195144526</v>
      </c>
      <c r="D123" s="30" t="n">
        <v>0.0724582298896115</v>
      </c>
      <c r="E123" s="30" t="n">
        <v>0.257005962316025</v>
      </c>
      <c r="F123" s="30" t="n">
        <v>0.0209473191300378</v>
      </c>
      <c r="G123" s="30" t="n">
        <v>0.1665155130798</v>
      </c>
      <c r="H123" s="31" t="n">
        <f aca="false">MAX(D123,F123+0.015)</f>
        <v>0.0724582298896115</v>
      </c>
      <c r="I123" s="25" t="n">
        <f aca="false">(C123-'DCF Base Case'!$B$3)*(1-E123)+'DCF Base Case'!$B$3-G123</f>
        <v>0.187304898817378</v>
      </c>
      <c r="J123" s="24" t="n">
        <f aca="false">'DCF Base Case'!$B$2*(1+B123)^1*$I123-'DCF Base Case'!$B$2*(1+B123)^0*B123*'DCF Base Case'!$B$4</f>
        <v>29.3468919901388</v>
      </c>
      <c r="K123" s="24" t="n">
        <f aca="false">'DCF Base Case'!$B$2*(1+B123)^2*$I123-'DCF Base Case'!$B$2*(1+B123)^1*B123*'DCF Base Case'!$B$4</f>
        <v>32.1616171168594</v>
      </c>
      <c r="L123" s="24" t="n">
        <f aca="false">'DCF Base Case'!$B$2*(1+B123)^3*$I123-'DCF Base Case'!$B$2*(1+B123)^2*B123*'DCF Base Case'!$B$4</f>
        <v>35.2463087375329</v>
      </c>
      <c r="M123" s="24" t="n">
        <f aca="false">'DCF Base Case'!$B$2*(1+B123)^4*$I123-'DCF Base Case'!$B$2*(1+B123)^3*B123*'DCF Base Case'!$B$4</f>
        <v>38.6268599339262</v>
      </c>
      <c r="N123" s="24" t="n">
        <f aca="false">'DCF Base Case'!$B$2*(1+B123)^5*$I123-'DCF Base Case'!$B$2*(1+B123)^4*B123*'DCF Base Case'!$B$4</f>
        <v>42.3316472503778</v>
      </c>
      <c r="O123" s="24" t="n">
        <f aca="false">J123/(1+H123)^1+K123/(1+H123)^2+L123/(1+H123)^3+M123/(1+H123)^4+N123/(1+H123)^5</f>
        <v>142.93734872476</v>
      </c>
      <c r="P123" s="24" t="n">
        <f aca="false">N123*(1+F123)/(H123-F123)</f>
        <v>839.014126082001</v>
      </c>
      <c r="Q123" s="24" t="n">
        <f aca="false">O123+P123/(1+H123)^5</f>
        <v>734.318313554473</v>
      </c>
      <c r="R123" s="24" t="n">
        <f aca="false">Q123-'DCF Base Case'!$B$5</f>
        <v>549.318313554473</v>
      </c>
      <c r="S123" s="32" t="n">
        <f aca="false">R123/'DCF Base Case'!$B$6</f>
        <v>21.9727325421789</v>
      </c>
    </row>
    <row r="124" customFormat="false" ht="15" hidden="false" customHeight="true" outlineLevel="0" collapsed="false">
      <c r="A124" s="6" t="n">
        <v>123</v>
      </c>
      <c r="B124" s="30" t="n">
        <v>0.101816734618708</v>
      </c>
      <c r="C124" s="30" t="n">
        <v>0.41512634514969</v>
      </c>
      <c r="D124" s="30" t="n">
        <v>0.0880595809910009</v>
      </c>
      <c r="E124" s="30" t="n">
        <v>0.284211728530538</v>
      </c>
      <c r="F124" s="30" t="n">
        <v>0.0221466046752941</v>
      </c>
      <c r="G124" s="30" t="n">
        <v>0.184517819472523</v>
      </c>
      <c r="H124" s="31" t="n">
        <f aca="false">MAX(D124,F124+0.015)</f>
        <v>0.0880595809910009</v>
      </c>
      <c r="I124" s="25" t="n">
        <f aca="false">(C124-'DCF Base Case'!$B$3)*(1-E124)+'DCF Base Case'!$B$3-G124</f>
        <v>0.149572274272579</v>
      </c>
      <c r="J124" s="24" t="n">
        <f aca="false">'DCF Base Case'!$B$2*(1+B124)^1*$I124-'DCF Base Case'!$B$2*(1+B124)^0*B124*'DCF Base Case'!$B$4</f>
        <v>23.4532762545421</v>
      </c>
      <c r="K124" s="24" t="n">
        <f aca="false">'DCF Base Case'!$B$2*(1+B124)^2*$I124-'DCF Base Case'!$B$2*(1+B124)^1*B124*'DCF Base Case'!$B$4</f>
        <v>25.84121225889</v>
      </c>
      <c r="L124" s="24" t="n">
        <f aca="false">'DCF Base Case'!$B$2*(1+B124)^3*$I124-'DCF Base Case'!$B$2*(1+B124)^2*B124*'DCF Base Case'!$B$4</f>
        <v>28.4722801096791</v>
      </c>
      <c r="M124" s="24" t="n">
        <f aca="false">'DCF Base Case'!$B$2*(1+B124)^4*$I124-'DCF Base Case'!$B$2*(1+B124)^3*B124*'DCF Base Case'!$B$4</f>
        <v>31.3712346975959</v>
      </c>
      <c r="N124" s="24" t="n">
        <f aca="false">'DCF Base Case'!$B$2*(1+B124)^5*$I124-'DCF Base Case'!$B$2*(1+B124)^4*B124*'DCF Base Case'!$B$4</f>
        <v>34.5653513754622</v>
      </c>
      <c r="O124" s="24" t="n">
        <f aca="false">J124/(1+H124)^1+K124/(1+H124)^2+L124/(1+H124)^3+M124/(1+H124)^4+N124/(1+H124)^5</f>
        <v>110.535753857292</v>
      </c>
      <c r="P124" s="24" t="n">
        <f aca="false">N124*(1+F124)/(H124-F124)</f>
        <v>536.022776131533</v>
      </c>
      <c r="Q124" s="24" t="n">
        <f aca="false">O124+P124/(1+H124)^5</f>
        <v>462.031324045596</v>
      </c>
      <c r="R124" s="24" t="n">
        <f aca="false">Q124-'DCF Base Case'!$B$5</f>
        <v>277.031324045596</v>
      </c>
      <c r="S124" s="32" t="n">
        <f aca="false">R124/'DCF Base Case'!$B$6</f>
        <v>11.0812529618238</v>
      </c>
    </row>
    <row r="125" customFormat="false" ht="15" hidden="false" customHeight="true" outlineLevel="0" collapsed="false">
      <c r="A125" s="6" t="n">
        <v>124</v>
      </c>
      <c r="B125" s="30" t="n">
        <v>0.0562218815893534</v>
      </c>
      <c r="C125" s="30" t="n">
        <v>0.364755478639407</v>
      </c>
      <c r="D125" s="30" t="n">
        <v>0.0960191993741666</v>
      </c>
      <c r="E125" s="30" t="n">
        <v>0.31589777742528</v>
      </c>
      <c r="F125" s="30" t="n">
        <v>0.0151865590143382</v>
      </c>
      <c r="G125" s="30" t="n">
        <v>0.131216845932593</v>
      </c>
      <c r="H125" s="31" t="n">
        <f aca="false">MAX(D125,F125+0.015)</f>
        <v>0.0960191993741666</v>
      </c>
      <c r="I125" s="25" t="n">
        <f aca="false">(C125-'DCF Base Case'!$B$3)*(1-E125)+'DCF Base Case'!$B$3-G125</f>
        <v>0.159379898766218</v>
      </c>
      <c r="J125" s="24" t="n">
        <f aca="false">'DCF Base Case'!$B$2*(1+B125)^1*$I125-'DCF Base Case'!$B$2*(1+B125)^0*B125*'DCF Base Case'!$B$4</f>
        <v>24.1648126166307</v>
      </c>
      <c r="K125" s="24" t="n">
        <f aca="false">'DCF Base Case'!$B$2*(1+B125)^2*$I125-'DCF Base Case'!$B$2*(1+B125)^1*B125*'DCF Base Case'!$B$4</f>
        <v>25.5234038501918</v>
      </c>
      <c r="L125" s="24" t="n">
        <f aca="false">'DCF Base Case'!$B$2*(1+B125)^3*$I125-'DCF Base Case'!$B$2*(1+B125)^2*B125*'DCF Base Case'!$B$4</f>
        <v>26.9583776392145</v>
      </c>
      <c r="M125" s="24" t="n">
        <f aca="false">'DCF Base Case'!$B$2*(1+B125)^4*$I125-'DCF Base Case'!$B$2*(1+B125)^3*B125*'DCF Base Case'!$B$4</f>
        <v>28.4740283546875</v>
      </c>
      <c r="N125" s="24" t="n">
        <f aca="false">'DCF Base Case'!$B$2*(1+B125)^5*$I125-'DCF Base Case'!$B$2*(1+B125)^4*B125*'DCF Base Case'!$B$4</f>
        <v>30.0748918052167</v>
      </c>
      <c r="O125" s="24" t="n">
        <f aca="false">J125/(1+H125)^1+K125/(1+H125)^2+L125/(1+H125)^3+M125/(1+H125)^4+N125/(1+H125)^5</f>
        <v>102.51872783898</v>
      </c>
      <c r="P125" s="24" t="n">
        <f aca="false">N125*(1+F125)/(H125-F125)</f>
        <v>377.714074271905</v>
      </c>
      <c r="Q125" s="24" t="n">
        <f aca="false">O125+P125/(1+H125)^5</f>
        <v>341.339642943713</v>
      </c>
      <c r="R125" s="24" t="n">
        <f aca="false">Q125-'DCF Base Case'!$B$5</f>
        <v>156.339642943713</v>
      </c>
      <c r="S125" s="32" t="n">
        <f aca="false">R125/'DCF Base Case'!$B$6</f>
        <v>6.25358571774853</v>
      </c>
    </row>
    <row r="126" customFormat="false" ht="15" hidden="false" customHeight="true" outlineLevel="0" collapsed="false">
      <c r="A126" s="6" t="n">
        <v>125</v>
      </c>
      <c r="B126" s="30" t="n">
        <v>0.0920127458894811</v>
      </c>
      <c r="C126" s="30" t="n">
        <v>0.432996098813387</v>
      </c>
      <c r="D126" s="30" t="n">
        <v>0.104773539746778</v>
      </c>
      <c r="E126" s="30" t="n">
        <v>0.295246455558726</v>
      </c>
      <c r="F126" s="30" t="n">
        <v>0.017882517480319</v>
      </c>
      <c r="G126" s="30" t="n">
        <v>0.147268561611929</v>
      </c>
      <c r="H126" s="31" t="n">
        <f aca="false">MAX(D126,F126+0.015)</f>
        <v>0.104773539746778</v>
      </c>
      <c r="I126" s="25" t="n">
        <f aca="false">(C126-'DCF Base Case'!$B$3)*(1-E126)+'DCF Base Case'!$B$3-G126</f>
        <v>0.196269012978684</v>
      </c>
      <c r="J126" s="24" t="n">
        <f aca="false">'DCF Base Case'!$B$2*(1+B126)^1*$I126-'DCF Base Case'!$B$2*(1+B126)^0*B126*'DCF Base Case'!$B$4</f>
        <v>30.677342805782</v>
      </c>
      <c r="K126" s="24" t="n">
        <f aca="false">'DCF Base Case'!$B$2*(1+B126)^2*$I126-'DCF Base Case'!$B$2*(1+B126)^1*B126*'DCF Base Case'!$B$4</f>
        <v>33.500049353935</v>
      </c>
      <c r="L126" s="24" t="n">
        <f aca="false">'DCF Base Case'!$B$2*(1+B126)^3*$I126-'DCF Base Case'!$B$2*(1+B126)^2*B126*'DCF Base Case'!$B$4</f>
        <v>36.5824808824237</v>
      </c>
      <c r="M126" s="24" t="n">
        <f aca="false">'DCF Base Case'!$B$2*(1+B126)^4*$I126-'DCF Base Case'!$B$2*(1+B126)^3*B126*'DCF Base Case'!$B$4</f>
        <v>39.9485353998649</v>
      </c>
      <c r="N126" s="24" t="n">
        <f aca="false">'DCF Base Case'!$B$2*(1+B126)^5*$I126-'DCF Base Case'!$B$2*(1+B126)^4*B126*'DCF Base Case'!$B$4</f>
        <v>43.6243098362696</v>
      </c>
      <c r="O126" s="24" t="n">
        <f aca="false">J126/(1+H126)^1+K126/(1+H126)^2+L126/(1+H126)^3+M126/(1+H126)^4+N126/(1+H126)^5</f>
        <v>135.669424695429</v>
      </c>
      <c r="P126" s="24" t="n">
        <f aca="false">N126*(1+F126)/(H126-F126)</f>
        <v>511.035791284783</v>
      </c>
      <c r="Q126" s="24" t="n">
        <f aca="false">O126+P126/(1+H126)^5</f>
        <v>446.186150298852</v>
      </c>
      <c r="R126" s="24" t="n">
        <f aca="false">Q126-'DCF Base Case'!$B$5</f>
        <v>261.186150298852</v>
      </c>
      <c r="S126" s="32" t="n">
        <f aca="false">R126/'DCF Base Case'!$B$6</f>
        <v>10.4474460119541</v>
      </c>
    </row>
    <row r="127" customFormat="false" ht="15" hidden="false" customHeight="true" outlineLevel="0" collapsed="false">
      <c r="A127" s="6" t="n">
        <v>126</v>
      </c>
      <c r="B127" s="30" t="n">
        <v>0.0902289393608361</v>
      </c>
      <c r="C127" s="30" t="n">
        <v>0.40844469078671</v>
      </c>
      <c r="D127" s="30" t="n">
        <v>0.073834253036983</v>
      </c>
      <c r="E127" s="30" t="n">
        <v>0.335843525464077</v>
      </c>
      <c r="F127" s="30" t="n">
        <v>0.025292828367168</v>
      </c>
      <c r="G127" s="30" t="n">
        <v>0.192290641111552</v>
      </c>
      <c r="H127" s="31" t="n">
        <f aca="false">MAX(D127,F127+0.015)</f>
        <v>0.073834253036983</v>
      </c>
      <c r="I127" s="25" t="n">
        <f aca="false">(C127-'DCF Base Case'!$B$3)*(1-E127)+'DCF Base Case'!$B$3-G127</f>
        <v>0.122640203074594</v>
      </c>
      <c r="J127" s="24" t="n">
        <f aca="false">'DCF Base Case'!$B$2*(1+B127)^1*$I127-'DCF Base Case'!$B$2*(1+B127)^0*B127*'DCF Base Case'!$B$4</f>
        <v>18.9948593993272</v>
      </c>
      <c r="K127" s="24" t="n">
        <f aca="false">'DCF Base Case'!$B$2*(1+B127)^2*$I127-'DCF Base Case'!$B$2*(1+B127)^1*B127*'DCF Base Case'!$B$4</f>
        <v>20.7087454162367</v>
      </c>
      <c r="L127" s="24" t="n">
        <f aca="false">'DCF Base Case'!$B$2*(1+B127)^3*$I127-'DCF Base Case'!$B$2*(1+B127)^2*B127*'DCF Base Case'!$B$4</f>
        <v>22.5772735506373</v>
      </c>
      <c r="M127" s="24" t="n">
        <f aca="false">'DCF Base Case'!$B$2*(1+B127)^4*$I127-'DCF Base Case'!$B$2*(1+B127)^3*B127*'DCF Base Case'!$B$4</f>
        <v>24.6143969967708</v>
      </c>
      <c r="N127" s="24" t="n">
        <f aca="false">'DCF Base Case'!$B$2*(1+B127)^5*$I127-'DCF Base Case'!$B$2*(1+B127)^4*B127*'DCF Base Case'!$B$4</f>
        <v>26.835327930796</v>
      </c>
      <c r="O127" s="24" t="n">
        <f aca="false">J127/(1+H127)^1+K127/(1+H127)^2+L127/(1+H127)^3+M127/(1+H127)^4+N127/(1+H127)^5</f>
        <v>91.1862682908913</v>
      </c>
      <c r="P127" s="24" t="n">
        <f aca="false">N127*(1+F127)/(H127-F127)</f>
        <v>566.816270051415</v>
      </c>
      <c r="Q127" s="24" t="n">
        <f aca="false">O127+P127/(1+H127)^5</f>
        <v>488.154765542077</v>
      </c>
      <c r="R127" s="24" t="n">
        <f aca="false">Q127-'DCF Base Case'!$B$5</f>
        <v>303.154765542077</v>
      </c>
      <c r="S127" s="32" t="n">
        <f aca="false">R127/'DCF Base Case'!$B$6</f>
        <v>12.1261906216831</v>
      </c>
    </row>
    <row r="128" customFormat="false" ht="15" hidden="false" customHeight="true" outlineLevel="0" collapsed="false">
      <c r="A128" s="6" t="n">
        <v>127</v>
      </c>
      <c r="B128" s="30" t="n">
        <v>0.0698801162347254</v>
      </c>
      <c r="C128" s="30" t="n">
        <v>0.424441773922909</v>
      </c>
      <c r="D128" s="30" t="n">
        <v>0.0920358905044769</v>
      </c>
      <c r="E128" s="30" t="n">
        <v>0.292924896907465</v>
      </c>
      <c r="F128" s="30" t="n">
        <v>0.0237751431003522</v>
      </c>
      <c r="G128" s="30" t="n">
        <v>0.180306686301908</v>
      </c>
      <c r="H128" s="31" t="n">
        <f aca="false">MAX(D128,F128+0.015)</f>
        <v>0.0920358905044769</v>
      </c>
      <c r="I128" s="25" t="n">
        <f aca="false">(C128-'DCF Base Case'!$B$3)*(1-E128)+'DCF Base Case'!$B$3-G128</f>
        <v>0.157885761349382</v>
      </c>
      <c r="J128" s="24" t="n">
        <f aca="false">'DCF Base Case'!$B$2*(1+B128)^1*$I128-'DCF Base Case'!$B$2*(1+B128)^0*B128*'DCF Base Case'!$B$4</f>
        <v>24.1892528165002</v>
      </c>
      <c r="K128" s="24" t="n">
        <f aca="false">'DCF Base Case'!$B$2*(1+B128)^2*$I128-'DCF Base Case'!$B$2*(1+B128)^1*B128*'DCF Base Case'!$B$4</f>
        <v>25.8796006149484</v>
      </c>
      <c r="L128" s="24" t="n">
        <f aca="false">'DCF Base Case'!$B$2*(1+B128)^3*$I128-'DCF Base Case'!$B$2*(1+B128)^2*B128*'DCF Base Case'!$B$4</f>
        <v>27.6880701140293</v>
      </c>
      <c r="M128" s="24" t="n">
        <f aca="false">'DCF Base Case'!$B$2*(1+B128)^4*$I128-'DCF Base Case'!$B$2*(1+B128)^3*B128*'DCF Base Case'!$B$4</f>
        <v>29.6229156719129</v>
      </c>
      <c r="N128" s="24" t="n">
        <f aca="false">'DCF Base Case'!$B$2*(1+B128)^5*$I128-'DCF Base Case'!$B$2*(1+B128)^4*B128*'DCF Base Case'!$B$4</f>
        <v>31.6929684622776</v>
      </c>
      <c r="O128" s="24" t="n">
        <f aca="false">J128/(1+H128)^1+K128/(1+H128)^2+L128/(1+H128)^3+M128/(1+H128)^4+N128/(1+H128)^5</f>
        <v>106.349242086119</v>
      </c>
      <c r="P128" s="24" t="n">
        <f aca="false">N128*(1+F128)/(H128-F128)</f>
        <v>475.331351569447</v>
      </c>
      <c r="Q128" s="24" t="n">
        <f aca="false">O128+P128/(1+H128)^5</f>
        <v>412.412995690506</v>
      </c>
      <c r="R128" s="24" t="n">
        <f aca="false">Q128-'DCF Base Case'!$B$5</f>
        <v>227.412995690506</v>
      </c>
      <c r="S128" s="32" t="n">
        <f aca="false">R128/'DCF Base Case'!$B$6</f>
        <v>9.09651982762025</v>
      </c>
    </row>
    <row r="129" customFormat="false" ht="15" hidden="false" customHeight="true" outlineLevel="0" collapsed="false">
      <c r="A129" s="6" t="n">
        <v>128</v>
      </c>
      <c r="B129" s="30" t="n">
        <v>0.106114481113213</v>
      </c>
      <c r="C129" s="30" t="n">
        <v>0.431992705684193</v>
      </c>
      <c r="D129" s="30" t="n">
        <v>0.0887487054880232</v>
      </c>
      <c r="E129" s="30" t="n">
        <v>0.249051826524432</v>
      </c>
      <c r="F129" s="30" t="n">
        <v>0.0196608074468818</v>
      </c>
      <c r="G129" s="30" t="n">
        <v>0.154002342145554</v>
      </c>
      <c r="H129" s="31" t="n">
        <f aca="false">MAX(D129,F129+0.015)</f>
        <v>0.0887487054880232</v>
      </c>
      <c r="I129" s="25" t="n">
        <f aca="false">(C129-'DCF Base Case'!$B$3)*(1-E129)+'DCF Base Case'!$B$3-G129</f>
        <v>0.202778528590936</v>
      </c>
      <c r="J129" s="24" t="n">
        <f aca="false">'DCF Base Case'!$B$2*(1+B129)^1*$I129-'DCF Base Case'!$B$2*(1+B129)^0*B129*'DCF Base Case'!$B$4</f>
        <v>32.0613607124807</v>
      </c>
      <c r="K129" s="24" t="n">
        <f aca="false">'DCF Base Case'!$B$2*(1+B129)^2*$I129-'DCF Base Case'!$B$2*(1+B129)^1*B129*'DCF Base Case'!$B$4</f>
        <v>35.4635353682692</v>
      </c>
      <c r="L129" s="24" t="n">
        <f aca="false">'DCF Base Case'!$B$2*(1+B129)^3*$I129-'DCF Base Case'!$B$2*(1+B129)^2*B129*'DCF Base Case'!$B$4</f>
        <v>39.2267300223131</v>
      </c>
      <c r="M129" s="24" t="n">
        <f aca="false">'DCF Base Case'!$B$2*(1+B129)^4*$I129-'DCF Base Case'!$B$2*(1+B129)^3*B129*'DCF Base Case'!$B$4</f>
        <v>43.389254124399</v>
      </c>
      <c r="N129" s="24" t="n">
        <f aca="false">'DCF Base Case'!$B$2*(1+B129)^5*$I129-'DCF Base Case'!$B$2*(1+B129)^4*B129*'DCF Base Case'!$B$4</f>
        <v>47.9934823116989</v>
      </c>
      <c r="O129" s="24" t="n">
        <f aca="false">J129/(1+H129)^1+K129/(1+H129)^2+L129/(1+H129)^3+M129/(1+H129)^4+N129/(1+H129)^5</f>
        <v>152.012010010834</v>
      </c>
      <c r="P129" s="24" t="n">
        <f aca="false">N129*(1+F129)/(H129-F129)</f>
        <v>708.330609464958</v>
      </c>
      <c r="Q129" s="24" t="n">
        <f aca="false">O129+P129/(1+H129)^5</f>
        <v>615.029878526691</v>
      </c>
      <c r="R129" s="24" t="n">
        <f aca="false">Q129-'DCF Base Case'!$B$5</f>
        <v>430.029878526691</v>
      </c>
      <c r="S129" s="32" t="n">
        <f aca="false">R129/'DCF Base Case'!$B$6</f>
        <v>17.2011951410677</v>
      </c>
    </row>
    <row r="130" customFormat="false" ht="15" hidden="false" customHeight="true" outlineLevel="0" collapsed="false">
      <c r="A130" s="6" t="n">
        <v>129</v>
      </c>
      <c r="B130" s="30" t="n">
        <v>0.0623942557357381</v>
      </c>
      <c r="C130" s="30" t="n">
        <v>0.437217003720083</v>
      </c>
      <c r="D130" s="30" t="n">
        <v>0.104018948749743</v>
      </c>
      <c r="E130" s="30" t="n">
        <v>0.320645619714497</v>
      </c>
      <c r="F130" s="30" t="n">
        <v>0.0202608435297434</v>
      </c>
      <c r="G130" s="30" t="n">
        <v>0.196968572589795</v>
      </c>
      <c r="H130" s="31" t="n">
        <f aca="false">MAX(D130,F130+0.015)</f>
        <v>0.104018948749743</v>
      </c>
      <c r="I130" s="25" t="n">
        <f aca="false">(C130-'DCF Base Case'!$B$3)*(1-E130)+'DCF Base Case'!$B$3-G130</f>
        <v>0.141740644585631</v>
      </c>
      <c r="J130" s="24" t="n">
        <f aca="false">'DCF Base Case'!$B$2*(1+B130)^1*$I130-'DCF Base Case'!$B$2*(1+B130)^0*B130*'DCF Base Case'!$B$4</f>
        <v>21.5633297462976</v>
      </c>
      <c r="K130" s="24" t="n">
        <f aca="false">'DCF Base Case'!$B$2*(1+B130)^2*$I130-'DCF Base Case'!$B$2*(1+B130)^1*B130*'DCF Base Case'!$B$4</f>
        <v>22.9087576570021</v>
      </c>
      <c r="L130" s="24" t="n">
        <f aca="false">'DCF Base Case'!$B$2*(1+B130)^3*$I130-'DCF Base Case'!$B$2*(1+B130)^2*B130*'DCF Base Case'!$B$4</f>
        <v>24.3381325408411</v>
      </c>
      <c r="M130" s="24" t="n">
        <f aca="false">'DCF Base Case'!$B$2*(1+B130)^4*$I130-'DCF Base Case'!$B$2*(1+B130)^3*B130*'DCF Base Case'!$B$4</f>
        <v>25.8566922067247</v>
      </c>
      <c r="N130" s="24" t="n">
        <f aca="false">'DCF Base Case'!$B$2*(1+B130)^5*$I130-'DCF Base Case'!$B$2*(1+B130)^4*B130*'DCF Base Case'!$B$4</f>
        <v>27.4700012727513</v>
      </c>
      <c r="O130" s="24" t="n">
        <f aca="false">J130/(1+H130)^1+K130/(1+H130)^2+L130/(1+H130)^3+M130/(1+H130)^4+N130/(1+H130)^5</f>
        <v>90.5667806693887</v>
      </c>
      <c r="P130" s="24" t="n">
        <f aca="false">N130*(1+F130)/(H130-F130)</f>
        <v>334.613188737802</v>
      </c>
      <c r="Q130" s="24" t="n">
        <f aca="false">O130+P130/(1+H130)^5</f>
        <v>294.580990419439</v>
      </c>
      <c r="R130" s="24" t="n">
        <f aca="false">Q130-'DCF Base Case'!$B$5</f>
        <v>109.580990419439</v>
      </c>
      <c r="S130" s="32" t="n">
        <f aca="false">R130/'DCF Base Case'!$B$6</f>
        <v>4.38323961677754</v>
      </c>
    </row>
    <row r="131" customFormat="false" ht="15" hidden="false" customHeight="true" outlineLevel="0" collapsed="false">
      <c r="A131" s="6" t="n">
        <v>130</v>
      </c>
      <c r="B131" s="30" t="n">
        <v>0.0902410011620115</v>
      </c>
      <c r="C131" s="30" t="n">
        <v>0.418838049606949</v>
      </c>
      <c r="D131" s="30" t="n">
        <v>0.0729718149249182</v>
      </c>
      <c r="E131" s="30" t="n">
        <v>0.291499566918814</v>
      </c>
      <c r="F131" s="30" t="n">
        <v>0.0195767049005198</v>
      </c>
      <c r="G131" s="30" t="n">
        <v>0.139631278936746</v>
      </c>
      <c r="H131" s="31" t="n">
        <f aca="false">MAX(D131,F131+0.015)</f>
        <v>0.0729718149249182</v>
      </c>
      <c r="I131" s="25" t="n">
        <f aca="false">(C131-'DCF Base Case'!$B$3)*(1-E131)+'DCF Base Case'!$B$3-G131</f>
        <v>0.195010604300102</v>
      </c>
      <c r="J131" s="24" t="n">
        <f aca="false">'DCF Base Case'!$B$2*(1+B131)^1*$I131-'DCF Base Case'!$B$2*(1+B131)^0*B131*'DCF Base Case'!$B$4</f>
        <v>30.4356923330014</v>
      </c>
      <c r="K131" s="24" t="n">
        <f aca="false">'DCF Base Case'!$B$2*(1+B131)^2*$I131-'DCF Base Case'!$B$2*(1+B131)^1*B131*'DCF Base Case'!$B$4</f>
        <v>33.1822396801904</v>
      </c>
      <c r="L131" s="24" t="n">
        <f aca="false">'DCF Base Case'!$B$2*(1+B131)^3*$I131-'DCF Base Case'!$B$2*(1+B131)^2*B131*'DCF Base Case'!$B$4</f>
        <v>36.1766382097286</v>
      </c>
      <c r="M131" s="24" t="n">
        <f aca="false">'DCF Base Case'!$B$2*(1+B131)^4*$I131-'DCF Base Case'!$B$2*(1+B131)^3*B131*'DCF Base Case'!$B$4</f>
        <v>39.4412542604504</v>
      </c>
      <c r="N131" s="24" t="n">
        <f aca="false">'DCF Base Case'!$B$2*(1+B131)^5*$I131-'DCF Base Case'!$B$2*(1+B131)^4*B131*'DCF Base Case'!$B$4</f>
        <v>43.0004725319989</v>
      </c>
      <c r="O131" s="24" t="n">
        <f aca="false">J131/(1+H131)^1+K131/(1+H131)^2+L131/(1+H131)^3+M131/(1+H131)^4+N131/(1+H131)^5</f>
        <v>146.468413817515</v>
      </c>
      <c r="P131" s="24" t="n">
        <f aca="false">N131*(1+F131)/(H131-F131)</f>
        <v>821.091670628778</v>
      </c>
      <c r="Q131" s="24" t="n">
        <f aca="false">O131+P131/(1+H131)^5</f>
        <v>723.832913167704</v>
      </c>
      <c r="R131" s="24" t="n">
        <f aca="false">Q131-'DCF Base Case'!$B$5</f>
        <v>538.832913167704</v>
      </c>
      <c r="S131" s="32" t="n">
        <f aca="false">R131/'DCF Base Case'!$B$6</f>
        <v>21.5533165267082</v>
      </c>
    </row>
    <row r="132" customFormat="false" ht="15" hidden="false" customHeight="true" outlineLevel="0" collapsed="false">
      <c r="A132" s="6" t="n">
        <v>131</v>
      </c>
      <c r="B132" s="30" t="n">
        <v>0.0889685729132709</v>
      </c>
      <c r="C132" s="30" t="n">
        <v>0.412712907364013</v>
      </c>
      <c r="D132" s="30" t="n">
        <v>0.104773172833091</v>
      </c>
      <c r="E132" s="30" t="n">
        <v>0.307134181179661</v>
      </c>
      <c r="F132" s="30" t="n">
        <v>0.0193967571390025</v>
      </c>
      <c r="G132" s="30" t="n">
        <v>0.17090238372844</v>
      </c>
      <c r="H132" s="31" t="n">
        <f aca="false">MAX(D132,F132+0.015)</f>
        <v>0.104773172833091</v>
      </c>
      <c r="I132" s="25" t="n">
        <f aca="false">(C132-'DCF Base Case'!$B$3)*(1-E132)+'DCF Base Case'!$B$3-G132</f>
        <v>0.154979726323406</v>
      </c>
      <c r="J132" s="24" t="n">
        <f aca="false">'DCF Base Case'!$B$2*(1+B132)^1*$I132-'DCF Base Case'!$B$2*(1+B132)^0*B132*'DCF Base Case'!$B$4</f>
        <v>24.0843541615361</v>
      </c>
      <c r="K132" s="24" t="n">
        <f aca="false">'DCF Base Case'!$B$2*(1+B132)^2*$I132-'DCF Base Case'!$B$2*(1+B132)^1*B132*'DCF Base Case'!$B$4</f>
        <v>26.2271047808257</v>
      </c>
      <c r="L132" s="24" t="n">
        <f aca="false">'DCF Base Case'!$B$2*(1+B132)^3*$I132-'DCF Base Case'!$B$2*(1+B132)^2*B132*'DCF Base Case'!$B$4</f>
        <v>28.5604928648226</v>
      </c>
      <c r="M132" s="24" t="n">
        <f aca="false">'DCF Base Case'!$B$2*(1+B132)^4*$I132-'DCF Base Case'!$B$2*(1+B132)^3*B132*'DCF Base Case'!$B$4</f>
        <v>31.1014791567055</v>
      </c>
      <c r="N132" s="24" t="n">
        <f aca="false">'DCF Base Case'!$B$2*(1+B132)^5*$I132-'DCF Base Case'!$B$2*(1+B132)^4*B132*'DCF Base Case'!$B$4</f>
        <v>33.8685333727695</v>
      </c>
      <c r="O132" s="24" t="n">
        <f aca="false">J132/(1+H132)^1+K132/(1+H132)^2+L132/(1+H132)^3+M132/(1+H132)^4+N132/(1+H132)^5</f>
        <v>105.92695969706</v>
      </c>
      <c r="P132" s="24" t="n">
        <f aca="false">N132*(1+F132)/(H132-F132)</f>
        <v>404.391222196106</v>
      </c>
      <c r="Q132" s="24" t="n">
        <f aca="false">O132+P132/(1+H132)^5</f>
        <v>351.644478588349</v>
      </c>
      <c r="R132" s="24" t="n">
        <f aca="false">Q132-'DCF Base Case'!$B$5</f>
        <v>166.644478588349</v>
      </c>
      <c r="S132" s="32" t="n">
        <f aca="false">R132/'DCF Base Case'!$B$6</f>
        <v>6.66577914353398</v>
      </c>
    </row>
    <row r="133" customFormat="false" ht="15" hidden="false" customHeight="true" outlineLevel="0" collapsed="false">
      <c r="A133" s="6" t="n">
        <v>132</v>
      </c>
      <c r="B133" s="30" t="n">
        <v>0.0908895348372138</v>
      </c>
      <c r="C133" s="30" t="n">
        <v>0.410834726258151</v>
      </c>
      <c r="D133" s="30" t="n">
        <v>0.0730933008287289</v>
      </c>
      <c r="E133" s="30" t="n">
        <v>0.275539790659748</v>
      </c>
      <c r="F133" s="30" t="n">
        <v>0.0163139294783815</v>
      </c>
      <c r="G133" s="30" t="n">
        <v>0.140551608417493</v>
      </c>
      <c r="H133" s="31" t="n">
        <f aca="false">MAX(D133,F133+0.015)</f>
        <v>0.0730933008287289</v>
      </c>
      <c r="I133" s="25" t="n">
        <f aca="false">(C133-'DCF Base Case'!$B$3)*(1-E133)+'DCF Base Case'!$B$3-G133</f>
        <v>0.192901976157499</v>
      </c>
      <c r="J133" s="24" t="n">
        <f aca="false">'DCF Base Case'!$B$2*(1+B133)^1*$I133-'DCF Base Case'!$B$2*(1+B133)^0*B133*'DCF Base Case'!$B$4</f>
        <v>30.117668844205</v>
      </c>
      <c r="K133" s="24" t="n">
        <f aca="false">'DCF Base Case'!$B$2*(1+B133)^2*$I133-'DCF Base Case'!$B$2*(1+B133)^1*B133*'DCF Base Case'!$B$4</f>
        <v>32.8550497558361</v>
      </c>
      <c r="L133" s="24" t="n">
        <f aca="false">'DCF Base Case'!$B$2*(1+B133)^3*$I133-'DCF Base Case'!$B$2*(1+B133)^2*B133*'DCF Base Case'!$B$4</f>
        <v>35.8412299451975</v>
      </c>
      <c r="M133" s="24" t="n">
        <f aca="false">'DCF Base Case'!$B$2*(1+B133)^4*$I133-'DCF Base Case'!$B$2*(1+B133)^3*B133*'DCF Base Case'!$B$4</f>
        <v>39.0988226629102</v>
      </c>
      <c r="N133" s="24" t="n">
        <f aca="false">'DCF Base Case'!$B$2*(1+B133)^5*$I133-'DCF Base Case'!$B$2*(1+B133)^4*B133*'DCF Base Case'!$B$4</f>
        <v>42.6524964674248</v>
      </c>
      <c r="O133" s="24" t="n">
        <f aca="false">J133/(1+H133)^1+K133/(1+H133)^2+L133/(1+H133)^3+M133/(1+H133)^4+N133/(1+H133)^5</f>
        <v>145.063430771686</v>
      </c>
      <c r="P133" s="24" t="n">
        <f aca="false">N133*(1+F133)/(H133-F133)</f>
        <v>763.452029424521</v>
      </c>
      <c r="Q133" s="24" t="n">
        <f aca="false">O133+P133/(1+H133)^5</f>
        <v>681.593832529829</v>
      </c>
      <c r="R133" s="24" t="n">
        <f aca="false">Q133-'DCF Base Case'!$B$5</f>
        <v>496.593832529829</v>
      </c>
      <c r="S133" s="32" t="n">
        <f aca="false">R133/'DCF Base Case'!$B$6</f>
        <v>19.8637533011932</v>
      </c>
    </row>
    <row r="134" customFormat="false" ht="15" hidden="false" customHeight="true" outlineLevel="0" collapsed="false">
      <c r="A134" s="6" t="n">
        <v>133</v>
      </c>
      <c r="B134" s="30" t="n">
        <v>0.100974503679685</v>
      </c>
      <c r="C134" s="30" t="n">
        <v>0.425781650750566</v>
      </c>
      <c r="D134" s="30" t="n">
        <v>0.0653462173749512</v>
      </c>
      <c r="E134" s="30" t="n">
        <v>0.276288849594018</v>
      </c>
      <c r="F134" s="30" t="n">
        <v>0.0229217564819587</v>
      </c>
      <c r="G134" s="30" t="n">
        <v>0.190529783020081</v>
      </c>
      <c r="H134" s="31" t="n">
        <f aca="false">MAX(D134,F134+0.015)</f>
        <v>0.0653462173749512</v>
      </c>
      <c r="I134" s="25" t="n">
        <f aca="false">(C134-'DCF Base Case'!$B$3)*(1-E134)+'DCF Base Case'!$B$3-G134</f>
        <v>0.153530695713592</v>
      </c>
      <c r="J134" s="24" t="n">
        <f aca="false">'DCF Base Case'!$B$2*(1+B134)^1*$I134-'DCF Base Case'!$B$2*(1+B134)^0*B134*'DCF Base Case'!$B$4</f>
        <v>24.0706012283593</v>
      </c>
      <c r="K134" s="24" t="n">
        <f aca="false">'DCF Base Case'!$B$2*(1+B134)^2*$I134-'DCF Base Case'!$B$2*(1+B134)^1*B134*'DCF Base Case'!$B$4</f>
        <v>26.5011182406644</v>
      </c>
      <c r="L134" s="24" t="n">
        <f aca="false">'DCF Base Case'!$B$2*(1+B134)^3*$I134-'DCF Base Case'!$B$2*(1+B134)^2*B134*'DCF Base Case'!$B$4</f>
        <v>29.1770555019722</v>
      </c>
      <c r="M134" s="24" t="n">
        <f aca="false">'DCF Base Case'!$B$2*(1+B134)^4*$I134-'DCF Base Case'!$B$2*(1+B134)^3*B134*'DCF Base Case'!$B$4</f>
        <v>32.1231942001184</v>
      </c>
      <c r="N134" s="24" t="n">
        <f aca="false">'DCF Base Case'!$B$2*(1+B134)^5*$I134-'DCF Base Case'!$B$2*(1+B134)^4*B134*'DCF Base Case'!$B$4</f>
        <v>35.3668177910815</v>
      </c>
      <c r="O134" s="24" t="n">
        <f aca="false">J134/(1+H134)^1+K134/(1+H134)^2+L134/(1+H134)^3+M134/(1+H134)^4+N134/(1+H134)^5</f>
        <v>120.783891438863</v>
      </c>
      <c r="P134" s="24" t="n">
        <f aca="false">N134*(1+F134)/(H134-F134)</f>
        <v>852.750668235508</v>
      </c>
      <c r="Q134" s="24" t="n">
        <f aca="false">O134+P134/(1+H134)^5</f>
        <v>742.17956813656</v>
      </c>
      <c r="R134" s="24" t="n">
        <f aca="false">Q134-'DCF Base Case'!$B$5</f>
        <v>557.17956813656</v>
      </c>
      <c r="S134" s="32" t="n">
        <f aca="false">R134/'DCF Base Case'!$B$6</f>
        <v>22.2871827254624</v>
      </c>
    </row>
    <row r="135" customFormat="false" ht="15" hidden="false" customHeight="true" outlineLevel="0" collapsed="false">
      <c r="A135" s="6" t="n">
        <v>134</v>
      </c>
      <c r="B135" s="30" t="n">
        <v>0.11238802358885</v>
      </c>
      <c r="C135" s="30" t="n">
        <v>0.422785010105105</v>
      </c>
      <c r="D135" s="30" t="n">
        <v>0.0757045013923394</v>
      </c>
      <c r="E135" s="30" t="n">
        <v>0.257502805240986</v>
      </c>
      <c r="F135" s="30" t="n">
        <v>0.0205767105503425</v>
      </c>
      <c r="G135" s="30" t="n">
        <v>0.174027836978354</v>
      </c>
      <c r="H135" s="31" t="n">
        <f aca="false">MAX(D135,F135+0.015)</f>
        <v>0.0757045013923394</v>
      </c>
      <c r="I135" s="25" t="n">
        <f aca="false">(C135-'DCF Base Case'!$B$3)*(1-E135)+'DCF Base Case'!$B$3-G135</f>
        <v>0.173364211692176</v>
      </c>
      <c r="J135" s="24" t="n">
        <f aca="false">'DCF Base Case'!$B$2*(1+B135)^1*$I135-'DCF Base Case'!$B$2*(1+B135)^0*B135*'DCF Base Case'!$B$4</f>
        <v>27.4741116541568</v>
      </c>
      <c r="K135" s="24" t="n">
        <f aca="false">'DCF Base Case'!$B$2*(1+B135)^2*$I135-'DCF Base Case'!$B$2*(1+B135)^1*B135*'DCF Base Case'!$B$4</f>
        <v>30.5618727628269</v>
      </c>
      <c r="L135" s="24" t="n">
        <f aca="false">'DCF Base Case'!$B$2*(1+B135)^3*$I135-'DCF Base Case'!$B$2*(1+B135)^2*B135*'DCF Base Case'!$B$4</f>
        <v>33.9966612398149</v>
      </c>
      <c r="M135" s="24" t="n">
        <f aca="false">'DCF Base Case'!$B$2*(1+B135)^4*$I135-'DCF Base Case'!$B$2*(1+B135)^3*B135*'DCF Base Case'!$B$4</f>
        <v>37.8174788051774</v>
      </c>
      <c r="N135" s="24" t="n">
        <f aca="false">'DCF Base Case'!$B$2*(1+B135)^5*$I135-'DCF Base Case'!$B$2*(1+B135)^4*B135*'DCF Base Case'!$B$4</f>
        <v>42.0677105052045</v>
      </c>
      <c r="O135" s="24" t="n">
        <f aca="false">J135/(1+H135)^1+K135/(1+H135)^2+L135/(1+H135)^3+M135/(1+H135)^4+N135/(1+H135)^5</f>
        <v>136.714806163675</v>
      </c>
      <c r="P135" s="24" t="n">
        <f aca="false">N135*(1+F135)/(H135-F135)</f>
        <v>778.796410159767</v>
      </c>
      <c r="Q135" s="24" t="n">
        <f aca="false">O135+P135/(1+H135)^5</f>
        <v>677.418094889058</v>
      </c>
      <c r="R135" s="24" t="n">
        <f aca="false">Q135-'DCF Base Case'!$B$5</f>
        <v>492.418094889058</v>
      </c>
      <c r="S135" s="32" t="n">
        <f aca="false">R135/'DCF Base Case'!$B$6</f>
        <v>19.6967237955623</v>
      </c>
    </row>
    <row r="136" customFormat="false" ht="15" hidden="false" customHeight="true" outlineLevel="0" collapsed="false">
      <c r="A136" s="6" t="n">
        <v>135</v>
      </c>
      <c r="B136" s="30" t="n">
        <v>0.117752589811421</v>
      </c>
      <c r="C136" s="30" t="n">
        <v>0.443349824673186</v>
      </c>
      <c r="D136" s="30" t="n">
        <v>0.0835454847781571</v>
      </c>
      <c r="E136" s="30" t="n">
        <v>0.255322081474628</v>
      </c>
      <c r="F136" s="30" t="n">
        <v>0.0180990121072308</v>
      </c>
      <c r="G136" s="30" t="n">
        <v>0.170159408857687</v>
      </c>
      <c r="H136" s="31" t="n">
        <f aca="false">MAX(D136,F136+0.015)</f>
        <v>0.0835454847781571</v>
      </c>
      <c r="I136" s="25" t="n">
        <f aca="false">(C136-'DCF Base Case'!$B$3)*(1-E136)+'DCF Base Case'!$B$3-G136</f>
        <v>0.193185286350231</v>
      </c>
      <c r="J136" s="24" t="n">
        <f aca="false">'DCF Base Case'!$B$2*(1+B136)^1*$I136-'DCF Base Case'!$B$2*(1+B136)^0*B136*'DCF Base Case'!$B$4</f>
        <v>30.798112583378</v>
      </c>
      <c r="K136" s="24" t="n">
        <f aca="false">'DCF Base Case'!$B$2*(1+B136)^2*$I136-'DCF Base Case'!$B$2*(1+B136)^1*B136*'DCF Base Case'!$B$4</f>
        <v>34.4246701013744</v>
      </c>
      <c r="L136" s="24" t="n">
        <f aca="false">'DCF Base Case'!$B$2*(1+B136)^3*$I136-'DCF Base Case'!$B$2*(1+B136)^2*B136*'DCF Base Case'!$B$4</f>
        <v>38.4782641592151</v>
      </c>
      <c r="M136" s="24" t="n">
        <f aca="false">'DCF Base Case'!$B$2*(1+B136)^4*$I136-'DCF Base Case'!$B$2*(1+B136)^3*B136*'DCF Base Case'!$B$4</f>
        <v>43.0091794154106</v>
      </c>
      <c r="N136" s="24" t="n">
        <f aca="false">'DCF Base Case'!$B$2*(1+B136)^5*$I136-'DCF Base Case'!$B$2*(1+B136)^4*B136*'DCF Base Case'!$B$4</f>
        <v>48.0736216772393</v>
      </c>
      <c r="O136" s="24" t="n">
        <f aca="false">J136/(1+H136)^1+K136/(1+H136)^2+L136/(1+H136)^3+M136/(1+H136)^4+N136/(1+H136)^5</f>
        <v>151.378258056945</v>
      </c>
      <c r="P136" s="24" t="n">
        <f aca="false">N136*(1+F136)/(H136-F136)</f>
        <v>747.843309816094</v>
      </c>
      <c r="Q136" s="24" t="n">
        <f aca="false">O136+P136/(1+H136)^5</f>
        <v>652.075131105129</v>
      </c>
      <c r="R136" s="24" t="n">
        <f aca="false">Q136-'DCF Base Case'!$B$5</f>
        <v>467.075131105129</v>
      </c>
      <c r="S136" s="32" t="n">
        <f aca="false">R136/'DCF Base Case'!$B$6</f>
        <v>18.6830052442051</v>
      </c>
    </row>
    <row r="137" customFormat="false" ht="15" hidden="false" customHeight="true" outlineLevel="0" collapsed="false">
      <c r="A137" s="6" t="n">
        <v>136</v>
      </c>
      <c r="B137" s="30" t="n">
        <v>0.0858217100808212</v>
      </c>
      <c r="C137" s="30" t="n">
        <v>0.400267503255764</v>
      </c>
      <c r="D137" s="30" t="n">
        <v>0.0877817329646689</v>
      </c>
      <c r="E137" s="30" t="n">
        <v>0.267179355304567</v>
      </c>
      <c r="F137" s="30" t="n">
        <v>0.0168096664298829</v>
      </c>
      <c r="G137" s="30" t="n">
        <v>0.172393601468402</v>
      </c>
      <c r="H137" s="31" t="n">
        <f aca="false">MAX(D137,F137+0.015)</f>
        <v>0.0877817329646689</v>
      </c>
      <c r="I137" s="25" t="n">
        <f aca="false">(C137-'DCF Base Case'!$B$3)*(1-E137)+'DCF Base Case'!$B$3-G137</f>
        <v>0.155664004507712</v>
      </c>
      <c r="J137" s="24" t="n">
        <f aca="false">'DCF Base Case'!$B$2*(1+B137)^1*$I137-'DCF Base Case'!$B$2*(1+B137)^0*B137*'DCF Base Case'!$B$4</f>
        <v>24.1350621191743</v>
      </c>
      <c r="K137" s="24" t="n">
        <f aca="false">'DCF Base Case'!$B$2*(1+B137)^2*$I137-'DCF Base Case'!$B$2*(1+B137)^1*B137*'DCF Base Case'!$B$4</f>
        <v>26.2063744231487</v>
      </c>
      <c r="L137" s="24" t="n">
        <f aca="false">'DCF Base Case'!$B$2*(1+B137)^3*$I137-'DCF Base Case'!$B$2*(1+B137)^2*B137*'DCF Base Case'!$B$4</f>
        <v>28.4554502911617</v>
      </c>
      <c r="M137" s="24" t="n">
        <f aca="false">'DCF Base Case'!$B$2*(1+B137)^4*$I137-'DCF Base Case'!$B$2*(1+B137)^3*B137*'DCF Base Case'!$B$4</f>
        <v>30.8975456962689</v>
      </c>
      <c r="N137" s="24" t="n">
        <f aca="false">'DCF Base Case'!$B$2*(1+B137)^5*$I137-'DCF Base Case'!$B$2*(1+B137)^4*B137*'DCF Base Case'!$B$4</f>
        <v>33.5492259052231</v>
      </c>
      <c r="O137" s="24" t="n">
        <f aca="false">J137/(1+H137)^1+K137/(1+H137)^2+L137/(1+H137)^3+M137/(1+H137)^4+N137/(1+H137)^5</f>
        <v>110.53799808281</v>
      </c>
      <c r="P137" s="24" t="n">
        <f aca="false">N137*(1+F137)/(H137-F137)</f>
        <v>480.656388735004</v>
      </c>
      <c r="Q137" s="24" t="n">
        <f aca="false">O137+P137/(1+H137)^5</f>
        <v>426.129944450841</v>
      </c>
      <c r="R137" s="24" t="n">
        <f aca="false">Q137-'DCF Base Case'!$B$5</f>
        <v>241.129944450841</v>
      </c>
      <c r="S137" s="32" t="n">
        <f aca="false">R137/'DCF Base Case'!$B$6</f>
        <v>9.64519777803365</v>
      </c>
    </row>
    <row r="138" customFormat="false" ht="15" hidden="false" customHeight="true" outlineLevel="0" collapsed="false">
      <c r="A138" s="6" t="n">
        <v>137</v>
      </c>
      <c r="B138" s="30" t="n">
        <v>0.0814635227318963</v>
      </c>
      <c r="C138" s="30" t="n">
        <v>0.416659438978928</v>
      </c>
      <c r="D138" s="30" t="n">
        <v>0.0880052442513734</v>
      </c>
      <c r="E138" s="30" t="n">
        <v>0.256732504061122</v>
      </c>
      <c r="F138" s="30" t="n">
        <v>0.0174266546589748</v>
      </c>
      <c r="G138" s="30" t="n">
        <v>0.198751657406408</v>
      </c>
      <c r="H138" s="31" t="n">
        <f aca="false">MAX(D138,F138+0.015)</f>
        <v>0.0880052442513734</v>
      </c>
      <c r="I138" s="25" t="n">
        <f aca="false">(C138-'DCF Base Case'!$B$3)*(1-E138)+'DCF Base Case'!$B$3-G138</f>
        <v>0.144312985990703</v>
      </c>
      <c r="J138" s="24" t="n">
        <f aca="false">'DCF Base Case'!$B$2*(1+B138)^1*$I138-'DCF Base Case'!$B$2*(1+B138)^0*B138*'DCF Base Case'!$B$4</f>
        <v>22.2756720559087</v>
      </c>
      <c r="K138" s="24" t="n">
        <f aca="false">'DCF Base Case'!$B$2*(1+B138)^2*$I138-'DCF Base Case'!$B$2*(1+B138)^1*B138*'DCF Base Case'!$B$4</f>
        <v>24.0903267728034</v>
      </c>
      <c r="L138" s="24" t="n">
        <f aca="false">'DCF Base Case'!$B$2*(1+B138)^3*$I138-'DCF Base Case'!$B$2*(1+B138)^2*B138*'DCF Base Case'!$B$4</f>
        <v>26.0528096554785</v>
      </c>
      <c r="M138" s="24" t="n">
        <f aca="false">'DCF Base Case'!$B$2*(1+B138)^4*$I138-'DCF Base Case'!$B$2*(1+B138)^3*B138*'DCF Base Case'!$B$4</f>
        <v>28.1751633070774</v>
      </c>
      <c r="N138" s="24" t="n">
        <f aca="false">'DCF Base Case'!$B$2*(1+B138)^5*$I138-'DCF Base Case'!$B$2*(1+B138)^4*B138*'DCF Base Case'!$B$4</f>
        <v>30.4704113636184</v>
      </c>
      <c r="O138" s="24" t="n">
        <f aca="false">J138/(1+H138)^1+K138/(1+H138)^2+L138/(1+H138)^3+M138/(1+H138)^4+N138/(1+H138)^5</f>
        <v>101.145694274952</v>
      </c>
      <c r="P138" s="24" t="n">
        <f aca="false">N138*(1+F138)/(H138-F138)</f>
        <v>439.246645176768</v>
      </c>
      <c r="Q138" s="24" t="n">
        <f aca="false">O138+P138/(1+H138)^5</f>
        <v>389.25249489811</v>
      </c>
      <c r="R138" s="24" t="n">
        <f aca="false">Q138-'DCF Base Case'!$B$5</f>
        <v>204.25249489811</v>
      </c>
      <c r="S138" s="32" t="n">
        <f aca="false">R138/'DCF Base Case'!$B$6</f>
        <v>8.17009979592439</v>
      </c>
    </row>
    <row r="139" customFormat="false" ht="15" hidden="false" customHeight="true" outlineLevel="0" collapsed="false">
      <c r="A139" s="6" t="n">
        <v>138</v>
      </c>
      <c r="B139" s="30" t="n">
        <v>0.0647589967724996</v>
      </c>
      <c r="C139" s="30" t="n">
        <v>0.367114318232175</v>
      </c>
      <c r="D139" s="30" t="n">
        <v>0.0645197033143324</v>
      </c>
      <c r="E139" s="30" t="n">
        <v>0.280465507339509</v>
      </c>
      <c r="F139" s="30" t="n">
        <v>0.0194687983830932</v>
      </c>
      <c r="G139" s="30" t="n">
        <v>0.162721103448006</v>
      </c>
      <c r="H139" s="31" t="n">
        <f aca="false">MAX(D139,F139+0.015)</f>
        <v>0.0645197033143324</v>
      </c>
      <c r="I139" s="25" t="n">
        <f aca="false">(C139-'DCF Base Case'!$B$3)*(1-E139)+'DCF Base Case'!$B$3-G139</f>
        <v>0.13789082722372</v>
      </c>
      <c r="J139" s="24" t="n">
        <f aca="false">'DCF Base Case'!$B$2*(1+B139)^1*$I139-'DCF Base Case'!$B$2*(1+B139)^0*B139*'DCF Base Case'!$B$4</f>
        <v>21.0072706985741</v>
      </c>
      <c r="K139" s="24" t="n">
        <f aca="false">'DCF Base Case'!$B$2*(1+B139)^2*$I139-'DCF Base Case'!$B$2*(1+B139)^1*B139*'DCF Base Case'!$B$4</f>
        <v>22.3676804739421</v>
      </c>
      <c r="L139" s="24" t="n">
        <f aca="false">'DCF Base Case'!$B$2*(1+B139)^3*$I139-'DCF Base Case'!$B$2*(1+B139)^2*B139*'DCF Base Case'!$B$4</f>
        <v>23.8161890215624</v>
      </c>
      <c r="M139" s="24" t="n">
        <f aca="false">'DCF Base Case'!$B$2*(1+B139)^4*$I139-'DCF Base Case'!$B$2*(1+B139)^3*B139*'DCF Base Case'!$B$4</f>
        <v>25.358501529543</v>
      </c>
      <c r="N139" s="24" t="n">
        <f aca="false">'DCF Base Case'!$B$2*(1+B139)^5*$I139-'DCF Base Case'!$B$2*(1+B139)^4*B139*'DCF Base Case'!$B$4</f>
        <v>27.0006926482501</v>
      </c>
      <c r="O139" s="24" t="n">
        <f aca="false">J139/(1+H139)^1+K139/(1+H139)^2+L139/(1+H139)^3+M139/(1+H139)^4+N139/(1+H139)^5</f>
        <v>98.7145527136827</v>
      </c>
      <c r="P139" s="24" t="n">
        <f aca="false">N139*(1+F139)/(H139-F139)</f>
        <v>611.005788488289</v>
      </c>
      <c r="Q139" s="24" t="n">
        <f aca="false">O139+P139/(1+H139)^5</f>
        <v>545.682935346965</v>
      </c>
      <c r="R139" s="24" t="n">
        <f aca="false">Q139-'DCF Base Case'!$B$5</f>
        <v>360.682935346965</v>
      </c>
      <c r="S139" s="32" t="n">
        <f aca="false">R139/'DCF Base Case'!$B$6</f>
        <v>14.4273174138786</v>
      </c>
    </row>
    <row r="140" customFormat="false" ht="15" hidden="false" customHeight="true" outlineLevel="0" collapsed="false">
      <c r="A140" s="6" t="n">
        <v>139</v>
      </c>
      <c r="B140" s="30" t="n">
        <v>0.116300039895999</v>
      </c>
      <c r="C140" s="30" t="n">
        <v>0.37062564531633</v>
      </c>
      <c r="D140" s="30" t="n">
        <v>0.0893552726187391</v>
      </c>
      <c r="E140" s="30" t="n">
        <v>0.325788825898686</v>
      </c>
      <c r="F140" s="30" t="n">
        <v>0.0147643042924691</v>
      </c>
      <c r="G140" s="30" t="n">
        <v>0.157525699146869</v>
      </c>
      <c r="H140" s="31" t="n">
        <f aca="false">MAX(D140,F140+0.015)</f>
        <v>0.0893552726187391</v>
      </c>
      <c r="I140" s="25" t="n">
        <f aca="false">(C140-'DCF Base Case'!$B$3)*(1-E140)+'DCF Base Case'!$B$3-G140</f>
        <v>0.13470679970074</v>
      </c>
      <c r="J140" s="24" t="n">
        <f aca="false">'DCF Base Case'!$B$2*(1+B140)^1*$I140-'DCF Base Case'!$B$2*(1+B140)^0*B140*'DCF Base Case'!$B$4</f>
        <v>21.2982096790812</v>
      </c>
      <c r="K140" s="24" t="n">
        <f aca="false">'DCF Base Case'!$B$2*(1+B140)^2*$I140-'DCF Base Case'!$B$2*(1+B140)^1*B140*'DCF Base Case'!$B$4</f>
        <v>23.7751923144717</v>
      </c>
      <c r="L140" s="24" t="n">
        <f aca="false">'DCF Base Case'!$B$2*(1+B140)^3*$I140-'DCF Base Case'!$B$2*(1+B140)^2*B140*'DCF Base Case'!$B$4</f>
        <v>26.5402481291798</v>
      </c>
      <c r="M140" s="24" t="n">
        <f aca="false">'DCF Base Case'!$B$2*(1+B140)^4*$I140-'DCF Base Case'!$B$2*(1+B140)^3*B140*'DCF Base Case'!$B$4</f>
        <v>29.6268800454531</v>
      </c>
      <c r="N140" s="24" t="n">
        <f aca="false">'DCF Base Case'!$B$2*(1+B140)^5*$I140-'DCF Base Case'!$B$2*(1+B140)^4*B140*'DCF Base Case'!$B$4</f>
        <v>33.0724873767333</v>
      </c>
      <c r="O140" s="24" t="n">
        <f aca="false">J140/(1+H140)^1+K140/(1+H140)^2+L140/(1+H140)^3+M140/(1+H140)^4+N140/(1+H140)^5</f>
        <v>102.713045278849</v>
      </c>
      <c r="P140" s="24" t="n">
        <f aca="false">N140*(1+F140)/(H140-F140)</f>
        <v>449.930874972333</v>
      </c>
      <c r="Q140" s="24" t="n">
        <f aca="false">O140+P140/(1+H140)^5</f>
        <v>396.003613682783</v>
      </c>
      <c r="R140" s="24" t="n">
        <f aca="false">Q140-'DCF Base Case'!$B$5</f>
        <v>211.003613682783</v>
      </c>
      <c r="S140" s="32" t="n">
        <f aca="false">R140/'DCF Base Case'!$B$6</f>
        <v>8.44014454731132</v>
      </c>
    </row>
    <row r="141" customFormat="false" ht="15" hidden="false" customHeight="true" outlineLevel="0" collapsed="false">
      <c r="A141" s="6" t="n">
        <v>140</v>
      </c>
      <c r="B141" s="30" t="n">
        <v>0.0735974279375408</v>
      </c>
      <c r="C141" s="30" t="n">
        <v>0.388501064078273</v>
      </c>
      <c r="D141" s="30" t="n">
        <v>0.0814111179447466</v>
      </c>
      <c r="E141" s="30" t="n">
        <v>0.322440458692816</v>
      </c>
      <c r="F141" s="30" t="n">
        <v>0.0254164262360945</v>
      </c>
      <c r="G141" s="30" t="n">
        <v>0.158390537816568</v>
      </c>
      <c r="H141" s="31" t="n">
        <f aca="false">MAX(D141,F141+0.015)</f>
        <v>0.0814111179447466</v>
      </c>
      <c r="I141" s="25" t="n">
        <f aca="false">(C141-'DCF Base Case'!$B$3)*(1-E141)+'DCF Base Case'!$B$3-G141</f>
        <v>0.146759324587726</v>
      </c>
      <c r="J141" s="24" t="n">
        <f aca="false">'DCF Base Case'!$B$2*(1+B141)^1*$I141-'DCF Base Case'!$B$2*(1+B141)^0*B141*'DCF Base Case'!$B$4</f>
        <v>22.5261140319405</v>
      </c>
      <c r="K141" s="24" t="n">
        <f aca="false">'DCF Base Case'!$B$2*(1+B141)^2*$I141-'DCF Base Case'!$B$2*(1+B141)^1*B141*'DCF Base Case'!$B$4</f>
        <v>24.183978086119</v>
      </c>
      <c r="L141" s="24" t="n">
        <f aca="false">'DCF Base Case'!$B$2*(1+B141)^3*$I141-'DCF Base Case'!$B$2*(1+B141)^2*B141*'DCF Base Case'!$B$4</f>
        <v>25.9638566705553</v>
      </c>
      <c r="M141" s="24" t="n">
        <f aca="false">'DCF Base Case'!$B$2*(1+B141)^4*$I141-'DCF Base Case'!$B$2*(1+B141)^3*B141*'DCF Base Case'!$B$4</f>
        <v>27.8747297408471</v>
      </c>
      <c r="N141" s="24" t="n">
        <f aca="false">'DCF Base Case'!$B$2*(1+B141)^5*$I141-'DCF Base Case'!$B$2*(1+B141)^4*B141*'DCF Base Case'!$B$4</f>
        <v>29.9262381542275</v>
      </c>
      <c r="O141" s="24" t="n">
        <f aca="false">J141/(1+H141)^1+K141/(1+H141)^2+L141/(1+H141)^3+M141/(1+H141)^4+N141/(1+H141)^5</f>
        <v>102.657233101745</v>
      </c>
      <c r="P141" s="24" t="n">
        <f aca="false">N141*(1+F141)/(H141-F141)</f>
        <v>548.03152303197</v>
      </c>
      <c r="Q141" s="24" t="n">
        <f aca="false">O141+P141/(1+H141)^5</f>
        <v>473.211133451058</v>
      </c>
      <c r="R141" s="24" t="n">
        <f aca="false">Q141-'DCF Base Case'!$B$5</f>
        <v>288.211133451058</v>
      </c>
      <c r="S141" s="32" t="n">
        <f aca="false">R141/'DCF Base Case'!$B$6</f>
        <v>11.5284453380423</v>
      </c>
    </row>
    <row r="142" customFormat="false" ht="15" hidden="false" customHeight="true" outlineLevel="0" collapsed="false">
      <c r="A142" s="6" t="n">
        <v>141</v>
      </c>
      <c r="B142" s="30" t="n">
        <v>0.128086536568433</v>
      </c>
      <c r="C142" s="30" t="n">
        <v>0.428891592012597</v>
      </c>
      <c r="D142" s="30" t="n">
        <v>0.104290601293712</v>
      </c>
      <c r="E142" s="30" t="n">
        <v>0.27707571192591</v>
      </c>
      <c r="F142" s="30" t="n">
        <v>0.0198297336288513</v>
      </c>
      <c r="G142" s="30" t="n">
        <v>0.173693717745317</v>
      </c>
      <c r="H142" s="31" t="n">
        <f aca="false">MAX(D142,F142+0.015)</f>
        <v>0.104290601293712</v>
      </c>
      <c r="I142" s="25" t="n">
        <f aca="false">(C142-'DCF Base Case'!$B$3)*(1-E142)+'DCF Base Case'!$B$3-G142</f>
        <v>0.172382273621721</v>
      </c>
      <c r="J142" s="24" t="n">
        <f aca="false">'DCF Base Case'!$B$2*(1+B142)^1*$I142-'DCF Base Case'!$B$2*(1+B142)^0*B142*'DCF Base Case'!$B$4</f>
        <v>27.6398312582066</v>
      </c>
      <c r="K142" s="24" t="n">
        <f aca="false">'DCF Base Case'!$B$2*(1+B142)^2*$I142-'DCF Base Case'!$B$2*(1+B142)^1*B142*'DCF Base Case'!$B$4</f>
        <v>31.1801215154062</v>
      </c>
      <c r="L142" s="24" t="n">
        <f aca="false">'DCF Base Case'!$B$2*(1+B142)^3*$I142-'DCF Base Case'!$B$2*(1+B142)^2*B142*'DCF Base Case'!$B$4</f>
        <v>35.1738752900975</v>
      </c>
      <c r="M142" s="24" t="n">
        <f aca="false">'DCF Base Case'!$B$2*(1+B142)^4*$I142-'DCF Base Case'!$B$2*(1+B142)^3*B142*'DCF Base Case'!$B$4</f>
        <v>39.679175153696</v>
      </c>
      <c r="N142" s="24" t="n">
        <f aca="false">'DCF Base Case'!$B$2*(1+B142)^5*$I142-'DCF Base Case'!$B$2*(1+B142)^4*B142*'DCF Base Case'!$B$4</f>
        <v>44.7615432730252</v>
      </c>
      <c r="O142" s="24" t="n">
        <f aca="false">J142/(1+H142)^1+K142/(1+H142)^2+L142/(1+H142)^3+M142/(1+H142)^4+N142/(1+H142)^5</f>
        <v>130.65844251329</v>
      </c>
      <c r="P142" s="24" t="n">
        <f aca="false">N142*(1+F142)/(H142-F142)</f>
        <v>540.476957140443</v>
      </c>
      <c r="Q142" s="24" t="n">
        <f aca="false">O142+P142/(1+H142)^5</f>
        <v>459.783011601213</v>
      </c>
      <c r="R142" s="24" t="n">
        <f aca="false">Q142-'DCF Base Case'!$B$5</f>
        <v>274.783011601213</v>
      </c>
      <c r="S142" s="32" t="n">
        <f aca="false">R142/'DCF Base Case'!$B$6</f>
        <v>10.9913204640485</v>
      </c>
    </row>
    <row r="143" customFormat="false" ht="15" hidden="false" customHeight="true" outlineLevel="0" collapsed="false">
      <c r="A143" s="6" t="n">
        <v>142</v>
      </c>
      <c r="B143" s="30" t="n">
        <v>0.138077379978508</v>
      </c>
      <c r="C143" s="30" t="n">
        <v>0.449404904398983</v>
      </c>
      <c r="D143" s="30" t="n">
        <v>0.0772200901705339</v>
      </c>
      <c r="E143" s="30" t="n">
        <v>0.309427793425599</v>
      </c>
      <c r="F143" s="30" t="n">
        <v>0.0179233359713438</v>
      </c>
      <c r="G143" s="30" t="n">
        <v>0.155335836948143</v>
      </c>
      <c r="H143" s="31" t="n">
        <f aca="false">MAX(D143,F143+0.015)</f>
        <v>0.0772200901705339</v>
      </c>
      <c r="I143" s="25" t="n">
        <f aca="false">(C143-'DCF Base Case'!$B$3)*(1-E143)+'DCF Base Case'!$B$3-G143</f>
        <v>0.195236312673348</v>
      </c>
      <c r="J143" s="24" t="n">
        <f aca="false">'DCF Base Case'!$B$2*(1+B143)^1*$I143-'DCF Base Case'!$B$2*(1+B143)^0*B143*'DCF Base Case'!$B$4</f>
        <v>31.6174979216661</v>
      </c>
      <c r="K143" s="24" t="n">
        <f aca="false">'DCF Base Case'!$B$2*(1+B143)^2*$I143-'DCF Base Case'!$B$2*(1+B143)^1*B143*'DCF Base Case'!$B$4</f>
        <v>35.9831591961657</v>
      </c>
      <c r="L143" s="24" t="n">
        <f aca="false">'DCF Base Case'!$B$2*(1+B143)^3*$I143-'DCF Base Case'!$B$2*(1+B143)^2*B143*'DCF Base Case'!$B$4</f>
        <v>40.9516195413218</v>
      </c>
      <c r="M143" s="24" t="n">
        <f aca="false">'DCF Base Case'!$B$2*(1+B143)^4*$I143-'DCF Base Case'!$B$2*(1+B143)^3*B143*'DCF Base Case'!$B$4</f>
        <v>46.6061118734642</v>
      </c>
      <c r="N143" s="24" t="n">
        <f aca="false">'DCF Base Case'!$B$2*(1+B143)^5*$I143-'DCF Base Case'!$B$2*(1+B143)^4*B143*'DCF Base Case'!$B$4</f>
        <v>53.0413616919373</v>
      </c>
      <c r="O143" s="24" t="n">
        <f aca="false">J143/(1+H143)^1+K143/(1+H143)^2+L143/(1+H143)^3+M143/(1+H143)^4+N143/(1+H143)^5</f>
        <v>164.300378437805</v>
      </c>
      <c r="P143" s="24" t="n">
        <f aca="false">N143*(1+F143)/(H143-F143)</f>
        <v>910.539549206168</v>
      </c>
      <c r="Q143" s="24" t="n">
        <f aca="false">O143+P143/(1+H143)^5</f>
        <v>792.035737134959</v>
      </c>
      <c r="R143" s="24" t="n">
        <f aca="false">Q143-'DCF Base Case'!$B$5</f>
        <v>607.035737134959</v>
      </c>
      <c r="S143" s="32" t="n">
        <f aca="false">R143/'DCF Base Case'!$B$6</f>
        <v>24.2814294853984</v>
      </c>
    </row>
    <row r="144" customFormat="false" ht="15" hidden="false" customHeight="true" outlineLevel="0" collapsed="false">
      <c r="A144" s="6" t="n">
        <v>143</v>
      </c>
      <c r="B144" s="30" t="n">
        <v>0.109852007177667</v>
      </c>
      <c r="C144" s="30" t="n">
        <v>0.4218294946763</v>
      </c>
      <c r="D144" s="30" t="n">
        <v>0.0880643350596299</v>
      </c>
      <c r="E144" s="30" t="n">
        <v>0.280037390221019</v>
      </c>
      <c r="F144" s="30" t="n">
        <v>0.0205481444173481</v>
      </c>
      <c r="G144" s="30" t="n">
        <v>0.175138160922617</v>
      </c>
      <c r="H144" s="31" t="n">
        <f aca="false">MAX(D144,F144+0.015)</f>
        <v>0.0880643350596299</v>
      </c>
      <c r="I144" s="25" t="n">
        <f aca="false">(C144-'DCF Base Case'!$B$3)*(1-E144)+'DCF Base Case'!$B$3-G144</f>
        <v>0.164968163675013</v>
      </c>
      <c r="J144" s="24" t="n">
        <f aca="false">'DCF Base Case'!$B$2*(1+B144)^1*$I144-'DCF Base Case'!$B$2*(1+B144)^0*B144*'DCF Base Case'!$B$4</f>
        <v>26.0702296671706</v>
      </c>
      <c r="K144" s="24" t="n">
        <f aca="false">'DCF Base Case'!$B$2*(1+B144)^2*$I144-'DCF Base Case'!$B$2*(1+B144)^1*B144*'DCF Base Case'!$B$4</f>
        <v>28.9340967236921</v>
      </c>
      <c r="L144" s="24" t="n">
        <f aca="false">'DCF Base Case'!$B$2*(1+B144)^3*$I144-'DCF Base Case'!$B$2*(1+B144)^2*B144*'DCF Base Case'!$B$4</f>
        <v>32.1125653246624</v>
      </c>
      <c r="M144" s="24" t="n">
        <f aca="false">'DCF Base Case'!$B$2*(1+B144)^4*$I144-'DCF Base Case'!$B$2*(1+B144)^3*B144*'DCF Base Case'!$B$4</f>
        <v>35.6401950812005</v>
      </c>
      <c r="N144" s="24" t="n">
        <f aca="false">'DCF Base Case'!$B$2*(1+B144)^5*$I144-'DCF Base Case'!$B$2*(1+B144)^4*B144*'DCF Base Case'!$B$4</f>
        <v>39.555342047074</v>
      </c>
      <c r="O144" s="24" t="n">
        <f aca="false">J144/(1+H144)^1+K144/(1+H144)^2+L144/(1+H144)^3+M144/(1+H144)^4+N144/(1+H144)^5</f>
        <v>124.695844394657</v>
      </c>
      <c r="P144" s="24" t="n">
        <f aca="false">N144*(1+F144)/(H144-F144)</f>
        <v>597.902970293683</v>
      </c>
      <c r="Q144" s="24" t="n">
        <f aca="false">O144+P144/(1+H144)^5</f>
        <v>516.760628958785</v>
      </c>
      <c r="R144" s="24" t="n">
        <f aca="false">Q144-'DCF Base Case'!$B$5</f>
        <v>331.760628958785</v>
      </c>
      <c r="S144" s="32" t="n">
        <f aca="false">R144/'DCF Base Case'!$B$6</f>
        <v>13.2704251583514</v>
      </c>
    </row>
    <row r="145" customFormat="false" ht="15" hidden="false" customHeight="true" outlineLevel="0" collapsed="false">
      <c r="A145" s="6" t="n">
        <v>144</v>
      </c>
      <c r="B145" s="30" t="n">
        <v>0.0514836172017054</v>
      </c>
      <c r="C145" s="30" t="n">
        <v>0.413590454583066</v>
      </c>
      <c r="D145" s="30" t="n">
        <v>0.0741977863818667</v>
      </c>
      <c r="E145" s="30" t="n">
        <v>0.252811705754956</v>
      </c>
      <c r="F145" s="30" t="n">
        <v>0.0191336927166182</v>
      </c>
      <c r="G145" s="30" t="n">
        <v>0.167092395568395</v>
      </c>
      <c r="H145" s="31" t="n">
        <f aca="false">MAX(D145,F145+0.015)</f>
        <v>0.0741977863818667</v>
      </c>
      <c r="I145" s="25" t="n">
        <f aca="false">(C145-'DCF Base Case'!$B$3)*(1-E145)+'DCF Base Case'!$B$3-G145</f>
        <v>0.174803072455703</v>
      </c>
      <c r="J145" s="24" t="n">
        <f aca="false">'DCF Base Case'!$B$2*(1+B145)^1*$I145-'DCF Base Case'!$B$2*(1+B145)^0*B145*'DCF Base Case'!$B$4</f>
        <v>26.4274184691082</v>
      </c>
      <c r="K145" s="24" t="n">
        <f aca="false">'DCF Base Case'!$B$2*(1+B145)^2*$I145-'DCF Base Case'!$B$2*(1+B145)^1*B145*'DCF Base Case'!$B$4</f>
        <v>27.7879975652011</v>
      </c>
      <c r="L145" s="24" t="n">
        <f aca="false">'DCF Base Case'!$B$2*(1+B145)^3*$I145-'DCF Base Case'!$B$2*(1+B145)^2*B145*'DCF Base Case'!$B$4</f>
        <v>29.2186241946498</v>
      </c>
      <c r="M145" s="24" t="n">
        <f aca="false">'DCF Base Case'!$B$2*(1+B145)^4*$I145-'DCF Base Case'!$B$2*(1+B145)^3*B145*'DCF Base Case'!$B$4</f>
        <v>30.7229046578477</v>
      </c>
      <c r="N145" s="24" t="n">
        <f aca="false">'DCF Base Case'!$B$2*(1+B145)^5*$I145-'DCF Base Case'!$B$2*(1+B145)^4*B145*'DCF Base Case'!$B$4</f>
        <v>32.3046309205768</v>
      </c>
      <c r="O145" s="24" t="n">
        <f aca="false">J145/(1+H145)^1+K145/(1+H145)^2+L145/(1+H145)^3+M145/(1+H145)^4+N145/(1+H145)^5</f>
        <v>117.91671111481</v>
      </c>
      <c r="P145" s="24" t="n">
        <f aca="false">N145*(1+F145)/(H145-F145)</f>
        <v>597.89847812773</v>
      </c>
      <c r="Q145" s="24" t="n">
        <f aca="false">O145+P145/(1+H145)^5</f>
        <v>535.945491040571</v>
      </c>
      <c r="R145" s="24" t="n">
        <f aca="false">Q145-'DCF Base Case'!$B$5</f>
        <v>350.945491040571</v>
      </c>
      <c r="S145" s="32" t="n">
        <f aca="false">R145/'DCF Base Case'!$B$6</f>
        <v>14.0378196416228</v>
      </c>
    </row>
    <row r="146" customFormat="false" ht="15" hidden="false" customHeight="true" outlineLevel="0" collapsed="false">
      <c r="A146" s="6" t="n">
        <v>145</v>
      </c>
      <c r="B146" s="30" t="n">
        <v>0.0749282106090444</v>
      </c>
      <c r="C146" s="30" t="n">
        <v>0.425586715079205</v>
      </c>
      <c r="D146" s="30" t="n">
        <v>0.07023607316992</v>
      </c>
      <c r="E146" s="30" t="n">
        <v>0.269290917799597</v>
      </c>
      <c r="F146" s="30" t="n">
        <v>0.0169914469708389</v>
      </c>
      <c r="G146" s="30" t="n">
        <v>0.16421941676029</v>
      </c>
      <c r="H146" s="31" t="n">
        <f aca="false">MAX(D146,F146+0.015)</f>
        <v>0.07023607316992</v>
      </c>
      <c r="I146" s="25" t="n">
        <f aca="false">(C146-'DCF Base Case'!$B$3)*(1-E146)+'DCF Base Case'!$B$3-G146</f>
        <v>0.181768480525868</v>
      </c>
      <c r="J146" s="24" t="n">
        <f aca="false">'DCF Base Case'!$B$2*(1+B146)^1*$I146-'DCF Base Case'!$B$2*(1+B146)^0*B146*'DCF Base Case'!$B$4</f>
        <v>28.0053320737861</v>
      </c>
      <c r="K146" s="24" t="n">
        <f aca="false">'DCF Base Case'!$B$2*(1+B146)^2*$I146-'DCF Base Case'!$B$2*(1+B146)^1*B146*'DCF Base Case'!$B$4</f>
        <v>30.103721493587</v>
      </c>
      <c r="L146" s="24" t="n">
        <f aca="false">'DCF Base Case'!$B$2*(1+B146)^3*$I146-'DCF Base Case'!$B$2*(1+B146)^2*B146*'DCF Base Case'!$B$4</f>
        <v>32.3593394777745</v>
      </c>
      <c r="M146" s="24" t="n">
        <f aca="false">'DCF Base Case'!$B$2*(1+B146)^4*$I146-'DCF Base Case'!$B$2*(1+B146)^3*B146*'DCF Base Case'!$B$4</f>
        <v>34.7839668813347</v>
      </c>
      <c r="N146" s="24" t="n">
        <f aca="false">'DCF Base Case'!$B$2*(1+B146)^5*$I146-'DCF Base Case'!$B$2*(1+B146)^4*B146*'DCF Base Case'!$B$4</f>
        <v>37.3902672776374</v>
      </c>
      <c r="O146" s="24" t="n">
        <f aca="false">J146/(1+H146)^1+K146/(1+H146)^2+L146/(1+H146)^3+M146/(1+H146)^4+N146/(1+H146)^5</f>
        <v>131.989446705049</v>
      </c>
      <c r="P146" s="24" t="n">
        <f aca="false">N146*(1+F146)/(H146-F146)</f>
        <v>714.167508268977</v>
      </c>
      <c r="Q146" s="24" t="n">
        <f aca="false">O146+P146/(1+H146)^5</f>
        <v>640.619669076252</v>
      </c>
      <c r="R146" s="24" t="n">
        <f aca="false">Q146-'DCF Base Case'!$B$5</f>
        <v>455.619669076252</v>
      </c>
      <c r="S146" s="32" t="n">
        <f aca="false">R146/'DCF Base Case'!$B$6</f>
        <v>18.2247867630501</v>
      </c>
    </row>
    <row r="147" customFormat="false" ht="15" hidden="false" customHeight="true" outlineLevel="0" collapsed="false">
      <c r="A147" s="6" t="n">
        <v>146</v>
      </c>
      <c r="B147" s="30" t="n">
        <v>0.0958313182682295</v>
      </c>
      <c r="C147" s="30" t="n">
        <v>0.394521778224506</v>
      </c>
      <c r="D147" s="30" t="n">
        <v>0.0929671094520185</v>
      </c>
      <c r="E147" s="30" t="n">
        <v>0.281433719211726</v>
      </c>
      <c r="F147" s="30" t="n">
        <v>0.0122624295448667</v>
      </c>
      <c r="G147" s="30" t="n">
        <v>0.130016052397852</v>
      </c>
      <c r="H147" s="31" t="n">
        <f aca="false">MAX(D147,F147+0.015)</f>
        <v>0.0929671094520185</v>
      </c>
      <c r="I147" s="25" t="n">
        <f aca="false">(C147-'DCF Base Case'!$B$3)*(1-E147)+'DCF Base Case'!$B$3-G147</f>
        <v>0.190060377968432</v>
      </c>
      <c r="J147" s="24" t="n">
        <f aca="false">'DCF Base Case'!$B$2*(1+B147)^1*$I147-'DCF Base Case'!$B$2*(1+B147)^0*B147*'DCF Base Case'!$B$4</f>
        <v>29.7828803737904</v>
      </c>
      <c r="K147" s="24" t="n">
        <f aca="false">'DCF Base Case'!$B$2*(1+B147)^2*$I147-'DCF Base Case'!$B$2*(1+B147)^1*B147*'DCF Base Case'!$B$4</f>
        <v>32.6370130618357</v>
      </c>
      <c r="L147" s="24" t="n">
        <f aca="false">'DCF Base Case'!$B$2*(1+B147)^3*$I147-'DCF Base Case'!$B$2*(1+B147)^2*B147*'DCF Base Case'!$B$4</f>
        <v>35.7646610478889</v>
      </c>
      <c r="M147" s="24" t="n">
        <f aca="false">'DCF Base Case'!$B$2*(1+B147)^4*$I147-'DCF Base Case'!$B$2*(1+B147)^3*B147*'DCF Base Case'!$B$4</f>
        <v>39.1920356635244</v>
      </c>
      <c r="N147" s="24" t="n">
        <f aca="false">'DCF Base Case'!$B$2*(1+B147)^5*$I147-'DCF Base Case'!$B$2*(1+B147)^4*B147*'DCF Base Case'!$B$4</f>
        <v>42.9478601067755</v>
      </c>
      <c r="O147" s="24" t="n">
        <f aca="false">J147/(1+H147)^1+K147/(1+H147)^2+L147/(1+H147)^3+M147/(1+H147)^4+N147/(1+H147)^5</f>
        <v>136.963805293164</v>
      </c>
      <c r="P147" s="24" t="n">
        <f aca="false">N147*(1+F147)/(H147-F147)</f>
        <v>538.68629756606</v>
      </c>
      <c r="Q147" s="24" t="n">
        <f aca="false">O147+P147/(1+H147)^5</f>
        <v>482.346412697124</v>
      </c>
      <c r="R147" s="24" t="n">
        <f aca="false">Q147-'DCF Base Case'!$B$5</f>
        <v>297.346412697124</v>
      </c>
      <c r="S147" s="32" t="n">
        <f aca="false">R147/'DCF Base Case'!$B$6</f>
        <v>11.893856507885</v>
      </c>
    </row>
    <row r="148" customFormat="false" ht="15" hidden="false" customHeight="true" outlineLevel="0" collapsed="false">
      <c r="A148" s="6" t="n">
        <v>147</v>
      </c>
      <c r="B148" s="30" t="n">
        <v>0.0897536650657973</v>
      </c>
      <c r="C148" s="30" t="n">
        <v>0.409979525258547</v>
      </c>
      <c r="D148" s="30" t="n">
        <v>0.083862378750679</v>
      </c>
      <c r="E148" s="30" t="n">
        <v>0.278862786879711</v>
      </c>
      <c r="F148" s="30" t="n">
        <v>0.0201573975652044</v>
      </c>
      <c r="G148" s="30" t="n">
        <v>0.18790757745283</v>
      </c>
      <c r="H148" s="31" t="n">
        <f aca="false">MAX(D148,F148+0.015)</f>
        <v>0.083862378750679</v>
      </c>
      <c r="I148" s="25" t="n">
        <f aca="false">(C148-'DCF Base Case'!$B$3)*(1-E148)+'DCF Base Case'!$B$3-G148</f>
        <v>0.14399607712286</v>
      </c>
      <c r="J148" s="24" t="n">
        <f aca="false">'DCF Base Case'!$B$2*(1+B148)^1*$I148-'DCF Base Case'!$B$2*(1+B148)^0*B148*'DCF Base Case'!$B$4</f>
        <v>22.3630082129252</v>
      </c>
      <c r="K148" s="24" t="n">
        <f aca="false">'DCF Base Case'!$B$2*(1+B148)^2*$I148-'DCF Base Case'!$B$2*(1+B148)^1*B148*'DCF Base Case'!$B$4</f>
        <v>24.3701701619318</v>
      </c>
      <c r="L148" s="24" t="n">
        <f aca="false">'DCF Base Case'!$B$2*(1+B148)^3*$I148-'DCF Base Case'!$B$2*(1+B148)^2*B148*'DCF Base Case'!$B$4</f>
        <v>26.5574822522423</v>
      </c>
      <c r="M148" s="24" t="n">
        <f aca="false">'DCF Base Case'!$B$2*(1+B148)^4*$I148-'DCF Base Case'!$B$2*(1+B148)^3*B148*'DCF Base Case'!$B$4</f>
        <v>28.9411136193009</v>
      </c>
      <c r="N148" s="24" t="n">
        <f aca="false">'DCF Base Case'!$B$2*(1+B148)^5*$I148-'DCF Base Case'!$B$2*(1+B148)^4*B148*'DCF Base Case'!$B$4</f>
        <v>31.5386846377188</v>
      </c>
      <c r="O148" s="24" t="n">
        <f aca="false">J148/(1+H148)^1+K148/(1+H148)^2+L148/(1+H148)^3+M148/(1+H148)^4+N148/(1+H148)^5</f>
        <v>104.29109793382</v>
      </c>
      <c r="P148" s="24" t="n">
        <f aca="false">N148*(1+F148)/(H148-F148)</f>
        <v>505.053480024903</v>
      </c>
      <c r="Q148" s="24" t="n">
        <f aca="false">O148+P148/(1+H148)^5</f>
        <v>441.941023062776</v>
      </c>
      <c r="R148" s="24" t="n">
        <f aca="false">Q148-'DCF Base Case'!$B$5</f>
        <v>256.941023062776</v>
      </c>
      <c r="S148" s="32" t="n">
        <f aca="false">R148/'DCF Base Case'!$B$6</f>
        <v>10.277640922511</v>
      </c>
    </row>
    <row r="149" customFormat="false" ht="15" hidden="false" customHeight="true" outlineLevel="0" collapsed="false">
      <c r="A149" s="6" t="n">
        <v>148</v>
      </c>
      <c r="B149" s="30" t="n">
        <v>0.0658129424217727</v>
      </c>
      <c r="C149" s="30" t="n">
        <v>0.380279492372353</v>
      </c>
      <c r="D149" s="30" t="n">
        <v>0.0729734375632388</v>
      </c>
      <c r="E149" s="30" t="n">
        <v>0.288156702168351</v>
      </c>
      <c r="F149" s="30" t="n">
        <v>0.0237599411075041</v>
      </c>
      <c r="G149" s="30" t="n">
        <v>0.156502645882454</v>
      </c>
      <c r="H149" s="31" t="n">
        <f aca="false">MAX(D149,F149+0.015)</f>
        <v>0.0729734375632388</v>
      </c>
      <c r="I149" s="25" t="n">
        <f aca="false">(C149-'DCF Base Case'!$B$3)*(1-E149)+'DCF Base Case'!$B$3-G149</f>
        <v>0.151657133347513</v>
      </c>
      <c r="J149" s="24" t="n">
        <f aca="false">'DCF Base Case'!$B$2*(1+B149)^1*$I149-'DCF Base Case'!$B$2*(1+B149)^0*B149*'DCF Base Case'!$B$4</f>
        <v>23.151243352658</v>
      </c>
      <c r="K149" s="24" t="n">
        <f aca="false">'DCF Base Case'!$B$2*(1+B149)^2*$I149-'DCF Base Case'!$B$2*(1+B149)^1*B149*'DCF Base Case'!$B$4</f>
        <v>24.674894798419</v>
      </c>
      <c r="L149" s="24" t="n">
        <f aca="false">'DCF Base Case'!$B$2*(1+B149)^3*$I149-'DCF Base Case'!$B$2*(1+B149)^2*B149*'DCF Base Case'!$B$4</f>
        <v>26.2988222290506</v>
      </c>
      <c r="M149" s="24" t="n">
        <f aca="false">'DCF Base Case'!$B$2*(1+B149)^4*$I149-'DCF Base Case'!$B$2*(1+B149)^3*B149*'DCF Base Case'!$B$4</f>
        <v>28.0296251021715</v>
      </c>
      <c r="N149" s="24" t="n">
        <f aca="false">'DCF Base Case'!$B$2*(1+B149)^5*$I149-'DCF Base Case'!$B$2*(1+B149)^4*B149*'DCF Base Case'!$B$4</f>
        <v>29.8743372051246</v>
      </c>
      <c r="O149" s="24" t="n">
        <f aca="false">J149/(1+H149)^1+K149/(1+H149)^2+L149/(1+H149)^3+M149/(1+H149)^4+N149/(1+H149)^5</f>
        <v>106.453234774513</v>
      </c>
      <c r="P149" s="24" t="n">
        <f aca="false">N149*(1+F149)/(H149-F149)</f>
        <v>621.458581494066</v>
      </c>
      <c r="Q149" s="24" t="n">
        <f aca="false">O149+P149/(1+H149)^5</f>
        <v>543.43904588312</v>
      </c>
      <c r="R149" s="24" t="n">
        <f aca="false">Q149-'DCF Base Case'!$B$5</f>
        <v>358.43904588312</v>
      </c>
      <c r="S149" s="32" t="n">
        <f aca="false">R149/'DCF Base Case'!$B$6</f>
        <v>14.3375618353248</v>
      </c>
    </row>
    <row r="150" customFormat="false" ht="15" hidden="false" customHeight="true" outlineLevel="0" collapsed="false">
      <c r="A150" s="6" t="n">
        <v>149</v>
      </c>
      <c r="B150" s="30" t="n">
        <v>0.0455587467925102</v>
      </c>
      <c r="C150" s="30" t="n">
        <v>0.366350536285084</v>
      </c>
      <c r="D150" s="30" t="n">
        <v>0.0758365960492439</v>
      </c>
      <c r="E150" s="30" t="n">
        <v>0.266073223381994</v>
      </c>
      <c r="F150" s="30" t="n">
        <v>0.0177305551795588</v>
      </c>
      <c r="G150" s="30" t="n">
        <v>0.166077156433515</v>
      </c>
      <c r="H150" s="31" t="n">
        <f aca="false">MAX(D150,F150+0.015)</f>
        <v>0.0758365960492439</v>
      </c>
      <c r="I150" s="25" t="n">
        <f aca="false">(C150-'DCF Base Case'!$B$3)*(1-E150)+'DCF Base Case'!$B$3-G150</f>
        <v>0.137386830814134</v>
      </c>
      <c r="J150" s="24" t="n">
        <f aca="false">'DCF Base Case'!$B$2*(1+B150)^1*$I150-'DCF Base Case'!$B$2*(1+B150)^0*B150*'DCF Base Case'!$B$4</f>
        <v>20.6304898359665</v>
      </c>
      <c r="K150" s="24" t="n">
        <f aca="false">'DCF Base Case'!$B$2*(1+B150)^2*$I150-'DCF Base Case'!$B$2*(1+B150)^1*B150*'DCF Base Case'!$B$4</f>
        <v>21.5703890986088</v>
      </c>
      <c r="L150" s="24" t="n">
        <f aca="false">'DCF Base Case'!$B$2*(1+B150)^3*$I150-'DCF Base Case'!$B$2*(1+B150)^2*B150*'DCF Base Case'!$B$4</f>
        <v>22.5531089937682</v>
      </c>
      <c r="M150" s="24" t="n">
        <f aca="false">'DCF Base Case'!$B$2*(1+B150)^4*$I150-'DCF Base Case'!$B$2*(1+B150)^3*B150*'DCF Base Case'!$B$4</f>
        <v>23.5806003757992</v>
      </c>
      <c r="N150" s="24" t="n">
        <f aca="false">'DCF Base Case'!$B$2*(1+B150)^5*$I150-'DCF Base Case'!$B$2*(1+B150)^4*B150*'DCF Base Case'!$B$4</f>
        <v>24.6549029775356</v>
      </c>
      <c r="O150" s="24" t="n">
        <f aca="false">J150/(1+H150)^1+K150/(1+H150)^2+L150/(1+H150)^3+M150/(1+H150)^4+N150/(1+H150)^5</f>
        <v>90.6340411906069</v>
      </c>
      <c r="P150" s="24" t="n">
        <f aca="false">N150*(1+F150)/(H150-F150)</f>
        <v>431.832004377989</v>
      </c>
      <c r="Q150" s="24" t="n">
        <f aca="false">O150+P150/(1+H150)^5</f>
        <v>390.262637342639</v>
      </c>
      <c r="R150" s="24" t="n">
        <f aca="false">Q150-'DCF Base Case'!$B$5</f>
        <v>205.262637342639</v>
      </c>
      <c r="S150" s="32" t="n">
        <f aca="false">R150/'DCF Base Case'!$B$6</f>
        <v>8.21050549370558</v>
      </c>
    </row>
    <row r="151" customFormat="false" ht="15" hidden="false" customHeight="true" outlineLevel="0" collapsed="false">
      <c r="A151" s="6" t="n">
        <v>150</v>
      </c>
      <c r="B151" s="30" t="n">
        <v>0.0834520803421852</v>
      </c>
      <c r="C151" s="30" t="n">
        <v>0.432352361976809</v>
      </c>
      <c r="D151" s="30" t="n">
        <v>0.077563809637505</v>
      </c>
      <c r="E151" s="30" t="n">
        <v>0.260686715623491</v>
      </c>
      <c r="F151" s="30" t="n">
        <v>0.0210597528548711</v>
      </c>
      <c r="G151" s="30" t="n">
        <v>0.135787728788612</v>
      </c>
      <c r="H151" s="31" t="n">
        <f aca="false">MAX(D151,F151+0.015)</f>
        <v>0.077563809637505</v>
      </c>
      <c r="I151" s="25" t="n">
        <f aca="false">(C151-'DCF Base Case'!$B$3)*(1-E151)+'DCF Base Case'!$B$3-G151</f>
        <v>0.217745388983458</v>
      </c>
      <c r="J151" s="24" t="n">
        <f aca="false">'DCF Base Case'!$B$2*(1+B151)^1*$I151-'DCF Base Case'!$B$2*(1+B151)^0*B151*'DCF Base Case'!$B$4</f>
        <v>33.8449041789731</v>
      </c>
      <c r="K151" s="24" t="n">
        <f aca="false">'DCF Base Case'!$B$2*(1+B151)^2*$I151-'DCF Base Case'!$B$2*(1+B151)^1*B151*'DCF Base Case'!$B$4</f>
        <v>36.6693318416903</v>
      </c>
      <c r="L151" s="24" t="n">
        <f aca="false">'DCF Base Case'!$B$2*(1+B151)^3*$I151-'DCF Base Case'!$B$2*(1+B151)^2*B151*'DCF Base Case'!$B$4</f>
        <v>39.7294638686373</v>
      </c>
      <c r="M151" s="24" t="n">
        <f aca="false">'DCF Base Case'!$B$2*(1+B151)^4*$I151-'DCF Base Case'!$B$2*(1+B151)^3*B151*'DCF Base Case'!$B$4</f>
        <v>43.0449702793548</v>
      </c>
      <c r="N151" s="24" t="n">
        <f aca="false">'DCF Base Case'!$B$2*(1+B151)^5*$I151-'DCF Base Case'!$B$2*(1+B151)^4*B151*'DCF Base Case'!$B$4</f>
        <v>46.6371625974345</v>
      </c>
      <c r="O151" s="24" t="n">
        <f aca="false">J151/(1+H151)^1+K151/(1+H151)^2+L151/(1+H151)^3+M151/(1+H151)^4+N151/(1+H151)^5</f>
        <v>158.769331131168</v>
      </c>
      <c r="P151" s="24" t="n">
        <f aca="false">N151*(1+F151)/(H151-F151)</f>
        <v>842.759483602677</v>
      </c>
      <c r="Q151" s="24" t="n">
        <f aca="false">O151+P151/(1+H151)^5</f>
        <v>738.850361082863</v>
      </c>
      <c r="R151" s="24" t="n">
        <f aca="false">Q151-'DCF Base Case'!$B$5</f>
        <v>553.850361082863</v>
      </c>
      <c r="S151" s="32" t="n">
        <f aca="false">R151/'DCF Base Case'!$B$6</f>
        <v>22.1540144433145</v>
      </c>
    </row>
    <row r="152" customFormat="false" ht="15" hidden="false" customHeight="true" outlineLevel="0" collapsed="false">
      <c r="A152" s="6" t="n">
        <v>151</v>
      </c>
      <c r="B152" s="30" t="n">
        <v>0.0982637887804224</v>
      </c>
      <c r="C152" s="30" t="n">
        <v>0.419594084086465</v>
      </c>
      <c r="D152" s="30" t="n">
        <v>0.0833781326109002</v>
      </c>
      <c r="E152" s="30" t="n">
        <v>0.326430774444904</v>
      </c>
      <c r="F152" s="30" t="n">
        <v>0.0168343235739153</v>
      </c>
      <c r="G152" s="30" t="n">
        <v>0.209132151355064</v>
      </c>
      <c r="H152" s="31" t="n">
        <f aca="false">MAX(D152,F152+0.015)</f>
        <v>0.0833781326109002</v>
      </c>
      <c r="I152" s="25" t="n">
        <f aca="false">(C152-'DCF Base Case'!$B$3)*(1-E152)+'DCF Base Case'!$B$3-G152</f>
        <v>0.115929511588394</v>
      </c>
      <c r="J152" s="24" t="n">
        <f aca="false">'DCF Base Case'!$B$2*(1+B152)^1*$I152-'DCF Base Case'!$B$2*(1+B152)^0*B152*'DCF Base Case'!$B$4</f>
        <v>18.0341242899424</v>
      </c>
      <c r="K152" s="24" t="n">
        <f aca="false">'DCF Base Case'!$B$2*(1+B152)^2*$I152-'DCF Base Case'!$B$2*(1+B152)^1*B152*'DCF Base Case'!$B$4</f>
        <v>19.8062256700092</v>
      </c>
      <c r="L152" s="24" t="n">
        <f aca="false">'DCF Base Case'!$B$2*(1+B152)^3*$I152-'DCF Base Case'!$B$2*(1+B152)^2*B152*'DCF Base Case'!$B$4</f>
        <v>21.7524604457844</v>
      </c>
      <c r="M152" s="24" t="n">
        <f aca="false">'DCF Base Case'!$B$2*(1+B152)^4*$I152-'DCF Base Case'!$B$2*(1+B152)^3*B152*'DCF Base Case'!$B$4</f>
        <v>23.8899396244835</v>
      </c>
      <c r="N152" s="24" t="n">
        <f aca="false">'DCF Base Case'!$B$2*(1+B152)^5*$I152-'DCF Base Case'!$B$2*(1+B152)^4*B152*'DCF Base Case'!$B$4</f>
        <v>26.2374556057207</v>
      </c>
      <c r="O152" s="24" t="n">
        <f aca="false">J152/(1+H152)^1+K152/(1+H152)^2+L152/(1+H152)^3+M152/(1+H152)^4+N152/(1+H152)^5</f>
        <v>85.5498140662914</v>
      </c>
      <c r="P152" s="24" t="n">
        <f aca="false">N152*(1+F152)/(H152-F152)</f>
        <v>400.926033679789</v>
      </c>
      <c r="Q152" s="24" t="n">
        <f aca="false">O152+P152/(1+H152)^5</f>
        <v>354.18564005383</v>
      </c>
      <c r="R152" s="24" t="n">
        <f aca="false">Q152-'DCF Base Case'!$B$5</f>
        <v>169.18564005383</v>
      </c>
      <c r="S152" s="32" t="n">
        <f aca="false">R152/'DCF Base Case'!$B$6</f>
        <v>6.76742560215319</v>
      </c>
    </row>
    <row r="153" customFormat="false" ht="15" hidden="false" customHeight="true" outlineLevel="0" collapsed="false">
      <c r="A153" s="6" t="n">
        <v>152</v>
      </c>
      <c r="B153" s="30" t="n">
        <v>0.0853222806208862</v>
      </c>
      <c r="C153" s="30" t="n">
        <v>0.384632761638945</v>
      </c>
      <c r="D153" s="30" t="n">
        <v>0.0857691153909431</v>
      </c>
      <c r="E153" s="30" t="n">
        <v>0.257606798987005</v>
      </c>
      <c r="F153" s="30" t="n">
        <v>0.0162902556466823</v>
      </c>
      <c r="G153" s="30" t="n">
        <v>0.174458494602386</v>
      </c>
      <c r="H153" s="31" t="n">
        <f aca="false">MAX(D153,F153+0.015)</f>
        <v>0.0857691153909431</v>
      </c>
      <c r="I153" s="25" t="n">
        <f aca="false">(C153-'DCF Base Case'!$B$3)*(1-E153)+'DCF Base Case'!$B$3-G153</f>
        <v>0.144579136393529</v>
      </c>
      <c r="J153" s="24" t="n">
        <f aca="false">'DCF Base Case'!$B$2*(1+B153)^1*$I153-'DCF Base Case'!$B$2*(1+B153)^0*B153*'DCF Base Case'!$B$4</f>
        <v>22.3815169952185</v>
      </c>
      <c r="K153" s="24" t="n">
        <f aca="false">'DCF Base Case'!$B$2*(1+B153)^2*$I153-'DCF Base Case'!$B$2*(1+B153)^1*B153*'DCF Base Case'!$B$4</f>
        <v>24.2911590690057</v>
      </c>
      <c r="L153" s="24" t="n">
        <f aca="false">'DCF Base Case'!$B$2*(1+B153)^3*$I153-'DCF Base Case'!$B$2*(1+B153)^2*B153*'DCF Base Case'!$B$4</f>
        <v>26.363736159698</v>
      </c>
      <c r="M153" s="24" t="n">
        <f aca="false">'DCF Base Case'!$B$2*(1+B153)^4*$I153-'DCF Base Case'!$B$2*(1+B153)^3*B153*'DCF Base Case'!$B$4</f>
        <v>28.6131502545308</v>
      </c>
      <c r="N153" s="24" t="n">
        <f aca="false">'DCF Base Case'!$B$2*(1+B153)^5*$I153-'DCF Base Case'!$B$2*(1+B153)^4*B153*'DCF Base Case'!$B$4</f>
        <v>31.0544894899954</v>
      </c>
      <c r="O153" s="24" t="n">
        <f aca="false">J153/(1+H153)^1+K153/(1+H153)^2+L153/(1+H153)^3+M153/(1+H153)^4+N153/(1+H153)^5</f>
        <v>102.982773170558</v>
      </c>
      <c r="P153" s="24" t="n">
        <f aca="false">N153*(1+F153)/(H153-F153)</f>
        <v>454.244286376212</v>
      </c>
      <c r="Q153" s="24" t="n">
        <f aca="false">O153+P153/(1+H153)^5</f>
        <v>404.007418374183</v>
      </c>
      <c r="R153" s="24" t="n">
        <f aca="false">Q153-'DCF Base Case'!$B$5</f>
        <v>219.007418374183</v>
      </c>
      <c r="S153" s="32" t="n">
        <f aca="false">R153/'DCF Base Case'!$B$6</f>
        <v>8.76029673496732</v>
      </c>
    </row>
    <row r="154" customFormat="false" ht="15" hidden="false" customHeight="true" outlineLevel="0" collapsed="false">
      <c r="A154" s="6" t="n">
        <v>153</v>
      </c>
      <c r="B154" s="30" t="n">
        <v>0.101970518715064</v>
      </c>
      <c r="C154" s="30" t="n">
        <v>0.405751996724649</v>
      </c>
      <c r="D154" s="30" t="n">
        <v>0.0958614565955104</v>
      </c>
      <c r="E154" s="30" t="n">
        <v>0.315028989018394</v>
      </c>
      <c r="F154" s="30" t="n">
        <v>0.024352954568546</v>
      </c>
      <c r="G154" s="30" t="n">
        <v>0.177696854740185</v>
      </c>
      <c r="H154" s="31" t="n">
        <f aca="false">MAX(D154,F154+0.015)</f>
        <v>0.0958614565955104</v>
      </c>
      <c r="I154" s="25" t="n">
        <f aca="false">(C154-'DCF Base Case'!$B$3)*(1-E154)+'DCF Base Case'!$B$3-G154</f>
        <v>0.141185269236494</v>
      </c>
      <c r="J154" s="24" t="n">
        <f aca="false">'DCF Base Case'!$B$2*(1+B154)^1*$I154-'DCF Base Case'!$B$2*(1+B154)^0*B154*'DCF Base Case'!$B$4</f>
        <v>22.115818878032</v>
      </c>
      <c r="K154" s="24" t="n">
        <f aca="false">'DCF Base Case'!$B$2*(1+B154)^2*$I154-'DCF Base Case'!$B$2*(1+B154)^1*B154*'DCF Base Case'!$B$4</f>
        <v>24.3709804008333</v>
      </c>
      <c r="L154" s="24" t="n">
        <f aca="false">'DCF Base Case'!$B$2*(1+B154)^3*$I154-'DCF Base Case'!$B$2*(1+B154)^2*B154*'DCF Base Case'!$B$4</f>
        <v>26.8561019139009</v>
      </c>
      <c r="M154" s="24" t="n">
        <f aca="false">'DCF Base Case'!$B$2*(1+B154)^4*$I154-'DCF Base Case'!$B$2*(1+B154)^3*B154*'DCF Base Case'!$B$4</f>
        <v>29.594632556726</v>
      </c>
      <c r="N154" s="24" t="n">
        <f aca="false">'DCF Base Case'!$B$2*(1+B154)^5*$I154-'DCF Base Case'!$B$2*(1+B154)^4*B154*'DCF Base Case'!$B$4</f>
        <v>32.6124125897171</v>
      </c>
      <c r="O154" s="24" t="n">
        <f aca="false">J154/(1+H154)^1+K154/(1+H154)^2+L154/(1+H154)^3+M154/(1+H154)^4+N154/(1+H154)^5</f>
        <v>102.037414444895</v>
      </c>
      <c r="P154" s="24" t="n">
        <f aca="false">N154*(1+F154)/(H154-F154)</f>
        <v>467.169920288474</v>
      </c>
      <c r="Q154" s="24" t="n">
        <f aca="false">O154+P154/(1+H154)^5</f>
        <v>397.632092458327</v>
      </c>
      <c r="R154" s="24" t="n">
        <f aca="false">Q154-'DCF Base Case'!$B$5</f>
        <v>212.632092458327</v>
      </c>
      <c r="S154" s="32" t="n">
        <f aca="false">R154/'DCF Base Case'!$B$6</f>
        <v>8.5052836983331</v>
      </c>
    </row>
    <row r="155" customFormat="false" ht="15" hidden="false" customHeight="true" outlineLevel="0" collapsed="false">
      <c r="A155" s="6" t="n">
        <v>154</v>
      </c>
      <c r="B155" s="30" t="n">
        <v>0.119218551703458</v>
      </c>
      <c r="C155" s="30" t="n">
        <v>0.38442861354356</v>
      </c>
      <c r="D155" s="30" t="n">
        <v>0.0815030279650869</v>
      </c>
      <c r="E155" s="30" t="n">
        <v>0.260615430257468</v>
      </c>
      <c r="F155" s="30" t="n">
        <v>0.0197879550150182</v>
      </c>
      <c r="G155" s="30" t="n">
        <v>0.153695553812711</v>
      </c>
      <c r="H155" s="31" t="n">
        <f aca="false">MAX(D155,F155+0.015)</f>
        <v>0.0815030279650869</v>
      </c>
      <c r="I155" s="25" t="n">
        <f aca="false">(C155-'DCF Base Case'!$B$3)*(1-E155)+'DCF Base Case'!$B$3-G155</f>
        <v>0.164425037142383</v>
      </c>
      <c r="J155" s="24" t="n">
        <f aca="false">'DCF Base Case'!$B$2*(1+B155)^1*$I155-'DCF Base Case'!$B$2*(1+B155)^0*B155*'DCF Base Case'!$B$4</f>
        <v>26.1653943305613</v>
      </c>
      <c r="K155" s="24" t="n">
        <f aca="false">'DCF Base Case'!$B$2*(1+B155)^2*$I155-'DCF Base Case'!$B$2*(1+B155)^1*B155*'DCF Base Case'!$B$4</f>
        <v>29.2847947474007</v>
      </c>
      <c r="L155" s="24" t="n">
        <f aca="false">'DCF Base Case'!$B$2*(1+B155)^3*$I155-'DCF Base Case'!$B$2*(1+B155)^2*B155*'DCF Base Case'!$B$4</f>
        <v>32.7760855641189</v>
      </c>
      <c r="M155" s="24" t="n">
        <f aca="false">'DCF Base Case'!$B$2*(1+B155)^4*$I155-'DCF Base Case'!$B$2*(1+B155)^3*B155*'DCF Base Case'!$B$4</f>
        <v>36.6836030155817</v>
      </c>
      <c r="N155" s="24" t="n">
        <f aca="false">'DCF Base Case'!$B$2*(1+B155)^5*$I155-'DCF Base Case'!$B$2*(1+B155)^4*B155*'DCF Base Case'!$B$4</f>
        <v>41.056969038364</v>
      </c>
      <c r="O155" s="24" t="n">
        <f aca="false">J155/(1+H155)^1+K155/(1+H155)^2+L155/(1+H155)^3+M155/(1+H155)^4+N155/(1+H155)^5</f>
        <v>129.704205074042</v>
      </c>
      <c r="P155" s="24" t="n">
        <f aca="false">N155*(1+F155)/(H155-F155)</f>
        <v>678.430738121675</v>
      </c>
      <c r="Q155" s="24" t="n">
        <f aca="false">O155+P155/(1+H155)^5</f>
        <v>588.233215532876</v>
      </c>
      <c r="R155" s="24" t="n">
        <f aca="false">Q155-'DCF Base Case'!$B$5</f>
        <v>403.233215532876</v>
      </c>
      <c r="S155" s="32" t="n">
        <f aca="false">R155/'DCF Base Case'!$B$6</f>
        <v>16.1293286213151</v>
      </c>
    </row>
    <row r="156" customFormat="false" ht="15" hidden="false" customHeight="true" outlineLevel="0" collapsed="false">
      <c r="A156" s="6" t="n">
        <v>155</v>
      </c>
      <c r="B156" s="30" t="n">
        <v>0.0865841371993418</v>
      </c>
      <c r="C156" s="30" t="n">
        <v>0.446718453540031</v>
      </c>
      <c r="D156" s="30" t="n">
        <v>0.0831330822393759</v>
      </c>
      <c r="E156" s="30" t="n">
        <v>0.292024317645678</v>
      </c>
      <c r="F156" s="30" t="n">
        <v>0.0184515544619076</v>
      </c>
      <c r="G156" s="30" t="n">
        <v>0.166906294043095</v>
      </c>
      <c r="H156" s="31" t="n">
        <f aca="false">MAX(D156,F156+0.015)</f>
        <v>0.0831330822393759</v>
      </c>
      <c r="I156" s="25" t="n">
        <f aca="false">(C156-'DCF Base Case'!$B$3)*(1-E156)+'DCF Base Case'!$B$3-G156</f>
        <v>0.187322669216114</v>
      </c>
      <c r="J156" s="24" t="n">
        <f aca="false">'DCF Base Case'!$B$2*(1+B156)^1*$I156-'DCF Base Case'!$B$2*(1+B156)^0*B156*'DCF Base Case'!$B$4</f>
        <v>29.1369259348529</v>
      </c>
      <c r="K156" s="24" t="n">
        <f aca="false">'DCF Base Case'!$B$2*(1+B156)^2*$I156-'DCF Base Case'!$B$2*(1+B156)^1*B156*'DCF Base Case'!$B$4</f>
        <v>31.6597215275632</v>
      </c>
      <c r="L156" s="24" t="n">
        <f aca="false">'DCF Base Case'!$B$2*(1+B156)^3*$I156-'DCF Base Case'!$B$2*(1+B156)^2*B156*'DCF Base Case'!$B$4</f>
        <v>34.4009511999987</v>
      </c>
      <c r="M156" s="24" t="n">
        <f aca="false">'DCF Base Case'!$B$2*(1+B156)^4*$I156-'DCF Base Case'!$B$2*(1+B156)^3*B156*'DCF Base Case'!$B$4</f>
        <v>37.3795278784873</v>
      </c>
      <c r="N156" s="24" t="n">
        <f aca="false">'DCF Base Case'!$B$2*(1+B156)^5*$I156-'DCF Base Case'!$B$2*(1+B156)^4*B156*'DCF Base Case'!$B$4</f>
        <v>40.6160020487648</v>
      </c>
      <c r="O156" s="24" t="n">
        <f aca="false">J156/(1+H156)^1+K156/(1+H156)^2+L156/(1+H156)^3+M156/(1+H156)^4+N156/(1+H156)^5</f>
        <v>135.362818349528</v>
      </c>
      <c r="P156" s="24" t="n">
        <f aca="false">N156*(1+F156)/(H156-F156)</f>
        <v>639.524634682518</v>
      </c>
      <c r="Q156" s="24" t="n">
        <f aca="false">O156+P156/(1+H156)^5</f>
        <v>564.353812025709</v>
      </c>
      <c r="R156" s="24" t="n">
        <f aca="false">Q156-'DCF Base Case'!$B$5</f>
        <v>379.353812025709</v>
      </c>
      <c r="S156" s="32" t="n">
        <f aca="false">R156/'DCF Base Case'!$B$6</f>
        <v>15.1741524810284</v>
      </c>
    </row>
    <row r="157" customFormat="false" ht="15" hidden="false" customHeight="true" outlineLevel="0" collapsed="false">
      <c r="A157" s="6" t="n">
        <v>156</v>
      </c>
      <c r="B157" s="30" t="n">
        <v>0.0901201590686004</v>
      </c>
      <c r="C157" s="30" t="n">
        <v>0.423312903194188</v>
      </c>
      <c r="D157" s="30" t="n">
        <v>0.097818382891019</v>
      </c>
      <c r="E157" s="30" t="n">
        <v>0.327809651035206</v>
      </c>
      <c r="F157" s="30" t="n">
        <v>0.0204524278238018</v>
      </c>
      <c r="G157" s="30" t="n">
        <v>0.179177415454086</v>
      </c>
      <c r="H157" s="31" t="n">
        <f aca="false">MAX(D157,F157+0.015)</f>
        <v>0.097818382891019</v>
      </c>
      <c r="I157" s="25" t="n">
        <f aca="false">(C157-'DCF Base Case'!$B$3)*(1-E157)+'DCF Base Case'!$B$3-G157</f>
        <v>0.147984687299892</v>
      </c>
      <c r="J157" s="24" t="n">
        <f aca="false">'DCF Base Case'!$B$2*(1+B157)^1*$I157-'DCF Base Case'!$B$2*(1+B157)^0*B157*'DCF Base Case'!$B$4</f>
        <v>22.9995354826175</v>
      </c>
      <c r="K157" s="24" t="n">
        <f aca="false">'DCF Base Case'!$B$2*(1+B157)^2*$I157-'DCF Base Case'!$B$2*(1+B157)^1*B157*'DCF Base Case'!$B$4</f>
        <v>25.0722572788149</v>
      </c>
      <c r="L157" s="24" t="n">
        <f aca="false">'DCF Base Case'!$B$2*(1+B157)^3*$I157-'DCF Base Case'!$B$2*(1+B157)^2*B157*'DCF Base Case'!$B$4</f>
        <v>27.3317730929906</v>
      </c>
      <c r="M157" s="24" t="n">
        <f aca="false">'DCF Base Case'!$B$2*(1+B157)^4*$I157-'DCF Base Case'!$B$2*(1+B157)^3*B157*'DCF Base Case'!$B$4</f>
        <v>29.7949168317578</v>
      </c>
      <c r="N157" s="24" t="n">
        <f aca="false">'DCF Base Case'!$B$2*(1+B157)^5*$I157-'DCF Base Case'!$B$2*(1+B157)^4*B157*'DCF Base Case'!$B$4</f>
        <v>32.4800394760716</v>
      </c>
      <c r="O157" s="24" t="n">
        <f aca="false">J157/(1+H157)^1+K157/(1+H157)^2+L157/(1+H157)^3+M157/(1+H157)^4+N157/(1+H157)^5</f>
        <v>103.292269674785</v>
      </c>
      <c r="P157" s="24" t="n">
        <f aca="false">N157*(1+F157)/(H157-F157)</f>
        <v>428.409823292088</v>
      </c>
      <c r="Q157" s="24" t="n">
        <f aca="false">O157+P157/(1+H157)^5</f>
        <v>371.954692420721</v>
      </c>
      <c r="R157" s="24" t="n">
        <f aca="false">Q157-'DCF Base Case'!$B$5</f>
        <v>186.954692420721</v>
      </c>
      <c r="S157" s="32" t="n">
        <f aca="false">R157/'DCF Base Case'!$B$6</f>
        <v>7.47818769682886</v>
      </c>
    </row>
    <row r="158" customFormat="false" ht="15" hidden="false" customHeight="true" outlineLevel="0" collapsed="false">
      <c r="A158" s="6" t="n">
        <v>157</v>
      </c>
      <c r="B158" s="30" t="n">
        <v>0.064989396784772</v>
      </c>
      <c r="C158" s="30" t="n">
        <v>0.403390913303475</v>
      </c>
      <c r="D158" s="30" t="n">
        <v>0.0953431841137195</v>
      </c>
      <c r="E158" s="30" t="n">
        <v>0.306259727550977</v>
      </c>
      <c r="F158" s="30" t="n">
        <v>0.0201089915632587</v>
      </c>
      <c r="G158" s="30" t="n">
        <v>0.186440860869823</v>
      </c>
      <c r="H158" s="31" t="n">
        <f aca="false">MAX(D158,F158+0.015)</f>
        <v>0.0953431841137195</v>
      </c>
      <c r="I158" s="25" t="n">
        <f aca="false">(C158-'DCF Base Case'!$B$3)*(1-E158)+'DCF Base Case'!$B$3-G158</f>
        <v>0.133221425810417</v>
      </c>
      <c r="J158" s="24" t="n">
        <f aca="false">'DCF Base Case'!$B$2*(1+B158)^1*$I158-'DCF Base Case'!$B$2*(1+B158)^0*B158*'DCF Base Case'!$B$4</f>
        <v>20.2898099813195</v>
      </c>
      <c r="K158" s="24" t="n">
        <f aca="false">'DCF Base Case'!$B$2*(1+B158)^2*$I158-'DCF Base Case'!$B$2*(1+B158)^1*B158*'DCF Base Case'!$B$4</f>
        <v>21.6084324928831</v>
      </c>
      <c r="L158" s="24" t="n">
        <f aca="false">'DCF Base Case'!$B$2*(1+B158)^3*$I158-'DCF Base Case'!$B$2*(1+B158)^2*B158*'DCF Base Case'!$B$4</f>
        <v>23.01275148606</v>
      </c>
      <c r="M158" s="24" t="n">
        <f aca="false">'DCF Base Case'!$B$2*(1+B158)^4*$I158-'DCF Base Case'!$B$2*(1+B158)^3*B158*'DCF Base Case'!$B$4</f>
        <v>24.5083363234969</v>
      </c>
      <c r="N158" s="24" t="n">
        <f aca="false">'DCF Base Case'!$B$2*(1+B158)^5*$I158-'DCF Base Case'!$B$2*(1+B158)^4*B158*'DCF Base Case'!$B$4</f>
        <v>26.1011183173593</v>
      </c>
      <c r="O158" s="24" t="n">
        <f aca="false">J158/(1+H158)^1+K158/(1+H158)^2+L158/(1+H158)^3+M158/(1+H158)^4+N158/(1+H158)^5</f>
        <v>87.6255700642519</v>
      </c>
      <c r="P158" s="24" t="n">
        <f aca="false">N158*(1+F158)/(H158-F158)</f>
        <v>353.908038124238</v>
      </c>
      <c r="Q158" s="24" t="n">
        <f aca="false">O158+P158/(1+H158)^5</f>
        <v>312.085785750376</v>
      </c>
      <c r="R158" s="24" t="n">
        <f aca="false">Q158-'DCF Base Case'!$B$5</f>
        <v>127.085785750376</v>
      </c>
      <c r="S158" s="32" t="n">
        <f aca="false">R158/'DCF Base Case'!$B$6</f>
        <v>5.08343143001504</v>
      </c>
    </row>
    <row r="159" customFormat="false" ht="15" hidden="false" customHeight="true" outlineLevel="0" collapsed="false">
      <c r="A159" s="6" t="n">
        <v>158</v>
      </c>
      <c r="B159" s="30" t="n">
        <v>0.100516096363989</v>
      </c>
      <c r="C159" s="30" t="n">
        <v>0.440255525712623</v>
      </c>
      <c r="D159" s="30" t="n">
        <v>0.0881829507265282</v>
      </c>
      <c r="E159" s="30" t="n">
        <v>0.270465285615594</v>
      </c>
      <c r="F159" s="30" t="n">
        <v>0.0205455045763394</v>
      </c>
      <c r="G159" s="30" t="n">
        <v>0.122601208225529</v>
      </c>
      <c r="H159" s="31" t="n">
        <f aca="false">MAX(D159,F159+0.015)</f>
        <v>0.0881829507265282</v>
      </c>
      <c r="I159" s="25" t="n">
        <f aca="false">(C159-'DCF Base Case'!$B$3)*(1-E159)+'DCF Base Case'!$B$3-G159</f>
        <v>0.233740968111413</v>
      </c>
      <c r="J159" s="24" t="n">
        <f aca="false">'DCF Base Case'!$B$2*(1+B159)^1*$I159-'DCF Base Case'!$B$2*(1+B159)^0*B159*'DCF Base Case'!$B$4</f>
        <v>36.8619311598319</v>
      </c>
      <c r="K159" s="24" t="n">
        <f aca="false">'DCF Base Case'!$B$2*(1+B159)^2*$I159-'DCF Base Case'!$B$2*(1+B159)^1*B159*'DCF Base Case'!$B$4</f>
        <v>40.5671485844563</v>
      </c>
      <c r="L159" s="24" t="n">
        <f aca="false">'DCF Base Case'!$B$2*(1+B159)^3*$I159-'DCF Base Case'!$B$2*(1+B159)^2*B159*'DCF Base Case'!$B$4</f>
        <v>44.6448000007838</v>
      </c>
      <c r="M159" s="24" t="n">
        <f aca="false">'DCF Base Case'!$B$2*(1+B159)^4*$I159-'DCF Base Case'!$B$2*(1+B159)^3*B159*'DCF Base Case'!$B$4</f>
        <v>49.1323210198136</v>
      </c>
      <c r="N159" s="24" t="n">
        <f aca="false">'DCF Base Case'!$B$2*(1+B159)^5*$I159-'DCF Base Case'!$B$2*(1+B159)^4*B159*'DCF Base Case'!$B$4</f>
        <v>54.0709101340276</v>
      </c>
      <c r="O159" s="24" t="n">
        <f aca="false">J159/(1+H159)^1+K159/(1+H159)^2+L159/(1+H159)^3+M159/(1+H159)^4+N159/(1+H159)^5</f>
        <v>173.256801834852</v>
      </c>
      <c r="P159" s="24" t="n">
        <f aca="false">N159*(1+F159)/(H159-F159)</f>
        <v>815.847247441927</v>
      </c>
      <c r="Q159" s="24" t="n">
        <f aca="false">O159+P159/(1+H159)^5</f>
        <v>707.943360196125</v>
      </c>
      <c r="R159" s="24" t="n">
        <f aca="false">Q159-'DCF Base Case'!$B$5</f>
        <v>522.943360196125</v>
      </c>
      <c r="S159" s="32" t="n">
        <f aca="false">R159/'DCF Base Case'!$B$6</f>
        <v>20.917734407845</v>
      </c>
    </row>
    <row r="160" customFormat="false" ht="15" hidden="false" customHeight="true" outlineLevel="0" collapsed="false">
      <c r="A160" s="6" t="n">
        <v>159</v>
      </c>
      <c r="B160" s="30" t="n">
        <v>0.0981131139949762</v>
      </c>
      <c r="C160" s="30" t="n">
        <v>0.361753361404878</v>
      </c>
      <c r="D160" s="30" t="n">
        <v>0.0660419025185404</v>
      </c>
      <c r="E160" s="30" t="n">
        <v>0.293214379680864</v>
      </c>
      <c r="F160" s="30" t="n">
        <v>0.0210548734638607</v>
      </c>
      <c r="G160" s="30" t="n">
        <v>0.142138714437642</v>
      </c>
      <c r="H160" s="31" t="n">
        <f aca="false">MAX(D160,F160+0.015)</f>
        <v>0.0660419025185404</v>
      </c>
      <c r="I160" s="25" t="n">
        <f aca="false">(C160-'DCF Base Case'!$B$3)*(1-E160)+'DCF Base Case'!$B$3-G160</f>
        <v>0.15166122886395</v>
      </c>
      <c r="J160" s="24" t="n">
        <f aca="false">'DCF Base Case'!$B$2*(1+B160)^1*$I160-'DCF Base Case'!$B$2*(1+B160)^0*B160*'DCF Base Case'!$B$4</f>
        <v>23.7216796776358</v>
      </c>
      <c r="K160" s="24" t="n">
        <f aca="false">'DCF Base Case'!$B$2*(1+B160)^2*$I160-'DCF Base Case'!$B$2*(1+B160)^1*B160*'DCF Base Case'!$B$4</f>
        <v>26.0490875400001</v>
      </c>
      <c r="L160" s="24" t="n">
        <f aca="false">'DCF Base Case'!$B$2*(1+B160)^3*$I160-'DCF Base Case'!$B$2*(1+B160)^2*B160*'DCF Base Case'!$B$4</f>
        <v>28.6048446352772</v>
      </c>
      <c r="M160" s="24" t="n">
        <f aca="false">'DCF Base Case'!$B$2*(1+B160)^4*$I160-'DCF Base Case'!$B$2*(1+B160)^3*B160*'DCF Base Case'!$B$4</f>
        <v>31.4113550177867</v>
      </c>
      <c r="N160" s="24" t="n">
        <f aca="false">'DCF Base Case'!$B$2*(1+B160)^5*$I160-'DCF Base Case'!$B$2*(1+B160)^4*B160*'DCF Base Case'!$B$4</f>
        <v>34.4932208733835</v>
      </c>
      <c r="O160" s="24" t="n">
        <f aca="false">J160/(1+H160)^1+K160/(1+H160)^2+L160/(1+H160)^3+M160/(1+H160)^4+N160/(1+H160)^5</f>
        <v>118.159394591063</v>
      </c>
      <c r="P160" s="24" t="n">
        <f aca="false">N160*(1+F160)/(H160-F160)</f>
        <v>782.88057723096</v>
      </c>
      <c r="Q160" s="24" t="n">
        <f aca="false">O160+P160/(1+H160)^5</f>
        <v>686.78202525982</v>
      </c>
      <c r="R160" s="24" t="n">
        <f aca="false">Q160-'DCF Base Case'!$B$5</f>
        <v>501.78202525982</v>
      </c>
      <c r="S160" s="32" t="n">
        <f aca="false">R160/'DCF Base Case'!$B$6</f>
        <v>20.0712810103928</v>
      </c>
    </row>
    <row r="161" customFormat="false" ht="15" hidden="false" customHeight="true" outlineLevel="0" collapsed="false">
      <c r="A161" s="6" t="n">
        <v>160</v>
      </c>
      <c r="B161" s="30" t="n">
        <v>0.0745109254427596</v>
      </c>
      <c r="C161" s="30" t="n">
        <v>0.435470537033766</v>
      </c>
      <c r="D161" s="30" t="n">
        <v>0.0796756685527006</v>
      </c>
      <c r="E161" s="30" t="n">
        <v>0.338897537634252</v>
      </c>
      <c r="F161" s="30" t="n">
        <v>0.019346976287902</v>
      </c>
      <c r="G161" s="30" t="n">
        <v>0.174725930754532</v>
      </c>
      <c r="H161" s="31" t="n">
        <f aca="false">MAX(D161,F161+0.015)</f>
        <v>0.0796756685527006</v>
      </c>
      <c r="I161" s="25" t="n">
        <f aca="false">(C161-'DCF Base Case'!$B$3)*(1-E161)+'DCF Base Case'!$B$3-G161</f>
        <v>0.157221393458678</v>
      </c>
      <c r="J161" s="24" t="n">
        <f aca="false">'DCF Base Case'!$B$2*(1+B161)^1*$I161-'DCF Base Case'!$B$2*(1+B161)^0*B161*'DCF Base Case'!$B$4</f>
        <v>24.1716126971032</v>
      </c>
      <c r="K161" s="24" t="n">
        <f aca="false">'DCF Base Case'!$B$2*(1+B161)^2*$I161-'DCF Base Case'!$B$2*(1+B161)^1*B161*'DCF Base Case'!$B$4</f>
        <v>25.9726619286084</v>
      </c>
      <c r="L161" s="24" t="n">
        <f aca="false">'DCF Base Case'!$B$2*(1+B161)^3*$I161-'DCF Base Case'!$B$2*(1+B161)^2*B161*'DCF Base Case'!$B$4</f>
        <v>27.9079090051209</v>
      </c>
      <c r="M161" s="24" t="n">
        <f aca="false">'DCF Base Case'!$B$2*(1+B161)^4*$I161-'DCF Base Case'!$B$2*(1+B161)^3*B161*'DCF Base Case'!$B$4</f>
        <v>29.9873531322648</v>
      </c>
      <c r="N161" s="24" t="n">
        <f aca="false">'DCF Base Case'!$B$2*(1+B161)^5*$I161-'DCF Base Case'!$B$2*(1+B161)^4*B161*'DCF Base Case'!$B$4</f>
        <v>32.2217385657287</v>
      </c>
      <c r="O161" s="24" t="n">
        <f aca="false">J161/(1+H161)^1+K161/(1+H161)^2+L161/(1+H161)^3+M161/(1+H161)^4+N161/(1+H161)^5</f>
        <v>110.873394834916</v>
      </c>
      <c r="P161" s="24" t="n">
        <f aca="false">N161*(1+F161)/(H161-F161)</f>
        <v>544.436329459104</v>
      </c>
      <c r="Q161" s="24" t="n">
        <f aca="false">O161+P161/(1+H161)^5</f>
        <v>481.964484019332</v>
      </c>
      <c r="R161" s="24" t="n">
        <f aca="false">Q161-'DCF Base Case'!$B$5</f>
        <v>296.964484019332</v>
      </c>
      <c r="S161" s="32" t="n">
        <f aca="false">R161/'DCF Base Case'!$B$6</f>
        <v>11.8785793607733</v>
      </c>
    </row>
    <row r="162" customFormat="false" ht="15" hidden="false" customHeight="true" outlineLevel="0" collapsed="false">
      <c r="A162" s="6" t="n">
        <v>161</v>
      </c>
      <c r="B162" s="30" t="n">
        <v>0.123728445394267</v>
      </c>
      <c r="C162" s="30" t="n">
        <v>0.428661643775535</v>
      </c>
      <c r="D162" s="30" t="n">
        <v>0.0739742162124012</v>
      </c>
      <c r="E162" s="30" t="n">
        <v>0.276634451998183</v>
      </c>
      <c r="F162" s="30" t="n">
        <v>0.0192203234979693</v>
      </c>
      <c r="G162" s="30" t="n">
        <v>0.138565250514503</v>
      </c>
      <c r="H162" s="31" t="n">
        <f aca="false">MAX(D162,F162+0.015)</f>
        <v>0.0739742162124012</v>
      </c>
      <c r="I162" s="25" t="n">
        <f aca="false">(C162-'DCF Base Case'!$B$3)*(1-E162)+'DCF Base Case'!$B$3-G162</f>
        <v>0.20747629310231</v>
      </c>
      <c r="J162" s="24" t="n">
        <f aca="false">'DCF Base Case'!$B$2*(1+B162)^1*$I162-'DCF Base Case'!$B$2*(1+B162)^0*B162*'DCF Base Case'!$B$4</f>
        <v>33.2680980466185</v>
      </c>
      <c r="K162" s="24" t="n">
        <f aca="false">'DCF Base Case'!$B$2*(1+B162)^2*$I162-'DCF Base Case'!$B$2*(1+B162)^1*B162*'DCF Base Case'!$B$4</f>
        <v>37.3843080991507</v>
      </c>
      <c r="L162" s="24" t="n">
        <f aca="false">'DCF Base Case'!$B$2*(1+B162)^3*$I162-'DCF Base Case'!$B$2*(1+B162)^2*B162*'DCF Base Case'!$B$4</f>
        <v>42.0098104223989</v>
      </c>
      <c r="M162" s="24" t="n">
        <f aca="false">'DCF Base Case'!$B$2*(1+B162)^4*$I162-'DCF Base Case'!$B$2*(1+B162)^3*B162*'DCF Base Case'!$B$4</f>
        <v>47.2076189572702</v>
      </c>
      <c r="N162" s="24" t="n">
        <f aca="false">'DCF Base Case'!$B$2*(1+B162)^5*$I162-'DCF Base Case'!$B$2*(1+B162)^4*B162*'DCF Base Case'!$B$4</f>
        <v>53.0485442616182</v>
      </c>
      <c r="O162" s="24" t="n">
        <f aca="false">J162/(1+H162)^1+K162/(1+H162)^2+L162/(1+H162)^3+M162/(1+H162)^4+N162/(1+H162)^5</f>
        <v>169.914104711698</v>
      </c>
      <c r="P162" s="24" t="n">
        <f aca="false">N162*(1+F162)/(H162-F162)</f>
        <v>987.475990527549</v>
      </c>
      <c r="Q162" s="24" t="n">
        <f aca="false">O162+P162/(1+H162)^5</f>
        <v>861.040166069322</v>
      </c>
      <c r="R162" s="24" t="n">
        <f aca="false">Q162-'DCF Base Case'!$B$5</f>
        <v>676.040166069322</v>
      </c>
      <c r="S162" s="32" t="n">
        <f aca="false">R162/'DCF Base Case'!$B$6</f>
        <v>27.0416066427729</v>
      </c>
    </row>
    <row r="163" customFormat="false" ht="15" hidden="false" customHeight="true" outlineLevel="0" collapsed="false">
      <c r="A163" s="6" t="n">
        <v>162</v>
      </c>
      <c r="B163" s="30" t="n">
        <v>0.0846676759086564</v>
      </c>
      <c r="C163" s="30" t="n">
        <v>0.396024034849481</v>
      </c>
      <c r="D163" s="30" t="n">
        <v>0.0951679353290618</v>
      </c>
      <c r="E163" s="30" t="n">
        <v>0.280621857166181</v>
      </c>
      <c r="F163" s="30" t="n">
        <v>0.0182472221774189</v>
      </c>
      <c r="G163" s="30" t="n">
        <v>0.162958909736014</v>
      </c>
      <c r="H163" s="31" t="n">
        <f aca="false">MAX(D163,F163+0.015)</f>
        <v>0.0951679353290618</v>
      </c>
      <c r="I163" s="25" t="n">
        <f aca="false">(C163-'DCF Base Case'!$B$3)*(1-E163)+'DCF Base Case'!$B$3-G163</f>
        <v>0.158412966403165</v>
      </c>
      <c r="J163" s="24" t="n">
        <f aca="false">'DCF Base Case'!$B$2*(1+B163)^1*$I163-'DCF Base Case'!$B$2*(1+B163)^0*B163*'DCF Base Case'!$B$4</f>
        <v>24.5463821046333</v>
      </c>
      <c r="K163" s="24" t="n">
        <f aca="false">'DCF Base Case'!$B$2*(1+B163)^2*$I163-'DCF Base Case'!$B$2*(1+B163)^1*B163*'DCF Base Case'!$B$4</f>
        <v>26.6246672293984</v>
      </c>
      <c r="L163" s="24" t="n">
        <f aca="false">'DCF Base Case'!$B$2*(1+B163)^3*$I163-'DCF Base Case'!$B$2*(1+B163)^2*B163*'DCF Base Case'!$B$4</f>
        <v>28.878915925553</v>
      </c>
      <c r="M163" s="24" t="n">
        <f aca="false">'DCF Base Case'!$B$2*(1+B163)^4*$I163-'DCF Base Case'!$B$2*(1+B163)^3*B163*'DCF Base Case'!$B$4</f>
        <v>31.324026619731</v>
      </c>
      <c r="N163" s="24" t="n">
        <f aca="false">'DCF Base Case'!$B$2*(1+B163)^5*$I163-'DCF Base Case'!$B$2*(1+B163)^4*B163*'DCF Base Case'!$B$4</f>
        <v>33.9761591537245</v>
      </c>
      <c r="O163" s="24" t="n">
        <f aca="false">J163/(1+H163)^1+K163/(1+H163)^2+L163/(1+H163)^3+M163/(1+H163)^4+N163/(1+H163)^5</f>
        <v>109.938305636419</v>
      </c>
      <c r="P163" s="24" t="n">
        <f aca="false">N163*(1+F163)/(H163-F163)</f>
        <v>449.76350661667</v>
      </c>
      <c r="Q163" s="24" t="n">
        <f aca="false">O163+P163/(1+H163)^5</f>
        <v>395.421544177665</v>
      </c>
      <c r="R163" s="24" t="n">
        <f aca="false">Q163-'DCF Base Case'!$B$5</f>
        <v>210.421544177665</v>
      </c>
      <c r="S163" s="32" t="n">
        <f aca="false">R163/'DCF Base Case'!$B$6</f>
        <v>8.41686176710661</v>
      </c>
    </row>
    <row r="164" customFormat="false" ht="15" hidden="false" customHeight="true" outlineLevel="0" collapsed="false">
      <c r="A164" s="6" t="n">
        <v>163</v>
      </c>
      <c r="B164" s="30" t="n">
        <v>0.0946281876582711</v>
      </c>
      <c r="C164" s="30" t="n">
        <v>0.428003349266397</v>
      </c>
      <c r="D164" s="30" t="n">
        <v>0.0740031654846368</v>
      </c>
      <c r="E164" s="30" t="n">
        <v>0.258093180910837</v>
      </c>
      <c r="F164" s="30" t="n">
        <v>0.0232961063933514</v>
      </c>
      <c r="G164" s="30" t="n">
        <v>0.156880686715971</v>
      </c>
      <c r="H164" s="31" t="n">
        <f aca="false">MAX(D164,F164+0.015)</f>
        <v>0.0740031654846368</v>
      </c>
      <c r="I164" s="25" t="n">
        <f aca="false">(C164-'DCF Base Case'!$B$3)*(1-E164)+'DCF Base Case'!$B$3-G164</f>
        <v>0.194210030216178</v>
      </c>
      <c r="J164" s="24" t="n">
        <f aca="false">'DCF Base Case'!$B$2*(1+B164)^1*$I164-'DCF Base Case'!$B$2*(1+B164)^0*B164*'DCF Base Case'!$B$4</f>
        <v>30.4135945267726</v>
      </c>
      <c r="K164" s="24" t="n">
        <f aca="false">'DCF Base Case'!$B$2*(1+B164)^2*$I164-'DCF Base Case'!$B$2*(1+B164)^1*B164*'DCF Base Case'!$B$4</f>
        <v>33.2915778570146</v>
      </c>
      <c r="L164" s="24" t="n">
        <f aca="false">'DCF Base Case'!$B$2*(1+B164)^3*$I164-'DCF Base Case'!$B$2*(1+B164)^2*B164*'DCF Base Case'!$B$4</f>
        <v>36.4418995339081</v>
      </c>
      <c r="M164" s="24" t="n">
        <f aca="false">'DCF Base Case'!$B$2*(1+B164)^4*$I164-'DCF Base Case'!$B$2*(1+B164)^3*B164*'DCF Base Case'!$B$4</f>
        <v>39.8903304416266</v>
      </c>
      <c r="N164" s="24" t="n">
        <f aca="false">'DCF Base Case'!$B$2*(1+B164)^5*$I164-'DCF Base Case'!$B$2*(1+B164)^4*B164*'DCF Base Case'!$B$4</f>
        <v>43.6650801164073</v>
      </c>
      <c r="O164" s="24" t="n">
        <f aca="false">J164/(1+H164)^1+K164/(1+H164)^2+L164/(1+H164)^3+M164/(1+H164)^4+N164/(1+H164)^5</f>
        <v>147.133462287307</v>
      </c>
      <c r="P164" s="24" t="n">
        <f aca="false">N164*(1+F164)/(H164-F164)</f>
        <v>881.185130220903</v>
      </c>
      <c r="Q164" s="24" t="n">
        <f aca="false">O164+P164/(1+H164)^5</f>
        <v>763.784338549714</v>
      </c>
      <c r="R164" s="24" t="n">
        <f aca="false">Q164-'DCF Base Case'!$B$5</f>
        <v>578.784338549714</v>
      </c>
      <c r="S164" s="32" t="n">
        <f aca="false">R164/'DCF Base Case'!$B$6</f>
        <v>23.1513735419886</v>
      </c>
    </row>
    <row r="165" customFormat="false" ht="15" hidden="false" customHeight="true" outlineLevel="0" collapsed="false">
      <c r="A165" s="6" t="n">
        <v>164</v>
      </c>
      <c r="B165" s="30" t="n">
        <v>0.0597818793339783</v>
      </c>
      <c r="C165" s="30" t="n">
        <v>0.412993829557788</v>
      </c>
      <c r="D165" s="30" t="n">
        <v>0.0900970678663596</v>
      </c>
      <c r="E165" s="30" t="n">
        <v>0.25176536269931</v>
      </c>
      <c r="F165" s="30" t="n">
        <v>0.0201710366654815</v>
      </c>
      <c r="G165" s="30" t="n">
        <v>0.182771605386623</v>
      </c>
      <c r="H165" s="31" t="n">
        <f aca="false">MAX(D165,F165+0.015)</f>
        <v>0.0900970678663596</v>
      </c>
      <c r="I165" s="25" t="n">
        <f aca="false">(C165-'DCF Base Case'!$B$3)*(1-E165)+'DCF Base Case'!$B$3-G165</f>
        <v>0.158974180030882</v>
      </c>
      <c r="J165" s="24" t="n">
        <f aca="false">'DCF Base Case'!$B$2*(1+B165)^1*$I165-'DCF Base Case'!$B$2*(1+B165)^0*B165*'DCF Base Case'!$B$4</f>
        <v>24.1692523403096</v>
      </c>
      <c r="K165" s="24" t="n">
        <f aca="false">'DCF Base Case'!$B$2*(1+B165)^2*$I165-'DCF Base Case'!$B$2*(1+B165)^1*B165*'DCF Base Case'!$B$4</f>
        <v>25.6141356673105</v>
      </c>
      <c r="L165" s="24" t="n">
        <f aca="false">'DCF Base Case'!$B$2*(1+B165)^3*$I165-'DCF Base Case'!$B$2*(1+B165)^2*B165*'DCF Base Case'!$B$4</f>
        <v>27.1453968350178</v>
      </c>
      <c r="M165" s="24" t="n">
        <f aca="false">'DCF Base Case'!$B$2*(1+B165)^4*$I165-'DCF Base Case'!$B$2*(1+B165)^3*B165*'DCF Base Case'!$B$4</f>
        <v>28.7681996730818</v>
      </c>
      <c r="N165" s="24" t="n">
        <f aca="false">'DCF Base Case'!$B$2*(1+B165)^5*$I165-'DCF Base Case'!$B$2*(1+B165)^4*B165*'DCF Base Case'!$B$4</f>
        <v>30.4880167145937</v>
      </c>
      <c r="O165" s="24" t="n">
        <f aca="false">J165/(1+H165)^1+K165/(1+H165)^2+L165/(1+H165)^3+M165/(1+H165)^4+N165/(1+H165)^5</f>
        <v>104.861504057081</v>
      </c>
      <c r="P165" s="24" t="n">
        <f aca="false">N165*(1+F165)/(H165-F165)</f>
        <v>444.798468945725</v>
      </c>
      <c r="Q165" s="24" t="n">
        <f aca="false">O165+P165/(1+H165)^5</f>
        <v>393.821302871953</v>
      </c>
      <c r="R165" s="24" t="n">
        <f aca="false">Q165-'DCF Base Case'!$B$5</f>
        <v>208.821302871953</v>
      </c>
      <c r="S165" s="32" t="n">
        <f aca="false">R165/'DCF Base Case'!$B$6</f>
        <v>8.35285211487812</v>
      </c>
    </row>
    <row r="166" customFormat="false" ht="15" hidden="false" customHeight="true" outlineLevel="0" collapsed="false">
      <c r="A166" s="6" t="n">
        <v>165</v>
      </c>
      <c r="B166" s="30" t="n">
        <v>0.0979251612825491</v>
      </c>
      <c r="C166" s="30" t="n">
        <v>0.4293518998204</v>
      </c>
      <c r="D166" s="30" t="n">
        <v>0.0695530399210018</v>
      </c>
      <c r="E166" s="30" t="n">
        <v>0.289452167129444</v>
      </c>
      <c r="F166" s="30" t="n">
        <v>0.0181664386208989</v>
      </c>
      <c r="G166" s="30" t="n">
        <v>0.155475195254997</v>
      </c>
      <c r="H166" s="31" t="n">
        <f aca="false">MAX(D166,F166+0.015)</f>
        <v>0.0695530399210018</v>
      </c>
      <c r="I166" s="25" t="n">
        <f aca="false">(C166-'DCF Base Case'!$B$3)*(1-E166)+'DCF Base Case'!$B$3-G166</f>
        <v>0.187228648428072</v>
      </c>
      <c r="J166" s="24" t="n">
        <f aca="false">'DCF Base Case'!$B$2*(1+B166)^1*$I166-'DCF Base Case'!$B$2*(1+B166)^0*B166*'DCF Base Case'!$B$4</f>
        <v>29.3806669316261</v>
      </c>
      <c r="K166" s="24" t="n">
        <f aca="false">'DCF Base Case'!$B$2*(1+B166)^2*$I166-'DCF Base Case'!$B$2*(1+B166)^1*B166*'DCF Base Case'!$B$4</f>
        <v>32.2577734794944</v>
      </c>
      <c r="L166" s="24" t="n">
        <f aca="false">'DCF Base Case'!$B$2*(1+B166)^3*$I166-'DCF Base Case'!$B$2*(1+B166)^2*B166*'DCF Base Case'!$B$4</f>
        <v>35.4166211500898</v>
      </c>
      <c r="M166" s="24" t="n">
        <f aca="false">'DCF Base Case'!$B$2*(1+B166)^4*$I166-'DCF Base Case'!$B$2*(1+B166)^3*B166*'DCF Base Case'!$B$4</f>
        <v>38.8847994882953</v>
      </c>
      <c r="N166" s="24" t="n">
        <f aca="false">'DCF Base Case'!$B$2*(1+B166)^5*$I166-'DCF Base Case'!$B$2*(1+B166)^4*B166*'DCF Base Case'!$B$4</f>
        <v>42.6925997496263</v>
      </c>
      <c r="O166" s="24" t="n">
        <f aca="false">J166/(1+H166)^1+K166/(1+H166)^2+L166/(1+H166)^3+M166/(1+H166)^4+N166/(1+H166)^5</f>
        <v>144.833090975345</v>
      </c>
      <c r="P166" s="24" t="n">
        <f aca="false">N166*(1+F166)/(H166-F166)</f>
        <v>845.904791186441</v>
      </c>
      <c r="Q166" s="24" t="n">
        <f aca="false">O166+P166/(1+H166)^5</f>
        <v>749.212768598256</v>
      </c>
      <c r="R166" s="24" t="n">
        <f aca="false">Q166-'DCF Base Case'!$B$5</f>
        <v>564.212768598256</v>
      </c>
      <c r="S166" s="32" t="n">
        <f aca="false">R166/'DCF Base Case'!$B$6</f>
        <v>22.5685107439302</v>
      </c>
    </row>
    <row r="167" customFormat="false" ht="15" hidden="false" customHeight="true" outlineLevel="0" collapsed="false">
      <c r="A167" s="6" t="n">
        <v>166</v>
      </c>
      <c r="B167" s="30" t="n">
        <v>0.109016260585702</v>
      </c>
      <c r="C167" s="30" t="n">
        <v>0.446512923919266</v>
      </c>
      <c r="D167" s="30" t="n">
        <v>0.104738070600604</v>
      </c>
      <c r="E167" s="30" t="n">
        <v>0.319447689407636</v>
      </c>
      <c r="F167" s="30" t="n">
        <v>0.0189361214584279</v>
      </c>
      <c r="G167" s="30" t="n">
        <v>0.173385681111927</v>
      </c>
      <c r="H167" s="31" t="n">
        <f aca="false">MAX(D167,F167+0.015)</f>
        <v>0.104738070600604</v>
      </c>
      <c r="I167" s="25" t="n">
        <f aca="false">(C167-'DCF Base Case'!$B$3)*(1-E167)+'DCF Base Case'!$B$3-G167</f>
        <v>0.172017920593675</v>
      </c>
      <c r="J167" s="24" t="n">
        <f aca="false">'DCF Base Case'!$B$2*(1+B167)^1*$I167-'DCF Base Case'!$B$2*(1+B167)^0*B167*'DCF Base Case'!$B$4</f>
        <v>27.1875265687784</v>
      </c>
      <c r="K167" s="24" t="n">
        <f aca="false">'DCF Base Case'!$B$2*(1+B167)^2*$I167-'DCF Base Case'!$B$2*(1+B167)^1*B167*'DCF Base Case'!$B$4</f>
        <v>30.151409049881</v>
      </c>
      <c r="L167" s="24" t="n">
        <f aca="false">'DCF Base Case'!$B$2*(1+B167)^3*$I167-'DCF Base Case'!$B$2*(1+B167)^2*B167*'DCF Base Case'!$B$4</f>
        <v>33.4384029158889</v>
      </c>
      <c r="M167" s="24" t="n">
        <f aca="false">'DCF Base Case'!$B$2*(1+B167)^4*$I167-'DCF Base Case'!$B$2*(1+B167)^3*B167*'DCF Base Case'!$B$4</f>
        <v>37.0837325617371</v>
      </c>
      <c r="N167" s="24" t="n">
        <f aca="false">'DCF Base Case'!$B$2*(1+B167)^5*$I167-'DCF Base Case'!$B$2*(1+B167)^4*B167*'DCF Base Case'!$B$4</f>
        <v>41.126462414178</v>
      </c>
      <c r="O167" s="24" t="n">
        <f aca="false">J167/(1+H167)^1+K167/(1+H167)^2+L167/(1+H167)^3+M167/(1+H167)^4+N167/(1+H167)^5</f>
        <v>124.006387791473</v>
      </c>
      <c r="P167" s="24" t="n">
        <f aca="false">N167*(1+F167)/(H167-F167)</f>
        <v>488.394943478151</v>
      </c>
      <c r="Q167" s="24" t="n">
        <f aca="false">O167+P167/(1+H167)^5</f>
        <v>420.813672598505</v>
      </c>
      <c r="R167" s="24" t="n">
        <f aca="false">Q167-'DCF Base Case'!$B$5</f>
        <v>235.813672598505</v>
      </c>
      <c r="S167" s="32" t="n">
        <f aca="false">R167/'DCF Base Case'!$B$6</f>
        <v>9.43254690394019</v>
      </c>
    </row>
    <row r="168" customFormat="false" ht="15" hidden="false" customHeight="true" outlineLevel="0" collapsed="false">
      <c r="A168" s="6" t="n">
        <v>167</v>
      </c>
      <c r="B168" s="30" t="n">
        <v>0.106713860399586</v>
      </c>
      <c r="C168" s="30" t="n">
        <v>0.42251575017825</v>
      </c>
      <c r="D168" s="30" t="n">
        <v>0.086438406067027</v>
      </c>
      <c r="E168" s="30" t="n">
        <v>0.304945641464459</v>
      </c>
      <c r="F168" s="30" t="n">
        <v>0.0191303675192134</v>
      </c>
      <c r="G168" s="30" t="n">
        <v>0.150522980247826</v>
      </c>
      <c r="H168" s="31" t="n">
        <f aca="false">MAX(D168,F168+0.015)</f>
        <v>0.086438406067027</v>
      </c>
      <c r="I168" s="25" t="n">
        <f aca="false">(C168-'DCF Base Case'!$B$3)*(1-E168)+'DCF Base Case'!$B$3-G168</f>
        <v>0.18279136685386</v>
      </c>
      <c r="J168" s="24" t="n">
        <f aca="false">'DCF Base Case'!$B$2*(1+B168)^1*$I168-'DCF Base Case'!$B$2*(1+B168)^0*B168*'DCF Base Case'!$B$4</f>
        <v>28.8689668997519</v>
      </c>
      <c r="K168" s="24" t="n">
        <f aca="false">'DCF Base Case'!$B$2*(1+B168)^2*$I168-'DCF Base Case'!$B$2*(1+B168)^1*B168*'DCF Base Case'!$B$4</f>
        <v>31.9496858033723</v>
      </c>
      <c r="L168" s="24" t="n">
        <f aca="false">'DCF Base Case'!$B$2*(1+B168)^3*$I168-'DCF Base Case'!$B$2*(1+B168)^2*B168*'DCF Base Case'!$B$4</f>
        <v>35.359160114004</v>
      </c>
      <c r="M168" s="24" t="n">
        <f aca="false">'DCF Base Case'!$B$2*(1+B168)^4*$I168-'DCF Base Case'!$B$2*(1+B168)^3*B168*'DCF Base Case'!$B$4</f>
        <v>39.1324725902565</v>
      </c>
      <c r="N168" s="24" t="n">
        <f aca="false">'DCF Base Case'!$B$2*(1+B168)^5*$I168-'DCF Base Case'!$B$2*(1+B168)^4*B168*'DCF Base Case'!$B$4</f>
        <v>43.3084498073437</v>
      </c>
      <c r="O168" s="24" t="n">
        <f aca="false">J168/(1+H168)^1+K168/(1+H168)^2+L168/(1+H168)^3+M168/(1+H168)^4+N168/(1+H168)^5</f>
        <v>137.912962143487</v>
      </c>
      <c r="P168" s="24" t="n">
        <f aca="false">N168*(1+F168)/(H168-F168)</f>
        <v>655.745692804464</v>
      </c>
      <c r="Q168" s="24" t="n">
        <f aca="false">O168+P168/(1+H168)^5</f>
        <v>571.134358789279</v>
      </c>
      <c r="R168" s="24" t="n">
        <f aca="false">Q168-'DCF Base Case'!$B$5</f>
        <v>386.134358789279</v>
      </c>
      <c r="S168" s="32" t="n">
        <f aca="false">R168/'DCF Base Case'!$B$6</f>
        <v>15.4453743515712</v>
      </c>
    </row>
    <row r="169" customFormat="false" ht="15" hidden="false" customHeight="true" outlineLevel="0" collapsed="false">
      <c r="A169" s="6" t="n">
        <v>168</v>
      </c>
      <c r="B169" s="30" t="n">
        <v>0.0811863960685667</v>
      </c>
      <c r="C169" s="30" t="n">
        <v>0.423844442533256</v>
      </c>
      <c r="D169" s="30" t="n">
        <v>0.0850329262031995</v>
      </c>
      <c r="E169" s="30" t="n">
        <v>0.28973552367557</v>
      </c>
      <c r="F169" s="30" t="n">
        <v>0.0217557221923717</v>
      </c>
      <c r="G169" s="30" t="n">
        <v>0.157623885387268</v>
      </c>
      <c r="H169" s="31" t="n">
        <f aca="false">MAX(D169,F169+0.015)</f>
        <v>0.0850329262031995</v>
      </c>
      <c r="I169" s="25" t="n">
        <f aca="false">(C169-'DCF Base Case'!$B$3)*(1-E169)+'DCF Base Case'!$B$3-G169</f>
        <v>0.181083383709459</v>
      </c>
      <c r="J169" s="24" t="n">
        <f aca="false">'DCF Base Case'!$B$2*(1+B169)^1*$I169-'DCF Base Case'!$B$2*(1+B169)^0*B169*'DCF Base Case'!$B$4</f>
        <v>28.0356483751078</v>
      </c>
      <c r="K169" s="24" t="n">
        <f aca="false">'DCF Base Case'!$B$2*(1+B169)^2*$I169-'DCF Base Case'!$B$2*(1+B169)^1*B169*'DCF Base Case'!$B$4</f>
        <v>30.3117616281284</v>
      </c>
      <c r="L169" s="24" t="n">
        <f aca="false">'DCF Base Case'!$B$2*(1+B169)^3*$I169-'DCF Base Case'!$B$2*(1+B169)^2*B169*'DCF Base Case'!$B$4</f>
        <v>32.7726643132056</v>
      </c>
      <c r="M169" s="24" t="n">
        <f aca="false">'DCF Base Case'!$B$2*(1+B169)^4*$I169-'DCF Base Case'!$B$2*(1+B169)^3*B169*'DCF Base Case'!$B$4</f>
        <v>35.4333588183597</v>
      </c>
      <c r="N169" s="24" t="n">
        <f aca="false">'DCF Base Case'!$B$2*(1+B169)^5*$I169-'DCF Base Case'!$B$2*(1+B169)^4*B169*'DCF Base Case'!$B$4</f>
        <v>38.3100655214266</v>
      </c>
      <c r="O169" s="24" t="n">
        <f aca="false">J169/(1+H169)^1+K169/(1+H169)^2+L169/(1+H169)^3+M169/(1+H169)^4+N169/(1+H169)^5</f>
        <v>128.279860549011</v>
      </c>
      <c r="P169" s="24" t="n">
        <f aca="false">N169*(1+F169)/(H169-F169)</f>
        <v>618.603955025956</v>
      </c>
      <c r="Q169" s="24" t="n">
        <f aca="false">O169+P169/(1+H169)^5</f>
        <v>539.617172165078</v>
      </c>
      <c r="R169" s="24" t="n">
        <f aca="false">Q169-'DCF Base Case'!$B$5</f>
        <v>354.617172165078</v>
      </c>
      <c r="S169" s="32" t="n">
        <f aca="false">R169/'DCF Base Case'!$B$6</f>
        <v>14.1846868866031</v>
      </c>
    </row>
    <row r="170" customFormat="false" ht="15" hidden="false" customHeight="true" outlineLevel="0" collapsed="false">
      <c r="A170" s="6" t="n">
        <v>169</v>
      </c>
      <c r="B170" s="30" t="n">
        <v>0.106477603729156</v>
      </c>
      <c r="C170" s="30" t="n">
        <v>0.427272563962845</v>
      </c>
      <c r="D170" s="30" t="n">
        <v>0.0714170560439737</v>
      </c>
      <c r="E170" s="30" t="n">
        <v>0.322822413179769</v>
      </c>
      <c r="F170" s="30" t="n">
        <v>0.017344943369002</v>
      </c>
      <c r="G170" s="30" t="n">
        <v>0.133993224029192</v>
      </c>
      <c r="H170" s="31" t="n">
        <f aca="false">MAX(D170,F170+0.015)</f>
        <v>0.0714170560439737</v>
      </c>
      <c r="I170" s="25" t="n">
        <f aca="false">(C170-'DCF Base Case'!$B$3)*(1-E170)+'DCF Base Case'!$B$3-G170</f>
        <v>0.19731309346303</v>
      </c>
      <c r="J170" s="24" t="n">
        <f aca="false">'DCF Base Case'!$B$2*(1+B170)^1*$I170-'DCF Base Case'!$B$2*(1+B170)^0*B170*'DCF Base Case'!$B$4</f>
        <v>31.1935876554855</v>
      </c>
      <c r="K170" s="24" t="n">
        <f aca="false">'DCF Base Case'!$B$2*(1+B170)^2*$I170-'DCF Base Case'!$B$2*(1+B170)^1*B170*'DCF Base Case'!$B$4</f>
        <v>34.5150061207569</v>
      </c>
      <c r="L170" s="24" t="n">
        <f aca="false">'DCF Base Case'!$B$2*(1+B170)^3*$I170-'DCF Base Case'!$B$2*(1+B170)^2*B170*'DCF Base Case'!$B$4</f>
        <v>38.1900812651923</v>
      </c>
      <c r="M170" s="24" t="n">
        <f aca="false">'DCF Base Case'!$B$2*(1+B170)^4*$I170-'DCF Base Case'!$B$2*(1+B170)^3*B170*'DCF Base Case'!$B$4</f>
        <v>42.2564696045317</v>
      </c>
      <c r="N170" s="24" t="n">
        <f aca="false">'DCF Base Case'!$B$2*(1+B170)^5*$I170-'DCF Base Case'!$B$2*(1+B170)^4*B170*'DCF Base Case'!$B$4</f>
        <v>46.7558372300761</v>
      </c>
      <c r="O170" s="24" t="n">
        <f aca="false">J170/(1+H170)^1+K170/(1+H170)^2+L170/(1+H170)^3+M170/(1+H170)^4+N170/(1+H170)^5</f>
        <v>155.415775214413</v>
      </c>
      <c r="P170" s="24" t="n">
        <f aca="false">N170*(1+F170)/(H170-F170)</f>
        <v>879.692178201487</v>
      </c>
      <c r="Q170" s="24" t="n">
        <f aca="false">O170+P170/(1+H170)^5</f>
        <v>778.487369073037</v>
      </c>
      <c r="R170" s="24" t="n">
        <f aca="false">Q170-'DCF Base Case'!$B$5</f>
        <v>593.487369073037</v>
      </c>
      <c r="S170" s="32" t="n">
        <f aca="false">R170/'DCF Base Case'!$B$6</f>
        <v>23.7394947629215</v>
      </c>
    </row>
    <row r="171" customFormat="false" ht="15" hidden="false" customHeight="true" outlineLevel="0" collapsed="false">
      <c r="A171" s="6" t="n">
        <v>170</v>
      </c>
      <c r="B171" s="30" t="n">
        <v>0.0672030682252983</v>
      </c>
      <c r="C171" s="30" t="n">
        <v>0.383627858029881</v>
      </c>
      <c r="D171" s="30" t="n">
        <v>0.0855739065052329</v>
      </c>
      <c r="E171" s="30" t="n">
        <v>0.272422861412919</v>
      </c>
      <c r="F171" s="30" t="n">
        <v>0.0180262888464902</v>
      </c>
      <c r="G171" s="30" t="n">
        <v>0.179920553093989</v>
      </c>
      <c r="H171" s="31" t="n">
        <f aca="false">MAX(D171,F171+0.015)</f>
        <v>0.0855739065052329</v>
      </c>
      <c r="I171" s="25" t="n">
        <f aca="false">(C171-'DCF Base Case'!$B$3)*(1-E171)+'DCF Base Case'!$B$3-G171</f>
        <v>0.134613278117362</v>
      </c>
      <c r="J171" s="24" t="n">
        <f aca="false">'DCF Base Case'!$B$2*(1+B171)^1*$I171-'DCF Base Case'!$B$2*(1+B171)^0*B171*'DCF Base Case'!$B$4</f>
        <v>20.5383236506735</v>
      </c>
      <c r="K171" s="24" t="n">
        <f aca="false">'DCF Base Case'!$B$2*(1+B171)^2*$I171-'DCF Base Case'!$B$2*(1+B171)^1*B171*'DCF Base Case'!$B$4</f>
        <v>21.918562016203</v>
      </c>
      <c r="L171" s="24" t="n">
        <f aca="false">'DCF Base Case'!$B$2*(1+B171)^3*$I171-'DCF Base Case'!$B$2*(1+B171)^2*B171*'DCF Base Case'!$B$4</f>
        <v>23.3915566347783</v>
      </c>
      <c r="M171" s="24" t="n">
        <f aca="false">'DCF Base Case'!$B$2*(1+B171)^4*$I171-'DCF Base Case'!$B$2*(1+B171)^3*B171*'DCF Base Case'!$B$4</f>
        <v>24.9635410112013</v>
      </c>
      <c r="N171" s="24" t="n">
        <f aca="false">'DCF Base Case'!$B$2*(1+B171)^5*$I171-'DCF Base Case'!$B$2*(1+B171)^4*B171*'DCF Base Case'!$B$4</f>
        <v>26.6411675609221</v>
      </c>
      <c r="O171" s="24" t="n">
        <f aca="false">J171/(1+H171)^1+K171/(1+H171)^2+L171/(1+H171)^3+M171/(1+H171)^4+N171/(1+H171)^5</f>
        <v>91.4486803390195</v>
      </c>
      <c r="P171" s="24" t="n">
        <f aca="false">N171*(1+F171)/(H171-F171)</f>
        <v>401.515403246389</v>
      </c>
      <c r="Q171" s="24" t="n">
        <f aca="false">O171+P171/(1+H171)^5</f>
        <v>357.769569169274</v>
      </c>
      <c r="R171" s="24" t="n">
        <f aca="false">Q171-'DCF Base Case'!$B$5</f>
        <v>172.769569169274</v>
      </c>
      <c r="S171" s="32" t="n">
        <f aca="false">R171/'DCF Base Case'!$B$6</f>
        <v>6.91078276677096</v>
      </c>
    </row>
    <row r="172" customFormat="false" ht="15" hidden="false" customHeight="true" outlineLevel="0" collapsed="false">
      <c r="A172" s="6" t="n">
        <v>171</v>
      </c>
      <c r="B172" s="30" t="n">
        <v>0.0971645476210988</v>
      </c>
      <c r="C172" s="30" t="n">
        <v>0.423172522122898</v>
      </c>
      <c r="D172" s="30" t="n">
        <v>0.0895081130306156</v>
      </c>
      <c r="E172" s="30" t="n">
        <v>0.298404089962589</v>
      </c>
      <c r="F172" s="30" t="n">
        <v>0.0117508754189617</v>
      </c>
      <c r="G172" s="30" t="n">
        <v>0.157829374178532</v>
      </c>
      <c r="H172" s="31" t="n">
        <f aca="false">MAX(D172,F172+0.015)</f>
        <v>0.0895081130306156</v>
      </c>
      <c r="I172" s="25" t="n">
        <f aca="false">(C172-'DCF Base Case'!$B$3)*(1-E172)+'DCF Base Case'!$B$3-G172</f>
        <v>0.177859268278246</v>
      </c>
      <c r="J172" s="24" t="n">
        <f aca="false">'DCF Base Case'!$B$2*(1+B172)^1*$I172-'DCF Base Case'!$B$2*(1+B172)^0*B172*'DCF Base Case'!$B$4</f>
        <v>27.8727623428528</v>
      </c>
      <c r="K172" s="24" t="n">
        <f aca="false">'DCF Base Case'!$B$2*(1+B172)^2*$I172-'DCF Base Case'!$B$2*(1+B172)^1*B172*'DCF Base Case'!$B$4</f>
        <v>30.5810066868465</v>
      </c>
      <c r="L172" s="24" t="n">
        <f aca="false">'DCF Base Case'!$B$2*(1+B172)^3*$I172-'DCF Base Case'!$B$2*(1+B172)^2*B172*'DCF Base Case'!$B$4</f>
        <v>33.5523963673717</v>
      </c>
      <c r="M172" s="24" t="n">
        <f aca="false">'DCF Base Case'!$B$2*(1+B172)^4*$I172-'DCF Base Case'!$B$2*(1+B172)^3*B172*'DCF Base Case'!$B$4</f>
        <v>36.8124997820112</v>
      </c>
      <c r="N172" s="24" t="n">
        <f aca="false">'DCF Base Case'!$B$2*(1+B172)^5*$I172-'DCF Base Case'!$B$2*(1+B172)^4*B172*'DCF Base Case'!$B$4</f>
        <v>40.3893696701321</v>
      </c>
      <c r="O172" s="24" t="n">
        <f aca="false">J172/(1+H172)^1+K172/(1+H172)^2+L172/(1+H172)^3+M172/(1+H172)^4+N172/(1+H172)^5</f>
        <v>129.724928432116</v>
      </c>
      <c r="P172" s="24" t="n">
        <f aca="false">N172*(1+F172)/(H172-F172)</f>
        <v>525.532816963802</v>
      </c>
      <c r="Q172" s="24" t="n">
        <f aca="false">O172+P172/(1+H172)^5</f>
        <v>472.056928873976</v>
      </c>
      <c r="R172" s="24" t="n">
        <f aca="false">Q172-'DCF Base Case'!$B$5</f>
        <v>287.056928873976</v>
      </c>
      <c r="S172" s="32" t="n">
        <f aca="false">R172/'DCF Base Case'!$B$6</f>
        <v>11.482277154959</v>
      </c>
    </row>
    <row r="173" customFormat="false" ht="15" hidden="false" customHeight="true" outlineLevel="0" collapsed="false">
      <c r="A173" s="6" t="n">
        <v>172</v>
      </c>
      <c r="B173" s="30" t="n">
        <v>0.0485501306882194</v>
      </c>
      <c r="C173" s="30" t="n">
        <v>0.397382680438333</v>
      </c>
      <c r="D173" s="30" t="n">
        <v>0.0849490373055322</v>
      </c>
      <c r="E173" s="30" t="n">
        <v>0.311736488556611</v>
      </c>
      <c r="F173" s="30" t="n">
        <v>0.023573118636892</v>
      </c>
      <c r="G173" s="30" t="n">
        <v>0.169820994587935</v>
      </c>
      <c r="H173" s="31" t="n">
        <f aca="false">MAX(D173,F173+0.015)</f>
        <v>0.0849490373055322</v>
      </c>
      <c r="I173" s="25" t="n">
        <f aca="false">(C173-'DCF Base Case'!$B$3)*(1-E173)+'DCF Base Case'!$B$3-G173</f>
        <v>0.144208747949698</v>
      </c>
      <c r="J173" s="24" t="n">
        <f aca="false">'DCF Base Case'!$B$2*(1+B173)^1*$I173-'DCF Base Case'!$B$2*(1+B173)^0*B173*'DCF Base Case'!$B$4</f>
        <v>21.714271650317</v>
      </c>
      <c r="K173" s="24" t="n">
        <f aca="false">'DCF Base Case'!$B$2*(1+B173)^2*$I173-'DCF Base Case'!$B$2*(1+B173)^1*B173*'DCF Base Case'!$B$4</f>
        <v>22.7685023767394</v>
      </c>
      <c r="L173" s="24" t="n">
        <f aca="false">'DCF Base Case'!$B$2*(1+B173)^3*$I173-'DCF Base Case'!$B$2*(1+B173)^2*B173*'DCF Base Case'!$B$4</f>
        <v>23.8739161427052</v>
      </c>
      <c r="M173" s="24" t="n">
        <f aca="false">'DCF Base Case'!$B$2*(1+B173)^4*$I173-'DCF Base Case'!$B$2*(1+B173)^3*B173*'DCF Base Case'!$B$4</f>
        <v>25.0329978914731</v>
      </c>
      <c r="N173" s="24" t="n">
        <f aca="false">'DCF Base Case'!$B$2*(1+B173)^5*$I173-'DCF Base Case'!$B$2*(1+B173)^4*B173*'DCF Base Case'!$B$4</f>
        <v>26.248353210622</v>
      </c>
      <c r="O173" s="24" t="n">
        <f aca="false">J173/(1+H173)^1+K173/(1+H173)^2+L173/(1+H173)^3+M173/(1+H173)^4+N173/(1+H173)^5</f>
        <v>93.577460752787</v>
      </c>
      <c r="P173" s="24" t="n">
        <f aca="false">N173*(1+F173)/(H173-F173)</f>
        <v>437.746747220693</v>
      </c>
      <c r="Q173" s="24" t="n">
        <f aca="false">O173+P173/(1+H173)^5</f>
        <v>384.767311391845</v>
      </c>
      <c r="R173" s="24" t="n">
        <f aca="false">Q173-'DCF Base Case'!$B$5</f>
        <v>199.767311391845</v>
      </c>
      <c r="S173" s="32" t="n">
        <f aca="false">R173/'DCF Base Case'!$B$6</f>
        <v>7.99069245567382</v>
      </c>
    </row>
    <row r="174" customFormat="false" ht="15" hidden="false" customHeight="true" outlineLevel="0" collapsed="false">
      <c r="A174" s="6" t="n">
        <v>173</v>
      </c>
      <c r="B174" s="30" t="n">
        <v>0.0792689716806811</v>
      </c>
      <c r="C174" s="30" t="n">
        <v>0.420503730341699</v>
      </c>
      <c r="D174" s="30" t="n">
        <v>0.0791929059894326</v>
      </c>
      <c r="E174" s="30" t="n">
        <v>0.279604685419455</v>
      </c>
      <c r="F174" s="30" t="n">
        <v>0.0228884009305668</v>
      </c>
      <c r="G174" s="30" t="n">
        <v>0.153970591150841</v>
      </c>
      <c r="H174" s="31" t="n">
        <f aca="false">MAX(D174,F174+0.015)</f>
        <v>0.0791929059894326</v>
      </c>
      <c r="I174" s="25" t="n">
        <f aca="false">(C174-'DCF Base Case'!$B$3)*(1-E174)+'DCF Base Case'!$B$3-G174</f>
        <v>0.185306935055489</v>
      </c>
      <c r="J174" s="24" t="n">
        <f aca="false">'DCF Base Case'!$B$2*(1+B174)^1*$I174-'DCF Base Case'!$B$2*(1+B174)^0*B174*'DCF Base Case'!$B$4</f>
        <v>28.6546036333713</v>
      </c>
      <c r="K174" s="24" t="n">
        <f aca="false">'DCF Base Case'!$B$2*(1+B174)^2*$I174-'DCF Base Case'!$B$2*(1+B174)^1*B174*'DCF Base Case'!$B$4</f>
        <v>30.9260245973062</v>
      </c>
      <c r="L174" s="24" t="n">
        <f aca="false">'DCF Base Case'!$B$2*(1+B174)^3*$I174-'DCF Base Case'!$B$2*(1+B174)^2*B174*'DCF Base Case'!$B$4</f>
        <v>33.3774987653061</v>
      </c>
      <c r="M174" s="24" t="n">
        <f aca="false">'DCF Base Case'!$B$2*(1+B174)^4*$I174-'DCF Base Case'!$B$2*(1+B174)^3*B174*'DCF Base Case'!$B$4</f>
        <v>36.0232987697051</v>
      </c>
      <c r="N174" s="24" t="n">
        <f aca="false">'DCF Base Case'!$B$2*(1+B174)^5*$I174-'DCF Base Case'!$B$2*(1+B174)^4*B174*'DCF Base Case'!$B$4</f>
        <v>38.8788286197256</v>
      </c>
      <c r="O174" s="24" t="n">
        <f aca="false">J174/(1+H174)^1+K174/(1+H174)^2+L174/(1+H174)^3+M174/(1+H174)^4+N174/(1+H174)^5</f>
        <v>132.77813046068</v>
      </c>
      <c r="P174" s="24" t="n">
        <f aca="false">N174*(1+F174)/(H174-F174)</f>
        <v>706.31475750132</v>
      </c>
      <c r="Q174" s="24" t="n">
        <f aca="false">O174+P174/(1+H174)^5</f>
        <v>615.2843002536</v>
      </c>
      <c r="R174" s="24" t="n">
        <f aca="false">Q174-'DCF Base Case'!$B$5</f>
        <v>430.2843002536</v>
      </c>
      <c r="S174" s="32" t="n">
        <f aca="false">R174/'DCF Base Case'!$B$6</f>
        <v>17.211372010144</v>
      </c>
    </row>
    <row r="175" customFormat="false" ht="15" hidden="false" customHeight="true" outlineLevel="0" collapsed="false">
      <c r="A175" s="6" t="n">
        <v>174</v>
      </c>
      <c r="B175" s="30" t="n">
        <v>0.107579783730694</v>
      </c>
      <c r="C175" s="30" t="n">
        <v>0.433190220536766</v>
      </c>
      <c r="D175" s="30" t="n">
        <v>0.074497290011561</v>
      </c>
      <c r="E175" s="30" t="n">
        <v>0.309576738230914</v>
      </c>
      <c r="F175" s="30" t="n">
        <v>0.0218593870221878</v>
      </c>
      <c r="G175" s="30" t="n">
        <v>0.167498128552914</v>
      </c>
      <c r="H175" s="31" t="n">
        <f aca="false">MAX(D175,F175+0.015)</f>
        <v>0.074497290011561</v>
      </c>
      <c r="I175" s="25" t="n">
        <f aca="false">(C175-'DCF Base Case'!$B$3)*(1-E175)+'DCF Base Case'!$B$3-G175</f>
        <v>0.171831452446569</v>
      </c>
      <c r="J175" s="24" t="n">
        <f aca="false">'DCF Base Case'!$B$2*(1+B175)^1*$I175-'DCF Base Case'!$B$2*(1+B175)^0*B175*'DCF Base Case'!$B$4</f>
        <v>27.1279991669122</v>
      </c>
      <c r="K175" s="24" t="n">
        <f aca="false">'DCF Base Case'!$B$2*(1+B175)^2*$I175-'DCF Base Case'!$B$2*(1+B175)^1*B175*'DCF Base Case'!$B$4</f>
        <v>30.046423450335</v>
      </c>
      <c r="L175" s="24" t="n">
        <f aca="false">'DCF Base Case'!$B$2*(1+B175)^3*$I175-'DCF Base Case'!$B$2*(1+B175)^2*B175*'DCF Base Case'!$B$4</f>
        <v>33.2788111870029</v>
      </c>
      <c r="M175" s="24" t="n">
        <f aca="false">'DCF Base Case'!$B$2*(1+B175)^4*$I175-'DCF Base Case'!$B$2*(1+B175)^3*B175*'DCF Base Case'!$B$4</f>
        <v>36.8589384973153</v>
      </c>
      <c r="N175" s="24" t="n">
        <f aca="false">'DCF Base Case'!$B$2*(1+B175)^5*$I175-'DCF Base Case'!$B$2*(1+B175)^4*B175*'DCF Base Case'!$B$4</f>
        <v>40.8242151293995</v>
      </c>
      <c r="O175" s="24" t="n">
        <f aca="false">J175/(1+H175)^1+K175/(1+H175)^2+L175/(1+H175)^3+M175/(1+H175)^4+N175/(1+H175)^5</f>
        <v>134.252109157085</v>
      </c>
      <c r="P175" s="24" t="n">
        <f aca="false">N175*(1+F175)/(H175-F175)</f>
        <v>792.520314804562</v>
      </c>
      <c r="Q175" s="24" t="n">
        <f aca="false">O175+P175/(1+H175)^5</f>
        <v>687.581553422714</v>
      </c>
      <c r="R175" s="24" t="n">
        <f aca="false">Q175-'DCF Base Case'!$B$5</f>
        <v>502.581553422714</v>
      </c>
      <c r="S175" s="32" t="n">
        <f aca="false">R175/'DCF Base Case'!$B$6</f>
        <v>20.1032621369086</v>
      </c>
    </row>
    <row r="176" customFormat="false" ht="15" hidden="false" customHeight="true" outlineLevel="0" collapsed="false">
      <c r="A176" s="6" t="n">
        <v>175</v>
      </c>
      <c r="B176" s="30" t="n">
        <v>0.0733866356736765</v>
      </c>
      <c r="C176" s="30" t="n">
        <v>0.389182172503767</v>
      </c>
      <c r="D176" s="30" t="n">
        <v>0.0790857116540668</v>
      </c>
      <c r="E176" s="30" t="n">
        <v>0.296077140218348</v>
      </c>
      <c r="F176" s="30" t="n">
        <v>0.0154484303840464</v>
      </c>
      <c r="G176" s="30" t="n">
        <v>0.175444195830471</v>
      </c>
      <c r="H176" s="31" t="n">
        <f aca="false">MAX(D176,F176+0.015)</f>
        <v>0.0790857116540668</v>
      </c>
      <c r="I176" s="25" t="n">
        <f aca="false">(C176-'DCF Base Case'!$B$3)*(1-E176)+'DCF Base Case'!$B$3-G176</f>
        <v>0.137000060242802</v>
      </c>
      <c r="J176" s="24" t="n">
        <f aca="false">'DCF Base Case'!$B$2*(1+B176)^1*$I176-'DCF Base Case'!$B$2*(1+B176)^0*B176*'DCF Base Case'!$B$4</f>
        <v>21.0036030287308</v>
      </c>
      <c r="K176" s="24" t="n">
        <f aca="false">'DCF Base Case'!$B$2*(1+B176)^2*$I176-'DCF Base Case'!$B$2*(1+B176)^1*B176*'DCF Base Case'!$B$4</f>
        <v>22.5449867920348</v>
      </c>
      <c r="L176" s="24" t="n">
        <f aca="false">'DCF Base Case'!$B$2*(1+B176)^3*$I176-'DCF Base Case'!$B$2*(1+B176)^2*B176*'DCF Base Case'!$B$4</f>
        <v>24.1994875240097</v>
      </c>
      <c r="M176" s="24" t="n">
        <f aca="false">'DCF Base Case'!$B$2*(1+B176)^4*$I176-'DCF Base Case'!$B$2*(1+B176)^3*B176*'DCF Base Case'!$B$4</f>
        <v>25.9754064984239</v>
      </c>
      <c r="N176" s="24" t="n">
        <f aca="false">'DCF Base Case'!$B$2*(1+B176)^5*$I176-'DCF Base Case'!$B$2*(1+B176)^4*B176*'DCF Base Case'!$B$4</f>
        <v>27.8816541915994</v>
      </c>
      <c r="O176" s="24" t="n">
        <f aca="false">J176/(1+H176)^1+K176/(1+H176)^2+L176/(1+H176)^3+M176/(1+H176)^4+N176/(1+H176)^5</f>
        <v>96.298722386989</v>
      </c>
      <c r="P176" s="24" t="n">
        <f aca="false">N176*(1+F176)/(H176-F176)</f>
        <v>444.902444295783</v>
      </c>
      <c r="Q176" s="24" t="n">
        <f aca="false">O176+P176/(1+H176)^5</f>
        <v>400.376779495642</v>
      </c>
      <c r="R176" s="24" t="n">
        <f aca="false">Q176-'DCF Base Case'!$B$5</f>
        <v>215.376779495642</v>
      </c>
      <c r="S176" s="32" t="n">
        <f aca="false">R176/'DCF Base Case'!$B$6</f>
        <v>8.61507117982569</v>
      </c>
    </row>
    <row r="177" customFormat="false" ht="15" hidden="false" customHeight="true" outlineLevel="0" collapsed="false">
      <c r="A177" s="6" t="n">
        <v>176</v>
      </c>
      <c r="B177" s="30" t="n">
        <v>0.0631477199330046</v>
      </c>
      <c r="C177" s="30" t="n">
        <v>0.399929768026726</v>
      </c>
      <c r="D177" s="30" t="n">
        <v>0.0862061253003141</v>
      </c>
      <c r="E177" s="30" t="n">
        <v>0.341533835548743</v>
      </c>
      <c r="F177" s="30" t="n">
        <v>0.0138387868188643</v>
      </c>
      <c r="G177" s="30" t="n">
        <v>0.199431800462184</v>
      </c>
      <c r="H177" s="31" t="n">
        <f aca="false">MAX(D177,F177+0.015)</f>
        <v>0.0862061253003141</v>
      </c>
      <c r="I177" s="25" t="n">
        <f aca="false">(C177-'DCF Base Case'!$B$3)*(1-E177)+'DCF Base Case'!$B$3-G177</f>
        <v>0.108307818561592</v>
      </c>
      <c r="J177" s="24" t="n">
        <f aca="false">'DCF Base Case'!$B$2*(1+B177)^1*$I177-'DCF Base Case'!$B$2*(1+B177)^0*B177*'DCF Base Case'!$B$4</f>
        <v>16.4216529197191</v>
      </c>
      <c r="K177" s="24" t="n">
        <f aca="false">'DCF Base Case'!$B$2*(1+B177)^2*$I177-'DCF Base Case'!$B$2*(1+B177)^1*B177*'DCF Base Case'!$B$4</f>
        <v>17.4586428591306</v>
      </c>
      <c r="L177" s="24" t="n">
        <f aca="false">'DCF Base Case'!$B$2*(1+B177)^3*$I177-'DCF Base Case'!$B$2*(1+B177)^2*B177*'DCF Base Case'!$B$4</f>
        <v>18.5611163488093</v>
      </c>
      <c r="M177" s="24" t="n">
        <f aca="false">'DCF Base Case'!$B$2*(1+B177)^4*$I177-'DCF Base Case'!$B$2*(1+B177)^3*B177*'DCF Base Case'!$B$4</f>
        <v>19.7332085256478</v>
      </c>
      <c r="N177" s="24" t="n">
        <f aca="false">'DCF Base Case'!$B$2*(1+B177)^5*$I177-'DCF Base Case'!$B$2*(1+B177)^4*B177*'DCF Base Case'!$B$4</f>
        <v>20.979315651005</v>
      </c>
      <c r="O177" s="24" t="n">
        <f aca="false">J177/(1+H177)^1+K177/(1+H177)^2+L177/(1+H177)^3+M177/(1+H177)^4+N177/(1+H177)^5</f>
        <v>72.4498155958326</v>
      </c>
      <c r="P177" s="24" t="n">
        <f aca="false">N177*(1+F177)/(H177-F177)</f>
        <v>293.912203685051</v>
      </c>
      <c r="Q177" s="24" t="n">
        <f aca="false">O177+P177/(1+H177)^5</f>
        <v>266.831965591344</v>
      </c>
      <c r="R177" s="24" t="n">
        <f aca="false">Q177-'DCF Base Case'!$B$5</f>
        <v>81.8319655913437</v>
      </c>
      <c r="S177" s="32" t="n">
        <f aca="false">R177/'DCF Base Case'!$B$6</f>
        <v>3.27327862365375</v>
      </c>
    </row>
    <row r="178" customFormat="false" ht="15" hidden="false" customHeight="true" outlineLevel="0" collapsed="false">
      <c r="A178" s="6" t="n">
        <v>177</v>
      </c>
      <c r="B178" s="30" t="n">
        <v>0.0930721579023134</v>
      </c>
      <c r="C178" s="30" t="n">
        <v>0.42362228678031</v>
      </c>
      <c r="D178" s="30" t="n">
        <v>0.0863018270472703</v>
      </c>
      <c r="E178" s="30" t="n">
        <v>0.292993333095709</v>
      </c>
      <c r="F178" s="30" t="n">
        <v>0.0187642785011514</v>
      </c>
      <c r="G178" s="30" t="n">
        <v>0.19907639652813</v>
      </c>
      <c r="H178" s="31" t="n">
        <f aca="false">MAX(D178,F178+0.015)</f>
        <v>0.0863018270472703</v>
      </c>
      <c r="I178" s="25" t="n">
        <f aca="false">(C178-'DCF Base Case'!$B$3)*(1-E178)+'DCF Base Case'!$B$3-G178</f>
        <v>0.138516517777233</v>
      </c>
      <c r="J178" s="24" t="n">
        <f aca="false">'DCF Base Case'!$B$2*(1+B178)^1*$I178-'DCF Base Case'!$B$2*(1+B178)^0*B178*'DCF Base Case'!$B$4</f>
        <v>21.5493757169467</v>
      </c>
      <c r="K178" s="24" t="n">
        <f aca="false">'DCF Base Case'!$B$2*(1+B178)^2*$I178-'DCF Base Case'!$B$2*(1+B178)^1*B178*'DCF Base Case'!$B$4</f>
        <v>23.5550226163706</v>
      </c>
      <c r="L178" s="24" t="n">
        <f aca="false">'DCF Base Case'!$B$2*(1+B178)^3*$I178-'DCF Base Case'!$B$2*(1+B178)^2*B178*'DCF Base Case'!$B$4</f>
        <v>25.747339400714</v>
      </c>
      <c r="M178" s="24" t="n">
        <f aca="false">'DCF Base Case'!$B$2*(1+B178)^4*$I178-'DCF Base Case'!$B$2*(1+B178)^3*B178*'DCF Base Case'!$B$4</f>
        <v>28.1436998389817</v>
      </c>
      <c r="N178" s="24" t="n">
        <f aca="false">'DCF Base Case'!$B$2*(1+B178)^5*$I178-'DCF Base Case'!$B$2*(1+B178)^4*B178*'DCF Base Case'!$B$4</f>
        <v>30.7630947143508</v>
      </c>
      <c r="O178" s="24" t="n">
        <f aca="false">J178/(1+H178)^1+K178/(1+H178)^2+L178/(1+H178)^3+M178/(1+H178)^4+N178/(1+H178)^5</f>
        <v>100.430956096945</v>
      </c>
      <c r="P178" s="24" t="n">
        <f aca="false">N178*(1+F178)/(H178-F178)</f>
        <v>464.043227297878</v>
      </c>
      <c r="Q178" s="24" t="n">
        <f aca="false">O178+P178/(1+H178)^5</f>
        <v>407.196013228347</v>
      </c>
      <c r="R178" s="24" t="n">
        <f aca="false">Q178-'DCF Base Case'!$B$5</f>
        <v>222.196013228347</v>
      </c>
      <c r="S178" s="32" t="n">
        <f aca="false">R178/'DCF Base Case'!$B$6</f>
        <v>8.88784052913386</v>
      </c>
    </row>
    <row r="179" customFormat="false" ht="15" hidden="false" customHeight="true" outlineLevel="0" collapsed="false">
      <c r="A179" s="6" t="n">
        <v>178</v>
      </c>
      <c r="B179" s="30" t="n">
        <v>0.0802508141636061</v>
      </c>
      <c r="C179" s="30" t="n">
        <v>0.432883025362977</v>
      </c>
      <c r="D179" s="30" t="n">
        <v>0.0779119616776568</v>
      </c>
      <c r="E179" s="30" t="n">
        <v>0.277973459846259</v>
      </c>
      <c r="F179" s="30" t="n">
        <v>0.0149826674163812</v>
      </c>
      <c r="G179" s="30" t="n">
        <v>0.175872043761413</v>
      </c>
      <c r="H179" s="31" t="n">
        <f aca="false">MAX(D179,F179+0.015)</f>
        <v>0.0779119616776568</v>
      </c>
      <c r="I179" s="25" t="n">
        <f aca="false">(C179-'DCF Base Case'!$B$3)*(1-E179)+'DCF Base Case'!$B$3-G179</f>
        <v>0.172817539112715</v>
      </c>
      <c r="J179" s="24" t="n">
        <f aca="false">'DCF Base Case'!$B$2*(1+B179)^1*$I179-'DCF Base Case'!$B$2*(1+B179)^0*B179*'DCF Base Case'!$B$4</f>
        <v>26.7204206209862</v>
      </c>
      <c r="K179" s="24" t="n">
        <f aca="false">'DCF Base Case'!$B$2*(1+B179)^2*$I179-'DCF Base Case'!$B$2*(1+B179)^1*B179*'DCF Base Case'!$B$4</f>
        <v>28.8647561306144</v>
      </c>
      <c r="L179" s="24" t="n">
        <f aca="false">'DCF Base Case'!$B$2*(1+B179)^3*$I179-'DCF Base Case'!$B$2*(1+B179)^2*B179*'DCF Base Case'!$B$4</f>
        <v>31.1811763107301</v>
      </c>
      <c r="M179" s="24" t="n">
        <f aca="false">'DCF Base Case'!$B$2*(1+B179)^4*$I179-'DCF Base Case'!$B$2*(1+B179)^3*B179*'DCF Base Case'!$B$4</f>
        <v>33.6834910962451</v>
      </c>
      <c r="N179" s="24" t="n">
        <f aca="false">'DCF Base Case'!$B$2*(1+B179)^5*$I179-'DCF Base Case'!$B$2*(1+B179)^4*B179*'DCF Base Case'!$B$4</f>
        <v>36.3866186805914</v>
      </c>
      <c r="O179" s="24" t="n">
        <f aca="false">J179/(1+H179)^1+K179/(1+H179)^2+L179/(1+H179)^3+M179/(1+H179)^4+N179/(1+H179)^5</f>
        <v>124.484324056375</v>
      </c>
      <c r="P179" s="24" t="n">
        <f aca="false">N179*(1+F179)/(H179-F179)</f>
        <v>586.877506258891</v>
      </c>
      <c r="Q179" s="24" t="n">
        <f aca="false">O179+P179/(1+H179)^5</f>
        <v>527.786910767799</v>
      </c>
      <c r="R179" s="24" t="n">
        <f aca="false">Q179-'DCF Base Case'!$B$5</f>
        <v>342.786910767799</v>
      </c>
      <c r="S179" s="32" t="n">
        <f aca="false">R179/'DCF Base Case'!$B$6</f>
        <v>13.7114764307119</v>
      </c>
    </row>
    <row r="180" customFormat="false" ht="15" hidden="false" customHeight="true" outlineLevel="0" collapsed="false">
      <c r="A180" s="6" t="n">
        <v>179</v>
      </c>
      <c r="B180" s="30" t="n">
        <v>0.120737178994883</v>
      </c>
      <c r="C180" s="30" t="n">
        <v>0.423537017862225</v>
      </c>
      <c r="D180" s="30" t="n">
        <v>0.082834257314257</v>
      </c>
      <c r="E180" s="30" t="n">
        <v>0.257073841333203</v>
      </c>
      <c r="F180" s="30" t="n">
        <v>0.0184635174728734</v>
      </c>
      <c r="G180" s="30" t="n">
        <v>0.134913507522193</v>
      </c>
      <c r="H180" s="31" t="n">
        <f aca="false">MAX(D180,F180+0.015)</f>
        <v>0.082834257314257</v>
      </c>
      <c r="I180" s="25" t="n">
        <f aca="false">(C180-'DCF Base Case'!$B$3)*(1-E180)+'DCF Base Case'!$B$3-G180</f>
        <v>0.213162821584697</v>
      </c>
      <c r="J180" s="24" t="n">
        <f aca="false">'DCF Base Case'!$B$2*(1+B180)^1*$I180-'DCF Base Case'!$B$2*(1+B180)^0*B180*'DCF Base Case'!$B$4</f>
        <v>34.1152206741385</v>
      </c>
      <c r="K180" s="24" t="n">
        <f aca="false">'DCF Base Case'!$B$2*(1+B180)^2*$I180-'DCF Base Case'!$B$2*(1+B180)^1*B180*'DCF Base Case'!$B$4</f>
        <v>38.2341961791219</v>
      </c>
      <c r="L180" s="24" t="n">
        <f aca="false">'DCF Base Case'!$B$2*(1+B180)^3*$I180-'DCF Base Case'!$B$2*(1+B180)^2*B180*'DCF Base Case'!$B$4</f>
        <v>42.8504851669261</v>
      </c>
      <c r="M180" s="24" t="n">
        <f aca="false">'DCF Base Case'!$B$2*(1+B180)^4*$I180-'DCF Base Case'!$B$2*(1+B180)^3*B180*'DCF Base Case'!$B$4</f>
        <v>48.0241318645428</v>
      </c>
      <c r="N180" s="24" t="n">
        <f aca="false">'DCF Base Case'!$B$2*(1+B180)^5*$I180-'DCF Base Case'!$B$2*(1+B180)^4*B180*'DCF Base Case'!$B$4</f>
        <v>53.822430069546</v>
      </c>
      <c r="O180" s="24" t="n">
        <f aca="false">J180/(1+H180)^1+K180/(1+H180)^2+L180/(1+H180)^3+M180/(1+H180)^4+N180/(1+H180)^5</f>
        <v>168.948260173953</v>
      </c>
      <c r="P180" s="24" t="n">
        <f aca="false">N180*(1+F180)/(H180-F180)</f>
        <v>851.569852741175</v>
      </c>
      <c r="Q180" s="24" t="n">
        <f aca="false">O180+P180/(1+H180)^5</f>
        <v>740.967113856274</v>
      </c>
      <c r="R180" s="24" t="n">
        <f aca="false">Q180-'DCF Base Case'!$B$5</f>
        <v>555.967113856274</v>
      </c>
      <c r="S180" s="32" t="n">
        <f aca="false">R180/'DCF Base Case'!$B$6</f>
        <v>22.238684554251</v>
      </c>
    </row>
    <row r="181" customFormat="false" ht="15" hidden="false" customHeight="true" outlineLevel="0" collapsed="false">
      <c r="A181" s="6" t="n">
        <v>180</v>
      </c>
      <c r="B181" s="30" t="n">
        <v>0.0700543971942919</v>
      </c>
      <c r="C181" s="30" t="n">
        <v>0.412385217072597</v>
      </c>
      <c r="D181" s="30" t="n">
        <v>0.0995091451751554</v>
      </c>
      <c r="E181" s="30" t="n">
        <v>0.345041851356897</v>
      </c>
      <c r="F181" s="30" t="n">
        <v>0.0169842472883339</v>
      </c>
      <c r="G181" s="30" t="n">
        <v>0.198702001280192</v>
      </c>
      <c r="H181" s="31" t="n">
        <f aca="false">MAX(D181,F181+0.015)</f>
        <v>0.0995091451751554</v>
      </c>
      <c r="I181" s="25" t="n">
        <f aca="false">(C181-'DCF Base Case'!$B$3)*(1-E181)+'DCF Base Case'!$B$3-G181</f>
        <v>0.116248497697857</v>
      </c>
      <c r="J181" s="24" t="n">
        <f aca="false">'DCF Base Case'!$B$2*(1+B181)^1*$I181-'DCF Base Case'!$B$2*(1+B181)^0*B181*'DCF Base Case'!$B$4</f>
        <v>17.7321347108841</v>
      </c>
      <c r="K181" s="24" t="n">
        <f aca="false">'DCF Base Case'!$B$2*(1+B181)^2*$I181-'DCF Base Case'!$B$2*(1+B181)^1*B181*'DCF Base Case'!$B$4</f>
        <v>18.974348719023</v>
      </c>
      <c r="L181" s="24" t="n">
        <f aca="false">'DCF Base Case'!$B$2*(1+B181)^3*$I181-'DCF Base Case'!$B$2*(1+B181)^2*B181*'DCF Base Case'!$B$4</f>
        <v>20.3035852806885</v>
      </c>
      <c r="M181" s="24" t="n">
        <f aca="false">'DCF Base Case'!$B$2*(1+B181)^4*$I181-'DCF Base Case'!$B$2*(1+B181)^3*B181*'DCF Base Case'!$B$4</f>
        <v>21.72594070841</v>
      </c>
      <c r="N181" s="24" t="n">
        <f aca="false">'DCF Base Case'!$B$2*(1+B181)^5*$I181-'DCF Base Case'!$B$2*(1+B181)^4*B181*'DCF Base Case'!$B$4</f>
        <v>23.2479383882166</v>
      </c>
      <c r="O181" s="24" t="n">
        <f aca="false">J181/(1+H181)^1+K181/(1+H181)^2+L181/(1+H181)^3+M181/(1+H181)^4+N181/(1+H181)^5</f>
        <v>76.4304436344587</v>
      </c>
      <c r="P181" s="24" t="n">
        <f aca="false">N181*(1+F181)/(H181-F181)</f>
        <v>286.492776460879</v>
      </c>
      <c r="Q181" s="24" t="n">
        <f aca="false">O181+P181/(1+H181)^5</f>
        <v>254.717348897655</v>
      </c>
      <c r="R181" s="24" t="n">
        <f aca="false">Q181-'DCF Base Case'!$B$5</f>
        <v>69.7173488976549</v>
      </c>
      <c r="S181" s="32" t="n">
        <f aca="false">R181/'DCF Base Case'!$B$6</f>
        <v>2.7886939559062</v>
      </c>
    </row>
    <row r="182" customFormat="false" ht="15" hidden="false" customHeight="true" outlineLevel="0" collapsed="false">
      <c r="A182" s="6" t="n">
        <v>181</v>
      </c>
      <c r="B182" s="30" t="n">
        <v>0.0950716535618168</v>
      </c>
      <c r="C182" s="30" t="n">
        <v>0.413527062103251</v>
      </c>
      <c r="D182" s="30" t="n">
        <v>0.0897585389689877</v>
      </c>
      <c r="E182" s="30" t="n">
        <v>0.281402512903196</v>
      </c>
      <c r="F182" s="30" t="n">
        <v>0.0197566203163878</v>
      </c>
      <c r="G182" s="30" t="n">
        <v>0.1569602244447</v>
      </c>
      <c r="H182" s="31" t="n">
        <f aca="false">MAX(D182,F182+0.015)</f>
        <v>0.0897585389689877</v>
      </c>
      <c r="I182" s="25" t="n">
        <f aca="false">(C182-'DCF Base Case'!$B$3)*(1-E182)+'DCF Base Case'!$B$3-G182</f>
        <v>0.176781609906636</v>
      </c>
      <c r="J182" s="24" t="n">
        <f aca="false">'DCF Base Case'!$B$2*(1+B182)^1*$I182-'DCF Base Case'!$B$2*(1+B182)^0*B182*'DCF Base Case'!$B$4</f>
        <v>27.6567751395741</v>
      </c>
      <c r="K182" s="24" t="n">
        <f aca="false">'DCF Base Case'!$B$2*(1+B182)^2*$I182-'DCF Base Case'!$B$2*(1+B182)^1*B182*'DCF Base Case'!$B$4</f>
        <v>30.2861504842808</v>
      </c>
      <c r="L182" s="24" t="n">
        <f aca="false">'DCF Base Case'!$B$2*(1+B182)^3*$I182-'DCF Base Case'!$B$2*(1+B182)^2*B182*'DCF Base Case'!$B$4</f>
        <v>33.1655048908434</v>
      </c>
      <c r="M182" s="24" t="n">
        <f aca="false">'DCF Base Case'!$B$2*(1+B182)^4*$I182-'DCF Base Case'!$B$2*(1+B182)^3*B182*'DCF Base Case'!$B$4</f>
        <v>36.3186042820284</v>
      </c>
      <c r="N182" s="24" t="n">
        <f aca="false">'DCF Base Case'!$B$2*(1+B182)^5*$I182-'DCF Base Case'!$B$2*(1+B182)^4*B182*'DCF Base Case'!$B$4</f>
        <v>39.7714740461781</v>
      </c>
      <c r="O182" s="24" t="n">
        <f aca="false">J182/(1+H182)^1+K182/(1+H182)^2+L182/(1+H182)^3+M182/(1+H182)^4+N182/(1+H182)^5</f>
        <v>128.137441608546</v>
      </c>
      <c r="P182" s="24" t="n">
        <f aca="false">N182*(1+F182)/(H182-F182)</f>
        <v>579.373033467922</v>
      </c>
      <c r="Q182" s="24" t="n">
        <f aca="false">O182+P182/(1+H182)^5</f>
        <v>505.107514854802</v>
      </c>
      <c r="R182" s="24" t="n">
        <f aca="false">Q182-'DCF Base Case'!$B$5</f>
        <v>320.107514854802</v>
      </c>
      <c r="S182" s="32" t="n">
        <f aca="false">R182/'DCF Base Case'!$B$6</f>
        <v>12.8043005941921</v>
      </c>
    </row>
    <row r="183" customFormat="false" ht="15" hidden="false" customHeight="true" outlineLevel="0" collapsed="false">
      <c r="A183" s="6" t="n">
        <v>182</v>
      </c>
      <c r="B183" s="30" t="n">
        <v>0.060129588888849</v>
      </c>
      <c r="C183" s="30" t="n">
        <v>0.372603565825805</v>
      </c>
      <c r="D183" s="30" t="n">
        <v>0.0921856937160935</v>
      </c>
      <c r="E183" s="30" t="n">
        <v>0.272353052174137</v>
      </c>
      <c r="F183" s="30" t="n">
        <v>0.0169442520071335</v>
      </c>
      <c r="G183" s="30" t="n">
        <v>0.165413914586613</v>
      </c>
      <c r="H183" s="31" t="n">
        <f aca="false">MAX(D183,F183+0.015)</f>
        <v>0.0921856937160935</v>
      </c>
      <c r="I183" s="25" t="n">
        <f aca="false">(C183-'DCF Base Case'!$B$3)*(1-E183)+'DCF Base Case'!$B$3-G183</f>
        <v>0.141115829618205</v>
      </c>
      <c r="J183" s="24" t="n">
        <f aca="false">'DCF Base Case'!$B$2*(1+B183)^1*$I183-'DCF Base Case'!$B$2*(1+B183)^0*B183*'DCF Base Case'!$B$4</f>
        <v>21.4305909219677</v>
      </c>
      <c r="K183" s="24" t="n">
        <f aca="false">'DCF Base Case'!$B$2*(1+B183)^2*$I183-'DCF Base Case'!$B$2*(1+B183)^1*B183*'DCF Base Case'!$B$4</f>
        <v>22.7192035437507</v>
      </c>
      <c r="L183" s="24" t="n">
        <f aca="false">'DCF Base Case'!$B$2*(1+B183)^3*$I183-'DCF Base Case'!$B$2*(1+B183)^2*B183*'DCF Base Case'!$B$4</f>
        <v>24.0852999127185</v>
      </c>
      <c r="M183" s="24" t="n">
        <f aca="false">'DCF Base Case'!$B$2*(1+B183)^4*$I183-'DCF Base Case'!$B$2*(1+B183)^3*B183*'DCF Base Case'!$B$4</f>
        <v>25.5335390947349</v>
      </c>
      <c r="N183" s="24" t="n">
        <f aca="false">'DCF Base Case'!$B$2*(1+B183)^5*$I183-'DCF Base Case'!$B$2*(1+B183)^4*B183*'DCF Base Case'!$B$4</f>
        <v>27.0688603033786</v>
      </c>
      <c r="O183" s="24" t="n">
        <f aca="false">J183/(1+H183)^1+K183/(1+H183)^2+L183/(1+H183)^3+M183/(1+H183)^4+N183/(1+H183)^5</f>
        <v>92.5162336116783</v>
      </c>
      <c r="P183" s="24" t="n">
        <f aca="false">N183*(1+F183)/(H183-F183)</f>
        <v>365.85585375123</v>
      </c>
      <c r="Q183" s="24" t="n">
        <f aca="false">O183+P183/(1+H183)^5</f>
        <v>327.927688102779</v>
      </c>
      <c r="R183" s="24" t="n">
        <f aca="false">Q183-'DCF Base Case'!$B$5</f>
        <v>142.927688102779</v>
      </c>
      <c r="S183" s="32" t="n">
        <f aca="false">R183/'DCF Base Case'!$B$6</f>
        <v>5.71710752411116</v>
      </c>
    </row>
    <row r="184" customFormat="false" ht="15" hidden="false" customHeight="true" outlineLevel="0" collapsed="false">
      <c r="A184" s="6" t="n">
        <v>183</v>
      </c>
      <c r="B184" s="30" t="n">
        <v>0.107340663220265</v>
      </c>
      <c r="C184" s="30" t="n">
        <v>0.423813164198421</v>
      </c>
      <c r="D184" s="30" t="n">
        <v>0.0777833956969494</v>
      </c>
      <c r="E184" s="30" t="n">
        <v>0.316993366819695</v>
      </c>
      <c r="F184" s="30" t="n">
        <v>0.0247612937603552</v>
      </c>
      <c r="G184" s="30" t="n">
        <v>0.176840536208832</v>
      </c>
      <c r="H184" s="31" t="n">
        <f aca="false">MAX(D184,F184+0.015)</f>
        <v>0.0777833956969494</v>
      </c>
      <c r="I184" s="25" t="n">
        <f aca="false">(C184-'DCF Base Case'!$B$3)*(1-E184)+'DCF Base Case'!$B$3-G184</f>
        <v>0.153835803854384</v>
      </c>
      <c r="J184" s="24" t="n">
        <f aca="false">'DCF Base Case'!$B$2*(1+B184)^1*$I184-'DCF Base Case'!$B$2*(1+B184)^0*B184*'DCF Base Case'!$B$4</f>
        <v>24.2336210697265</v>
      </c>
      <c r="K184" s="24" t="n">
        <f aca="false">'DCF Base Case'!$B$2*(1+B184)^2*$I184-'DCF Base Case'!$B$2*(1+B184)^1*B184*'DCF Base Case'!$B$4</f>
        <v>26.8348740275796</v>
      </c>
      <c r="L184" s="24" t="n">
        <f aca="false">'DCF Base Case'!$B$2*(1+B184)^3*$I184-'DCF Base Case'!$B$2*(1+B184)^2*B184*'DCF Base Case'!$B$4</f>
        <v>29.7153472031322</v>
      </c>
      <c r="M184" s="24" t="n">
        <f aca="false">'DCF Base Case'!$B$2*(1+B184)^4*$I184-'DCF Base Case'!$B$2*(1+B184)^3*B184*'DCF Base Case'!$B$4</f>
        <v>32.9050122797369</v>
      </c>
      <c r="N184" s="24" t="n">
        <f aca="false">'DCF Base Case'!$B$2*(1+B184)^5*$I184-'DCF Base Case'!$B$2*(1+B184)^4*B184*'DCF Base Case'!$B$4</f>
        <v>36.4370581211148</v>
      </c>
      <c r="O184" s="24" t="n">
        <f aca="false">J184/(1+H184)^1+K184/(1+H184)^2+L184/(1+H184)^3+M184/(1+H184)^4+N184/(1+H184)^5</f>
        <v>118.761092721244</v>
      </c>
      <c r="P184" s="24" t="n">
        <f aca="false">N184*(1+F184)/(H184-F184)</f>
        <v>704.221173005675</v>
      </c>
      <c r="Q184" s="24" t="n">
        <f aca="false">O184+P184/(1+H184)^5</f>
        <v>602.991029411486</v>
      </c>
      <c r="R184" s="24" t="n">
        <f aca="false">Q184-'DCF Base Case'!$B$5</f>
        <v>417.991029411486</v>
      </c>
      <c r="S184" s="32" t="n">
        <f aca="false">R184/'DCF Base Case'!$B$6</f>
        <v>16.7196411764594</v>
      </c>
    </row>
    <row r="185" customFormat="false" ht="15" hidden="false" customHeight="true" outlineLevel="0" collapsed="false">
      <c r="A185" s="6" t="n">
        <v>184</v>
      </c>
      <c r="B185" s="30" t="n">
        <v>0.111267455720439</v>
      </c>
      <c r="C185" s="30" t="n">
        <v>0.443719152555187</v>
      </c>
      <c r="D185" s="30" t="n">
        <v>0.0974310924804497</v>
      </c>
      <c r="E185" s="30" t="n">
        <v>0.298339652823421</v>
      </c>
      <c r="F185" s="30" t="n">
        <v>0.021494331791205</v>
      </c>
      <c r="G185" s="30" t="n">
        <v>0.177457074456614</v>
      </c>
      <c r="H185" s="31" t="n">
        <f aca="false">MAX(D185,F185+0.015)</f>
        <v>0.0974310924804497</v>
      </c>
      <c r="I185" s="25" t="n">
        <f aca="false">(C185-'DCF Base Case'!$B$3)*(1-E185)+'DCF Base Case'!$B$3-G185</f>
        <v>0.172667215041201</v>
      </c>
      <c r="J185" s="24" t="n">
        <f aca="false">'DCF Base Case'!$B$2*(1+B185)^1*$I185-'DCF Base Case'!$B$2*(1+B185)^0*B185*'DCF Base Case'!$B$4</f>
        <v>27.3385077956656</v>
      </c>
      <c r="K185" s="24" t="n">
        <f aca="false">'DCF Base Case'!$B$2*(1+B185)^2*$I185-'DCF Base Case'!$B$2*(1+B185)^1*B185*'DCF Base Case'!$B$4</f>
        <v>30.3803940012827</v>
      </c>
      <c r="L185" s="24" t="n">
        <f aca="false">'DCF Base Case'!$B$2*(1+B185)^3*$I185-'DCF Base Case'!$B$2*(1+B185)^2*B185*'DCF Base Case'!$B$4</f>
        <v>33.7607431455899</v>
      </c>
      <c r="M185" s="24" t="n">
        <f aca="false">'DCF Base Case'!$B$2*(1+B185)^4*$I185-'DCF Base Case'!$B$2*(1+B185)^3*B185*'DCF Base Case'!$B$4</f>
        <v>37.5172151386309</v>
      </c>
      <c r="N185" s="24" t="n">
        <f aca="false">'DCF Base Case'!$B$2*(1+B185)^5*$I185-'DCF Base Case'!$B$2*(1+B185)^4*B185*'DCF Base Case'!$B$4</f>
        <v>41.6916602128227</v>
      </c>
      <c r="O185" s="24" t="n">
        <f aca="false">J185/(1+H185)^1+K185/(1+H185)^2+L185/(1+H185)^3+M185/(1+H185)^4+N185/(1+H185)^5</f>
        <v>127.737494537828</v>
      </c>
      <c r="P185" s="24" t="n">
        <f aca="false">N185*(1+F185)/(H185-F185)</f>
        <v>560.832384787191</v>
      </c>
      <c r="Q185" s="24" t="n">
        <f aca="false">O185+P185/(1+H185)^5</f>
        <v>480.065188407418</v>
      </c>
      <c r="R185" s="24" t="n">
        <f aca="false">Q185-'DCF Base Case'!$B$5</f>
        <v>295.065188407418</v>
      </c>
      <c r="S185" s="32" t="n">
        <f aca="false">R185/'DCF Base Case'!$B$6</f>
        <v>11.8026075362967</v>
      </c>
    </row>
    <row r="186" customFormat="false" ht="15" hidden="false" customHeight="true" outlineLevel="0" collapsed="false">
      <c r="A186" s="6" t="n">
        <v>185</v>
      </c>
      <c r="B186" s="30" t="n">
        <v>0.066100469704338</v>
      </c>
      <c r="C186" s="30" t="n">
        <v>0.420367558751317</v>
      </c>
      <c r="D186" s="30" t="n">
        <v>0.0700860463176079</v>
      </c>
      <c r="E186" s="30" t="n">
        <v>0.261755398750065</v>
      </c>
      <c r="F186" s="30" t="n">
        <v>0.02394682348617</v>
      </c>
      <c r="G186" s="30" t="n">
        <v>0.185325010939945</v>
      </c>
      <c r="H186" s="31" t="n">
        <f aca="false">MAX(D186,F186+0.015)</f>
        <v>0.0700860463176079</v>
      </c>
      <c r="I186" s="25" t="n">
        <f aca="false">(C186-'DCF Base Case'!$B$3)*(1-E186)+'DCF Base Case'!$B$3-G186</f>
        <v>0.159037271686338</v>
      </c>
      <c r="J186" s="24" t="n">
        <f aca="false">'DCF Base Case'!$B$2*(1+B186)^1*$I186-'DCF Base Case'!$B$2*(1+B186)^0*B186*'DCF Base Case'!$B$4</f>
        <v>24.2971709133548</v>
      </c>
      <c r="K186" s="24" t="n">
        <f aca="false">'DCF Base Case'!$B$2*(1+B186)^2*$I186-'DCF Base Case'!$B$2*(1+B186)^1*B186*'DCF Base Case'!$B$4</f>
        <v>25.9032253232142</v>
      </c>
      <c r="L186" s="24" t="n">
        <f aca="false">'DCF Base Case'!$B$2*(1+B186)^3*$I186-'DCF Base Case'!$B$2*(1+B186)^2*B186*'DCF Base Case'!$B$4</f>
        <v>27.6154406839359</v>
      </c>
      <c r="M186" s="24" t="n">
        <f aca="false">'DCF Base Case'!$B$2*(1+B186)^4*$I186-'DCF Base Case'!$B$2*(1+B186)^3*B186*'DCF Base Case'!$B$4</f>
        <v>29.4408342842364</v>
      </c>
      <c r="N186" s="24" t="n">
        <f aca="false">'DCF Base Case'!$B$2*(1+B186)^5*$I186-'DCF Base Case'!$B$2*(1+B186)^4*B186*'DCF Base Case'!$B$4</f>
        <v>31.386887258912</v>
      </c>
      <c r="O186" s="24" t="n">
        <f aca="false">J186/(1+H186)^1+K186/(1+H186)^2+L186/(1+H186)^3+M186/(1+H186)^4+N186/(1+H186)^5</f>
        <v>112.686509452207</v>
      </c>
      <c r="P186" s="24" t="n">
        <f aca="false">N186*(1+F186)/(H186-F186)</f>
        <v>696.554938198552</v>
      </c>
      <c r="Q186" s="24" t="n">
        <f aca="false">O186+P186/(1+H186)^5</f>
        <v>609.120912409376</v>
      </c>
      <c r="R186" s="24" t="n">
        <f aca="false">Q186-'DCF Base Case'!$B$5</f>
        <v>424.120912409376</v>
      </c>
      <c r="S186" s="32" t="n">
        <f aca="false">R186/'DCF Base Case'!$B$6</f>
        <v>16.9648364963751</v>
      </c>
    </row>
    <row r="187" customFormat="false" ht="15" hidden="false" customHeight="true" outlineLevel="0" collapsed="false">
      <c r="A187" s="6" t="n">
        <v>186</v>
      </c>
      <c r="B187" s="30" t="n">
        <v>0.121499348095284</v>
      </c>
      <c r="C187" s="30" t="n">
        <v>0.420246676941823</v>
      </c>
      <c r="D187" s="30" t="n">
        <v>0.0723252627459556</v>
      </c>
      <c r="E187" s="30" t="n">
        <v>0.273250128053917</v>
      </c>
      <c r="F187" s="30" t="n">
        <v>0.0197268167764881</v>
      </c>
      <c r="G187" s="30" t="n">
        <v>0.166979958560656</v>
      </c>
      <c r="H187" s="31" t="n">
        <f aca="false">MAX(D187,F187+0.015)</f>
        <v>0.0723252627459556</v>
      </c>
      <c r="I187" s="25" t="n">
        <f aca="false">(C187-'DCF Base Case'!$B$3)*(1-E187)+'DCF Base Case'!$B$3-G187</f>
        <v>0.17395677673959</v>
      </c>
      <c r="J187" s="24" t="n">
        <f aca="false">'DCF Base Case'!$B$2*(1+B187)^1*$I187-'DCF Base Case'!$B$2*(1+B187)^0*B187*'DCF Base Case'!$B$4</f>
        <v>27.7598775337655</v>
      </c>
      <c r="K187" s="24" t="n">
        <f aca="false">'DCF Base Case'!$B$2*(1+B187)^2*$I187-'DCF Base Case'!$B$2*(1+B187)^1*B187*'DCF Base Case'!$B$4</f>
        <v>31.132684557323</v>
      </c>
      <c r="L187" s="24" t="n">
        <f aca="false">'DCF Base Case'!$B$2*(1+B187)^3*$I187-'DCF Base Case'!$B$2*(1+B187)^2*B187*'DCF Base Case'!$B$4</f>
        <v>34.9152854354938</v>
      </c>
      <c r="M187" s="24" t="n">
        <f aca="false">'DCF Base Case'!$B$2*(1+B187)^4*$I187-'DCF Base Case'!$B$2*(1+B187)^3*B187*'DCF Base Case'!$B$4</f>
        <v>39.1574698544671</v>
      </c>
      <c r="N187" s="24" t="n">
        <f aca="false">'DCF Base Case'!$B$2*(1+B187)^5*$I187-'DCF Base Case'!$B$2*(1+B187)^4*B187*'DCF Base Case'!$B$4</f>
        <v>43.9150769148456</v>
      </c>
      <c r="O187" s="24" t="n">
        <f aca="false">J187/(1+H187)^1+K187/(1+H187)^2+L187/(1+H187)^3+M187/(1+H187)^4+N187/(1+H187)^5</f>
        <v>141.866122098022</v>
      </c>
      <c r="P187" s="24" t="n">
        <f aca="false">N187*(1+F187)/(H187-F187)</f>
        <v>851.382217962579</v>
      </c>
      <c r="Q187" s="24" t="n">
        <f aca="false">O187+P187/(1+H187)^5</f>
        <v>742.336913991956</v>
      </c>
      <c r="R187" s="24" t="n">
        <f aca="false">Q187-'DCF Base Case'!$B$5</f>
        <v>557.336913991956</v>
      </c>
      <c r="S187" s="32" t="n">
        <f aca="false">R187/'DCF Base Case'!$B$6</f>
        <v>22.2934765596782</v>
      </c>
    </row>
    <row r="188" customFormat="false" ht="15" hidden="false" customHeight="true" outlineLevel="0" collapsed="false">
      <c r="A188" s="6" t="n">
        <v>187</v>
      </c>
      <c r="B188" s="30" t="n">
        <v>0.114655937527172</v>
      </c>
      <c r="C188" s="30" t="n">
        <v>0.416032436856184</v>
      </c>
      <c r="D188" s="30" t="n">
        <v>0.0888723791898322</v>
      </c>
      <c r="E188" s="30" t="n">
        <v>0.258844897390786</v>
      </c>
      <c r="F188" s="30" t="n">
        <v>0.0209563687143129</v>
      </c>
      <c r="G188" s="30" t="n">
        <v>0.165295711142684</v>
      </c>
      <c r="H188" s="31" t="n">
        <f aca="false">MAX(D188,F188+0.015)</f>
        <v>0.0888723791898322</v>
      </c>
      <c r="I188" s="25" t="n">
        <f aca="false">(C188-'DCF Base Case'!$B$3)*(1-E188)+'DCF Base Case'!$B$3-G188</f>
        <v>0.176698688945025</v>
      </c>
      <c r="J188" s="24" t="n">
        <f aca="false">'DCF Base Case'!$B$2*(1+B188)^1*$I188-'DCF Base Case'!$B$2*(1+B188)^0*B188*'DCF Base Case'!$B$4</f>
        <v>28.0601918757034</v>
      </c>
      <c r="K188" s="24" t="n">
        <f aca="false">'DCF Base Case'!$B$2*(1+B188)^2*$I188-'DCF Base Case'!$B$2*(1+B188)^1*B188*'DCF Base Case'!$B$4</f>
        <v>31.2774594824045</v>
      </c>
      <c r="L188" s="24" t="n">
        <f aca="false">'DCF Base Case'!$B$2*(1+B188)^3*$I188-'DCF Base Case'!$B$2*(1+B188)^2*B188*'DCF Base Case'!$B$4</f>
        <v>34.8636059228277</v>
      </c>
      <c r="M188" s="24" t="n">
        <f aca="false">'DCF Base Case'!$B$2*(1+B188)^4*$I188-'DCF Base Case'!$B$2*(1+B188)^3*B188*'DCF Base Case'!$B$4</f>
        <v>38.8609253454874</v>
      </c>
      <c r="N188" s="24" t="n">
        <f aca="false">'DCF Base Case'!$B$2*(1+B188)^5*$I188-'DCF Base Case'!$B$2*(1+B188)^4*B188*'DCF Base Case'!$B$4</f>
        <v>43.3165611741477</v>
      </c>
      <c r="O188" s="24" t="n">
        <f aca="false">J188/(1+H188)^1+K188/(1+H188)^2+L188/(1+H188)^3+M188/(1+H188)^4+N188/(1+H188)^5</f>
        <v>135.098087714156</v>
      </c>
      <c r="P188" s="24" t="n">
        <f aca="false">N188*(1+F188)/(H188-F188)</f>
        <v>651.161908538343</v>
      </c>
      <c r="Q188" s="24" t="n">
        <f aca="false">O188+P188/(1+H188)^5</f>
        <v>560.504547320894</v>
      </c>
      <c r="R188" s="24" t="n">
        <f aca="false">Q188-'DCF Base Case'!$B$5</f>
        <v>375.504547320894</v>
      </c>
      <c r="S188" s="32" t="n">
        <f aca="false">R188/'DCF Base Case'!$B$6</f>
        <v>15.0201818928358</v>
      </c>
    </row>
    <row r="189" customFormat="false" ht="15" hidden="false" customHeight="true" outlineLevel="0" collapsed="false">
      <c r="A189" s="6" t="n">
        <v>188</v>
      </c>
      <c r="B189" s="30" t="n">
        <v>0.0736662714850532</v>
      </c>
      <c r="C189" s="30" t="n">
        <v>0.40343439325564</v>
      </c>
      <c r="D189" s="30" t="n">
        <v>0.0829740667883326</v>
      </c>
      <c r="E189" s="30" t="n">
        <v>0.272513565770022</v>
      </c>
      <c r="F189" s="30" t="n">
        <v>0.0252593364296273</v>
      </c>
      <c r="G189" s="30" t="n">
        <v>0.163120605158811</v>
      </c>
      <c r="H189" s="31" t="n">
        <f aca="false">MAX(D189,F189+0.015)</f>
        <v>0.0829740667883326</v>
      </c>
      <c r="I189" s="25" t="n">
        <f aca="false">(C189-'DCF Base Case'!$B$3)*(1-E189)+'DCF Base Case'!$B$3-G189</f>
        <v>0.165799206586572</v>
      </c>
      <c r="J189" s="24" t="n">
        <f aca="false">'DCF Base Case'!$B$2*(1+B189)^1*$I189-'DCF Base Case'!$B$2*(1+B189)^0*B189*'DCF Base Case'!$B$4</f>
        <v>25.4914390319328</v>
      </c>
      <c r="K189" s="24" t="n">
        <f aca="false">'DCF Base Case'!$B$2*(1+B189)^2*$I189-'DCF Base Case'!$B$2*(1+B189)^1*B189*'DCF Base Case'!$B$4</f>
        <v>27.3692983002039</v>
      </c>
      <c r="L189" s="24" t="n">
        <f aca="false">'DCF Base Case'!$B$2*(1+B189)^3*$I189-'DCF Base Case'!$B$2*(1+B189)^2*B189*'DCF Base Case'!$B$4</f>
        <v>29.3854924591421</v>
      </c>
      <c r="M189" s="24" t="n">
        <f aca="false">'DCF Base Case'!$B$2*(1+B189)^4*$I189-'DCF Base Case'!$B$2*(1+B189)^3*B189*'DCF Base Case'!$B$4</f>
        <v>31.5502121243592</v>
      </c>
      <c r="N189" s="24" t="n">
        <f aca="false">'DCF Base Case'!$B$2*(1+B189)^5*$I189-'DCF Base Case'!$B$2*(1+B189)^4*B189*'DCF Base Case'!$B$4</f>
        <v>33.8743986161233</v>
      </c>
      <c r="O189" s="24" t="n">
        <f aca="false">J189/(1+H189)^1+K189/(1+H189)^2+L189/(1+H189)^3+M189/(1+H189)^4+N189/(1+H189)^5</f>
        <v>115.68609576524</v>
      </c>
      <c r="P189" s="24" t="n">
        <f aca="false">N189*(1+F189)/(H189-F189)</f>
        <v>601.753542488496</v>
      </c>
      <c r="Q189" s="24" t="n">
        <f aca="false">O189+P189/(1+H189)^5</f>
        <v>519.636800909963</v>
      </c>
      <c r="R189" s="24" t="n">
        <f aca="false">Q189-'DCF Base Case'!$B$5</f>
        <v>334.636800909963</v>
      </c>
      <c r="S189" s="32" t="n">
        <f aca="false">R189/'DCF Base Case'!$B$6</f>
        <v>13.3854720363985</v>
      </c>
    </row>
    <row r="190" customFormat="false" ht="15" hidden="false" customHeight="true" outlineLevel="0" collapsed="false">
      <c r="A190" s="6" t="n">
        <v>189</v>
      </c>
      <c r="B190" s="30" t="n">
        <v>0.0849252513030481</v>
      </c>
      <c r="C190" s="30" t="n">
        <v>0.371002242034159</v>
      </c>
      <c r="D190" s="30" t="n">
        <v>0.0751637191282258</v>
      </c>
      <c r="E190" s="30" t="n">
        <v>0.272687939072338</v>
      </c>
      <c r="F190" s="30" t="n">
        <v>0.0165666221384428</v>
      </c>
      <c r="G190" s="30" t="n">
        <v>0.197612849538911</v>
      </c>
      <c r="H190" s="31" t="n">
        <f aca="false">MAX(D190,F190+0.015)</f>
        <v>0.0751637191282258</v>
      </c>
      <c r="I190" s="25" t="n">
        <f aca="false">(C190-'DCF Base Case'!$B$3)*(1-E190)+'DCF Base Case'!$B$3-G190</f>
        <v>0.10767098780314</v>
      </c>
      <c r="J190" s="24" t="n">
        <f aca="false">'DCF Base Case'!$B$2*(1+B190)^1*$I190-'DCF Base Case'!$B$2*(1+B190)^0*B190*'DCF Base Case'!$B$4</f>
        <v>16.5687463143853</v>
      </c>
      <c r="K190" s="24" t="n">
        <f aca="false">'DCF Base Case'!$B$2*(1+B190)^2*$I190-'DCF Base Case'!$B$2*(1+B190)^1*B190*'DCF Base Case'!$B$4</f>
        <v>17.9758512589109</v>
      </c>
      <c r="L190" s="24" t="n">
        <f aca="false">'DCF Base Case'!$B$2*(1+B190)^3*$I190-'DCF Base Case'!$B$2*(1+B190)^2*B190*'DCF Base Case'!$B$4</f>
        <v>19.5024549444602</v>
      </c>
      <c r="M190" s="24" t="n">
        <f aca="false">'DCF Base Case'!$B$2*(1+B190)^4*$I190-'DCF Base Case'!$B$2*(1+B190)^3*B190*'DCF Base Case'!$B$4</f>
        <v>21.1587058316448</v>
      </c>
      <c r="N190" s="24" t="n">
        <f aca="false">'DCF Base Case'!$B$2*(1+B190)^5*$I190-'DCF Base Case'!$B$2*(1+B190)^4*B190*'DCF Base Case'!$B$4</f>
        <v>22.9556142416445</v>
      </c>
      <c r="O190" s="24" t="n">
        <f aca="false">J190/(1+H190)^1+K190/(1+H190)^2+L190/(1+H190)^3+M190/(1+H190)^4+N190/(1+H190)^5</f>
        <v>78.4640933620998</v>
      </c>
      <c r="P190" s="24" t="n">
        <f aca="false">N190*(1+F190)/(H190-F190)</f>
        <v>398.243469856716</v>
      </c>
      <c r="Q190" s="24" t="n">
        <f aca="false">O190+P190/(1+H190)^5</f>
        <v>355.652880851359</v>
      </c>
      <c r="R190" s="24" t="n">
        <f aca="false">Q190-'DCF Base Case'!$B$5</f>
        <v>170.652880851359</v>
      </c>
      <c r="S190" s="32" t="n">
        <f aca="false">R190/'DCF Base Case'!$B$6</f>
        <v>6.82611523405436</v>
      </c>
    </row>
    <row r="191" customFormat="false" ht="15" hidden="false" customHeight="true" outlineLevel="0" collapsed="false">
      <c r="A191" s="6" t="n">
        <v>190</v>
      </c>
      <c r="B191" s="30" t="n">
        <v>0.086609895920909</v>
      </c>
      <c r="C191" s="30" t="n">
        <v>0.437618550532109</v>
      </c>
      <c r="D191" s="30" t="n">
        <v>0.0856787509745541</v>
      </c>
      <c r="E191" s="30" t="n">
        <v>0.280696309250545</v>
      </c>
      <c r="F191" s="30" t="n">
        <v>0.0190171404599704</v>
      </c>
      <c r="G191" s="30" t="n">
        <v>0.165310758734894</v>
      </c>
      <c r="H191" s="31" t="n">
        <f aca="false">MAX(D191,F191+0.015)</f>
        <v>0.0856787509745541</v>
      </c>
      <c r="I191" s="25" t="n">
        <f aca="false">(C191-'DCF Base Case'!$B$3)*(1-E191)+'DCF Base Case'!$B$3-G191</f>
        <v>0.18596040000585</v>
      </c>
      <c r="J191" s="24" t="n">
        <f aca="false">'DCF Base Case'!$B$2*(1+B191)^1*$I191-'DCF Base Case'!$B$2*(1+B191)^0*B191*'DCF Base Case'!$B$4</f>
        <v>28.9228765326303</v>
      </c>
      <c r="K191" s="24" t="n">
        <f aca="false">'DCF Base Case'!$B$2*(1+B191)^2*$I191-'DCF Base Case'!$B$2*(1+B191)^1*B191*'DCF Base Case'!$B$4</f>
        <v>31.4278838588547</v>
      </c>
      <c r="L191" s="24" t="n">
        <f aca="false">'DCF Base Case'!$B$2*(1+B191)^3*$I191-'DCF Base Case'!$B$2*(1+B191)^2*B191*'DCF Base Case'!$B$4</f>
        <v>34.1498496088845</v>
      </c>
      <c r="M191" s="24" t="n">
        <f aca="false">'DCF Base Case'!$B$2*(1+B191)^4*$I191-'DCF Base Case'!$B$2*(1+B191)^3*B191*'DCF Base Case'!$B$4</f>
        <v>37.1075645292247</v>
      </c>
      <c r="N191" s="24" t="n">
        <f aca="false">'DCF Base Case'!$B$2*(1+B191)^5*$I191-'DCF Base Case'!$B$2*(1+B191)^4*B191*'DCF Base Case'!$B$4</f>
        <v>40.3214468309792</v>
      </c>
      <c r="O191" s="24" t="n">
        <f aca="false">J191/(1+H191)^1+K191/(1+H191)^2+L191/(1+H191)^3+M191/(1+H191)^4+N191/(1+H191)^5</f>
        <v>133.430497533765</v>
      </c>
      <c r="P191" s="24" t="n">
        <f aca="false">N191*(1+F191)/(H191-F191)</f>
        <v>616.3704286731</v>
      </c>
      <c r="Q191" s="24" t="n">
        <f aca="false">O191+P191/(1+H191)^5</f>
        <v>542.065068183963</v>
      </c>
      <c r="R191" s="24" t="n">
        <f aca="false">Q191-'DCF Base Case'!$B$5</f>
        <v>357.065068183963</v>
      </c>
      <c r="S191" s="32" t="n">
        <f aca="false">R191/'DCF Base Case'!$B$6</f>
        <v>14.2826027273585</v>
      </c>
    </row>
    <row r="192" customFormat="false" ht="15" hidden="false" customHeight="true" outlineLevel="0" collapsed="false">
      <c r="A192" s="6" t="n">
        <v>191</v>
      </c>
      <c r="B192" s="30" t="n">
        <v>0.125366843664212</v>
      </c>
      <c r="C192" s="30" t="n">
        <v>0.378663534511774</v>
      </c>
      <c r="D192" s="30" t="n">
        <v>0.0629829968111745</v>
      </c>
      <c r="E192" s="30" t="n">
        <v>0.266368130057751</v>
      </c>
      <c r="F192" s="30" t="n">
        <v>0.0194081999837396</v>
      </c>
      <c r="G192" s="30" t="n">
        <v>0.181654393179479</v>
      </c>
      <c r="H192" s="31" t="n">
        <f aca="false">MAX(D192,F192+0.015)</f>
        <v>0.0629829968111745</v>
      </c>
      <c r="I192" s="25" t="n">
        <f aca="false">(C192-'DCF Base Case'!$B$3)*(1-E192)+'DCF Base Case'!$B$3-G192</f>
        <v>0.130773100630843</v>
      </c>
      <c r="J192" s="24" t="n">
        <f aca="false">'DCF Base Case'!$B$2*(1+B192)^1*$I192-'DCF Base Case'!$B$2*(1+B192)^0*B192*'DCF Base Case'!$B$4</f>
        <v>20.7939723965622</v>
      </c>
      <c r="K192" s="24" t="n">
        <f aca="false">'DCF Base Case'!$B$2*(1+B192)^2*$I192-'DCF Base Case'!$B$2*(1+B192)^1*B192*'DCF Base Case'!$B$4</f>
        <v>23.4008470831599</v>
      </c>
      <c r="L192" s="24" t="n">
        <f aca="false">'DCF Base Case'!$B$2*(1+B192)^3*$I192-'DCF Base Case'!$B$2*(1+B192)^2*B192*'DCF Base Case'!$B$4</f>
        <v>26.3345374210446</v>
      </c>
      <c r="M192" s="24" t="n">
        <f aca="false">'DCF Base Case'!$B$2*(1+B192)^4*$I192-'DCF Base Case'!$B$2*(1+B192)^3*B192*'DCF Base Case'!$B$4</f>
        <v>29.636015256878</v>
      </c>
      <c r="N192" s="24" t="n">
        <f aca="false">'DCF Base Case'!$B$2*(1+B192)^5*$I192-'DCF Base Case'!$B$2*(1+B192)^4*B192*'DCF Base Case'!$B$4</f>
        <v>33.3513889484172</v>
      </c>
      <c r="O192" s="24" t="n">
        <f aca="false">J192/(1+H192)^1+K192/(1+H192)^2+L192/(1+H192)^3+M192/(1+H192)^4+N192/(1+H192)^5</f>
        <v>109.983682770757</v>
      </c>
      <c r="P192" s="24" t="n">
        <f aca="false">N192*(1+F192)/(H192-F192)</f>
        <v>780.237243778906</v>
      </c>
      <c r="Q192" s="24" t="n">
        <f aca="false">O192+P192/(1+H192)^5</f>
        <v>684.887362550044</v>
      </c>
      <c r="R192" s="24" t="n">
        <f aca="false">Q192-'DCF Base Case'!$B$5</f>
        <v>499.887362550044</v>
      </c>
      <c r="S192" s="32" t="n">
        <f aca="false">R192/'DCF Base Case'!$B$6</f>
        <v>19.9954945020018</v>
      </c>
    </row>
    <row r="193" customFormat="false" ht="15" hidden="false" customHeight="true" outlineLevel="0" collapsed="false">
      <c r="A193" s="6" t="n">
        <v>192</v>
      </c>
      <c r="B193" s="30" t="n">
        <v>0.100120463586154</v>
      </c>
      <c r="C193" s="30" t="n">
        <v>0.410375370709483</v>
      </c>
      <c r="D193" s="30" t="n">
        <v>0.0962094806256594</v>
      </c>
      <c r="E193" s="30" t="n">
        <v>0.311277325485147</v>
      </c>
      <c r="F193" s="30" t="n">
        <v>0.020013902504623</v>
      </c>
      <c r="G193" s="30" t="n">
        <v>0.188264244371915</v>
      </c>
      <c r="H193" s="31" t="n">
        <f aca="false">MAX(D193,F193+0.015)</f>
        <v>0.0962094806256594</v>
      </c>
      <c r="I193" s="25" t="n">
        <f aca="false">(C193-'DCF Base Case'!$B$3)*(1-E193)+'DCF Base Case'!$B$3-G193</f>
        <v>0.134836630811213</v>
      </c>
      <c r="J193" s="24" t="n">
        <f aca="false">'DCF Base Case'!$B$2*(1+B193)^1*$I193-'DCF Base Case'!$B$2*(1+B193)^0*B193*'DCF Base Case'!$B$4</f>
        <v>21.0732738188822</v>
      </c>
      <c r="K193" s="24" t="n">
        <f aca="false">'DCF Base Case'!$B$2*(1+B193)^2*$I193-'DCF Base Case'!$B$2*(1+B193)^1*B193*'DCF Base Case'!$B$4</f>
        <v>23.1831397629066</v>
      </c>
      <c r="L193" s="24" t="n">
        <f aca="false">'DCF Base Case'!$B$2*(1+B193)^3*$I193-'DCF Base Case'!$B$2*(1+B193)^2*B193*'DCF Base Case'!$B$4</f>
        <v>25.5042464633514</v>
      </c>
      <c r="M193" s="24" t="n">
        <f aca="false">'DCF Base Case'!$B$2*(1+B193)^4*$I193-'DCF Base Case'!$B$2*(1+B193)^3*B193*'DCF Base Case'!$B$4</f>
        <v>28.0577434426777</v>
      </c>
      <c r="N193" s="24" t="n">
        <f aca="false">'DCF Base Case'!$B$2*(1+B193)^5*$I193-'DCF Base Case'!$B$2*(1+B193)^4*B193*'DCF Base Case'!$B$4</f>
        <v>30.86689772334</v>
      </c>
      <c r="O193" s="24" t="n">
        <f aca="false">J193/(1+H193)^1+K193/(1+H193)^2+L193/(1+H193)^3+M193/(1+H193)^4+N193/(1+H193)^5</f>
        <v>96.8071306654774</v>
      </c>
      <c r="P193" s="24" t="n">
        <f aca="false">N193*(1+F193)/(H193-F193)</f>
        <v>413.208555947719</v>
      </c>
      <c r="Q193" s="24" t="n">
        <f aca="false">O193+P193/(1+H193)^5</f>
        <v>357.84381030956</v>
      </c>
      <c r="R193" s="24" t="n">
        <f aca="false">Q193-'DCF Base Case'!$B$5</f>
        <v>172.84381030956</v>
      </c>
      <c r="S193" s="32" t="n">
        <f aca="false">R193/'DCF Base Case'!$B$6</f>
        <v>6.91375241238239</v>
      </c>
    </row>
    <row r="194" customFormat="false" ht="15" hidden="false" customHeight="true" outlineLevel="0" collapsed="false">
      <c r="A194" s="6" t="n">
        <v>193</v>
      </c>
      <c r="B194" s="30" t="n">
        <v>0.0956963343953324</v>
      </c>
      <c r="C194" s="30" t="n">
        <v>0.404725849516073</v>
      </c>
      <c r="D194" s="30" t="n">
        <v>0.0926759852290001</v>
      </c>
      <c r="E194" s="30" t="n">
        <v>0.282813546394223</v>
      </c>
      <c r="F194" s="30" t="n">
        <v>0.0193591421208328</v>
      </c>
      <c r="G194" s="30" t="n">
        <v>0.19945028794741</v>
      </c>
      <c r="H194" s="31" t="n">
        <f aca="false">MAX(D194,F194+0.015)</f>
        <v>0.0926759852290001</v>
      </c>
      <c r="I194" s="25" t="n">
        <f aca="false">(C194-'DCF Base Case'!$B$3)*(1-E194)+'DCF Base Case'!$B$3-G194</f>
        <v>0.127579369780857</v>
      </c>
      <c r="J194" s="24" t="n">
        <f aca="false">'DCF Base Case'!$B$2*(1+B194)^1*$I194-'DCF Base Case'!$B$2*(1+B194)^0*B194*'DCF Base Case'!$B$4</f>
        <v>19.8530168783163</v>
      </c>
      <c r="K194" s="24" t="n">
        <f aca="false">'DCF Base Case'!$B$2*(1+B194)^2*$I194-'DCF Base Case'!$B$2*(1+B194)^1*B194*'DCF Base Case'!$B$4</f>
        <v>21.7528778202598</v>
      </c>
      <c r="L194" s="24" t="n">
        <f aca="false">'DCF Base Case'!$B$2*(1+B194)^3*$I194-'DCF Base Case'!$B$2*(1+B194)^2*B194*'DCF Base Case'!$B$4</f>
        <v>23.8345484902082</v>
      </c>
      <c r="M194" s="24" t="n">
        <f aca="false">'DCF Base Case'!$B$2*(1+B194)^4*$I194-'DCF Base Case'!$B$2*(1+B194)^3*B194*'DCF Base Case'!$B$4</f>
        <v>26.1154274126889</v>
      </c>
      <c r="N194" s="24" t="n">
        <f aca="false">'DCF Base Case'!$B$2*(1+B194)^5*$I194-'DCF Base Case'!$B$2*(1+B194)^4*B194*'DCF Base Case'!$B$4</f>
        <v>28.6145780872506</v>
      </c>
      <c r="O194" s="24" t="n">
        <f aca="false">J194/(1+H194)^1+K194/(1+H194)^2+L194/(1+H194)^3+M194/(1+H194)^4+N194/(1+H194)^5</f>
        <v>91.349473355909</v>
      </c>
      <c r="P194" s="24" t="n">
        <f aca="false">N194*(1+F194)/(H194-F194)</f>
        <v>397.842167428511</v>
      </c>
      <c r="Q194" s="24" t="n">
        <f aca="false">O194+P194/(1+H194)^5</f>
        <v>346.768838344463</v>
      </c>
      <c r="R194" s="24" t="n">
        <f aca="false">Q194-'DCF Base Case'!$B$5</f>
        <v>161.768838344463</v>
      </c>
      <c r="S194" s="32" t="n">
        <f aca="false">R194/'DCF Base Case'!$B$6</f>
        <v>6.47075353377853</v>
      </c>
    </row>
    <row r="195" customFormat="false" ht="15" hidden="false" customHeight="true" outlineLevel="0" collapsed="false">
      <c r="A195" s="6" t="n">
        <v>194</v>
      </c>
      <c r="B195" s="30" t="n">
        <v>0.0459688895469489</v>
      </c>
      <c r="C195" s="30" t="n">
        <v>0.369299797232783</v>
      </c>
      <c r="D195" s="30" t="n">
        <v>0.0719422253098819</v>
      </c>
      <c r="E195" s="30" t="n">
        <v>0.270289463844624</v>
      </c>
      <c r="F195" s="30" t="n">
        <v>0.018361504230553</v>
      </c>
      <c r="G195" s="30" t="n">
        <v>0.136231278851644</v>
      </c>
      <c r="H195" s="31" t="n">
        <f aca="false">MAX(D195,F195+0.015)</f>
        <v>0.0719422253098819</v>
      </c>
      <c r="I195" s="25" t="n">
        <f aca="false">(C195-'DCF Base Case'!$B$3)*(1-E195)+'DCF Base Case'!$B$3-G195</f>
        <v>0.168388304488963</v>
      </c>
      <c r="J195" s="24" t="n">
        <f aca="false">'DCF Base Case'!$B$2*(1+B195)^1*$I195-'DCF Base Case'!$B$2*(1+B195)^0*B195*'DCF Base Case'!$B$4</f>
        <v>25.3387298700278</v>
      </c>
      <c r="K195" s="24" t="n">
        <f aca="false">'DCF Base Case'!$B$2*(1+B195)^2*$I195-'DCF Base Case'!$B$2*(1+B195)^1*B195*'DCF Base Case'!$B$4</f>
        <v>26.5035231446831</v>
      </c>
      <c r="L195" s="24" t="n">
        <f aca="false">'DCF Base Case'!$B$2*(1+B195)^3*$I195-'DCF Base Case'!$B$2*(1+B195)^2*B195*'DCF Base Case'!$B$4</f>
        <v>27.721860672726</v>
      </c>
      <c r="M195" s="24" t="n">
        <f aca="false">'DCF Base Case'!$B$2*(1+B195)^4*$I195-'DCF Base Case'!$B$2*(1+B195)^3*B195*'DCF Base Case'!$B$4</f>
        <v>28.9962038240265</v>
      </c>
      <c r="N195" s="24" t="n">
        <f aca="false">'DCF Base Case'!$B$2*(1+B195)^5*$I195-'DCF Base Case'!$B$2*(1+B195)^4*B195*'DCF Base Case'!$B$4</f>
        <v>30.329127114894</v>
      </c>
      <c r="O195" s="24" t="n">
        <f aca="false">J195/(1+H195)^1+K195/(1+H195)^2+L195/(1+H195)^3+M195/(1+H195)^4+N195/(1+H195)^5</f>
        <v>112.600288594853</v>
      </c>
      <c r="P195" s="24" t="n">
        <f aca="false">N195*(1+F195)/(H195-F195)</f>
        <v>576.438967011937</v>
      </c>
      <c r="Q195" s="24" t="n">
        <f aca="false">O195+P195/(1+H195)^5</f>
        <v>519.883433575274</v>
      </c>
      <c r="R195" s="24" t="n">
        <f aca="false">Q195-'DCF Base Case'!$B$5</f>
        <v>334.883433575274</v>
      </c>
      <c r="S195" s="32" t="n">
        <f aca="false">R195/'DCF Base Case'!$B$6</f>
        <v>13.3953373430109</v>
      </c>
    </row>
    <row r="196" customFormat="false" ht="15" hidden="false" customHeight="true" outlineLevel="0" collapsed="false">
      <c r="A196" s="6" t="n">
        <v>195</v>
      </c>
      <c r="B196" s="30" t="n">
        <v>0.0684844892674307</v>
      </c>
      <c r="C196" s="30" t="n">
        <v>0.38736698288906</v>
      </c>
      <c r="D196" s="30" t="n">
        <v>0.112031665012835</v>
      </c>
      <c r="E196" s="30" t="n">
        <v>0.331175792861306</v>
      </c>
      <c r="F196" s="30" t="n">
        <v>0.0177165906474987</v>
      </c>
      <c r="G196" s="30" t="n">
        <v>0.157846247011152</v>
      </c>
      <c r="H196" s="31" t="n">
        <f aca="false">MAX(D196,F196+0.015)</f>
        <v>0.112031665012835</v>
      </c>
      <c r="I196" s="25" t="n">
        <f aca="false">(C196-'DCF Base Case'!$B$3)*(1-E196)+'DCF Base Case'!$B$3-G196</f>
        <v>0.144287021263301</v>
      </c>
      <c r="J196" s="24" t="n">
        <f aca="false">'DCF Base Case'!$B$2*(1+B196)^1*$I196-'DCF Base Case'!$B$2*(1+B196)^0*B196*'DCF Base Case'!$B$4</f>
        <v>22.0565168839401</v>
      </c>
      <c r="K196" s="24" t="n">
        <f aca="false">'DCF Base Case'!$B$2*(1+B196)^2*$I196-'DCF Base Case'!$B$2*(1+B196)^1*B196*'DCF Base Case'!$B$4</f>
        <v>23.5670461777552</v>
      </c>
      <c r="L196" s="24" t="n">
        <f aca="false">'DCF Base Case'!$B$2*(1+B196)^3*$I196-'DCF Base Case'!$B$2*(1+B196)^2*B196*'DCF Base Case'!$B$4</f>
        <v>25.1810232987807</v>
      </c>
      <c r="M196" s="24" t="n">
        <f aca="false">'DCF Base Case'!$B$2*(1+B196)^4*$I196-'DCF Base Case'!$B$2*(1+B196)^3*B196*'DCF Base Case'!$B$4</f>
        <v>26.905532818629</v>
      </c>
      <c r="N196" s="24" t="n">
        <f aca="false">'DCF Base Case'!$B$2*(1+B196)^5*$I196-'DCF Base Case'!$B$2*(1+B196)^4*B196*'DCF Base Case'!$B$4</f>
        <v>28.7481444921809</v>
      </c>
      <c r="O196" s="24" t="n">
        <f aca="false">J196/(1+H196)^1+K196/(1+H196)^2+L196/(1+H196)^3+M196/(1+H196)^4+N196/(1+H196)^5</f>
        <v>91.7032489480825</v>
      </c>
      <c r="P196" s="24" t="n">
        <f aca="false">N196*(1+F196)/(H196-F196)</f>
        <v>310.209834397131</v>
      </c>
      <c r="Q196" s="24" t="n">
        <f aca="false">O196+P196/(1+H196)^5</f>
        <v>274.12213201685</v>
      </c>
      <c r="R196" s="24" t="n">
        <f aca="false">Q196-'DCF Base Case'!$B$5</f>
        <v>89.12213201685</v>
      </c>
      <c r="S196" s="32" t="n">
        <f aca="false">R196/'DCF Base Case'!$B$6</f>
        <v>3.564885280674</v>
      </c>
    </row>
    <row r="197" customFormat="false" ht="15" hidden="false" customHeight="true" outlineLevel="0" collapsed="false">
      <c r="A197" s="6" t="n">
        <v>196</v>
      </c>
      <c r="B197" s="30" t="n">
        <v>0.0650235825293648</v>
      </c>
      <c r="C197" s="30" t="n">
        <v>0.369254527474721</v>
      </c>
      <c r="D197" s="30" t="n">
        <v>0.0837143179495063</v>
      </c>
      <c r="E197" s="30" t="n">
        <v>0.258713264079676</v>
      </c>
      <c r="F197" s="30" t="n">
        <v>0.019032345721975</v>
      </c>
      <c r="G197" s="30" t="n">
        <v>0.134802224496568</v>
      </c>
      <c r="H197" s="31" t="n">
        <f aca="false">MAX(D197,F197+0.015)</f>
        <v>0.0837143179495063</v>
      </c>
      <c r="I197" s="25" t="n">
        <f aca="false">(C197-'DCF Base Case'!$B$3)*(1-E197)+'DCF Base Case'!$B$3-G197</f>
        <v>0.172553983229327</v>
      </c>
      <c r="J197" s="24" t="n">
        <f aca="false">'DCF Base Case'!$B$2*(1+B197)^1*$I197-'DCF Base Case'!$B$2*(1+B197)^0*B197*'DCF Base Case'!$B$4</f>
        <v>26.3643863187957</v>
      </c>
      <c r="K197" s="24" t="n">
        <f aca="false">'DCF Base Case'!$B$2*(1+B197)^2*$I197-'DCF Base Case'!$B$2*(1+B197)^1*B197*'DCF Base Case'!$B$4</f>
        <v>28.078693168432</v>
      </c>
      <c r="L197" s="24" t="n">
        <f aca="false">'DCF Base Case'!$B$2*(1+B197)^3*$I197-'DCF Base Case'!$B$2*(1+B197)^2*B197*'DCF Base Case'!$B$4</f>
        <v>29.9044703909863</v>
      </c>
      <c r="M197" s="24" t="n">
        <f aca="false">'DCF Base Case'!$B$2*(1+B197)^4*$I197-'DCF Base Case'!$B$2*(1+B197)^3*B197*'DCF Base Case'!$B$4</f>
        <v>31.8489661894515</v>
      </c>
      <c r="N197" s="24" t="n">
        <f aca="false">'DCF Base Case'!$B$2*(1+B197)^5*$I197-'DCF Base Case'!$B$2*(1+B197)^4*B197*'DCF Base Case'!$B$4</f>
        <v>33.9199000709463</v>
      </c>
      <c r="O197" s="24" t="n">
        <f aca="false">J197/(1+H197)^1+K197/(1+H197)^2+L197/(1+H197)^3+M197/(1+H197)^4+N197/(1+H197)^5</f>
        <v>117.514951257947</v>
      </c>
      <c r="P197" s="24" t="n">
        <f aca="false">N197*(1+F197)/(H197-F197)</f>
        <v>534.391178029647</v>
      </c>
      <c r="Q197" s="24" t="n">
        <f aca="false">O197+P197/(1+H197)^5</f>
        <v>475.022506024712</v>
      </c>
      <c r="R197" s="24" t="n">
        <f aca="false">Q197-'DCF Base Case'!$B$5</f>
        <v>290.022506024712</v>
      </c>
      <c r="S197" s="32" t="n">
        <f aca="false">R197/'DCF Base Case'!$B$6</f>
        <v>11.6009002409885</v>
      </c>
    </row>
    <row r="198" customFormat="false" ht="15" hidden="false" customHeight="true" outlineLevel="0" collapsed="false">
      <c r="A198" s="6" t="n">
        <v>197</v>
      </c>
      <c r="B198" s="30" t="n">
        <v>0.073394432488877</v>
      </c>
      <c r="C198" s="30" t="n">
        <v>0.411920303298428</v>
      </c>
      <c r="D198" s="30" t="n">
        <v>0.0890283055756233</v>
      </c>
      <c r="E198" s="30" t="n">
        <v>0.292139396026978</v>
      </c>
      <c r="F198" s="30" t="n">
        <v>0.0140415075787597</v>
      </c>
      <c r="G198" s="30" t="n">
        <v>0.185675439442461</v>
      </c>
      <c r="H198" s="31" t="n">
        <f aca="false">MAX(D198,F198+0.015)</f>
        <v>0.0890283055756233</v>
      </c>
      <c r="I198" s="25" t="n">
        <f aca="false">(C198-'DCF Base Case'!$B$3)*(1-E198)+'DCF Base Case'!$B$3-G198</f>
        <v>0.143884836722622</v>
      </c>
      <c r="J198" s="24" t="n">
        <f aca="false">'DCF Base Case'!$B$2*(1+B198)^1*$I198-'DCF Base Case'!$B$2*(1+B198)^0*B198*'DCF Base Case'!$B$4</f>
        <v>22.0752857040302</v>
      </c>
      <c r="K198" s="24" t="n">
        <f aca="false">'DCF Base Case'!$B$2*(1+B198)^2*$I198-'DCF Base Case'!$B$2*(1+B198)^1*B198*'DCF Base Case'!$B$4</f>
        <v>23.6954887703073</v>
      </c>
      <c r="L198" s="24" t="n">
        <f aca="false">'DCF Base Case'!$B$2*(1+B198)^3*$I198-'DCF Base Case'!$B$2*(1+B198)^2*B198*'DCF Base Case'!$B$4</f>
        <v>25.4346057211506</v>
      </c>
      <c r="M198" s="24" t="n">
        <f aca="false">'DCF Base Case'!$B$2*(1+B198)^4*$I198-'DCF Base Case'!$B$2*(1+B198)^3*B198*'DCF Base Case'!$B$4</f>
        <v>27.3013641736328</v>
      </c>
      <c r="N198" s="24" t="n">
        <f aca="false">'DCF Base Case'!$B$2*(1+B198)^5*$I198-'DCF Base Case'!$B$2*(1+B198)^4*B198*'DCF Base Case'!$B$4</f>
        <v>29.3051323033287</v>
      </c>
      <c r="O198" s="24" t="n">
        <f aca="false">J198/(1+H198)^1+K198/(1+H198)^2+L198/(1+H198)^3+M198/(1+H198)^4+N198/(1+H198)^5</f>
        <v>98.4845968788517</v>
      </c>
      <c r="P198" s="24" t="n">
        <f aca="false">N198*(1+F198)/(H198-F198)</f>
        <v>396.291365073428</v>
      </c>
      <c r="Q198" s="24" t="n">
        <f aca="false">O198+P198/(1+H198)^5</f>
        <v>357.197905400534</v>
      </c>
      <c r="R198" s="24" t="n">
        <f aca="false">Q198-'DCF Base Case'!$B$5</f>
        <v>172.197905400534</v>
      </c>
      <c r="S198" s="32" t="n">
        <f aca="false">R198/'DCF Base Case'!$B$6</f>
        <v>6.88791621602137</v>
      </c>
    </row>
    <row r="199" customFormat="false" ht="15" hidden="false" customHeight="true" outlineLevel="0" collapsed="false">
      <c r="A199" s="6" t="n">
        <v>198</v>
      </c>
      <c r="B199" s="30" t="n">
        <v>0.0725418251684905</v>
      </c>
      <c r="C199" s="30" t="n">
        <v>0.421155012503467</v>
      </c>
      <c r="D199" s="30" t="n">
        <v>0.0848829745571999</v>
      </c>
      <c r="E199" s="30" t="n">
        <v>0.253622476492023</v>
      </c>
      <c r="F199" s="30" t="n">
        <v>0.0181109240760859</v>
      </c>
      <c r="G199" s="30" t="n">
        <v>0.173691040732143</v>
      </c>
      <c r="H199" s="31" t="n">
        <f aca="false">MAX(D199,F199+0.015)</f>
        <v>0.0848829745571999</v>
      </c>
      <c r="I199" s="25" t="n">
        <f aca="false">(C199-'DCF Base Case'!$B$3)*(1-E199)+'DCF Base Case'!$B$3-G199</f>
        <v>0.173620516457129</v>
      </c>
      <c r="J199" s="24" t="n">
        <f aca="false">'DCF Base Case'!$B$2*(1+B199)^1*$I199-'DCF Base Case'!$B$2*(1+B199)^0*B199*'DCF Base Case'!$B$4</f>
        <v>26.6856565736227</v>
      </c>
      <c r="K199" s="24" t="n">
        <f aca="false">'DCF Base Case'!$B$2*(1+B199)^2*$I199-'DCF Base Case'!$B$2*(1+B199)^1*B199*'DCF Base Case'!$B$4</f>
        <v>28.6214828072928</v>
      </c>
      <c r="L199" s="24" t="n">
        <f aca="false">'DCF Base Case'!$B$2*(1+B199)^3*$I199-'DCF Base Case'!$B$2*(1+B199)^2*B199*'DCF Base Case'!$B$4</f>
        <v>30.6977374091624</v>
      </c>
      <c r="M199" s="24" t="n">
        <f aca="false">'DCF Base Case'!$B$2*(1+B199)^4*$I199-'DCF Base Case'!$B$2*(1+B199)^3*B199*'DCF Base Case'!$B$4</f>
        <v>32.9246073093661</v>
      </c>
      <c r="N199" s="24" t="n">
        <f aca="false">'DCF Base Case'!$B$2*(1+B199)^5*$I199-'DCF Base Case'!$B$2*(1+B199)^4*B199*'DCF Base Case'!$B$4</f>
        <v>35.3130184165433</v>
      </c>
      <c r="O199" s="24" t="n">
        <f aca="false">J199/(1+H199)^1+K199/(1+H199)^2+L199/(1+H199)^3+M199/(1+H199)^4+N199/(1+H199)^5</f>
        <v>120.222161930517</v>
      </c>
      <c r="P199" s="24" t="n">
        <f aca="false">N199*(1+F199)/(H199-F199)</f>
        <v>538.437408360729</v>
      </c>
      <c r="Q199" s="24" t="n">
        <f aca="false">O199+P199/(1+H199)^5</f>
        <v>478.500669625184</v>
      </c>
      <c r="R199" s="24" t="n">
        <f aca="false">Q199-'DCF Base Case'!$B$5</f>
        <v>293.500669625184</v>
      </c>
      <c r="S199" s="32" t="n">
        <f aca="false">R199/'DCF Base Case'!$B$6</f>
        <v>11.7400267850074</v>
      </c>
    </row>
    <row r="200" customFormat="false" ht="15" hidden="false" customHeight="true" outlineLevel="0" collapsed="false">
      <c r="A200" s="6" t="n">
        <v>199</v>
      </c>
      <c r="B200" s="30" t="n">
        <v>0.103261082251836</v>
      </c>
      <c r="C200" s="30" t="n">
        <v>0.416543568559212</v>
      </c>
      <c r="D200" s="30" t="n">
        <v>0.101849567796612</v>
      </c>
      <c r="E200" s="30" t="n">
        <v>0.310594893067506</v>
      </c>
      <c r="F200" s="30" t="n">
        <v>0.0183532333299583</v>
      </c>
      <c r="G200" s="30" t="n">
        <v>0.18312800478479</v>
      </c>
      <c r="H200" s="31" t="n">
        <f aca="false">MAX(D200,F200+0.015)</f>
        <v>0.101849567796612</v>
      </c>
      <c r="I200" s="25" t="n">
        <f aca="false">(C200-'DCF Base Case'!$B$3)*(1-E200)+'DCF Base Case'!$B$3-G200</f>
        <v>0.144416594738592</v>
      </c>
      <c r="J200" s="24" t="n">
        <f aca="false">'DCF Base Case'!$B$2*(1+B200)^1*$I200-'DCF Base Case'!$B$2*(1+B200)^0*B200*'DCF Base Case'!$B$4</f>
        <v>22.653549540136</v>
      </c>
      <c r="K200" s="24" t="n">
        <f aca="false">'DCF Base Case'!$B$2*(1+B200)^2*$I200-'DCF Base Case'!$B$2*(1+B200)^1*B200*'DCF Base Case'!$B$4</f>
        <v>24.992779582496</v>
      </c>
      <c r="L200" s="24" t="n">
        <f aca="false">'DCF Base Case'!$B$2*(1+B200)^3*$I200-'DCF Base Case'!$B$2*(1+B200)^2*B200*'DCF Base Case'!$B$4</f>
        <v>27.5735610506661</v>
      </c>
      <c r="M200" s="24" t="n">
        <f aca="false">'DCF Base Case'!$B$2*(1+B200)^4*$I200-'DCF Base Case'!$B$2*(1+B200)^3*B200*'DCF Base Case'!$B$4</f>
        <v>30.420836806295</v>
      </c>
      <c r="N200" s="24" t="n">
        <f aca="false">'DCF Base Case'!$B$2*(1+B200)^5*$I200-'DCF Base Case'!$B$2*(1+B200)^4*B200*'DCF Base Case'!$B$4</f>
        <v>33.5621253379195</v>
      </c>
      <c r="O200" s="24" t="n">
        <f aca="false">J200/(1+H200)^1+K200/(1+H200)^2+L200/(1+H200)^3+M200/(1+H200)^4+N200/(1+H200)^5</f>
        <v>103.061546940318</v>
      </c>
      <c r="P200" s="24" t="n">
        <f aca="false">N200*(1+F200)/(H200-F200)</f>
        <v>409.336518466514</v>
      </c>
      <c r="Q200" s="24" t="n">
        <f aca="false">O200+P200/(1+H200)^5</f>
        <v>355.101252280386</v>
      </c>
      <c r="R200" s="24" t="n">
        <f aca="false">Q200-'DCF Base Case'!$B$5</f>
        <v>170.101252280386</v>
      </c>
      <c r="S200" s="32" t="n">
        <f aca="false">R200/'DCF Base Case'!$B$6</f>
        <v>6.80405009121544</v>
      </c>
    </row>
    <row r="201" customFormat="false" ht="15" hidden="false" customHeight="true" outlineLevel="0" collapsed="false">
      <c r="A201" s="6" t="n">
        <v>200</v>
      </c>
      <c r="B201" s="30" t="n">
        <v>0.128474102624654</v>
      </c>
      <c r="C201" s="30" t="n">
        <v>0.455109114232224</v>
      </c>
      <c r="D201" s="30" t="n">
        <v>0.0714920013109525</v>
      </c>
      <c r="E201" s="30" t="n">
        <v>0.259737930431181</v>
      </c>
      <c r="F201" s="30" t="n">
        <v>0.0244953826604268</v>
      </c>
      <c r="G201" s="30" t="n">
        <v>0.144080171481741</v>
      </c>
      <c r="H201" s="31" t="n">
        <f aca="false">MAX(D201,F201+0.015)</f>
        <v>0.0714920013109525</v>
      </c>
      <c r="I201" s="25" t="n">
        <f aca="false">(C201-'DCF Base Case'!$B$3)*(1-E201)+'DCF Base Case'!$B$3-G201</f>
        <v>0.226585774255491</v>
      </c>
      <c r="J201" s="24" t="n">
        <f aca="false">'DCF Base Case'!$B$2*(1+B201)^1*$I201-'DCF Base Case'!$B$2*(1+B201)^0*B201*'DCF Base Case'!$B$4</f>
        <v>36.517083502802</v>
      </c>
      <c r="K201" s="24" t="n">
        <f aca="false">'DCF Base Case'!$B$2*(1+B201)^2*$I201-'DCF Base Case'!$B$2*(1+B201)^1*B201*'DCF Base Case'!$B$4</f>
        <v>41.208583036294</v>
      </c>
      <c r="L201" s="24" t="n">
        <f aca="false">'DCF Base Case'!$B$2*(1+B201)^3*$I201-'DCF Base Case'!$B$2*(1+B201)^2*B201*'DCF Base Case'!$B$4</f>
        <v>46.5028187623154</v>
      </c>
      <c r="M201" s="24" t="n">
        <f aca="false">'DCF Base Case'!$B$2*(1+B201)^4*$I201-'DCF Base Case'!$B$2*(1+B201)^3*B201*'DCF Base Case'!$B$4</f>
        <v>52.4772266723208</v>
      </c>
      <c r="N201" s="24" t="n">
        <f aca="false">'DCF Base Case'!$B$2*(1+B201)^5*$I201-'DCF Base Case'!$B$2*(1+B201)^4*B201*'DCF Base Case'!$B$4</f>
        <v>59.2191912772778</v>
      </c>
      <c r="O201" s="24" t="n">
        <f aca="false">J201/(1+H201)^1+K201/(1+H201)^2+L201/(1+H201)^3+M201/(1+H201)^4+N201/(1+H201)^5</f>
        <v>189.51682185788</v>
      </c>
      <c r="P201" s="24" t="n">
        <f aca="false">N201*(1+F201)/(H201-F201)</f>
        <v>1290.93942863434</v>
      </c>
      <c r="Q201" s="24" t="n">
        <f aca="false">O201+P201/(1+H201)^5</f>
        <v>1103.54839682989</v>
      </c>
      <c r="R201" s="24" t="n">
        <f aca="false">Q201-'DCF Base Case'!$B$5</f>
        <v>918.548396829889</v>
      </c>
      <c r="S201" s="32" t="n">
        <f aca="false">R201/'DCF Base Case'!$B$6</f>
        <v>36.7419358731956</v>
      </c>
    </row>
    <row r="202" customFormat="false" ht="15" hidden="false" customHeight="true" outlineLevel="0" collapsed="false">
      <c r="A202" s="6" t="n">
        <v>201</v>
      </c>
      <c r="B202" s="30" t="n">
        <v>0.0615631642902186</v>
      </c>
      <c r="C202" s="30" t="n">
        <v>0.392792314056126</v>
      </c>
      <c r="D202" s="30" t="n">
        <v>0.0896224938042205</v>
      </c>
      <c r="E202" s="30" t="n">
        <v>0.276830927971587</v>
      </c>
      <c r="F202" s="30" t="n">
        <v>0.016714999576329</v>
      </c>
      <c r="G202" s="30" t="n">
        <v>0.151628349562985</v>
      </c>
      <c r="H202" s="31" t="n">
        <f aca="false">MAX(D202,F202+0.015)</f>
        <v>0.0896224938042205</v>
      </c>
      <c r="I202" s="25" t="n">
        <f aca="false">(C202-'DCF Base Case'!$B$3)*(1-E202)+'DCF Base Case'!$B$3-G202</f>
        <v>0.168414924329183</v>
      </c>
      <c r="J202" s="24" t="n">
        <f aca="false">'DCF Base Case'!$B$2*(1+B202)^1*$I202-'DCF Base Case'!$B$2*(1+B202)^0*B202*'DCF Base Case'!$B$4</f>
        <v>25.6557468331024</v>
      </c>
      <c r="K202" s="24" t="n">
        <f aca="false">'DCF Base Case'!$B$2*(1+B202)^2*$I202-'DCF Base Case'!$B$2*(1+B202)^1*B202*'DCF Base Case'!$B$4</f>
        <v>27.2351957903769</v>
      </c>
      <c r="L202" s="24" t="n">
        <f aca="false">'DCF Base Case'!$B$2*(1+B202)^3*$I202-'DCF Base Case'!$B$2*(1+B202)^2*B202*'DCF Base Case'!$B$4</f>
        <v>28.9118806232962</v>
      </c>
      <c r="M202" s="24" t="n">
        <f aca="false">'DCF Base Case'!$B$2*(1+B202)^4*$I202-'DCF Base Case'!$B$2*(1+B202)^3*B202*'DCF Base Case'!$B$4</f>
        <v>30.6917874800473</v>
      </c>
      <c r="N202" s="24" t="n">
        <f aca="false">'DCF Base Case'!$B$2*(1+B202)^5*$I202-'DCF Base Case'!$B$2*(1+B202)^4*B202*'DCF Base Case'!$B$4</f>
        <v>32.581271035042</v>
      </c>
      <c r="O202" s="24" t="n">
        <f aca="false">J202/(1+H202)^1+K202/(1+H202)^2+L202/(1+H202)^3+M202/(1+H202)^4+N202/(1+H202)^5</f>
        <v>111.818513443263</v>
      </c>
      <c r="P202" s="24" t="n">
        <f aca="false">N202*(1+F202)/(H202-F202)</f>
        <v>454.354758964084</v>
      </c>
      <c r="Q202" s="24" t="n">
        <f aca="false">O202+P202/(1+H202)^5</f>
        <v>407.629827585857</v>
      </c>
      <c r="R202" s="24" t="n">
        <f aca="false">Q202-'DCF Base Case'!$B$5</f>
        <v>222.629827585857</v>
      </c>
      <c r="S202" s="32" t="n">
        <f aca="false">R202/'DCF Base Case'!$B$6</f>
        <v>8.90519310343426</v>
      </c>
    </row>
    <row r="203" customFormat="false" ht="15" hidden="false" customHeight="true" outlineLevel="0" collapsed="false">
      <c r="A203" s="6" t="n">
        <v>202</v>
      </c>
      <c r="B203" s="30" t="n">
        <v>0.0745056545188344</v>
      </c>
      <c r="C203" s="30" t="n">
        <v>0.389146979060762</v>
      </c>
      <c r="D203" s="30" t="n">
        <v>0.110097961650037</v>
      </c>
      <c r="E203" s="30" t="n">
        <v>0.288420149671424</v>
      </c>
      <c r="F203" s="30" t="n">
        <v>0.0225378364825564</v>
      </c>
      <c r="G203" s="30" t="n">
        <v>0.155349309829056</v>
      </c>
      <c r="H203" s="31" t="n">
        <f aca="false">MAX(D203,F203+0.015)</f>
        <v>0.110097961650037</v>
      </c>
      <c r="I203" s="25" t="n">
        <f aca="false">(C203-'DCF Base Case'!$B$3)*(1-E203)+'DCF Base Case'!$B$3-G203</f>
        <v>0.159054458744104</v>
      </c>
      <c r="J203" s="24" t="n">
        <f aca="false">'DCF Base Case'!$B$2*(1+B203)^1*$I203-'DCF Base Case'!$B$2*(1+B203)^0*B203*'DCF Base Case'!$B$4</f>
        <v>24.457113120904</v>
      </c>
      <c r="K203" s="24" t="n">
        <f aca="false">'DCF Base Case'!$B$2*(1+B203)^2*$I203-'DCF Base Case'!$B$2*(1+B203)^1*B203*'DCF Base Case'!$B$4</f>
        <v>26.2793063416182</v>
      </c>
      <c r="L203" s="24" t="n">
        <f aca="false">'DCF Base Case'!$B$2*(1+B203)^3*$I203-'DCF Base Case'!$B$2*(1+B203)^2*B203*'DCF Base Case'!$B$4</f>
        <v>28.2372632609014</v>
      </c>
      <c r="M203" s="24" t="n">
        <f aca="false">'DCF Base Case'!$B$2*(1+B203)^4*$I203-'DCF Base Case'!$B$2*(1+B203)^3*B203*'DCF Base Case'!$B$4</f>
        <v>30.3410990419755</v>
      </c>
      <c r="N203" s="24" t="n">
        <f aca="false">'DCF Base Case'!$B$2*(1+B203)^5*$I203-'DCF Base Case'!$B$2*(1+B203)^4*B203*'DCF Base Case'!$B$4</f>
        <v>32.6016824849186</v>
      </c>
      <c r="O203" s="24" t="n">
        <f aca="false">J203/(1+H203)^1+K203/(1+H203)^2+L203/(1+H203)^3+M203/(1+H203)^4+N203/(1+H203)^5</f>
        <v>103.316523526158</v>
      </c>
      <c r="P203" s="24" t="n">
        <f aca="false">N203*(1+F203)/(H203-F203)</f>
        <v>380.726430096527</v>
      </c>
      <c r="Q203" s="24" t="n">
        <f aca="false">O203+P203/(1+H203)^5</f>
        <v>329.159454087118</v>
      </c>
      <c r="R203" s="24" t="n">
        <f aca="false">Q203-'DCF Base Case'!$B$5</f>
        <v>144.159454087118</v>
      </c>
      <c r="S203" s="32" t="n">
        <f aca="false">R203/'DCF Base Case'!$B$6</f>
        <v>5.76637816348473</v>
      </c>
    </row>
    <row r="204" customFormat="false" ht="15" hidden="false" customHeight="true" outlineLevel="0" collapsed="false">
      <c r="A204" s="6" t="n">
        <v>203</v>
      </c>
      <c r="B204" s="30" t="n">
        <v>0.0861648875033426</v>
      </c>
      <c r="C204" s="30" t="n">
        <v>0.397279337886513</v>
      </c>
      <c r="D204" s="30" t="n">
        <v>0.0558312083158888</v>
      </c>
      <c r="E204" s="30" t="n">
        <v>0.253602222846245</v>
      </c>
      <c r="F204" s="30" t="n">
        <v>0.0124784049561368</v>
      </c>
      <c r="G204" s="30" t="n">
        <v>0.126994665721012</v>
      </c>
      <c r="H204" s="31" t="n">
        <f aca="false">MAX(D204,F204+0.015)</f>
        <v>0.0558312083158888</v>
      </c>
      <c r="I204" s="25" t="n">
        <f aca="false">(C204-'DCF Base Case'!$B$3)*(1-E204)+'DCF Base Case'!$B$3-G204</f>
        <v>0.202502037956609</v>
      </c>
      <c r="J204" s="24" t="n">
        <f aca="false">'DCF Base Case'!$B$2*(1+B204)^1*$I204-'DCF Base Case'!$B$2*(1+B204)^0*B204*'DCF Base Case'!$B$4</f>
        <v>31.5180202144294</v>
      </c>
      <c r="K204" s="24" t="n">
        <f aca="false">'DCF Base Case'!$B$2*(1+B204)^2*$I204-'DCF Base Case'!$B$2*(1+B204)^1*B204*'DCF Base Case'!$B$4</f>
        <v>34.2337668805338</v>
      </c>
      <c r="L204" s="24" t="n">
        <f aca="false">'DCF Base Case'!$B$2*(1+B204)^3*$I204-'DCF Base Case'!$B$2*(1+B204)^2*B204*'DCF Base Case'!$B$4</f>
        <v>37.1835155526106</v>
      </c>
      <c r="M204" s="24" t="n">
        <f aca="false">'DCF Base Case'!$B$2*(1+B204)^4*$I204-'DCF Base Case'!$B$2*(1+B204)^3*B204*'DCF Base Case'!$B$4</f>
        <v>40.3874289871801</v>
      </c>
      <c r="N204" s="24" t="n">
        <f aca="false">'DCF Base Case'!$B$2*(1+B204)^5*$I204-'DCF Base Case'!$B$2*(1+B204)^4*B204*'DCF Base Case'!$B$4</f>
        <v>43.8674072624097</v>
      </c>
      <c r="O204" s="24" t="n">
        <f aca="false">J204/(1+H204)^1+K204/(1+H204)^2+L204/(1+H204)^3+M204/(1+H204)^4+N204/(1+H204)^5</f>
        <v>158.083061277189</v>
      </c>
      <c r="P204" s="24" t="n">
        <f aca="false">N204*(1+F204)/(H204-F204)</f>
        <v>1024.49666671013</v>
      </c>
      <c r="Q204" s="24" t="n">
        <f aca="false">O204+P204/(1+H204)^5</f>
        <v>938.87995331392</v>
      </c>
      <c r="R204" s="24" t="n">
        <f aca="false">Q204-'DCF Base Case'!$B$5</f>
        <v>753.87995331392</v>
      </c>
      <c r="S204" s="32" t="n">
        <f aca="false">R204/'DCF Base Case'!$B$6</f>
        <v>30.1551981325568</v>
      </c>
    </row>
    <row r="205" customFormat="false" ht="15" hidden="false" customHeight="true" outlineLevel="0" collapsed="false">
      <c r="A205" s="6" t="n">
        <v>204</v>
      </c>
      <c r="B205" s="30" t="n">
        <v>0.0640804281179034</v>
      </c>
      <c r="C205" s="30" t="n">
        <v>0.431342181629515</v>
      </c>
      <c r="D205" s="30" t="n">
        <v>0.0845112021552521</v>
      </c>
      <c r="E205" s="30" t="n">
        <v>0.318784103522953</v>
      </c>
      <c r="F205" s="30" t="n">
        <v>0.0208144765726089</v>
      </c>
      <c r="G205" s="30" t="n">
        <v>0.183921492756458</v>
      </c>
      <c r="H205" s="31" t="n">
        <f aca="false">MAX(D205,F205+0.015)</f>
        <v>0.0845112021552521</v>
      </c>
      <c r="I205" s="25" t="n">
        <f aca="false">(C205-'DCF Base Case'!$B$3)*(1-E205)+'DCF Base Case'!$B$3-G205</f>
        <v>0.151357591648641</v>
      </c>
      <c r="J205" s="24" t="n">
        <f aca="false">'DCF Base Case'!$B$2*(1+B205)^1*$I205-'DCF Base Case'!$B$2*(1+B205)^0*B205*'DCF Base Case'!$B$4</f>
        <v>23.0744645211423</v>
      </c>
      <c r="K205" s="24" t="n">
        <f aca="false">'DCF Base Case'!$B$2*(1+B205)^2*$I205-'DCF Base Case'!$B$2*(1+B205)^1*B205*'DCF Base Case'!$B$4</f>
        <v>24.5530860862485</v>
      </c>
      <c r="L205" s="24" t="n">
        <f aca="false">'DCF Base Case'!$B$2*(1+B205)^3*$I205-'DCF Base Case'!$B$2*(1+B205)^2*B205*'DCF Base Case'!$B$4</f>
        <v>26.1264583542711</v>
      </c>
      <c r="M205" s="24" t="n">
        <f aca="false">'DCF Base Case'!$B$2*(1+B205)^4*$I205-'DCF Base Case'!$B$2*(1+B205)^3*B205*'DCF Base Case'!$B$4</f>
        <v>27.8006529908173</v>
      </c>
      <c r="N205" s="24" t="n">
        <f aca="false">'DCF Base Case'!$B$2*(1+B205)^5*$I205-'DCF Base Case'!$B$2*(1+B205)^4*B205*'DCF Base Case'!$B$4</f>
        <v>29.5821307364262</v>
      </c>
      <c r="O205" s="24" t="n">
        <f aca="false">J205/(1+H205)^1+K205/(1+H205)^2+L205/(1+H205)^3+M205/(1+H205)^4+N205/(1+H205)^5</f>
        <v>102.44847332735</v>
      </c>
      <c r="P205" s="24" t="n">
        <f aca="false">N205*(1+F205)/(H205-F205)</f>
        <v>474.088220821135</v>
      </c>
      <c r="Q205" s="24" t="n">
        <f aca="false">O205+P205/(1+H205)^5</f>
        <v>418.449834618163</v>
      </c>
      <c r="R205" s="24" t="n">
        <f aca="false">Q205-'DCF Base Case'!$B$5</f>
        <v>233.449834618163</v>
      </c>
      <c r="S205" s="32" t="n">
        <f aca="false">R205/'DCF Base Case'!$B$6</f>
        <v>9.33799338472653</v>
      </c>
    </row>
    <row r="206" customFormat="false" ht="15" hidden="false" customHeight="true" outlineLevel="0" collapsed="false">
      <c r="A206" s="6" t="n">
        <v>205</v>
      </c>
      <c r="B206" s="30" t="n">
        <v>0.0703167894469885</v>
      </c>
      <c r="C206" s="30" t="n">
        <v>0.418463086645931</v>
      </c>
      <c r="D206" s="30" t="n">
        <v>0.0930158565748178</v>
      </c>
      <c r="E206" s="30" t="n">
        <v>0.26569507628362</v>
      </c>
      <c r="F206" s="30" t="n">
        <v>0.0213529344564978</v>
      </c>
      <c r="G206" s="30" t="n">
        <v>0.178601951109648</v>
      </c>
      <c r="H206" s="31" t="n">
        <f aca="false">MAX(D206,F206+0.015)</f>
        <v>0.0930158565748178</v>
      </c>
      <c r="I206" s="25" t="n">
        <f aca="false">(C206-'DCF Base Case'!$B$3)*(1-E206)+'DCF Base Case'!$B$3-G206</f>
        <v>0.163217913724884</v>
      </c>
      <c r="J206" s="24" t="n">
        <f aca="false">'DCF Base Case'!$B$2*(1+B206)^1*$I206-'DCF Base Case'!$B$2*(1+B206)^0*B206*'DCF Base Case'!$B$4</f>
        <v>25.0248786086523</v>
      </c>
      <c r="K206" s="24" t="n">
        <f aca="false">'DCF Base Case'!$B$2*(1+B206)^2*$I206-'DCF Base Case'!$B$2*(1+B206)^1*B206*'DCF Base Case'!$B$4</f>
        <v>26.7845477287134</v>
      </c>
      <c r="L206" s="24" t="n">
        <f aca="false">'DCF Base Case'!$B$2*(1+B206)^3*$I206-'DCF Base Case'!$B$2*(1+B206)^2*B206*'DCF Base Case'!$B$4</f>
        <v>28.6679511317861</v>
      </c>
      <c r="M206" s="24" t="n">
        <f aca="false">'DCF Base Case'!$B$2*(1+B206)^4*$I206-'DCF Base Case'!$B$2*(1+B206)^3*B206*'DCF Base Case'!$B$4</f>
        <v>30.6837894153965</v>
      </c>
      <c r="N206" s="24" t="n">
        <f aca="false">'DCF Base Case'!$B$2*(1+B206)^5*$I206-'DCF Base Case'!$B$2*(1+B206)^4*B206*'DCF Base Case'!$B$4</f>
        <v>32.8413749751547</v>
      </c>
      <c r="O206" s="24" t="n">
        <f aca="false">J206/(1+H206)^1+K206/(1+H206)^2+L206/(1+H206)^3+M206/(1+H206)^4+N206/(1+H206)^5</f>
        <v>109.819262759278</v>
      </c>
      <c r="P206" s="24" t="n">
        <f aca="false">N206*(1+F206)/(H206-F206)</f>
        <v>468.061219260351</v>
      </c>
      <c r="Q206" s="24" t="n">
        <f aca="false">O206+P206/(1+H206)^5</f>
        <v>409.853176888253</v>
      </c>
      <c r="R206" s="24" t="n">
        <f aca="false">Q206-'DCF Base Case'!$B$5</f>
        <v>224.853176888253</v>
      </c>
      <c r="S206" s="32" t="n">
        <f aca="false">R206/'DCF Base Case'!$B$6</f>
        <v>8.99412707553013</v>
      </c>
    </row>
    <row r="207" customFormat="false" ht="15" hidden="false" customHeight="true" outlineLevel="0" collapsed="false">
      <c r="A207" s="6" t="n">
        <v>206</v>
      </c>
      <c r="B207" s="30" t="n">
        <v>0.0781649794638315</v>
      </c>
      <c r="C207" s="30" t="n">
        <v>0.385305972562993</v>
      </c>
      <c r="D207" s="30" t="n">
        <v>0.071974588349119</v>
      </c>
      <c r="E207" s="30" t="n">
        <v>0.282112081146038</v>
      </c>
      <c r="F207" s="30" t="n">
        <v>0.0205141059893312</v>
      </c>
      <c r="G207" s="30" t="n">
        <v>0.149259327967351</v>
      </c>
      <c r="H207" s="31" t="n">
        <f aca="false">MAX(D207,F207+0.015)</f>
        <v>0.071974588349119</v>
      </c>
      <c r="I207" s="25" t="n">
        <f aca="false">(C207-'DCF Base Case'!$B$3)*(1-E207)+'DCF Base Case'!$B$3-G207</f>
        <v>0.164021745346883</v>
      </c>
      <c r="J207" s="24" t="n">
        <f aca="false">'DCF Base Case'!$B$2*(1+B207)^1*$I207-'DCF Base Case'!$B$2*(1+B207)^0*B207*'DCF Base Case'!$B$4</f>
        <v>25.3021450863462</v>
      </c>
      <c r="K207" s="24" t="n">
        <f aca="false">'DCF Base Case'!$B$2*(1+B207)^2*$I207-'DCF Base Case'!$B$2*(1+B207)^1*B207*'DCF Base Case'!$B$4</f>
        <v>27.2798867374113</v>
      </c>
      <c r="L207" s="24" t="n">
        <f aca="false">'DCF Base Case'!$B$2*(1+B207)^3*$I207-'DCF Base Case'!$B$2*(1+B207)^2*B207*'DCF Base Case'!$B$4</f>
        <v>29.4122185240167</v>
      </c>
      <c r="M207" s="24" t="n">
        <f aca="false">'DCF Base Case'!$B$2*(1+B207)^4*$I207-'DCF Base Case'!$B$2*(1+B207)^3*B207*'DCF Base Case'!$B$4</f>
        <v>31.7112239809322</v>
      </c>
      <c r="N207" s="24" t="n">
        <f aca="false">'DCF Base Case'!$B$2*(1+B207)^5*$I207-'DCF Base Case'!$B$2*(1+B207)^4*B207*'DCF Base Case'!$B$4</f>
        <v>34.1899311521747</v>
      </c>
      <c r="O207" s="24" t="n">
        <f aca="false">J207/(1+H207)^1+K207/(1+H207)^2+L207/(1+H207)^3+M207/(1+H207)^4+N207/(1+H207)^5</f>
        <v>119.387461166792</v>
      </c>
      <c r="P207" s="24" t="n">
        <f aca="false">N207*(1+F207)/(H207-F207)</f>
        <v>678.021375308038</v>
      </c>
      <c r="Q207" s="24" t="n">
        <f aca="false">O207+P207/(1+H207)^5</f>
        <v>598.371381257416</v>
      </c>
      <c r="R207" s="24" t="n">
        <f aca="false">Q207-'DCF Base Case'!$B$5</f>
        <v>413.371381257416</v>
      </c>
      <c r="S207" s="32" t="n">
        <f aca="false">R207/'DCF Base Case'!$B$6</f>
        <v>16.5348552502966</v>
      </c>
    </row>
    <row r="208" customFormat="false" ht="15" hidden="false" customHeight="true" outlineLevel="0" collapsed="false">
      <c r="A208" s="6" t="n">
        <v>207</v>
      </c>
      <c r="B208" s="30" t="n">
        <v>0.0905330801177318</v>
      </c>
      <c r="C208" s="30" t="n">
        <v>0.425747703861119</v>
      </c>
      <c r="D208" s="30" t="n">
        <v>0.0918000978613183</v>
      </c>
      <c r="E208" s="30" t="n">
        <v>0.32555782319598</v>
      </c>
      <c r="F208" s="30" t="n">
        <v>0.0238626119846228</v>
      </c>
      <c r="G208" s="30" t="n">
        <v>0.145166880362162</v>
      </c>
      <c r="H208" s="31" t="n">
        <f aca="false">MAX(D208,F208+0.015)</f>
        <v>0.0918000978613183</v>
      </c>
      <c r="I208" s="25" t="n">
        <f aca="false">(C208-'DCF Base Case'!$B$3)*(1-E208)+'DCF Base Case'!$B$3-G208</f>
        <v>0.184297844814722</v>
      </c>
      <c r="J208" s="24" t="n">
        <f aca="false">'DCF Base Case'!$B$2*(1+B208)^1*$I208-'DCF Base Case'!$B$2*(1+B208)^0*B208*'DCF Base Case'!$B$4</f>
        <v>28.7487010743923</v>
      </c>
      <c r="K208" s="24" t="n">
        <f aca="false">'DCF Base Case'!$B$2*(1+B208)^2*$I208-'DCF Base Case'!$B$2*(1+B208)^1*B208*'DCF Base Case'!$B$4</f>
        <v>31.351409532041</v>
      </c>
      <c r="L208" s="24" t="n">
        <f aca="false">'DCF Base Case'!$B$2*(1+B208)^3*$I208-'DCF Base Case'!$B$2*(1+B208)^2*B208*'DCF Base Case'!$B$4</f>
        <v>34.1897492030091</v>
      </c>
      <c r="M208" s="24" t="n">
        <f aca="false">'DCF Base Case'!$B$2*(1+B208)^4*$I208-'DCF Base Case'!$B$2*(1+B208)^3*B208*'DCF Base Case'!$B$4</f>
        <v>37.2850525068103</v>
      </c>
      <c r="N208" s="24" t="n">
        <f aca="false">'DCF Base Case'!$B$2*(1+B208)^5*$I208-'DCF Base Case'!$B$2*(1+B208)^4*B208*'DCF Base Case'!$B$4</f>
        <v>40.6605831526031</v>
      </c>
      <c r="O208" s="24" t="n">
        <f aca="false">J208/(1+H208)^1+K208/(1+H208)^2+L208/(1+H208)^3+M208/(1+H208)^4+N208/(1+H208)^5</f>
        <v>131.352129572598</v>
      </c>
      <c r="P208" s="24" t="n">
        <f aca="false">N208*(1+F208)/(H208-F208)</f>
        <v>612.781740952277</v>
      </c>
      <c r="Q208" s="24" t="n">
        <f aca="false">O208+P208/(1+H208)^5</f>
        <v>526.345832134865</v>
      </c>
      <c r="R208" s="24" t="n">
        <f aca="false">Q208-'DCF Base Case'!$B$5</f>
        <v>341.345832134865</v>
      </c>
      <c r="S208" s="32" t="n">
        <f aca="false">R208/'DCF Base Case'!$B$6</f>
        <v>13.6538332853946</v>
      </c>
    </row>
    <row r="209" customFormat="false" ht="15" hidden="false" customHeight="true" outlineLevel="0" collapsed="false">
      <c r="A209" s="6" t="n">
        <v>208</v>
      </c>
      <c r="B209" s="30" t="n">
        <v>0.124812697268112</v>
      </c>
      <c r="C209" s="30" t="n">
        <v>0.416741339013506</v>
      </c>
      <c r="D209" s="30" t="n">
        <v>0.0964936009369987</v>
      </c>
      <c r="E209" s="30" t="n">
        <v>0.281577112100174</v>
      </c>
      <c r="F209" s="30" t="n">
        <v>0.017714928358829</v>
      </c>
      <c r="G209" s="30" t="n">
        <v>0.131887278377248</v>
      </c>
      <c r="H209" s="31" t="n">
        <f aca="false">MAX(D209,F209+0.015)</f>
        <v>0.0964936009369987</v>
      </c>
      <c r="I209" s="25" t="n">
        <f aca="false">(C209-'DCF Base Case'!$B$3)*(1-E209)+'DCF Base Case'!$B$3-G209</f>
        <v>0.204114262477098</v>
      </c>
      <c r="J209" s="24" t="n">
        <f aca="false">'DCF Base Case'!$B$2*(1+B209)^1*$I209-'DCF Base Case'!$B$2*(1+B209)^0*B209*'DCF Base Case'!$B$4</f>
        <v>32.7476603154083</v>
      </c>
      <c r="K209" s="24" t="n">
        <f aca="false">'DCF Base Case'!$B$2*(1+B209)^2*$I209-'DCF Base Case'!$B$2*(1+B209)^1*B209*'DCF Base Case'!$B$4</f>
        <v>36.8349841285944</v>
      </c>
      <c r="L209" s="24" t="n">
        <f aca="false">'DCF Base Case'!$B$2*(1+B209)^3*$I209-'DCF Base Case'!$B$2*(1+B209)^2*B209*'DCF Base Case'!$B$4</f>
        <v>41.4324578515123</v>
      </c>
      <c r="M209" s="24" t="n">
        <f aca="false">'DCF Base Case'!$B$2*(1+B209)^4*$I209-'DCF Base Case'!$B$2*(1+B209)^3*B209*'DCF Base Case'!$B$4</f>
        <v>46.603754670407</v>
      </c>
      <c r="N209" s="24" t="n">
        <f aca="false">'DCF Base Case'!$B$2*(1+B209)^5*$I209-'DCF Base Case'!$B$2*(1+B209)^4*B209*'DCF Base Case'!$B$4</f>
        <v>52.4204949936418</v>
      </c>
      <c r="O209" s="24" t="n">
        <f aca="false">J209/(1+H209)^1+K209/(1+H209)^2+L209/(1+H209)^3+M209/(1+H209)^4+N209/(1+H209)^5</f>
        <v>157.24423674952</v>
      </c>
      <c r="P209" s="24" t="n">
        <f aca="false">N209*(1+F209)/(H209-F209)</f>
        <v>677.202579848649</v>
      </c>
      <c r="Q209" s="24" t="n">
        <f aca="false">O209+P209/(1+H209)^5</f>
        <v>584.500164045938</v>
      </c>
      <c r="R209" s="24" t="n">
        <f aca="false">Q209-'DCF Base Case'!$B$5</f>
        <v>399.500164045938</v>
      </c>
      <c r="S209" s="32" t="n">
        <f aca="false">R209/'DCF Base Case'!$B$6</f>
        <v>15.9800065618375</v>
      </c>
    </row>
    <row r="210" customFormat="false" ht="15" hidden="false" customHeight="true" outlineLevel="0" collapsed="false">
      <c r="A210" s="6" t="n">
        <v>209</v>
      </c>
      <c r="B210" s="30" t="n">
        <v>0.0864698803104603</v>
      </c>
      <c r="C210" s="30" t="n">
        <v>0.379619648015353</v>
      </c>
      <c r="D210" s="30" t="n">
        <v>0.0956402915942705</v>
      </c>
      <c r="E210" s="30" t="n">
        <v>0.324699224209978</v>
      </c>
      <c r="F210" s="30" t="n">
        <v>0.0161017611156238</v>
      </c>
      <c r="G210" s="30" t="n">
        <v>0.17216671556818</v>
      </c>
      <c r="H210" s="31" t="n">
        <f aca="false">MAX(D210,F210+0.015)</f>
        <v>0.0956402915942705</v>
      </c>
      <c r="I210" s="25" t="n">
        <f aca="false">(C210-'DCF Base Case'!$B$3)*(1-E210)+'DCF Base Case'!$B$3-G210</f>
        <v>0.12640162638902</v>
      </c>
      <c r="J210" s="24" t="n">
        <f aca="false">'DCF Base Case'!$B$2*(1+B210)^1*$I210-'DCF Base Case'!$B$2*(1+B210)^0*B210*'DCF Base Case'!$B$4</f>
        <v>19.5369322052688</v>
      </c>
      <c r="K210" s="24" t="n">
        <f aca="false">'DCF Base Case'!$B$2*(1+B210)^2*$I210-'DCF Base Case'!$B$2*(1+B210)^1*B210*'DCF Base Case'!$B$4</f>
        <v>21.226288394692</v>
      </c>
      <c r="L210" s="24" t="n">
        <f aca="false">'DCF Base Case'!$B$2*(1+B210)^3*$I210-'DCF Base Case'!$B$2*(1+B210)^2*B210*'DCF Base Case'!$B$4</f>
        <v>23.0617230116163</v>
      </c>
      <c r="M210" s="24" t="n">
        <f aca="false">'DCF Base Case'!$B$2*(1+B210)^4*$I210-'DCF Base Case'!$B$2*(1+B210)^3*B210*'DCF Base Case'!$B$4</f>
        <v>25.0558674401837</v>
      </c>
      <c r="N210" s="24" t="n">
        <f aca="false">'DCF Base Case'!$B$2*(1+B210)^5*$I210-'DCF Base Case'!$B$2*(1+B210)^4*B210*'DCF Base Case'!$B$4</f>
        <v>27.2224452988112</v>
      </c>
      <c r="O210" s="24" t="n">
        <f aca="false">J210/(1+H210)^1+K210/(1+H210)^2+L210/(1+H210)^3+M210/(1+H210)^4+N210/(1+H210)^5</f>
        <v>87.6775594137611</v>
      </c>
      <c r="P210" s="24" t="n">
        <f aca="false">N210*(1+F210)/(H210-F210)</f>
        <v>347.765723650397</v>
      </c>
      <c r="Q210" s="24" t="n">
        <f aca="false">O210+P210/(1+H210)^5</f>
        <v>307.943222514472</v>
      </c>
      <c r="R210" s="24" t="n">
        <f aca="false">Q210-'DCF Base Case'!$B$5</f>
        <v>122.943222514472</v>
      </c>
      <c r="S210" s="32" t="n">
        <f aca="false">R210/'DCF Base Case'!$B$6</f>
        <v>4.91772890057888</v>
      </c>
    </row>
    <row r="211" customFormat="false" ht="15" hidden="false" customHeight="true" outlineLevel="0" collapsed="false">
      <c r="A211" s="6" t="n">
        <v>210</v>
      </c>
      <c r="B211" s="30" t="n">
        <v>0.074213004570366</v>
      </c>
      <c r="C211" s="30" t="n">
        <v>0.394616804423958</v>
      </c>
      <c r="D211" s="30" t="n">
        <v>0.0935194417425191</v>
      </c>
      <c r="E211" s="30" t="n">
        <v>0.278570522203183</v>
      </c>
      <c r="F211" s="30" t="n">
        <v>0.0251813678621248</v>
      </c>
      <c r="G211" s="30" t="n">
        <v>0.15548635813918</v>
      </c>
      <c r="H211" s="31" t="n">
        <f aca="false">MAX(D211,F211+0.015)</f>
        <v>0.0935194417425191</v>
      </c>
      <c r="I211" s="25" t="n">
        <f aca="false">(C211-'DCF Base Case'!$B$3)*(1-E211)+'DCF Base Case'!$B$3-G211</f>
        <v>0.165416004892659</v>
      </c>
      <c r="J211" s="24" t="n">
        <f aca="false">'DCF Base Case'!$B$2*(1+B211)^1*$I211-'DCF Base Case'!$B$2*(1+B211)^0*B211*'DCF Base Case'!$B$4</f>
        <v>25.4425168549854</v>
      </c>
      <c r="K211" s="24" t="n">
        <f aca="false">'DCF Base Case'!$B$2*(1+B211)^2*$I211-'DCF Base Case'!$B$2*(1+B211)^1*B211*'DCF Base Case'!$B$4</f>
        <v>27.3306824746261</v>
      </c>
      <c r="L211" s="24" t="n">
        <f aca="false">'DCF Base Case'!$B$2*(1+B211)^3*$I211-'DCF Base Case'!$B$2*(1+B211)^2*B211*'DCF Base Case'!$B$4</f>
        <v>29.3589745380267</v>
      </c>
      <c r="M211" s="24" t="n">
        <f aca="false">'DCF Base Case'!$B$2*(1+B211)^4*$I211-'DCF Base Case'!$B$2*(1+B211)^3*B211*'DCF Base Case'!$B$4</f>
        <v>31.5377922495985</v>
      </c>
      <c r="N211" s="24" t="n">
        <f aca="false">'DCF Base Case'!$B$2*(1+B211)^5*$I211-'DCF Base Case'!$B$2*(1+B211)^4*B211*'DCF Base Case'!$B$4</f>
        <v>33.8783065699573</v>
      </c>
      <c r="O211" s="24" t="n">
        <f aca="false">J211/(1+H211)^1+K211/(1+H211)^2+L211/(1+H211)^3+M211/(1+H211)^4+N211/(1+H211)^5</f>
        <v>112.297258569302</v>
      </c>
      <c r="P211" s="24" t="n">
        <f aca="false">N211*(1+F211)/(H211-F211)</f>
        <v>508.229259300289</v>
      </c>
      <c r="Q211" s="24" t="n">
        <f aca="false">O211+P211/(1+H211)^5</f>
        <v>437.330007069647</v>
      </c>
      <c r="R211" s="24" t="n">
        <f aca="false">Q211-'DCF Base Case'!$B$5</f>
        <v>252.330007069647</v>
      </c>
      <c r="S211" s="32" t="n">
        <f aca="false">R211/'DCF Base Case'!$B$6</f>
        <v>10.0932002827859</v>
      </c>
    </row>
    <row r="212" customFormat="false" ht="15" hidden="false" customHeight="true" outlineLevel="0" collapsed="false">
      <c r="A212" s="6" t="n">
        <v>211</v>
      </c>
      <c r="B212" s="30" t="n">
        <v>0.111820584167517</v>
      </c>
      <c r="C212" s="30" t="n">
        <v>0.423690256569657</v>
      </c>
      <c r="D212" s="30" t="n">
        <v>0.0937535581071866</v>
      </c>
      <c r="E212" s="30" t="n">
        <v>0.26839772120511</v>
      </c>
      <c r="F212" s="30" t="n">
        <v>0.0191674135148786</v>
      </c>
      <c r="G212" s="30" t="n">
        <v>0.162764950652323</v>
      </c>
      <c r="H212" s="31" t="n">
        <f aca="false">MAX(D212,F212+0.015)</f>
        <v>0.0937535581071866</v>
      </c>
      <c r="I212" s="25" t="n">
        <f aca="false">(C212-'DCF Base Case'!$B$3)*(1-E212)+'DCF Base Case'!$B$3-G212</f>
        <v>0.182099510313894</v>
      </c>
      <c r="J212" s="24" t="n">
        <f aca="false">'DCF Base Case'!$B$2*(1+B212)^1*$I212-'DCF Base Case'!$B$2*(1+B212)^0*B212*'DCF Base Case'!$B$4</f>
        <v>28.8705681292741</v>
      </c>
      <c r="K212" s="24" t="n">
        <f aca="false">'DCF Base Case'!$B$2*(1+B212)^2*$I212-'DCF Base Case'!$B$2*(1+B212)^1*B212*'DCF Base Case'!$B$4</f>
        <v>32.0988919227376</v>
      </c>
      <c r="L212" s="24" t="n">
        <f aca="false">'DCF Base Case'!$B$2*(1+B212)^3*$I212-'DCF Base Case'!$B$2*(1+B212)^2*B212*'DCF Base Case'!$B$4</f>
        <v>35.6882087686681</v>
      </c>
      <c r="M212" s="24" t="n">
        <f aca="false">'DCF Base Case'!$B$2*(1+B212)^4*$I212-'DCF Base Case'!$B$2*(1+B212)^3*B212*'DCF Base Case'!$B$4</f>
        <v>39.6788851210729</v>
      </c>
      <c r="N212" s="24" t="n">
        <f aca="false">'DCF Base Case'!$B$2*(1+B212)^5*$I212-'DCF Base Case'!$B$2*(1+B212)^4*B212*'DCF Base Case'!$B$4</f>
        <v>44.1158012344271</v>
      </c>
      <c r="O212" s="24" t="n">
        <f aca="false">J212/(1+H212)^1+K212/(1+H212)^2+L212/(1+H212)^3+M212/(1+H212)^4+N212/(1+H212)^5</f>
        <v>136.4120965241</v>
      </c>
      <c r="P212" s="24" t="n">
        <f aca="false">N212*(1+F212)/(H212-F212)</f>
        <v>602.811517943299</v>
      </c>
      <c r="Q212" s="24" t="n">
        <f aca="false">O212+P212/(1+H212)^5</f>
        <v>521.521521614721</v>
      </c>
      <c r="R212" s="24" t="n">
        <f aca="false">Q212-'DCF Base Case'!$B$5</f>
        <v>336.521521614721</v>
      </c>
      <c r="S212" s="32" t="n">
        <f aca="false">R212/'DCF Base Case'!$B$6</f>
        <v>13.4608608645888</v>
      </c>
    </row>
    <row r="213" customFormat="false" ht="15" hidden="false" customHeight="true" outlineLevel="0" collapsed="false">
      <c r="A213" s="6" t="n">
        <v>212</v>
      </c>
      <c r="B213" s="30" t="n">
        <v>0.0717459750485428</v>
      </c>
      <c r="C213" s="30" t="n">
        <v>0.421445474961829</v>
      </c>
      <c r="D213" s="30" t="n">
        <v>0.092152739061362</v>
      </c>
      <c r="E213" s="30" t="n">
        <v>0.297689298865921</v>
      </c>
      <c r="F213" s="30" t="n">
        <v>0.0246439011924667</v>
      </c>
      <c r="G213" s="30" t="n">
        <v>0.19898277024722</v>
      </c>
      <c r="H213" s="31" t="n">
        <f aca="false">MAX(D213,F213+0.015)</f>
        <v>0.092152739061362</v>
      </c>
      <c r="I213" s="25" t="n">
        <f aca="false">(C213-'DCF Base Case'!$B$3)*(1-E213)+'DCF Base Case'!$B$3-G213</f>
        <v>0.135702505615577</v>
      </c>
      <c r="J213" s="24" t="n">
        <f aca="false">'DCF Base Case'!$B$2*(1+B213)^1*$I213-'DCF Base Case'!$B$2*(1+B213)^0*B213*'DCF Base Case'!$B$4</f>
        <v>20.7765040671759</v>
      </c>
      <c r="K213" s="24" t="n">
        <f aca="false">'DCF Base Case'!$B$2*(1+B213)^2*$I213-'DCF Base Case'!$B$2*(1+B213)^1*B213*'DCF Base Case'!$B$4</f>
        <v>22.2671346095754</v>
      </c>
      <c r="L213" s="24" t="n">
        <f aca="false">'DCF Base Case'!$B$2*(1+B213)^3*$I213-'DCF Base Case'!$B$2*(1+B213)^2*B213*'DCF Base Case'!$B$4</f>
        <v>23.8647118936765</v>
      </c>
      <c r="M213" s="24" t="n">
        <f aca="false">'DCF Base Case'!$B$2*(1+B213)^4*$I213-'DCF Base Case'!$B$2*(1+B213)^3*B213*'DCF Base Case'!$B$4</f>
        <v>25.5769089177409</v>
      </c>
      <c r="N213" s="24" t="n">
        <f aca="false">'DCF Base Case'!$B$2*(1+B213)^5*$I213-'DCF Base Case'!$B$2*(1+B213)^4*B213*'DCF Base Case'!$B$4</f>
        <v>27.411949186772</v>
      </c>
      <c r="O213" s="24" t="n">
        <f aca="false">J213/(1+H213)^1+K213/(1+H213)^2+L213/(1+H213)^3+M213/(1+H213)^4+N213/(1+H213)^5</f>
        <v>91.6284955536015</v>
      </c>
      <c r="P213" s="24" t="n">
        <f aca="false">N213*(1+F213)/(H213-F213)</f>
        <v>416.056437063406</v>
      </c>
      <c r="Q213" s="24" t="n">
        <f aca="false">O213+P213/(1+H213)^5</f>
        <v>359.382114316877</v>
      </c>
      <c r="R213" s="24" t="n">
        <f aca="false">Q213-'DCF Base Case'!$B$5</f>
        <v>174.382114316877</v>
      </c>
      <c r="S213" s="32" t="n">
        <f aca="false">R213/'DCF Base Case'!$B$6</f>
        <v>6.97528457267508</v>
      </c>
    </row>
    <row r="214" customFormat="false" ht="15" hidden="false" customHeight="true" outlineLevel="0" collapsed="false">
      <c r="A214" s="6" t="n">
        <v>213</v>
      </c>
      <c r="B214" s="30" t="n">
        <v>0.0820625011680182</v>
      </c>
      <c r="C214" s="30" t="n">
        <v>0.419314761477919</v>
      </c>
      <c r="D214" s="30" t="n">
        <v>0.0781403924181597</v>
      </c>
      <c r="E214" s="30" t="n">
        <v>0.280302325025514</v>
      </c>
      <c r="F214" s="30" t="n">
        <v>0.0169288460370403</v>
      </c>
      <c r="G214" s="30" t="n">
        <v>0.202233415535456</v>
      </c>
      <c r="H214" s="31" t="n">
        <f aca="false">MAX(D214,F214+0.015)</f>
        <v>0.0781403924181597</v>
      </c>
      <c r="I214" s="25" t="n">
        <f aca="false">(C214-'DCF Base Case'!$B$3)*(1-E214)+'DCF Base Case'!$B$3-G214</f>
        <v>0.135985745636</v>
      </c>
      <c r="J214" s="24" t="n">
        <f aca="false">'DCF Base Case'!$B$2*(1+B214)^1*$I214-'DCF Base Case'!$B$2*(1+B214)^0*B214*'DCF Base Case'!$B$4</f>
        <v>20.9790641466019</v>
      </c>
      <c r="K214" s="24" t="n">
        <f aca="false">'DCF Base Case'!$B$2*(1+B214)^2*$I214-'DCF Base Case'!$B$2*(1+B214)^1*B214*'DCF Base Case'!$B$4</f>
        <v>22.7006586226364</v>
      </c>
      <c r="L214" s="24" t="n">
        <f aca="false">'DCF Base Case'!$B$2*(1+B214)^3*$I214-'DCF Base Case'!$B$2*(1+B214)^2*B214*'DCF Base Case'!$B$4</f>
        <v>24.5635314473713</v>
      </c>
      <c r="M214" s="24" t="n">
        <f aca="false">'DCF Base Case'!$B$2*(1+B214)^4*$I214-'DCF Base Case'!$B$2*(1+B214)^3*B214*'DCF Base Case'!$B$4</f>
        <v>26.5792762754618</v>
      </c>
      <c r="N214" s="24" t="n">
        <f aca="false">'DCF Base Case'!$B$2*(1+B214)^5*$I214-'DCF Base Case'!$B$2*(1+B214)^4*B214*'DCF Base Case'!$B$4</f>
        <v>28.760438165862</v>
      </c>
      <c r="O214" s="24" t="n">
        <f aca="false">J214/(1+H214)^1+K214/(1+H214)^2+L214/(1+H214)^3+M214/(1+H214)^4+N214/(1+H214)^5</f>
        <v>98.0032739111993</v>
      </c>
      <c r="P214" s="24" t="n">
        <f aca="false">N214*(1+F214)/(H214-F214)</f>
        <v>477.807226326682</v>
      </c>
      <c r="Q214" s="24" t="n">
        <f aca="false">O214+P214/(1+H214)^5</f>
        <v>426.004999114881</v>
      </c>
      <c r="R214" s="24" t="n">
        <f aca="false">Q214-'DCF Base Case'!$B$5</f>
        <v>241.004999114881</v>
      </c>
      <c r="S214" s="32" t="n">
        <f aca="false">R214/'DCF Base Case'!$B$6</f>
        <v>9.64019996459525</v>
      </c>
    </row>
    <row r="215" customFormat="false" ht="15" hidden="false" customHeight="true" outlineLevel="0" collapsed="false">
      <c r="A215" s="6" t="n">
        <v>214</v>
      </c>
      <c r="B215" s="30" t="n">
        <v>0.09768914368874</v>
      </c>
      <c r="C215" s="30" t="n">
        <v>0.413066028733455</v>
      </c>
      <c r="D215" s="30" t="n">
        <v>0.0981298042904202</v>
      </c>
      <c r="E215" s="30" t="n">
        <v>0.245740756211582</v>
      </c>
      <c r="F215" s="30" t="n">
        <v>0.0119621141089125</v>
      </c>
      <c r="G215" s="30" t="n">
        <v>0.184245595205669</v>
      </c>
      <c r="H215" s="31" t="n">
        <f aca="false">MAX(D215,F215+0.015)</f>
        <v>0.0981298042904202</v>
      </c>
      <c r="I215" s="25" t="n">
        <f aca="false">(C215-'DCF Base Case'!$B$3)*(1-E215)+'DCF Base Case'!$B$3-G215</f>
        <v>0.159259573569017</v>
      </c>
      <c r="J215" s="24" t="n">
        <f aca="false">'DCF Base Case'!$B$2*(1+B215)^1*$I215-'DCF Base Case'!$B$2*(1+B215)^0*B215*'DCF Base Case'!$B$4</f>
        <v>24.9235904405592</v>
      </c>
      <c r="K215" s="24" t="n">
        <f aca="false">'DCF Base Case'!$B$2*(1+B215)^2*$I215-'DCF Base Case'!$B$2*(1+B215)^1*B215*'DCF Base Case'!$B$4</f>
        <v>27.3583546483463</v>
      </c>
      <c r="L215" s="24" t="n">
        <f aca="false">'DCF Base Case'!$B$2*(1+B215)^3*$I215-'DCF Base Case'!$B$2*(1+B215)^2*B215*'DCF Base Case'!$B$4</f>
        <v>30.0309688866761</v>
      </c>
      <c r="M215" s="24" t="n">
        <f aca="false">'DCF Base Case'!$B$2*(1+B215)^4*$I215-'DCF Base Case'!$B$2*(1+B215)^3*B215*'DCF Base Case'!$B$4</f>
        <v>32.9646685213587</v>
      </c>
      <c r="N215" s="24" t="n">
        <f aca="false">'DCF Base Case'!$B$2*(1+B215)^5*$I215-'DCF Base Case'!$B$2*(1+B215)^4*B215*'DCF Base Case'!$B$4</f>
        <v>36.1849587611934</v>
      </c>
      <c r="O215" s="24" t="n">
        <f aca="false">J215/(1+H215)^1+K215/(1+H215)^2+L215/(1+H215)^3+M215/(1+H215)^4+N215/(1+H215)^5</f>
        <v>113.390946826882</v>
      </c>
      <c r="P215" s="24" t="n">
        <f aca="false">N215*(1+F215)/(H215-F215)</f>
        <v>424.959834594471</v>
      </c>
      <c r="Q215" s="24" t="n">
        <f aca="false">O215+P215/(1+H215)^5</f>
        <v>379.51215715118</v>
      </c>
      <c r="R215" s="24" t="n">
        <f aca="false">Q215-'DCF Base Case'!$B$5</f>
        <v>194.51215715118</v>
      </c>
      <c r="S215" s="32" t="n">
        <f aca="false">R215/'DCF Base Case'!$B$6</f>
        <v>7.78048628604721</v>
      </c>
    </row>
    <row r="216" customFormat="false" ht="15" hidden="false" customHeight="true" outlineLevel="0" collapsed="false">
      <c r="A216" s="6" t="n">
        <v>215</v>
      </c>
      <c r="B216" s="30" t="n">
        <v>0.0912203283988948</v>
      </c>
      <c r="C216" s="30" t="n">
        <v>0.42004680583096</v>
      </c>
      <c r="D216" s="30" t="n">
        <v>0.070409642863496</v>
      </c>
      <c r="E216" s="30" t="n">
        <v>0.278994690691634</v>
      </c>
      <c r="F216" s="30" t="n">
        <v>0.0257791940392315</v>
      </c>
      <c r="G216" s="30" t="n">
        <v>0.184936080807625</v>
      </c>
      <c r="H216" s="31" t="n">
        <f aca="false">MAX(D216,F216+0.015)</f>
        <v>0.070409642863496</v>
      </c>
      <c r="I216" s="25" t="n">
        <f aca="false">(C216-'DCF Base Case'!$B$3)*(1-E216)+'DCF Base Case'!$B$3-G216</f>
        <v>0.15418920614443</v>
      </c>
      <c r="J216" s="24" t="n">
        <f aca="false">'DCF Base Case'!$B$2*(1+B216)^1*$I216-'DCF Base Case'!$B$2*(1+B216)^0*B216*'DCF Base Case'!$B$4</f>
        <v>24.0000790153158</v>
      </c>
      <c r="K216" s="24" t="n">
        <f aca="false">'DCF Base Case'!$B$2*(1+B216)^2*$I216-'DCF Base Case'!$B$2*(1+B216)^1*B216*'DCF Base Case'!$B$4</f>
        <v>26.1893741046923</v>
      </c>
      <c r="L216" s="24" t="n">
        <f aca="false">'DCF Base Case'!$B$2*(1+B216)^3*$I216-'DCF Base Case'!$B$2*(1+B216)^2*B216*'DCF Base Case'!$B$4</f>
        <v>28.5783774110839</v>
      </c>
      <c r="M216" s="24" t="n">
        <f aca="false">'DCF Base Case'!$B$2*(1+B216)^4*$I216-'DCF Base Case'!$B$2*(1+B216)^3*B216*'DCF Base Case'!$B$4</f>
        <v>31.1853063836305</v>
      </c>
      <c r="N216" s="24" t="n">
        <f aca="false">'DCF Base Case'!$B$2*(1+B216)^5*$I216-'DCF Base Case'!$B$2*(1+B216)^4*B216*'DCF Base Case'!$B$4</f>
        <v>34.0300402731654</v>
      </c>
      <c r="O216" s="24" t="n">
        <f aca="false">J216/(1+H216)^1+K216/(1+H216)^2+L216/(1+H216)^3+M216/(1+H216)^4+N216/(1+H216)^5</f>
        <v>116.551680767885</v>
      </c>
      <c r="P216" s="24" t="n">
        <f aca="false">N216*(1+F216)/(H216-F216)</f>
        <v>782.141076420275</v>
      </c>
      <c r="Q216" s="24" t="n">
        <f aca="false">O216+P216/(1+H216)^5</f>
        <v>673.141208317534</v>
      </c>
      <c r="R216" s="24" t="n">
        <f aca="false">Q216-'DCF Base Case'!$B$5</f>
        <v>488.141208317534</v>
      </c>
      <c r="S216" s="32" t="n">
        <f aca="false">R216/'DCF Base Case'!$B$6</f>
        <v>19.5256483327014</v>
      </c>
    </row>
    <row r="217" customFormat="false" ht="15" hidden="false" customHeight="true" outlineLevel="0" collapsed="false">
      <c r="A217" s="6" t="n">
        <v>216</v>
      </c>
      <c r="B217" s="30" t="n">
        <v>0.0934908362130948</v>
      </c>
      <c r="C217" s="30" t="n">
        <v>0.406634435126987</v>
      </c>
      <c r="D217" s="30" t="n">
        <v>0.0806596986294367</v>
      </c>
      <c r="E217" s="30" t="n">
        <v>0.24604662555678</v>
      </c>
      <c r="F217" s="30" t="n">
        <v>0.0202693419529081</v>
      </c>
      <c r="G217" s="30" t="n">
        <v>0.185452590843483</v>
      </c>
      <c r="H217" s="31" t="n">
        <f aca="false">MAX(D217,F217+0.015)</f>
        <v>0.0806596986294367</v>
      </c>
      <c r="I217" s="25" t="n">
        <f aca="false">(C217-'DCF Base Case'!$B$3)*(1-E217)+'DCF Base Case'!$B$3-G217</f>
        <v>0.153116875007703</v>
      </c>
      <c r="J217" s="24" t="n">
        <f aca="false">'DCF Base Case'!$B$2*(1+B217)^1*$I217-'DCF Base Case'!$B$2*(1+B217)^0*B217*'DCF Base Case'!$B$4</f>
        <v>23.8709403175968</v>
      </c>
      <c r="K217" s="24" t="n">
        <f aca="false">'DCF Base Case'!$B$2*(1+B217)^2*$I217-'DCF Base Case'!$B$2*(1+B217)^1*B217*'DCF Base Case'!$B$4</f>
        <v>26.1026544890818</v>
      </c>
      <c r="L217" s="24" t="n">
        <f aca="false">'DCF Base Case'!$B$2*(1+B217)^3*$I217-'DCF Base Case'!$B$2*(1+B217)^2*B217*'DCF Base Case'!$B$4</f>
        <v>28.5430134846476</v>
      </c>
      <c r="M217" s="24" t="n">
        <f aca="false">'DCF Base Case'!$B$2*(1+B217)^4*$I217-'DCF Base Case'!$B$2*(1+B217)^3*B217*'DCF Base Case'!$B$4</f>
        <v>31.2115236833689</v>
      </c>
      <c r="N217" s="24" t="n">
        <f aca="false">'DCF Base Case'!$B$2*(1+B217)^5*$I217-'DCF Base Case'!$B$2*(1+B217)^4*B217*'DCF Base Case'!$B$4</f>
        <v>34.1295151320119</v>
      </c>
      <c r="O217" s="24" t="n">
        <f aca="false">J217/(1+H217)^1+K217/(1+H217)^2+L217/(1+H217)^3+M217/(1+H217)^4+N217/(1+H217)^5</f>
        <v>113.100224165502</v>
      </c>
      <c r="P217" s="24" t="n">
        <f aca="false">N217*(1+F217)/(H217-F217)</f>
        <v>576.603614570856</v>
      </c>
      <c r="Q217" s="24" t="n">
        <f aca="false">O217+P217/(1+H217)^5</f>
        <v>504.330614621896</v>
      </c>
      <c r="R217" s="24" t="n">
        <f aca="false">Q217-'DCF Base Case'!$B$5</f>
        <v>319.330614621896</v>
      </c>
      <c r="S217" s="32" t="n">
        <f aca="false">R217/'DCF Base Case'!$B$6</f>
        <v>12.7732245848758</v>
      </c>
    </row>
    <row r="218" customFormat="false" ht="15" hidden="false" customHeight="true" outlineLevel="0" collapsed="false">
      <c r="A218" s="6" t="n">
        <v>217</v>
      </c>
      <c r="B218" s="30" t="n">
        <v>0.0569641945926207</v>
      </c>
      <c r="C218" s="30" t="n">
        <v>0.386920947954097</v>
      </c>
      <c r="D218" s="30" t="n">
        <v>0.0722678890454324</v>
      </c>
      <c r="E218" s="30" t="n">
        <v>0.259178264561072</v>
      </c>
      <c r="F218" s="30" t="n">
        <v>0.0195515462193439</v>
      </c>
      <c r="G218" s="30" t="n">
        <v>0.128616681726091</v>
      </c>
      <c r="H218" s="31" t="n">
        <f aca="false">MAX(D218,F218+0.015)</f>
        <v>0.0722678890454324</v>
      </c>
      <c r="I218" s="25" t="n">
        <f aca="false">(C218-'DCF Base Case'!$B$3)*(1-E218)+'DCF Base Case'!$B$3-G218</f>
        <v>0.191715940807878</v>
      </c>
      <c r="J218" s="24" t="n">
        <f aca="false">'DCF Base Case'!$B$2*(1+B218)^1*$I218-'DCF Base Case'!$B$2*(1+B218)^0*B218*'DCF Base Case'!$B$4</f>
        <v>29.134554073674</v>
      </c>
      <c r="K218" s="24" t="n">
        <f aca="false">'DCF Base Case'!$B$2*(1+B218)^2*$I218-'DCF Base Case'!$B$2*(1+B218)^1*B218*'DCF Base Case'!$B$4</f>
        <v>30.794180481296</v>
      </c>
      <c r="L218" s="24" t="n">
        <f aca="false">'DCF Base Case'!$B$2*(1+B218)^3*$I218-'DCF Base Case'!$B$2*(1+B218)^2*B218*'DCF Base Case'!$B$4</f>
        <v>32.5483461705528</v>
      </c>
      <c r="M218" s="24" t="n">
        <f aca="false">'DCF Base Case'!$B$2*(1+B218)^4*$I218-'DCF Base Case'!$B$2*(1+B218)^3*B218*'DCF Base Case'!$B$4</f>
        <v>34.4024364954802</v>
      </c>
      <c r="N218" s="24" t="n">
        <f aca="false">'DCF Base Case'!$B$2*(1+B218)^5*$I218-'DCF Base Case'!$B$2*(1+B218)^4*B218*'DCF Base Case'!$B$4</f>
        <v>36.362143582469</v>
      </c>
      <c r="O218" s="24" t="n">
        <f aca="false">J218/(1+H218)^1+K218/(1+H218)^2+L218/(1+H218)^3+M218/(1+H218)^4+N218/(1+H218)^5</f>
        <v>132.031868471571</v>
      </c>
      <c r="P218" s="24" t="n">
        <f aca="false">N218*(1+F218)/(H218-F218)</f>
        <v>703.255911277084</v>
      </c>
      <c r="Q218" s="24" t="n">
        <f aca="false">O218+P218/(1+H218)^5</f>
        <v>628.163468094382</v>
      </c>
      <c r="R218" s="24" t="n">
        <f aca="false">Q218-'DCF Base Case'!$B$5</f>
        <v>443.163468094382</v>
      </c>
      <c r="S218" s="32" t="n">
        <f aca="false">R218/'DCF Base Case'!$B$6</f>
        <v>17.7265387237753</v>
      </c>
    </row>
    <row r="219" customFormat="false" ht="15" hidden="false" customHeight="true" outlineLevel="0" collapsed="false">
      <c r="A219" s="6" t="n">
        <v>218</v>
      </c>
      <c r="B219" s="30" t="n">
        <v>0.103290442874179</v>
      </c>
      <c r="C219" s="30" t="n">
        <v>0.433280619885306</v>
      </c>
      <c r="D219" s="30" t="n">
        <v>0.082237871531594</v>
      </c>
      <c r="E219" s="30" t="n">
        <v>0.243797811277048</v>
      </c>
      <c r="F219" s="30" t="n">
        <v>0.0152836156030568</v>
      </c>
      <c r="G219" s="30" t="n">
        <v>0.194449323661772</v>
      </c>
      <c r="H219" s="31" t="n">
        <f aca="false">MAX(D219,F219+0.015)</f>
        <v>0.082237871531594</v>
      </c>
      <c r="I219" s="25" t="n">
        <f aca="false">(C219-'DCF Base Case'!$B$3)*(1-E219)+'DCF Base Case'!$B$3-G219</f>
        <v>0.16489214489275</v>
      </c>
      <c r="J219" s="24" t="n">
        <f aca="false">'DCF Base Case'!$B$2*(1+B219)^1*$I219-'DCF Base Case'!$B$2*(1+B219)^0*B219*'DCF Base Case'!$B$4</f>
        <v>25.9296560704507</v>
      </c>
      <c r="K219" s="24" t="n">
        <f aca="false">'DCF Base Case'!$B$2*(1+B219)^2*$I219-'DCF Base Case'!$B$2*(1+B219)^1*B219*'DCF Base Case'!$B$4</f>
        <v>28.6079417295427</v>
      </c>
      <c r="L219" s="24" t="n">
        <f aca="false">'DCF Base Case'!$B$2*(1+B219)^3*$I219-'DCF Base Case'!$B$2*(1+B219)^2*B219*'DCF Base Case'!$B$4</f>
        <v>31.5628687005058</v>
      </c>
      <c r="M219" s="24" t="n">
        <f aca="false">'DCF Base Case'!$B$2*(1+B219)^4*$I219-'DCF Base Case'!$B$2*(1+B219)^3*B219*'DCF Base Case'!$B$4</f>
        <v>34.8230113869606</v>
      </c>
      <c r="N219" s="24" t="n">
        <f aca="false">'DCF Base Case'!$B$2*(1+B219)^5*$I219-'DCF Base Case'!$B$2*(1+B219)^4*B219*'DCF Base Case'!$B$4</f>
        <v>38.4198956553324</v>
      </c>
      <c r="O219" s="24" t="n">
        <f aca="false">J219/(1+H219)^1+K219/(1+H219)^2+L219/(1+H219)^3+M219/(1+H219)^4+N219/(1+H219)^5</f>
        <v>124.548780352134</v>
      </c>
      <c r="P219" s="24" t="n">
        <f aca="false">N219*(1+F219)/(H219-F219)</f>
        <v>582.593145589905</v>
      </c>
      <c r="Q219" s="24" t="n">
        <f aca="false">O219+P219/(1+H219)^5</f>
        <v>516.969322539837</v>
      </c>
      <c r="R219" s="24" t="n">
        <f aca="false">Q219-'DCF Base Case'!$B$5</f>
        <v>331.969322539837</v>
      </c>
      <c r="S219" s="32" t="n">
        <f aca="false">R219/'DCF Base Case'!$B$6</f>
        <v>13.2787729015935</v>
      </c>
    </row>
    <row r="220" customFormat="false" ht="15" hidden="false" customHeight="true" outlineLevel="0" collapsed="false">
      <c r="A220" s="6" t="n">
        <v>219</v>
      </c>
      <c r="B220" s="30" t="n">
        <v>0.0436978230402104</v>
      </c>
      <c r="C220" s="30" t="n">
        <v>0.384145941678911</v>
      </c>
      <c r="D220" s="30" t="n">
        <v>0.0720199914368602</v>
      </c>
      <c r="E220" s="30" t="n">
        <v>0.304346029260041</v>
      </c>
      <c r="F220" s="30" t="n">
        <v>0.0166117542964248</v>
      </c>
      <c r="G220" s="30" t="n">
        <v>0.174626664306274</v>
      </c>
      <c r="H220" s="31" t="n">
        <f aca="false">MAX(D220,F220+0.015)</f>
        <v>0.0720199914368602</v>
      </c>
      <c r="I220" s="25" t="n">
        <f aca="false">(C220-'DCF Base Case'!$B$3)*(1-E220)+'DCF Base Case'!$B$3-G220</f>
        <v>0.132170969170106</v>
      </c>
      <c r="J220" s="24" t="n">
        <f aca="false">'DCF Base Case'!$B$2*(1+B220)^1*$I220-'DCF Base Case'!$B$2*(1+B220)^0*B220*'DCF Base Case'!$B$4</f>
        <v>19.8121646246085</v>
      </c>
      <c r="K220" s="24" t="n">
        <f aca="false">'DCF Base Case'!$B$2*(1+B220)^2*$I220-'DCF Base Case'!$B$2*(1+B220)^1*B220*'DCF Base Case'!$B$4</f>
        <v>20.6779130884182</v>
      </c>
      <c r="L220" s="24" t="n">
        <f aca="false">'DCF Base Case'!$B$2*(1+B220)^3*$I220-'DCF Base Case'!$B$2*(1+B220)^2*B220*'DCF Base Case'!$B$4</f>
        <v>21.5814928753967</v>
      </c>
      <c r="M220" s="24" t="n">
        <f aca="false">'DCF Base Case'!$B$2*(1+B220)^4*$I220-'DCF Base Case'!$B$2*(1+B220)^3*B220*'DCF Base Case'!$B$4</f>
        <v>22.5245571320094</v>
      </c>
      <c r="N220" s="24" t="n">
        <f aca="false">'DCF Base Case'!$B$2*(1+B220)^5*$I220-'DCF Base Case'!$B$2*(1+B220)^4*B220*'DCF Base Case'!$B$4</f>
        <v>23.508831243623</v>
      </c>
      <c r="O220" s="24" t="n">
        <f aca="false">J220/(1+H220)^1+K220/(1+H220)^2+L220/(1+H220)^3+M220/(1+H220)^4+N220/(1+H220)^5</f>
        <v>87.6504450062505</v>
      </c>
      <c r="P220" s="24" t="n">
        <f aca="false">N220*(1+F220)/(H220-F220)</f>
        <v>431.332152139472</v>
      </c>
      <c r="Q220" s="24" t="n">
        <f aca="false">O220+P220/(1+H220)^5</f>
        <v>392.297799195766</v>
      </c>
      <c r="R220" s="24" t="n">
        <f aca="false">Q220-'DCF Base Case'!$B$5</f>
        <v>207.297799195766</v>
      </c>
      <c r="S220" s="32" t="n">
        <f aca="false">R220/'DCF Base Case'!$B$6</f>
        <v>8.29191196783064</v>
      </c>
    </row>
    <row r="221" customFormat="false" ht="15" hidden="false" customHeight="true" outlineLevel="0" collapsed="false">
      <c r="A221" s="6" t="n">
        <v>220</v>
      </c>
      <c r="B221" s="30" t="n">
        <v>0.102192572194659</v>
      </c>
      <c r="C221" s="30" t="n">
        <v>0.449501273788854</v>
      </c>
      <c r="D221" s="30" t="n">
        <v>0.0827676386195709</v>
      </c>
      <c r="E221" s="30" t="n">
        <v>0.290847017343298</v>
      </c>
      <c r="F221" s="30" t="n">
        <v>0.0134689766108654</v>
      </c>
      <c r="G221" s="30" t="n">
        <v>0.193511291950376</v>
      </c>
      <c r="H221" s="31" t="n">
        <f aca="false">MAX(D221,F221+0.015)</f>
        <v>0.0827676386195709</v>
      </c>
      <c r="I221" s="25" t="n">
        <f aca="false">(C221-'DCF Base Case'!$B$3)*(1-E221)+'DCF Base Case'!$B$3-G221</f>
        <v>0.163063989319605</v>
      </c>
      <c r="J221" s="24" t="n">
        <f aca="false">'DCF Base Case'!$B$2*(1+B221)^1*$I221-'DCF Base Case'!$B$2*(1+B221)^0*B221*'DCF Base Case'!$B$4</f>
        <v>25.6160103949255</v>
      </c>
      <c r="K221" s="24" t="n">
        <f aca="false">'DCF Base Case'!$B$2*(1+B221)^2*$I221-'DCF Base Case'!$B$2*(1+B221)^1*B221*'DCF Base Case'!$B$4</f>
        <v>28.233776386548</v>
      </c>
      <c r="L221" s="24" t="n">
        <f aca="false">'DCF Base Case'!$B$2*(1+B221)^3*$I221-'DCF Base Case'!$B$2*(1+B221)^2*B221*'DCF Base Case'!$B$4</f>
        <v>31.1190586182582</v>
      </c>
      <c r="M221" s="24" t="n">
        <f aca="false">'DCF Base Case'!$B$2*(1+B221)^4*$I221-'DCF Base Case'!$B$2*(1+B221)^3*B221*'DCF Base Case'!$B$4</f>
        <v>34.2991952627344</v>
      </c>
      <c r="N221" s="24" t="n">
        <f aca="false">'DCF Base Case'!$B$2*(1+B221)^5*$I221-'DCF Base Case'!$B$2*(1+B221)^4*B221*'DCF Base Case'!$B$4</f>
        <v>37.8043182508401</v>
      </c>
      <c r="O221" s="24" t="n">
        <f aca="false">J221/(1+H221)^1+K221/(1+H221)^2+L221/(1+H221)^3+M221/(1+H221)^4+N221/(1+H221)^5</f>
        <v>122.610581721025</v>
      </c>
      <c r="P221" s="24" t="n">
        <f aca="false">N221*(1+F221)/(H221-F221)</f>
        <v>552.87508616454</v>
      </c>
      <c r="Q221" s="24" t="n">
        <f aca="false">O221+P221/(1+H221)^5</f>
        <v>494.103623630796</v>
      </c>
      <c r="R221" s="24" t="n">
        <f aca="false">Q221-'DCF Base Case'!$B$5</f>
        <v>309.103623630796</v>
      </c>
      <c r="S221" s="32" t="n">
        <f aca="false">R221/'DCF Base Case'!$B$6</f>
        <v>12.3641449452318</v>
      </c>
    </row>
    <row r="222" customFormat="false" ht="15" hidden="false" customHeight="true" outlineLevel="0" collapsed="false">
      <c r="A222" s="6" t="n">
        <v>221</v>
      </c>
      <c r="B222" s="30" t="n">
        <v>0.0734271776552976</v>
      </c>
      <c r="C222" s="30" t="n">
        <v>0.395861109045395</v>
      </c>
      <c r="D222" s="30" t="n">
        <v>0.0847552742566587</v>
      </c>
      <c r="E222" s="30" t="n">
        <v>0.251396832036844</v>
      </c>
      <c r="F222" s="30" t="n">
        <v>0.0201685606561418</v>
      </c>
      <c r="G222" s="30" t="n">
        <v>0.18837828307637</v>
      </c>
      <c r="H222" s="31" t="n">
        <f aca="false">MAX(D222,F222+0.015)</f>
        <v>0.0847552742566587</v>
      </c>
      <c r="I222" s="25" t="n">
        <f aca="false">(C222-'DCF Base Case'!$B$3)*(1-E222)+'DCF Base Case'!$B$3-G222</f>
        <v>0.140646185393211</v>
      </c>
      <c r="J222" s="24" t="n">
        <f aca="false">'DCF Base Case'!$B$2*(1+B222)^1*$I222-'DCF Base Case'!$B$2*(1+B222)^0*B222*'DCF Base Case'!$B$4</f>
        <v>21.5717402632191</v>
      </c>
      <c r="K222" s="24" t="n">
        <f aca="false">'DCF Base Case'!$B$2*(1+B222)^2*$I222-'DCF Base Case'!$B$2*(1+B222)^1*B222*'DCF Base Case'!$B$4</f>
        <v>23.1556922678604</v>
      </c>
      <c r="L222" s="24" t="n">
        <f aca="false">'DCF Base Case'!$B$2*(1+B222)^3*$I222-'DCF Base Case'!$B$2*(1+B222)^2*B222*'DCF Base Case'!$B$4</f>
        <v>24.855949397744</v>
      </c>
      <c r="M222" s="24" t="n">
        <f aca="false">'DCF Base Case'!$B$2*(1+B222)^4*$I222-'DCF Base Case'!$B$2*(1+B222)^3*B222*'DCF Base Case'!$B$4</f>
        <v>26.6810516099632</v>
      </c>
      <c r="N222" s="24" t="n">
        <f aca="false">'DCF Base Case'!$B$2*(1+B222)^5*$I222-'DCF Base Case'!$B$2*(1+B222)^4*B222*'DCF Base Case'!$B$4</f>
        <v>28.6401659265582</v>
      </c>
      <c r="O222" s="24" t="n">
        <f aca="false">J222/(1+H222)^1+K222/(1+H222)^2+L222/(1+H222)^3+M222/(1+H222)^4+N222/(1+H222)^5</f>
        <v>97.3762195660282</v>
      </c>
      <c r="P222" s="24" t="n">
        <f aca="false">N222*(1+F222)/(H222-F222)</f>
        <v>452.380918945163</v>
      </c>
      <c r="Q222" s="24" t="n">
        <f aca="false">O222+P222/(1+H222)^5</f>
        <v>398.569602477857</v>
      </c>
      <c r="R222" s="24" t="n">
        <f aca="false">Q222-'DCF Base Case'!$B$5</f>
        <v>213.569602477857</v>
      </c>
      <c r="S222" s="32" t="n">
        <f aca="false">R222/'DCF Base Case'!$B$6</f>
        <v>8.54278409911427</v>
      </c>
    </row>
    <row r="223" customFormat="false" ht="15" hidden="false" customHeight="true" outlineLevel="0" collapsed="false">
      <c r="A223" s="6" t="n">
        <v>222</v>
      </c>
      <c r="B223" s="30" t="n">
        <v>0.0961373525969505</v>
      </c>
      <c r="C223" s="30" t="n">
        <v>0.382301514257985</v>
      </c>
      <c r="D223" s="30" t="n">
        <v>0.0836380977623738</v>
      </c>
      <c r="E223" s="30" t="n">
        <v>0.302382297104827</v>
      </c>
      <c r="F223" s="30" t="n">
        <v>0.0122985835678048</v>
      </c>
      <c r="G223" s="30" t="n">
        <v>0.143768866193365</v>
      </c>
      <c r="H223" s="31" t="n">
        <f aca="false">MAX(D223,F223+0.015)</f>
        <v>0.0836380977623738</v>
      </c>
      <c r="I223" s="25" t="n">
        <f aca="false">(C223-'DCF Base Case'!$B$3)*(1-E223)+'DCF Base Case'!$B$3-G223</f>
        <v>0.162241136620264</v>
      </c>
      <c r="J223" s="24" t="n">
        <f aca="false">'DCF Base Case'!$B$2*(1+B223)^1*$I223-'DCF Base Case'!$B$2*(1+B223)^0*B223*'DCF Base Case'!$B$4</f>
        <v>25.3683951629055</v>
      </c>
      <c r="K223" s="24" t="n">
        <f aca="false">'DCF Base Case'!$B$2*(1+B223)^2*$I223-'DCF Base Case'!$B$2*(1+B223)^1*B223*'DCF Base Case'!$B$4</f>
        <v>27.8072455135005</v>
      </c>
      <c r="L223" s="24" t="n">
        <f aca="false">'DCF Base Case'!$B$2*(1+B223)^3*$I223-'DCF Base Case'!$B$2*(1+B223)^2*B223*'DCF Base Case'!$B$4</f>
        <v>30.4805604801818</v>
      </c>
      <c r="M223" s="24" t="n">
        <f aca="false">'DCF Base Case'!$B$2*(1+B223)^4*$I223-'DCF Base Case'!$B$2*(1+B223)^3*B223*'DCF Base Case'!$B$4</f>
        <v>33.4108808704178</v>
      </c>
      <c r="N223" s="24" t="n">
        <f aca="false">'DCF Base Case'!$B$2*(1+B223)^5*$I223-'DCF Base Case'!$B$2*(1+B223)^4*B223*'DCF Base Case'!$B$4</f>
        <v>36.6229145052318</v>
      </c>
      <c r="O223" s="24" t="n">
        <f aca="false">J223/(1+H223)^1+K223/(1+H223)^2+L223/(1+H223)^3+M223/(1+H223)^4+N223/(1+H223)^5</f>
        <v>119.783576730702</v>
      </c>
      <c r="P223" s="24" t="n">
        <f aca="false">N223*(1+F223)/(H223-F223)</f>
        <v>519.674473513493</v>
      </c>
      <c r="Q223" s="24" t="n">
        <f aca="false">O223+P223/(1+H223)^5</f>
        <v>467.567945400701</v>
      </c>
      <c r="R223" s="24" t="n">
        <f aca="false">Q223-'DCF Base Case'!$B$5</f>
        <v>282.567945400701</v>
      </c>
      <c r="S223" s="32" t="n">
        <f aca="false">R223/'DCF Base Case'!$B$6</f>
        <v>11.302717816028</v>
      </c>
    </row>
    <row r="224" customFormat="false" ht="15" hidden="false" customHeight="true" outlineLevel="0" collapsed="false">
      <c r="A224" s="6" t="n">
        <v>223</v>
      </c>
      <c r="B224" s="30" t="n">
        <v>0.109148153111538</v>
      </c>
      <c r="C224" s="30" t="n">
        <v>0.42607023590149</v>
      </c>
      <c r="D224" s="30" t="n">
        <v>0.0895316874033943</v>
      </c>
      <c r="E224" s="30" t="n">
        <v>0.332346747577378</v>
      </c>
      <c r="F224" s="30" t="n">
        <v>0.0210223518729092</v>
      </c>
      <c r="G224" s="30" t="n">
        <v>0.180861396471558</v>
      </c>
      <c r="H224" s="31" t="n">
        <f aca="false">MAX(D224,F224+0.015)</f>
        <v>0.0895316874033943</v>
      </c>
      <c r="I224" s="25" t="n">
        <f aca="false">(C224-'DCF Base Case'!$B$3)*(1-E224)+'DCF Base Case'!$B$3-G224</f>
        <v>0.146810859473605</v>
      </c>
      <c r="J224" s="24" t="n">
        <f aca="false">'DCF Base Case'!$B$2*(1+B224)^1*$I224-'DCF Base Case'!$B$2*(1+B224)^0*B224*'DCF Base Case'!$B$4</f>
        <v>23.1362796120354</v>
      </c>
      <c r="K224" s="24" t="n">
        <f aca="false">'DCF Base Case'!$B$2*(1+B224)^2*$I224-'DCF Base Case'!$B$2*(1+B224)^1*B224*'DCF Base Case'!$B$4</f>
        <v>25.6615618015612</v>
      </c>
      <c r="L224" s="24" t="n">
        <f aca="false">'DCF Base Case'!$B$2*(1+B224)^3*$I224-'DCF Base Case'!$B$2*(1+B224)^2*B224*'DCF Base Case'!$B$4</f>
        <v>28.4624738781592</v>
      </c>
      <c r="M224" s="24" t="n">
        <f aca="false">'DCF Base Case'!$B$2*(1+B224)^4*$I224-'DCF Base Case'!$B$2*(1+B224)^3*B224*'DCF Base Case'!$B$4</f>
        <v>31.5691003349457</v>
      </c>
      <c r="N224" s="24" t="n">
        <f aca="false">'DCF Base Case'!$B$2*(1+B224)^5*$I224-'DCF Base Case'!$B$2*(1+B224)^4*B224*'DCF Base Case'!$B$4</f>
        <v>35.0148093318978</v>
      </c>
      <c r="O224" s="24" t="n">
        <f aca="false">J224/(1+H224)^1+K224/(1+H224)^2+L224/(1+H224)^3+M224/(1+H224)^4+N224/(1+H224)^5</f>
        <v>110.068064902165</v>
      </c>
      <c r="P224" s="24" t="n">
        <f aca="false">N224*(1+F224)/(H224-F224)</f>
        <v>521.839873319563</v>
      </c>
      <c r="Q224" s="24" t="n">
        <f aca="false">O224+P224/(1+H224)^5</f>
        <v>449.957708769827</v>
      </c>
      <c r="R224" s="24" t="n">
        <f aca="false">Q224-'DCF Base Case'!$B$5</f>
        <v>264.957708769827</v>
      </c>
      <c r="S224" s="32" t="n">
        <f aca="false">R224/'DCF Base Case'!$B$6</f>
        <v>10.5983083507931</v>
      </c>
    </row>
    <row r="225" customFormat="false" ht="15" hidden="false" customHeight="true" outlineLevel="0" collapsed="false">
      <c r="A225" s="6" t="n">
        <v>224</v>
      </c>
      <c r="B225" s="30" t="n">
        <v>0.135903290169228</v>
      </c>
      <c r="C225" s="30" t="n">
        <v>0.429861289407338</v>
      </c>
      <c r="D225" s="30" t="n">
        <v>0.0762232896001966</v>
      </c>
      <c r="E225" s="30" t="n">
        <v>0.292462561499737</v>
      </c>
      <c r="F225" s="30" t="n">
        <v>0.0209154468728116</v>
      </c>
      <c r="G225" s="30" t="n">
        <v>0.154594544230555</v>
      </c>
      <c r="H225" s="31" t="n">
        <f aca="false">MAX(D225,F225+0.015)</f>
        <v>0.0762232896001966</v>
      </c>
      <c r="I225" s="25" t="n">
        <f aca="false">(C225-'DCF Base Case'!$B$3)*(1-E225)+'DCF Base Case'!$B$3-G225</f>
        <v>0.187568544382099</v>
      </c>
      <c r="J225" s="24" t="n">
        <f aca="false">'DCF Base Case'!$B$2*(1+B225)^1*$I225-'DCF Base Case'!$B$2*(1+B225)^0*B225*'DCF Base Case'!$B$4</f>
        <v>30.3024810586663</v>
      </c>
      <c r="K225" s="24" t="n">
        <f aca="false">'DCF Base Case'!$B$2*(1+B225)^2*$I225-'DCF Base Case'!$B$2*(1+B225)^1*B225*'DCF Base Case'!$B$4</f>
        <v>34.4206879348298</v>
      </c>
      <c r="L225" s="24" t="n">
        <f aca="false">'DCF Base Case'!$B$2*(1+B225)^3*$I225-'DCF Base Case'!$B$2*(1+B225)^2*B225*'DCF Base Case'!$B$4</f>
        <v>39.0985726750614</v>
      </c>
      <c r="M225" s="24" t="n">
        <f aca="false">'DCF Base Case'!$B$2*(1+B225)^4*$I225-'DCF Base Case'!$B$2*(1+B225)^3*B225*'DCF Base Case'!$B$4</f>
        <v>44.412197342523</v>
      </c>
      <c r="N225" s="24" t="n">
        <f aca="false">'DCF Base Case'!$B$2*(1+B225)^5*$I225-'DCF Base Case'!$B$2*(1+B225)^4*B225*'DCF Base Case'!$B$4</f>
        <v>50.4479610850169</v>
      </c>
      <c r="O225" s="24" t="n">
        <f aca="false">J225/(1+H225)^1+K225/(1+H225)^2+L225/(1+H225)^3+M225/(1+H225)^4+N225/(1+H225)^5</f>
        <v>157.285236220798</v>
      </c>
      <c r="P225" s="24" t="n">
        <f aca="false">N225*(1+F225)/(H225-F225)</f>
        <v>931.207948008268</v>
      </c>
      <c r="Q225" s="24" t="n">
        <f aca="false">O225+P225/(1+H225)^5</f>
        <v>802.248151879891</v>
      </c>
      <c r="R225" s="24" t="n">
        <f aca="false">Q225-'DCF Base Case'!$B$5</f>
        <v>617.248151879891</v>
      </c>
      <c r="S225" s="32" t="n">
        <f aca="false">R225/'DCF Base Case'!$B$6</f>
        <v>24.6899260751956</v>
      </c>
    </row>
    <row r="226" customFormat="false" ht="15" hidden="false" customHeight="true" outlineLevel="0" collapsed="false">
      <c r="A226" s="6" t="n">
        <v>225</v>
      </c>
      <c r="B226" s="30" t="n">
        <v>0.0674720843584653</v>
      </c>
      <c r="C226" s="30" t="n">
        <v>0.44804329668644</v>
      </c>
      <c r="D226" s="30" t="n">
        <v>0.0885952781742683</v>
      </c>
      <c r="E226" s="30" t="n">
        <v>0.262803510852108</v>
      </c>
      <c r="F226" s="30" t="n">
        <v>0.0226414468152238</v>
      </c>
      <c r="G226" s="30" t="n">
        <v>0.162897128697725</v>
      </c>
      <c r="H226" s="31" t="n">
        <f aca="false">MAX(D226,F226+0.015)</f>
        <v>0.0885952781742683</v>
      </c>
      <c r="I226" s="25" t="n">
        <f aca="false">(C226-'DCF Base Case'!$B$3)*(1-E226)+'DCF Base Case'!$B$3-G226</f>
        <v>0.20156327301654</v>
      </c>
      <c r="J226" s="24" t="n">
        <f aca="false">'DCF Base Case'!$B$2*(1+B226)^1*$I226-'DCF Base Case'!$B$2*(1+B226)^0*B226*'DCF Base Case'!$B$4</f>
        <v>30.9051556737173</v>
      </c>
      <c r="K226" s="24" t="n">
        <f aca="false">'DCF Base Case'!$B$2*(1+B226)^2*$I226-'DCF Base Case'!$B$2*(1+B226)^1*B226*'DCF Base Case'!$B$4</f>
        <v>32.9903909444459</v>
      </c>
      <c r="L226" s="24" t="n">
        <f aca="false">'DCF Base Case'!$B$2*(1+B226)^3*$I226-'DCF Base Case'!$B$2*(1+B226)^2*B226*'DCF Base Case'!$B$4</f>
        <v>35.2163213852683</v>
      </c>
      <c r="M226" s="24" t="n">
        <f aca="false">'DCF Base Case'!$B$2*(1+B226)^4*$I226-'DCF Base Case'!$B$2*(1+B226)^3*B226*'DCF Base Case'!$B$4</f>
        <v>37.5924399925699</v>
      </c>
      <c r="N226" s="24" t="n">
        <f aca="false">'DCF Base Case'!$B$2*(1+B226)^5*$I226-'DCF Base Case'!$B$2*(1+B226)^4*B226*'DCF Base Case'!$B$4</f>
        <v>40.1288802749892</v>
      </c>
      <c r="O226" s="24" t="n">
        <f aca="false">J226/(1+H226)^1+K226/(1+H226)^2+L226/(1+H226)^3+M226/(1+H226)^4+N226/(1+H226)^5</f>
        <v>136.546757210432</v>
      </c>
      <c r="P226" s="24" t="n">
        <f aca="false">N226*(1+F226)/(H226-F226)</f>
        <v>622.214893932196</v>
      </c>
      <c r="Q226" s="24" t="n">
        <f aca="false">O226+P226/(1+H226)^5</f>
        <v>543.559654768606</v>
      </c>
      <c r="R226" s="24" t="n">
        <f aca="false">Q226-'DCF Base Case'!$B$5</f>
        <v>358.559654768605</v>
      </c>
      <c r="S226" s="32" t="n">
        <f aca="false">R226/'DCF Base Case'!$B$6</f>
        <v>14.3423861907442</v>
      </c>
    </row>
    <row r="227" customFormat="false" ht="15" hidden="false" customHeight="true" outlineLevel="0" collapsed="false">
      <c r="A227" s="6" t="n">
        <v>226</v>
      </c>
      <c r="B227" s="30" t="n">
        <v>0.0847314158975849</v>
      </c>
      <c r="C227" s="30" t="n">
        <v>0.423634054630783</v>
      </c>
      <c r="D227" s="30" t="n">
        <v>0.0707892950494514</v>
      </c>
      <c r="E227" s="30" t="n">
        <v>0.290119942346794</v>
      </c>
      <c r="F227" s="30" t="n">
        <v>0.0255871890761901</v>
      </c>
      <c r="G227" s="30" t="n">
        <v>0.176144954551072</v>
      </c>
      <c r="H227" s="31" t="n">
        <f aca="false">MAX(D227,F227+0.015)</f>
        <v>0.0707892950494514</v>
      </c>
      <c r="I227" s="25" t="n">
        <f aca="false">(C227-'DCF Base Case'!$B$3)*(1-E227)+'DCF Base Case'!$B$3-G227</f>
        <v>0.162300005079173</v>
      </c>
      <c r="J227" s="24" t="n">
        <f aca="false">'DCF Base Case'!$B$2*(1+B227)^1*$I227-'DCF Base Case'!$B$2*(1+B227)^0*B227*'DCF Base Case'!$B$4</f>
        <v>25.1589459157544</v>
      </c>
      <c r="K227" s="24" t="n">
        <f aca="false">'DCF Base Case'!$B$2*(1+B227)^2*$I227-'DCF Base Case'!$B$2*(1+B227)^1*B227*'DCF Base Case'!$B$4</f>
        <v>27.290699025687</v>
      </c>
      <c r="L227" s="24" t="n">
        <f aca="false">'DCF Base Case'!$B$2*(1+B227)^3*$I227-'DCF Base Case'!$B$2*(1+B227)^2*B227*'DCF Base Case'!$B$4</f>
        <v>29.6030785949683</v>
      </c>
      <c r="M227" s="24" t="n">
        <f aca="false">'DCF Base Case'!$B$2*(1+B227)^4*$I227-'DCF Base Case'!$B$2*(1+B227)^3*B227*'DCF Base Case'!$B$4</f>
        <v>32.1113893592475</v>
      </c>
      <c r="N227" s="24" t="n">
        <f aca="false">'DCF Base Case'!$B$2*(1+B227)^5*$I227-'DCF Base Case'!$B$2*(1+B227)^4*B227*'DCF Base Case'!$B$4</f>
        <v>34.8322328460952</v>
      </c>
      <c r="O227" s="24" t="n">
        <f aca="false">J227/(1+H227)^1+K227/(1+H227)^2+L227/(1+H227)^3+M227/(1+H227)^4+N227/(1+H227)^5</f>
        <v>120.577839141609</v>
      </c>
      <c r="P227" s="24" t="n">
        <f aca="false">N227*(1+F227)/(H227-F227)</f>
        <v>790.305916166955</v>
      </c>
      <c r="Q227" s="24" t="n">
        <f aca="false">O227+P227/(1+H227)^5</f>
        <v>681.981356279676</v>
      </c>
      <c r="R227" s="24" t="n">
        <f aca="false">Q227-'DCF Base Case'!$B$5</f>
        <v>496.981356279676</v>
      </c>
      <c r="S227" s="32" t="n">
        <f aca="false">R227/'DCF Base Case'!$B$6</f>
        <v>19.879254251187</v>
      </c>
    </row>
    <row r="228" customFormat="false" ht="15" hidden="false" customHeight="true" outlineLevel="0" collapsed="false">
      <c r="A228" s="6" t="n">
        <v>227</v>
      </c>
      <c r="B228" s="30" t="n">
        <v>0.0820344863708587</v>
      </c>
      <c r="C228" s="30" t="n">
        <v>0.400399754934268</v>
      </c>
      <c r="D228" s="30" t="n">
        <v>0.0804862602932038</v>
      </c>
      <c r="E228" s="30" t="n">
        <v>0.272913332788987</v>
      </c>
      <c r="F228" s="30" t="n">
        <v>0.0178573375281868</v>
      </c>
      <c r="G228" s="30" t="n">
        <v>0.187159313241884</v>
      </c>
      <c r="H228" s="31" t="n">
        <f aca="false">MAX(D228,F228+0.015)</f>
        <v>0.0804862602932038</v>
      </c>
      <c r="I228" s="25" t="n">
        <f aca="false">(C228-'DCF Base Case'!$B$3)*(1-E228)+'DCF Base Case'!$B$3-G228</f>
        <v>0.139444743387948</v>
      </c>
      <c r="J228" s="24" t="n">
        <f aca="false">'DCF Base Case'!$B$2*(1+B228)^1*$I228-'DCF Base Case'!$B$2*(1+B228)^0*B228*'DCF Base Case'!$B$4</f>
        <v>21.5213330711764</v>
      </c>
      <c r="K228" s="24" t="n">
        <f aca="false">'DCF Base Case'!$B$2*(1+B228)^2*$I228-'DCF Base Case'!$B$2*(1+B228)^1*B228*'DCF Base Case'!$B$4</f>
        <v>23.2868245756865</v>
      </c>
      <c r="L228" s="24" t="n">
        <f aca="false">'DCF Base Case'!$B$2*(1+B228)^3*$I228-'DCF Base Case'!$B$2*(1+B228)^2*B228*'DCF Base Case'!$B$4</f>
        <v>25.1971472689613</v>
      </c>
      <c r="M228" s="24" t="n">
        <f aca="false">'DCF Base Case'!$B$2*(1+B228)^4*$I228-'DCF Base Case'!$B$2*(1+B228)^3*B228*'DCF Base Case'!$B$4</f>
        <v>27.2641823031814</v>
      </c>
      <c r="N228" s="24" t="n">
        <f aca="false">'DCF Base Case'!$B$2*(1+B228)^5*$I228-'DCF Base Case'!$B$2*(1+B228)^4*B228*'DCF Base Case'!$B$4</f>
        <v>29.5007854947443</v>
      </c>
      <c r="O228" s="24" t="n">
        <f aca="false">J228/(1+H228)^1+K228/(1+H228)^2+L228/(1+H228)^3+M228/(1+H228)^4+N228/(1+H228)^5</f>
        <v>99.8767778547184</v>
      </c>
      <c r="P228" s="24" t="n">
        <f aca="false">N228*(1+F228)/(H228-F228)</f>
        <v>479.452458272894</v>
      </c>
      <c r="Q228" s="24" t="n">
        <f aca="false">O228+P228/(1+H228)^5</f>
        <v>425.450471294987</v>
      </c>
      <c r="R228" s="24" t="n">
        <f aca="false">Q228-'DCF Base Case'!$B$5</f>
        <v>240.450471294987</v>
      </c>
      <c r="S228" s="32" t="n">
        <f aca="false">R228/'DCF Base Case'!$B$6</f>
        <v>9.61801885179949</v>
      </c>
    </row>
    <row r="229" customFormat="false" ht="15" hidden="false" customHeight="true" outlineLevel="0" collapsed="false">
      <c r="A229" s="6" t="n">
        <v>228</v>
      </c>
      <c r="B229" s="30" t="n">
        <v>0.0544099366419985</v>
      </c>
      <c r="C229" s="30" t="n">
        <v>0.418970877336768</v>
      </c>
      <c r="D229" s="30" t="n">
        <v>0.0808234482234318</v>
      </c>
      <c r="E229" s="30" t="n">
        <v>0.290875120112998</v>
      </c>
      <c r="F229" s="30" t="n">
        <v>0.0147673802398605</v>
      </c>
      <c r="G229" s="30" t="n">
        <v>0.196507253205316</v>
      </c>
      <c r="H229" s="31" t="n">
        <f aca="false">MAX(D229,F229+0.015)</f>
        <v>0.0808234482234318</v>
      </c>
      <c r="I229" s="25" t="n">
        <f aca="false">(C229-'DCF Base Case'!$B$3)*(1-E229)+'DCF Base Case'!$B$3-G229</f>
        <v>0.138409185476961</v>
      </c>
      <c r="J229" s="24" t="n">
        <f aca="false">'DCF Base Case'!$B$2*(1+B229)^1*$I229-'DCF Base Case'!$B$2*(1+B229)^0*B229*'DCF Base Case'!$B$4</f>
        <v>20.9246197465751</v>
      </c>
      <c r="K229" s="24" t="n">
        <f aca="false">'DCF Base Case'!$B$2*(1+B229)^2*$I229-'DCF Base Case'!$B$2*(1+B229)^1*B229*'DCF Base Case'!$B$4</f>
        <v>22.0631269812442</v>
      </c>
      <c r="L229" s="24" t="n">
        <f aca="false">'DCF Base Case'!$B$2*(1+B229)^3*$I229-'DCF Base Case'!$B$2*(1+B229)^2*B229*'DCF Base Case'!$B$4</f>
        <v>23.2635803224181</v>
      </c>
      <c r="M229" s="24" t="n">
        <f aca="false">'DCF Base Case'!$B$2*(1+B229)^4*$I229-'DCF Base Case'!$B$2*(1+B229)^3*B229*'DCF Base Case'!$B$4</f>
        <v>24.5293502538269</v>
      </c>
      <c r="N229" s="24" t="n">
        <f aca="false">'DCF Base Case'!$B$2*(1+B229)^5*$I229-'DCF Base Case'!$B$2*(1+B229)^4*B229*'DCF Base Case'!$B$4</f>
        <v>25.863990647007</v>
      </c>
      <c r="O229" s="24" t="n">
        <f aca="false">J229/(1+H229)^1+K229/(1+H229)^2+L229/(1+H229)^3+M229/(1+H229)^4+N229/(1+H229)^5</f>
        <v>92.1824205550188</v>
      </c>
      <c r="P229" s="24" t="n">
        <f aca="false">N229*(1+F229)/(H229-F229)</f>
        <v>397.328130974116</v>
      </c>
      <c r="Q229" s="24" t="n">
        <f aca="false">O229+P229/(1+H229)^5</f>
        <v>361.568732238751</v>
      </c>
      <c r="R229" s="24" t="n">
        <f aca="false">Q229-'DCF Base Case'!$B$5</f>
        <v>176.568732238751</v>
      </c>
      <c r="S229" s="32" t="n">
        <f aca="false">R229/'DCF Base Case'!$B$6</f>
        <v>7.06274928955002</v>
      </c>
    </row>
    <row r="230" customFormat="false" ht="15" hidden="false" customHeight="true" outlineLevel="0" collapsed="false">
      <c r="A230" s="6" t="n">
        <v>229</v>
      </c>
      <c r="B230" s="30" t="n">
        <v>0.116929540458431</v>
      </c>
      <c r="C230" s="30" t="n">
        <v>0.440925439420003</v>
      </c>
      <c r="D230" s="30" t="n">
        <v>0.0683376974662711</v>
      </c>
      <c r="E230" s="30" t="n">
        <v>0.305113167710344</v>
      </c>
      <c r="F230" s="30" t="n">
        <v>0.0207924332143539</v>
      </c>
      <c r="G230" s="30" t="n">
        <v>0.134726447227007</v>
      </c>
      <c r="H230" s="31" t="n">
        <f aca="false">MAX(D230,F230+0.015)</f>
        <v>0.0683376974662711</v>
      </c>
      <c r="I230" s="25" t="n">
        <f aca="false">(C230-'DCF Base Case'!$B$3)*(1-E230)+'DCF Base Case'!$B$3-G230</f>
        <v>0.211331546449828</v>
      </c>
      <c r="J230" s="24" t="n">
        <f aca="false">'DCF Base Case'!$B$2*(1+B230)^1*$I230-'DCF Base Case'!$B$2*(1+B230)^0*B230*'DCF Base Case'!$B$4</f>
        <v>33.7175113227894</v>
      </c>
      <c r="K230" s="24" t="n">
        <f aca="false">'DCF Base Case'!$B$2*(1+B230)^2*$I230-'DCF Base Case'!$B$2*(1+B230)^1*B230*'DCF Base Case'!$B$4</f>
        <v>37.6600844271651</v>
      </c>
      <c r="L230" s="24" t="n">
        <f aca="false">'DCF Base Case'!$B$2*(1+B230)^3*$I230-'DCF Base Case'!$B$2*(1+B230)^2*B230*'DCF Base Case'!$B$4</f>
        <v>42.0636607928592</v>
      </c>
      <c r="M230" s="24" t="n">
        <f aca="false">'DCF Base Case'!$B$2*(1+B230)^4*$I230-'DCF Base Case'!$B$2*(1+B230)^3*B230*'DCF Base Case'!$B$4</f>
        <v>46.9821453193676</v>
      </c>
      <c r="N230" s="24" t="n">
        <f aca="false">'DCF Base Case'!$B$2*(1+B230)^5*$I230-'DCF Base Case'!$B$2*(1+B230)^4*B230*'DCF Base Case'!$B$4</f>
        <v>52.4757459813124</v>
      </c>
      <c r="O230" s="24" t="n">
        <f aca="false">J230/(1+H230)^1+K230/(1+H230)^2+L230/(1+H230)^3+M230/(1+H230)^4+N230/(1+H230)^5</f>
        <v>172.82647205572</v>
      </c>
      <c r="P230" s="24" t="n">
        <f aca="false">N230*(1+F230)/(H230-F230)</f>
        <v>1126.64942066953</v>
      </c>
      <c r="Q230" s="24" t="n">
        <f aca="false">O230+P230/(1+H230)^5</f>
        <v>982.380860978941</v>
      </c>
      <c r="R230" s="24" t="n">
        <f aca="false">Q230-'DCF Base Case'!$B$5</f>
        <v>797.380860978941</v>
      </c>
      <c r="S230" s="32" t="n">
        <f aca="false">R230/'DCF Base Case'!$B$6</f>
        <v>31.8952344391576</v>
      </c>
    </row>
    <row r="231" customFormat="false" ht="15" hidden="false" customHeight="true" outlineLevel="0" collapsed="false">
      <c r="A231" s="6" t="n">
        <v>230</v>
      </c>
      <c r="B231" s="30" t="n">
        <v>0.0895130134400234</v>
      </c>
      <c r="C231" s="30" t="n">
        <v>0.421551221210439</v>
      </c>
      <c r="D231" s="30" t="n">
        <v>0.0911168280120547</v>
      </c>
      <c r="E231" s="30" t="n">
        <v>0.284780751922473</v>
      </c>
      <c r="F231" s="30" t="n">
        <v>0.0203874316652162</v>
      </c>
      <c r="G231" s="30" t="n">
        <v>0.199463234022877</v>
      </c>
      <c r="H231" s="31" t="n">
        <f aca="false">MAX(D231,F231+0.015)</f>
        <v>0.0911168280120547</v>
      </c>
      <c r="I231" s="25" t="n">
        <f aca="false">(C231-'DCF Base Case'!$B$3)*(1-E231)+'DCF Base Case'!$B$3-G231</f>
        <v>0.139059811187338</v>
      </c>
      <c r="J231" s="24" t="n">
        <f aca="false">'DCF Base Case'!$B$2*(1+B231)^1*$I231-'DCF Base Case'!$B$2*(1+B231)^0*B231*'DCF Base Case'!$B$4</f>
        <v>21.5792021121279</v>
      </c>
      <c r="K231" s="24" t="n">
        <f aca="false">'DCF Base Case'!$B$2*(1+B231)^2*$I231-'DCF Base Case'!$B$2*(1+B231)^1*B231*'DCF Base Case'!$B$4</f>
        <v>23.5108215208158</v>
      </c>
      <c r="L231" s="24" t="n">
        <f aca="false">'DCF Base Case'!$B$2*(1+B231)^3*$I231-'DCF Base Case'!$B$2*(1+B231)^2*B231*'DCF Base Case'!$B$4</f>
        <v>25.6153460035946</v>
      </c>
      <c r="M231" s="24" t="n">
        <f aca="false">'DCF Base Case'!$B$2*(1+B231)^4*$I231-'DCF Base Case'!$B$2*(1+B231)^3*B231*'DCF Base Case'!$B$4</f>
        <v>27.9082528146852</v>
      </c>
      <c r="N231" s="24" t="n">
        <f aca="false">'DCF Base Case'!$B$2*(1+B231)^5*$I231-'DCF Base Case'!$B$2*(1+B231)^4*B231*'DCF Base Case'!$B$4</f>
        <v>30.4064046239737</v>
      </c>
      <c r="O231" s="24" t="n">
        <f aca="false">J231/(1+H231)^1+K231/(1+H231)^2+L231/(1+H231)^3+M231/(1+H231)^4+N231/(1+H231)^5</f>
        <v>98.5955715885616</v>
      </c>
      <c r="P231" s="24" t="n">
        <f aca="false">N231*(1+F231)/(H231-F231)</f>
        <v>438.662207270721</v>
      </c>
      <c r="Q231" s="24" t="n">
        <f aca="false">O231+P231/(1+H231)^5</f>
        <v>382.239799626005</v>
      </c>
      <c r="R231" s="24" t="n">
        <f aca="false">Q231-'DCF Base Case'!$B$5</f>
        <v>197.239799626005</v>
      </c>
      <c r="S231" s="32" t="n">
        <f aca="false">R231/'DCF Base Case'!$B$6</f>
        <v>7.8895919850402</v>
      </c>
    </row>
    <row r="232" customFormat="false" ht="15" hidden="false" customHeight="true" outlineLevel="0" collapsed="false">
      <c r="A232" s="6" t="n">
        <v>231</v>
      </c>
      <c r="B232" s="30" t="n">
        <v>0.11653801401754</v>
      </c>
      <c r="C232" s="30" t="n">
        <v>0.368491116166188</v>
      </c>
      <c r="D232" s="30" t="n">
        <v>0.0815081758967855</v>
      </c>
      <c r="E232" s="30" t="n">
        <v>0.275184442742912</v>
      </c>
      <c r="F232" s="30" t="n">
        <v>0.0126417276961387</v>
      </c>
      <c r="G232" s="30" t="n">
        <v>0.167322763668198</v>
      </c>
      <c r="H232" s="31" t="n">
        <f aca="false">MAX(D232,F232+0.015)</f>
        <v>0.0815081758967855</v>
      </c>
      <c r="I232" s="25" t="n">
        <f aca="false">(C232-'DCF Base Case'!$B$3)*(1-E232)+'DCF Base Case'!$B$3-G232</f>
        <v>0.135539307596662</v>
      </c>
      <c r="J232" s="24" t="n">
        <f aca="false">'DCF Base Case'!$B$2*(1+B232)^1*$I232-'DCF Base Case'!$B$2*(1+B232)^0*B232*'DCF Base Case'!$B$4</f>
        <v>21.4366040911908</v>
      </c>
      <c r="K232" s="24" t="n">
        <f aca="false">'DCF Base Case'!$B$2*(1+B232)^2*$I232-'DCF Base Case'!$B$2*(1+B232)^1*B232*'DCF Base Case'!$B$4</f>
        <v>23.9347833592584</v>
      </c>
      <c r="L232" s="24" t="n">
        <f aca="false">'DCF Base Case'!$B$2*(1+B232)^3*$I232-'DCF Base Case'!$B$2*(1+B232)^2*B232*'DCF Base Case'!$B$4</f>
        <v>26.7240954778864</v>
      </c>
      <c r="M232" s="24" t="n">
        <f aca="false">'DCF Base Case'!$B$2*(1+B232)^4*$I232-'DCF Base Case'!$B$2*(1+B232)^3*B232*'DCF Base Case'!$B$4</f>
        <v>29.8384684912944</v>
      </c>
      <c r="N232" s="24" t="n">
        <f aca="false">'DCF Base Case'!$B$2*(1+B232)^5*$I232-'DCF Base Case'!$B$2*(1+B232)^4*B232*'DCF Base Case'!$B$4</f>
        <v>33.3157843505948</v>
      </c>
      <c r="O232" s="24" t="n">
        <f aca="false">J232/(1+H232)^1+K232/(1+H232)^2+L232/(1+H232)^3+M232/(1+H232)^4+N232/(1+H232)^5</f>
        <v>105.736465136518</v>
      </c>
      <c r="P232" s="24" t="n">
        <f aca="false">N232*(1+F232)/(H232-F232)</f>
        <v>489.88955152796</v>
      </c>
      <c r="Q232" s="24" t="n">
        <f aca="false">O232+P232/(1+H232)^5</f>
        <v>436.828811951567</v>
      </c>
      <c r="R232" s="24" t="n">
        <f aca="false">Q232-'DCF Base Case'!$B$5</f>
        <v>251.828811951567</v>
      </c>
      <c r="S232" s="32" t="n">
        <f aca="false">R232/'DCF Base Case'!$B$6</f>
        <v>10.0731524780627</v>
      </c>
    </row>
    <row r="233" customFormat="false" ht="15" hidden="false" customHeight="true" outlineLevel="0" collapsed="false">
      <c r="A233" s="6" t="n">
        <v>232</v>
      </c>
      <c r="B233" s="30" t="n">
        <v>0.116991649169302</v>
      </c>
      <c r="C233" s="30" t="n">
        <v>0.401038670608546</v>
      </c>
      <c r="D233" s="30" t="n">
        <v>0.0887004103255886</v>
      </c>
      <c r="E233" s="30" t="n">
        <v>0.259893100221844</v>
      </c>
      <c r="F233" s="30" t="n">
        <v>0.0166252150321987</v>
      </c>
      <c r="G233" s="30" t="n">
        <v>0.199537584337938</v>
      </c>
      <c r="H233" s="31" t="n">
        <f aca="false">MAX(D233,F233+0.015)</f>
        <v>0.0887004103255886</v>
      </c>
      <c r="I233" s="25" t="n">
        <f aca="false">(C233-'DCF Base Case'!$B$3)*(1-E233)+'DCF Base Case'!$B$3-G233</f>
        <v>0.131060005886146</v>
      </c>
      <c r="J233" s="24" t="n">
        <f aca="false">'DCF Base Case'!$B$2*(1+B233)^1*$I233-'DCF Base Case'!$B$2*(1+B233)^0*B233*'DCF Base Case'!$B$4</f>
        <v>20.7180614827747</v>
      </c>
      <c r="K233" s="24" t="n">
        <f aca="false">'DCF Base Case'!$B$2*(1+B233)^2*$I233-'DCF Base Case'!$B$2*(1+B233)^1*B233*'DCF Base Case'!$B$4</f>
        <v>23.1419016632355</v>
      </c>
      <c r="L233" s="24" t="n">
        <f aca="false">'DCF Base Case'!$B$2*(1+B233)^3*$I233-'DCF Base Case'!$B$2*(1+B233)^2*B233*'DCF Base Case'!$B$4</f>
        <v>25.8493109037312</v>
      </c>
      <c r="M233" s="24" t="n">
        <f aca="false">'DCF Base Case'!$B$2*(1+B233)^4*$I233-'DCF Base Case'!$B$2*(1+B233)^3*B233*'DCF Base Case'!$B$4</f>
        <v>28.8734644162487</v>
      </c>
      <c r="N233" s="24" t="n">
        <f aca="false">'DCF Base Case'!$B$2*(1+B233)^5*$I233-'DCF Base Case'!$B$2*(1+B233)^4*B233*'DCF Base Case'!$B$4</f>
        <v>32.2514186355368</v>
      </c>
      <c r="O233" s="24" t="n">
        <f aca="false">J233/(1+H233)^1+K233/(1+H233)^2+L233/(1+H233)^3+M233/(1+H233)^4+N233/(1+H233)^5</f>
        <v>100.225816446689</v>
      </c>
      <c r="P233" s="24" t="n">
        <f aca="false">N233*(1+F233)/(H233-F233)</f>
        <v>454.908311687267</v>
      </c>
      <c r="Q233" s="24" t="n">
        <f aca="false">O233+P233/(1+H233)^5</f>
        <v>397.65387681907</v>
      </c>
      <c r="R233" s="24" t="n">
        <f aca="false">Q233-'DCF Base Case'!$B$5</f>
        <v>212.65387681907</v>
      </c>
      <c r="S233" s="32" t="n">
        <f aca="false">R233/'DCF Base Case'!$B$6</f>
        <v>8.50615507276278</v>
      </c>
    </row>
    <row r="234" customFormat="false" ht="15" hidden="false" customHeight="true" outlineLevel="0" collapsed="false">
      <c r="A234" s="6" t="n">
        <v>233</v>
      </c>
      <c r="B234" s="30" t="n">
        <v>0.0783221309157137</v>
      </c>
      <c r="C234" s="30" t="n">
        <v>0.419801126892986</v>
      </c>
      <c r="D234" s="30" t="n">
        <v>0.0644166007233291</v>
      </c>
      <c r="E234" s="30" t="n">
        <v>0.33240273343284</v>
      </c>
      <c r="F234" s="30" t="n">
        <v>0.0215100244216807</v>
      </c>
      <c r="G234" s="30" t="n">
        <v>0.161396002128648</v>
      </c>
      <c r="H234" s="31" t="n">
        <f aca="false">MAX(D234,F234+0.015)</f>
        <v>0.0644166007233291</v>
      </c>
      <c r="I234" s="25" t="n">
        <f aca="false">(C234-'DCF Base Case'!$B$3)*(1-E234)+'DCF Base Case'!$B$3-G234</f>
        <v>0.162074438033192</v>
      </c>
      <c r="J234" s="24" t="n">
        <f aca="false">'DCF Base Case'!$B$2*(1+B234)^1*$I234-'DCF Base Case'!$B$2*(1+B234)^0*B234*'DCF Base Case'!$B$4</f>
        <v>25.0007244716198</v>
      </c>
      <c r="K234" s="24" t="n">
        <f aca="false">'DCF Base Case'!$B$2*(1+B234)^2*$I234-'DCF Base Case'!$B$2*(1+B234)^1*B234*'DCF Base Case'!$B$4</f>
        <v>26.9588344866737</v>
      </c>
      <c r="L234" s="24" t="n">
        <f aca="false">'DCF Base Case'!$B$2*(1+B234)^3*$I234-'DCF Base Case'!$B$2*(1+B234)^2*B234*'DCF Base Case'!$B$4</f>
        <v>29.070307850674</v>
      </c>
      <c r="M234" s="24" t="n">
        <f aca="false">'DCF Base Case'!$B$2*(1+B234)^4*$I234-'DCF Base Case'!$B$2*(1+B234)^3*B234*'DCF Base Case'!$B$4</f>
        <v>31.3471563079146</v>
      </c>
      <c r="N234" s="24" t="n">
        <f aca="false">'DCF Base Case'!$B$2*(1+B234)^5*$I234-'DCF Base Case'!$B$2*(1+B234)^4*B234*'DCF Base Case'!$B$4</f>
        <v>33.8023323880985</v>
      </c>
      <c r="O234" s="24" t="n">
        <f aca="false">J234/(1+H234)^1+K234/(1+H234)^2+L234/(1+H234)^3+M234/(1+H234)^4+N234/(1+H234)^5</f>
        <v>120.547408427902</v>
      </c>
      <c r="P234" s="24" t="n">
        <f aca="false">N234*(1+F234)/(H234-F234)</f>
        <v>804.758252919604</v>
      </c>
      <c r="Q234" s="24" t="n">
        <f aca="false">O234+P234/(1+H234)^5</f>
        <v>709.536488547621</v>
      </c>
      <c r="R234" s="24" t="n">
        <f aca="false">Q234-'DCF Base Case'!$B$5</f>
        <v>524.536488547621</v>
      </c>
      <c r="S234" s="32" t="n">
        <f aca="false">R234/'DCF Base Case'!$B$6</f>
        <v>20.9814595419048</v>
      </c>
    </row>
    <row r="235" customFormat="false" ht="15" hidden="false" customHeight="true" outlineLevel="0" collapsed="false">
      <c r="A235" s="6" t="n">
        <v>234</v>
      </c>
      <c r="B235" s="30" t="n">
        <v>0.102419361868496</v>
      </c>
      <c r="C235" s="30" t="n">
        <v>0.388091920004247</v>
      </c>
      <c r="D235" s="30" t="n">
        <v>0.0980078381592792</v>
      </c>
      <c r="E235" s="30" t="n">
        <v>0.271211995357862</v>
      </c>
      <c r="F235" s="30" t="n">
        <v>0.0185645302231913</v>
      </c>
      <c r="G235" s="30" t="n">
        <v>0.155297671887604</v>
      </c>
      <c r="H235" s="31" t="n">
        <f aca="false">MAX(D235,F235+0.015)</f>
        <v>0.0980078381592792</v>
      </c>
      <c r="I235" s="25" t="n">
        <f aca="false">(C235-'DCF Base Case'!$B$3)*(1-E235)+'DCF Base Case'!$B$3-G235</f>
        <v>0.162796623506549</v>
      </c>
      <c r="J235" s="24" t="n">
        <f aca="false">'DCF Base Case'!$B$2*(1+B235)^1*$I235-'DCF Base Case'!$B$2*(1+B235)^0*B235*'DCF Base Case'!$B$4</f>
        <v>25.5776474969353</v>
      </c>
      <c r="K235" s="24" t="n">
        <f aca="false">'DCF Base Case'!$B$2*(1+B235)^2*$I235-'DCF Base Case'!$B$2*(1+B235)^1*B235*'DCF Base Case'!$B$4</f>
        <v>28.1972938316687</v>
      </c>
      <c r="L235" s="24" t="n">
        <f aca="false">'DCF Base Case'!$B$2*(1+B235)^3*$I235-'DCF Base Case'!$B$2*(1+B235)^2*B235*'DCF Base Case'!$B$4</f>
        <v>31.0852426723267</v>
      </c>
      <c r="M235" s="24" t="n">
        <f aca="false">'DCF Base Case'!$B$2*(1+B235)^4*$I235-'DCF Base Case'!$B$2*(1+B235)^3*B235*'DCF Base Case'!$B$4</f>
        <v>34.2689733903538</v>
      </c>
      <c r="N235" s="24" t="n">
        <f aca="false">'DCF Base Case'!$B$2*(1+B235)^5*$I235-'DCF Base Case'!$B$2*(1+B235)^4*B235*'DCF Base Case'!$B$4</f>
        <v>37.7787797768823</v>
      </c>
      <c r="O235" s="24" t="n">
        <f aca="false">J235/(1+H235)^1+K235/(1+H235)^2+L235/(1+H235)^3+M235/(1+H235)^4+N235/(1+H235)^5</f>
        <v>117.412660183402</v>
      </c>
      <c r="P235" s="24" t="n">
        <f aca="false">N235*(1+F235)/(H235-F235)</f>
        <v>484.372140027235</v>
      </c>
      <c r="Q235" s="24" t="n">
        <f aca="false">O235+P235/(1+H235)^5</f>
        <v>420.907948967779</v>
      </c>
      <c r="R235" s="24" t="n">
        <f aca="false">Q235-'DCF Base Case'!$B$5</f>
        <v>235.907948967779</v>
      </c>
      <c r="S235" s="32" t="n">
        <f aca="false">R235/'DCF Base Case'!$B$6</f>
        <v>9.43631795871116</v>
      </c>
    </row>
    <row r="236" customFormat="false" ht="15" hidden="false" customHeight="true" outlineLevel="0" collapsed="false">
      <c r="A236" s="6" t="n">
        <v>235</v>
      </c>
      <c r="B236" s="30" t="n">
        <v>0.0774658317977316</v>
      </c>
      <c r="C236" s="30" t="n">
        <v>0.423819595291395</v>
      </c>
      <c r="D236" s="30" t="n">
        <v>0.0878149753511465</v>
      </c>
      <c r="E236" s="30" t="n">
        <v>0.299531295628896</v>
      </c>
      <c r="F236" s="30" t="n">
        <v>0.0193212664137581</v>
      </c>
      <c r="G236" s="30" t="n">
        <v>0.177298305955052</v>
      </c>
      <c r="H236" s="31" t="n">
        <f aca="false">MAX(D236,F236+0.015)</f>
        <v>0.0878149753511465</v>
      </c>
      <c r="I236" s="25" t="n">
        <f aca="false">(C236-'DCF Base Case'!$B$3)*(1-E236)+'DCF Base Case'!$B$3-G236</f>
        <v>0.158513125277554</v>
      </c>
      <c r="J236" s="24" t="n">
        <f aca="false">'DCF Base Case'!$B$2*(1+B236)^1*$I236-'DCF Base Case'!$B$2*(1+B236)^0*B236*'DCF Base Case'!$B$4</f>
        <v>24.4279327064953</v>
      </c>
      <c r="K236" s="24" t="n">
        <f aca="false">'DCF Base Case'!$B$2*(1+B236)^2*$I236-'DCF Base Case'!$B$2*(1+B236)^1*B236*'DCF Base Case'!$B$4</f>
        <v>26.320262832703</v>
      </c>
      <c r="L236" s="24" t="n">
        <f aca="false">'DCF Base Case'!$B$2*(1+B236)^3*$I236-'DCF Base Case'!$B$2*(1+B236)^2*B236*'DCF Base Case'!$B$4</f>
        <v>28.3591838861732</v>
      </c>
      <c r="M236" s="24" t="n">
        <f aca="false">'DCF Base Case'!$B$2*(1+B236)^4*$I236-'DCF Base Case'!$B$2*(1+B236)^3*B236*'DCF Base Case'!$B$4</f>
        <v>30.5560516550205</v>
      </c>
      <c r="N236" s="24" t="n">
        <f aca="false">'DCF Base Case'!$B$2*(1+B236)^5*$I236-'DCF Base Case'!$B$2*(1+B236)^4*B236*'DCF Base Case'!$B$4</f>
        <v>32.9231016129311</v>
      </c>
      <c r="O236" s="24" t="n">
        <f aca="false">J236/(1+H236)^1+K236/(1+H236)^2+L236/(1+H236)^3+M236/(1+H236)^4+N236/(1+H236)^5</f>
        <v>110.163650320655</v>
      </c>
      <c r="P236" s="24" t="n">
        <f aca="false">N236*(1+F236)/(H236-F236)</f>
        <v>489.960583986464</v>
      </c>
      <c r="Q236" s="24" t="n">
        <f aca="false">O236+P236/(1+H236)^5</f>
        <v>431.815443977175</v>
      </c>
      <c r="R236" s="24" t="n">
        <f aca="false">Q236-'DCF Base Case'!$B$5</f>
        <v>246.815443977175</v>
      </c>
      <c r="S236" s="32" t="n">
        <f aca="false">R236/'DCF Base Case'!$B$6</f>
        <v>9.872617759087</v>
      </c>
    </row>
    <row r="237" customFormat="false" ht="15" hidden="false" customHeight="true" outlineLevel="0" collapsed="false">
      <c r="A237" s="6" t="n">
        <v>236</v>
      </c>
      <c r="B237" s="30" t="n">
        <v>0.0810891311241077</v>
      </c>
      <c r="C237" s="30" t="n">
        <v>0.44978975386091</v>
      </c>
      <c r="D237" s="30" t="n">
        <v>0.0677527654192645</v>
      </c>
      <c r="E237" s="30" t="n">
        <v>0.317964229734053</v>
      </c>
      <c r="F237" s="30" t="n">
        <v>0.0241467543741036</v>
      </c>
      <c r="G237" s="30" t="n">
        <v>0.148075824363495</v>
      </c>
      <c r="H237" s="31" t="n">
        <f aca="false">MAX(D237,F237+0.015)</f>
        <v>0.0677527654192645</v>
      </c>
      <c r="I237" s="25" t="n">
        <f aca="false">(C237-'DCF Base Case'!$B$3)*(1-E237)+'DCF Base Case'!$B$3-G237</f>
        <v>0.200032226734188</v>
      </c>
      <c r="J237" s="24" t="n">
        <f aca="false">'DCF Base Case'!$B$2*(1+B237)^1*$I237-'DCF Base Case'!$B$2*(1+B237)^0*B237*'DCF Base Case'!$B$4</f>
        <v>31.0038988781584</v>
      </c>
      <c r="K237" s="24" t="n">
        <f aca="false">'DCF Base Case'!$B$2*(1+B237)^2*$I237-'DCF Base Case'!$B$2*(1+B237)^1*B237*'DCF Base Case'!$B$4</f>
        <v>33.5179780996479</v>
      </c>
      <c r="L237" s="24" t="n">
        <f aca="false">'DCF Base Case'!$B$2*(1+B237)^3*$I237-'DCF Base Case'!$B$2*(1+B237)^2*B237*'DCF Base Case'!$B$4</f>
        <v>36.2359218207852</v>
      </c>
      <c r="M237" s="24" t="n">
        <f aca="false">'DCF Base Case'!$B$2*(1+B237)^4*$I237-'DCF Base Case'!$B$2*(1+B237)^3*B237*'DCF Base Case'!$B$4</f>
        <v>39.1742612367138</v>
      </c>
      <c r="N237" s="24" t="n">
        <f aca="false">'DCF Base Case'!$B$2*(1+B237)^5*$I237-'DCF Base Case'!$B$2*(1+B237)^4*B237*'DCF Base Case'!$B$4</f>
        <v>42.3508680428277</v>
      </c>
      <c r="O237" s="24" t="n">
        <f aca="false">J237/(1+H237)^1+K237/(1+H237)^2+L237/(1+H237)^3+M237/(1+H237)^4+N237/(1+H237)^5</f>
        <v>148.855236167641</v>
      </c>
      <c r="P237" s="24" t="n">
        <f aca="false">N237*(1+F237)/(H237-F237)</f>
        <v>994.668005887259</v>
      </c>
      <c r="Q237" s="24" t="n">
        <f aca="false">O237+P237/(1+H237)^5</f>
        <v>865.534145878314</v>
      </c>
      <c r="R237" s="24" t="n">
        <f aca="false">Q237-'DCF Base Case'!$B$5</f>
        <v>680.534145878314</v>
      </c>
      <c r="S237" s="32" t="n">
        <f aca="false">R237/'DCF Base Case'!$B$6</f>
        <v>27.2213658351326</v>
      </c>
    </row>
    <row r="238" customFormat="false" ht="15" hidden="false" customHeight="true" outlineLevel="0" collapsed="false">
      <c r="A238" s="6" t="n">
        <v>237</v>
      </c>
      <c r="B238" s="30" t="n">
        <v>0.131969479254356</v>
      </c>
      <c r="C238" s="30" t="n">
        <v>0.446827704862356</v>
      </c>
      <c r="D238" s="30" t="n">
        <v>0.095682529075052</v>
      </c>
      <c r="E238" s="30" t="n">
        <v>0.28043463466451</v>
      </c>
      <c r="F238" s="30" t="n">
        <v>0.0185119215665135</v>
      </c>
      <c r="G238" s="30" t="n">
        <v>0.16085938204268</v>
      </c>
      <c r="H238" s="31" t="n">
        <f aca="false">MAX(D238,F238+0.015)</f>
        <v>0.095682529075052</v>
      </c>
      <c r="I238" s="25" t="n">
        <f aca="false">(C238-'DCF Base Case'!$B$3)*(1-E238)+'DCF Base Case'!$B$3-G238</f>
        <v>0.197118861155006</v>
      </c>
      <c r="J238" s="24" t="n">
        <f aca="false">'DCF Base Case'!$B$2*(1+B238)^1*$I238-'DCF Base Case'!$B$2*(1+B238)^0*B238*'DCF Base Case'!$B$4</f>
        <v>31.7801502841059</v>
      </c>
      <c r="K238" s="24" t="n">
        <f aca="false">'DCF Base Case'!$B$2*(1+B238)^2*$I238-'DCF Base Case'!$B$2*(1+B238)^1*B238*'DCF Base Case'!$B$4</f>
        <v>35.9741601677245</v>
      </c>
      <c r="L238" s="24" t="n">
        <f aca="false">'DCF Base Case'!$B$2*(1+B238)^3*$I238-'DCF Base Case'!$B$2*(1+B238)^2*B238*'DCF Base Case'!$B$4</f>
        <v>40.7216513516719</v>
      </c>
      <c r="M238" s="24" t="n">
        <f aca="false">'DCF Base Case'!$B$2*(1+B238)^4*$I238-'DCF Base Case'!$B$2*(1+B238)^3*B238*'DCF Base Case'!$B$4</f>
        <v>46.0956664749295</v>
      </c>
      <c r="N238" s="24" t="n">
        <f aca="false">'DCF Base Case'!$B$2*(1+B238)^5*$I238-'DCF Base Case'!$B$2*(1+B238)^4*B238*'DCF Base Case'!$B$4</f>
        <v>52.1788875755085</v>
      </c>
      <c r="O238" s="24" t="n">
        <f aca="false">J238/(1+H238)^1+K238/(1+H238)^2+L238/(1+H238)^3+M238/(1+H238)^4+N238/(1+H238)^5</f>
        <v>154.95375228746</v>
      </c>
      <c r="P238" s="24" t="n">
        <f aca="false">N238*(1+F238)/(H238-F238)</f>
        <v>688.666589074785</v>
      </c>
      <c r="Q238" s="24" t="n">
        <f aca="false">O238+P238/(1+H238)^5</f>
        <v>591.052992135239</v>
      </c>
      <c r="R238" s="24" t="n">
        <f aca="false">Q238-'DCF Base Case'!$B$5</f>
        <v>406.052992135239</v>
      </c>
      <c r="S238" s="32" t="n">
        <f aca="false">R238/'DCF Base Case'!$B$6</f>
        <v>16.2421196854096</v>
      </c>
    </row>
    <row r="239" customFormat="false" ht="15" hidden="false" customHeight="true" outlineLevel="0" collapsed="false">
      <c r="A239" s="6" t="n">
        <v>238</v>
      </c>
      <c r="B239" s="30" t="n">
        <v>0.0982823707755927</v>
      </c>
      <c r="C239" s="30" t="n">
        <v>0.442837905303039</v>
      </c>
      <c r="D239" s="30" t="n">
        <v>0.0869944563964756</v>
      </c>
      <c r="E239" s="30" t="n">
        <v>0.259956649151368</v>
      </c>
      <c r="F239" s="30" t="n">
        <v>0.0223147939386624</v>
      </c>
      <c r="G239" s="30" t="n">
        <v>0.187275159479508</v>
      </c>
      <c r="H239" s="31" t="n">
        <f aca="false">MAX(D239,F239+0.015)</f>
        <v>0.0869944563964756</v>
      </c>
      <c r="I239" s="25" t="n">
        <f aca="false">(C239-'DCF Base Case'!$B$3)*(1-E239)+'DCF Base Case'!$B$3-G239</f>
        <v>0.17423845223342</v>
      </c>
      <c r="J239" s="24" t="n">
        <f aca="false">'DCF Base Case'!$B$2*(1+B239)^1*$I239-'DCF Base Case'!$B$2*(1+B239)^0*B239*'DCF Base Case'!$B$4</f>
        <v>27.3201096450088</v>
      </c>
      <c r="K239" s="24" t="n">
        <f aca="false">'DCF Base Case'!$B$2*(1+B239)^2*$I239-'DCF Base Case'!$B$2*(1+B239)^1*B239*'DCF Base Case'!$B$4</f>
        <v>30.0051947907694</v>
      </c>
      <c r="L239" s="24" t="n">
        <f aca="false">'DCF Base Case'!$B$2*(1+B239)^3*$I239-'DCF Base Case'!$B$2*(1+B239)^2*B239*'DCF Base Case'!$B$4</f>
        <v>32.9541764703897</v>
      </c>
      <c r="M239" s="24" t="n">
        <f aca="false">'DCF Base Case'!$B$2*(1+B239)^4*$I239-'DCF Base Case'!$B$2*(1+B239)^3*B239*'DCF Base Case'!$B$4</f>
        <v>36.1929910608568</v>
      </c>
      <c r="N239" s="24" t="n">
        <f aca="false">'DCF Base Case'!$B$2*(1+B239)^5*$I239-'DCF Base Case'!$B$2*(1+B239)^4*B239*'DCF Base Case'!$B$4</f>
        <v>39.7501240277776</v>
      </c>
      <c r="O239" s="24" t="n">
        <f aca="false">J239/(1+H239)^1+K239/(1+H239)^2+L239/(1+H239)^3+M239/(1+H239)^4+N239/(1+H239)^5</f>
        <v>128.305369123017</v>
      </c>
      <c r="P239" s="24" t="n">
        <f aca="false">N239*(1+F239)/(H239-F239)</f>
        <v>628.283115747535</v>
      </c>
      <c r="Q239" s="24" t="n">
        <f aca="false">O239+P239/(1+H239)^5</f>
        <v>542.322911185299</v>
      </c>
      <c r="R239" s="24" t="n">
        <f aca="false">Q239-'DCF Base Case'!$B$5</f>
        <v>357.322911185299</v>
      </c>
      <c r="S239" s="32" t="n">
        <f aca="false">R239/'DCF Base Case'!$B$6</f>
        <v>14.2929164474119</v>
      </c>
    </row>
    <row r="240" customFormat="false" ht="15" hidden="false" customHeight="true" outlineLevel="0" collapsed="false">
      <c r="A240" s="6" t="n">
        <v>239</v>
      </c>
      <c r="B240" s="30" t="n">
        <v>0.104198918034433</v>
      </c>
      <c r="C240" s="30" t="n">
        <v>0.433403794343588</v>
      </c>
      <c r="D240" s="30" t="n">
        <v>0.0820197905682641</v>
      </c>
      <c r="E240" s="30" t="n">
        <v>0.259702389968097</v>
      </c>
      <c r="F240" s="30" t="n">
        <v>0.0158062672494256</v>
      </c>
      <c r="G240" s="30" t="n">
        <v>0.134279493891936</v>
      </c>
      <c r="H240" s="31" t="n">
        <f aca="false">MAX(D240,F240+0.015)</f>
        <v>0.0820197905682641</v>
      </c>
      <c r="I240" s="25" t="n">
        <f aca="false">(C240-'DCF Base Case'!$B$3)*(1-E240)+'DCF Base Case'!$B$3-G240</f>
        <v>0.220329609935233</v>
      </c>
      <c r="J240" s="24" t="n">
        <f aca="false">'DCF Base Case'!$B$2*(1+B240)^1*$I240-'DCF Base Case'!$B$2*(1+B240)^0*B240*'DCF Base Case'!$B$4</f>
        <v>34.823453657258</v>
      </c>
      <c r="K240" s="24" t="n">
        <f aca="false">'DCF Base Case'!$B$2*(1+B240)^2*$I240-'DCF Base Case'!$B$2*(1+B240)^1*B240*'DCF Base Case'!$B$4</f>
        <v>38.4520198505665</v>
      </c>
      <c r="L240" s="24" t="n">
        <f aca="false">'DCF Base Case'!$B$2*(1+B240)^3*$I240-'DCF Base Case'!$B$2*(1+B240)^2*B240*'DCF Base Case'!$B$4</f>
        <v>42.4586787152341</v>
      </c>
      <c r="M240" s="24" t="n">
        <f aca="false">'DCF Base Case'!$B$2*(1+B240)^4*$I240-'DCF Base Case'!$B$2*(1+B240)^3*B240*'DCF Base Case'!$B$4</f>
        <v>46.8828270985331</v>
      </c>
      <c r="N240" s="24" t="n">
        <f aca="false">'DCF Base Case'!$B$2*(1+B240)^5*$I240-'DCF Base Case'!$B$2*(1+B240)^4*B240*'DCF Base Case'!$B$4</f>
        <v>51.7679669565956</v>
      </c>
      <c r="O240" s="24" t="n">
        <f aca="false">J240/(1+H240)^1+K240/(1+H240)^2+L240/(1+H240)^3+M240/(1+H240)^4+N240/(1+H240)^5</f>
        <v>167.652353381133</v>
      </c>
      <c r="P240" s="24" t="n">
        <f aca="false">N240*(1+F240)/(H240-F240)</f>
        <v>794.191618894107</v>
      </c>
      <c r="Q240" s="24" t="n">
        <f aca="false">O240+P240/(1+H240)^5</f>
        <v>703.139780489497</v>
      </c>
      <c r="R240" s="24" t="n">
        <f aca="false">Q240-'DCF Base Case'!$B$5</f>
        <v>518.139780489497</v>
      </c>
      <c r="S240" s="32" t="n">
        <f aca="false">R240/'DCF Base Case'!$B$6</f>
        <v>20.7255912195799</v>
      </c>
    </row>
    <row r="241" customFormat="false" ht="15" hidden="false" customHeight="true" outlineLevel="0" collapsed="false">
      <c r="A241" s="6" t="n">
        <v>240</v>
      </c>
      <c r="B241" s="30" t="n">
        <v>0.0949251551014345</v>
      </c>
      <c r="C241" s="30" t="n">
        <v>0.4148761977456</v>
      </c>
      <c r="D241" s="30" t="n">
        <v>0.0801601352501732</v>
      </c>
      <c r="E241" s="30" t="n">
        <v>0.241852691879467</v>
      </c>
      <c r="F241" s="30" t="n">
        <v>0.0143098256929659</v>
      </c>
      <c r="G241" s="30" t="n">
        <v>0.191945283981256</v>
      </c>
      <c r="H241" s="31" t="n">
        <f aca="false">MAX(D241,F241+0.015)</f>
        <v>0.0801601352501732</v>
      </c>
      <c r="I241" s="25" t="n">
        <f aca="false">(C241-'DCF Base Case'!$B$3)*(1-E241)+'DCF Base Case'!$B$3-G241</f>
        <v>0.154032838487183</v>
      </c>
      <c r="J241" s="24" t="n">
        <f aca="false">'DCF Base Case'!$B$2*(1+B241)^1*$I241-'DCF Base Case'!$B$2*(1+B241)^0*B241*'DCF Base Case'!$B$4</f>
        <v>24.0419678631463</v>
      </c>
      <c r="K241" s="24" t="n">
        <f aca="false">'DCF Base Case'!$B$2*(1+B241)^2*$I241-'DCF Base Case'!$B$2*(1+B241)^1*B241*'DCF Base Case'!$B$4</f>
        <v>26.3241553914992</v>
      </c>
      <c r="L241" s="24" t="n">
        <f aca="false">'DCF Base Case'!$B$2*(1+B241)^3*$I241-'DCF Base Case'!$B$2*(1+B241)^2*B241*'DCF Base Case'!$B$4</f>
        <v>28.8229799249515</v>
      </c>
      <c r="M241" s="24" t="n">
        <f aca="false">'DCF Base Case'!$B$2*(1+B241)^4*$I241-'DCF Base Case'!$B$2*(1+B241)^3*B241*'DCF Base Case'!$B$4</f>
        <v>31.559005764813</v>
      </c>
      <c r="N241" s="24" t="n">
        <f aca="false">'DCF Base Case'!$B$2*(1+B241)^5*$I241-'DCF Base Case'!$B$2*(1+B241)^4*B241*'DCF Base Case'!$B$4</f>
        <v>34.554749281885</v>
      </c>
      <c r="O241" s="24" t="n">
        <f aca="false">J241/(1+H241)^1+K241/(1+H241)^2+L241/(1+H241)^3+M241/(1+H241)^4+N241/(1+H241)^5</f>
        <v>114.373259327032</v>
      </c>
      <c r="P241" s="24" t="n">
        <f aca="false">N241*(1+F241)/(H241-F241)</f>
        <v>532.255990239863</v>
      </c>
      <c r="Q241" s="24" t="n">
        <f aca="false">O241+P241/(1+H241)^5</f>
        <v>476.349306153297</v>
      </c>
      <c r="R241" s="24" t="n">
        <f aca="false">Q241-'DCF Base Case'!$B$5</f>
        <v>291.349306153297</v>
      </c>
      <c r="S241" s="32" t="n">
        <f aca="false">R241/'DCF Base Case'!$B$6</f>
        <v>11.6539722461319</v>
      </c>
    </row>
    <row r="242" customFormat="false" ht="15" hidden="false" customHeight="true" outlineLevel="0" collapsed="false">
      <c r="A242" s="6" t="n">
        <v>241</v>
      </c>
      <c r="B242" s="30" t="n">
        <v>0.075577019802081</v>
      </c>
      <c r="C242" s="30" t="n">
        <v>0.417019869002222</v>
      </c>
      <c r="D242" s="30" t="n">
        <v>0.0697024602702722</v>
      </c>
      <c r="E242" s="30" t="n">
        <v>0.322729902317279</v>
      </c>
      <c r="F242" s="30" t="n">
        <v>0.0188022372117045</v>
      </c>
      <c r="G242" s="30" t="n">
        <v>0.17188185373595</v>
      </c>
      <c r="H242" s="31" t="n">
        <f aca="false">MAX(D242,F242+0.015)</f>
        <v>0.0697024602702722</v>
      </c>
      <c r="I242" s="25" t="n">
        <f aca="false">(C242-'DCF Base Case'!$B$3)*(1-E242)+'DCF Base Case'!$B$3-G242</f>
        <v>0.152508120980067</v>
      </c>
      <c r="J242" s="24" t="n">
        <f aca="false">'DCF Base Case'!$B$2*(1+B242)^1*$I242-'DCF Base Case'!$B$2*(1+B242)^0*B242*'DCF Base Case'!$B$4</f>
        <v>23.4562033514675</v>
      </c>
      <c r="K242" s="24" t="n">
        <f aca="false">'DCF Base Case'!$B$2*(1+B242)^2*$I242-'DCF Base Case'!$B$2*(1+B242)^1*B242*'DCF Base Case'!$B$4</f>
        <v>25.228953296643</v>
      </c>
      <c r="L242" s="24" t="n">
        <f aca="false">'DCF Base Case'!$B$2*(1+B242)^3*$I242-'DCF Base Case'!$B$2*(1+B242)^2*B242*'DCF Base Case'!$B$4</f>
        <v>27.1356823995291</v>
      </c>
      <c r="M242" s="24" t="n">
        <f aca="false">'DCF Base Case'!$B$2*(1+B242)^4*$I242-'DCF Base Case'!$B$2*(1+B242)^3*B242*'DCF Base Case'!$B$4</f>
        <v>29.1865164055813</v>
      </c>
      <c r="N242" s="24" t="n">
        <f aca="false">'DCF Base Case'!$B$2*(1+B242)^5*$I242-'DCF Base Case'!$B$2*(1+B242)^4*B242*'DCF Base Case'!$B$4</f>
        <v>31.3923463339197</v>
      </c>
      <c r="O242" s="24" t="n">
        <f aca="false">J242/(1+H242)^1+K242/(1+H242)^2+L242/(1+H242)^3+M242/(1+H242)^4+N242/(1+H242)^5</f>
        <v>110.84976949378</v>
      </c>
      <c r="P242" s="24" t="n">
        <f aca="false">N242*(1+F242)/(H242-F242)</f>
        <v>628.33894931112</v>
      </c>
      <c r="Q242" s="24" t="n">
        <f aca="false">O242+P242/(1+H242)^5</f>
        <v>559.470159066155</v>
      </c>
      <c r="R242" s="24" t="n">
        <f aca="false">Q242-'DCF Base Case'!$B$5</f>
        <v>374.470159066155</v>
      </c>
      <c r="S242" s="32" t="n">
        <f aca="false">R242/'DCF Base Case'!$B$6</f>
        <v>14.9788063626462</v>
      </c>
    </row>
    <row r="243" customFormat="false" ht="15" hidden="false" customHeight="true" outlineLevel="0" collapsed="false">
      <c r="A243" s="6" t="n">
        <v>242</v>
      </c>
      <c r="B243" s="30" t="n">
        <v>0.13292357766429</v>
      </c>
      <c r="C243" s="30" t="n">
        <v>0.452865989165803</v>
      </c>
      <c r="D243" s="30" t="n">
        <v>0.0816277781658424</v>
      </c>
      <c r="E243" s="30" t="n">
        <v>0.26536854803867</v>
      </c>
      <c r="F243" s="30" t="n">
        <v>0.0180726237628762</v>
      </c>
      <c r="G243" s="30" t="n">
        <v>0.177217196827142</v>
      </c>
      <c r="H243" s="31" t="n">
        <f aca="false">MAX(D243,F243+0.015)</f>
        <v>0.0816277781658424</v>
      </c>
      <c r="I243" s="25" t="n">
        <f aca="false">(C243-'DCF Base Case'!$B$3)*(1-E243)+'DCF Base Case'!$B$3-G243</f>
        <v>0.189970313582663</v>
      </c>
      <c r="J243" s="24" t="n">
        <f aca="false">'DCF Base Case'!$B$2*(1+B243)^1*$I243-'DCF Base Case'!$B$2*(1+B243)^0*B243*'DCF Base Case'!$B$4</f>
        <v>30.6289502977016</v>
      </c>
      <c r="K243" s="24" t="n">
        <f aca="false">'DCF Base Case'!$B$2*(1+B243)^2*$I243-'DCF Base Case'!$B$2*(1+B243)^1*B243*'DCF Base Case'!$B$4</f>
        <v>34.7002599513738</v>
      </c>
      <c r="L243" s="24" t="n">
        <f aca="false">'DCF Base Case'!$B$2*(1+B243)^3*$I243-'DCF Base Case'!$B$2*(1+B243)^2*B243*'DCF Base Case'!$B$4</f>
        <v>39.3127426499913</v>
      </c>
      <c r="M243" s="24" t="n">
        <f aca="false">'DCF Base Case'!$B$2*(1+B243)^4*$I243-'DCF Base Case'!$B$2*(1+B243)^3*B243*'DCF Base Case'!$B$4</f>
        <v>44.5383330508237</v>
      </c>
      <c r="N243" s="24" t="n">
        <f aca="false">'DCF Base Case'!$B$2*(1+B243)^5*$I243-'DCF Base Case'!$B$2*(1+B243)^4*B243*'DCF Base Case'!$B$4</f>
        <v>50.4585276231428</v>
      </c>
      <c r="O243" s="24" t="n">
        <f aca="false">J243/(1+H243)^1+K243/(1+H243)^2+L243/(1+H243)^3+M243/(1+H243)^4+N243/(1+H243)^5</f>
        <v>155.668878012528</v>
      </c>
      <c r="P243" s="24" t="n">
        <f aca="false">N243*(1+F243)/(H243-F243)</f>
        <v>808.281343835537</v>
      </c>
      <c r="Q243" s="24" t="n">
        <f aca="false">O243+P243/(1+H243)^5</f>
        <v>701.64467858542</v>
      </c>
      <c r="R243" s="24" t="n">
        <f aca="false">Q243-'DCF Base Case'!$B$5</f>
        <v>516.64467858542</v>
      </c>
      <c r="S243" s="32" t="n">
        <f aca="false">R243/'DCF Base Case'!$B$6</f>
        <v>20.6657871434168</v>
      </c>
    </row>
    <row r="244" customFormat="false" ht="15" hidden="false" customHeight="true" outlineLevel="0" collapsed="false">
      <c r="A244" s="6" t="n">
        <v>243</v>
      </c>
      <c r="B244" s="30" t="n">
        <v>0.0878591151365829</v>
      </c>
      <c r="C244" s="30" t="n">
        <v>0.405297488894416</v>
      </c>
      <c r="D244" s="30" t="n">
        <v>0.1011389937578</v>
      </c>
      <c r="E244" s="30" t="n">
        <v>0.276514651004724</v>
      </c>
      <c r="F244" s="30" t="n">
        <v>0.0263129583481698</v>
      </c>
      <c r="G244" s="30" t="n">
        <v>0.16724498651862</v>
      </c>
      <c r="H244" s="31" t="n">
        <f aca="false">MAX(D244,F244+0.015)</f>
        <v>0.1011389937578</v>
      </c>
      <c r="I244" s="25" t="n">
        <f aca="false">(C244-'DCF Base Case'!$B$3)*(1-E244)+'DCF Base Case'!$B$3-G244</f>
        <v>0.16192871331168</v>
      </c>
      <c r="J244" s="24" t="n">
        <f aca="false">'DCF Base Case'!$B$2*(1+B244)^1*$I244-'DCF Base Case'!$B$2*(1+B244)^0*B244*'DCF Base Case'!$B$4</f>
        <v>25.160378732031</v>
      </c>
      <c r="K244" s="24" t="n">
        <f aca="false">'DCF Base Case'!$B$2*(1+B244)^2*$I244-'DCF Base Case'!$B$2*(1+B244)^1*B244*'DCF Base Case'!$B$4</f>
        <v>27.3709473439286</v>
      </c>
      <c r="L244" s="24" t="n">
        <f aca="false">'DCF Base Case'!$B$2*(1+B244)^3*$I244-'DCF Base Case'!$B$2*(1+B244)^2*B244*'DCF Base Case'!$B$4</f>
        <v>29.7757345580161</v>
      </c>
      <c r="M244" s="24" t="n">
        <f aca="false">'DCF Base Case'!$B$2*(1+B244)^4*$I244-'DCF Base Case'!$B$2*(1+B244)^3*B244*'DCF Base Case'!$B$4</f>
        <v>32.3918042488252</v>
      </c>
      <c r="N244" s="24" t="n">
        <f aca="false">'DCF Base Case'!$B$2*(1+B244)^5*$I244-'DCF Base Case'!$B$2*(1+B244)^4*B244*'DCF Base Case'!$B$4</f>
        <v>35.2377195078044</v>
      </c>
      <c r="O244" s="24" t="n">
        <f aca="false">J244/(1+H244)^1+K244/(1+H244)^2+L244/(1+H244)^3+M244/(1+H244)^4+N244/(1+H244)^5</f>
        <v>111.524426036273</v>
      </c>
      <c r="P244" s="24" t="n">
        <f aca="false">N244*(1+F244)/(H244-F244)</f>
        <v>483.320116527826</v>
      </c>
      <c r="Q244" s="24" t="n">
        <f aca="false">O244+P244/(1+H244)^5</f>
        <v>410.07929644951</v>
      </c>
      <c r="R244" s="24" t="n">
        <f aca="false">Q244-'DCF Base Case'!$B$5</f>
        <v>225.07929644951</v>
      </c>
      <c r="S244" s="32" t="n">
        <f aca="false">R244/'DCF Base Case'!$B$6</f>
        <v>9.0031718579804</v>
      </c>
    </row>
    <row r="245" customFormat="false" ht="15" hidden="false" customHeight="true" outlineLevel="0" collapsed="false">
      <c r="A245" s="6" t="n">
        <v>244</v>
      </c>
      <c r="B245" s="30" t="n">
        <v>0.126379272512764</v>
      </c>
      <c r="C245" s="30" t="n">
        <v>0.43402822733095</v>
      </c>
      <c r="D245" s="30" t="n">
        <v>0.0955925663057439</v>
      </c>
      <c r="E245" s="30" t="n">
        <v>0.262936912824878</v>
      </c>
      <c r="F245" s="30" t="n">
        <v>0.0158658640544262</v>
      </c>
      <c r="G245" s="30" t="n">
        <v>0.175986571553008</v>
      </c>
      <c r="H245" s="31" t="n">
        <f aca="false">MAX(D245,F245+0.015)</f>
        <v>0.0955925663057439</v>
      </c>
      <c r="I245" s="25" t="n">
        <f aca="false">(C245-'DCF Base Case'!$B$3)*(1-E245)+'DCF Base Case'!$B$3-G245</f>
        <v>0.178101412271922</v>
      </c>
      <c r="J245" s="24" t="n">
        <f aca="false">'DCF Base Case'!$B$2*(1+B245)^1*$I245-'DCF Base Case'!$B$2*(1+B245)^0*B245*'DCF Base Case'!$B$4</f>
        <v>28.5386623468792</v>
      </c>
      <c r="K245" s="24" t="n">
        <f aca="false">'DCF Base Case'!$B$2*(1+B245)^2*$I245-'DCF Base Case'!$B$2*(1+B245)^1*B245*'DCF Base Case'!$B$4</f>
        <v>32.1453577327652</v>
      </c>
      <c r="L245" s="24" t="n">
        <f aca="false">'DCF Base Case'!$B$2*(1+B245)^3*$I245-'DCF Base Case'!$B$2*(1+B245)^2*B245*'DCF Base Case'!$B$4</f>
        <v>36.2078646576947</v>
      </c>
      <c r="M245" s="24" t="n">
        <f aca="false">'DCF Base Case'!$B$2*(1+B245)^4*$I245-'DCF Base Case'!$B$2*(1+B245)^3*B245*'DCF Base Case'!$B$4</f>
        <v>40.7837882523747</v>
      </c>
      <c r="N245" s="24" t="n">
        <f aca="false">'DCF Base Case'!$B$2*(1+B245)^5*$I245-'DCF Base Case'!$B$2*(1+B245)^4*B245*'DCF Base Case'!$B$4</f>
        <v>45.9380137420244</v>
      </c>
      <c r="O245" s="24" t="n">
        <f aca="false">J245/(1+H245)^1+K245/(1+H245)^2+L245/(1+H245)^3+M245/(1+H245)^4+N245/(1+H245)^5</f>
        <v>137.771432007862</v>
      </c>
      <c r="P245" s="24" t="n">
        <f aca="false">N245*(1+F245)/(H245-F245)</f>
        <v>585.335385826955</v>
      </c>
      <c r="Q245" s="24" t="n">
        <f aca="false">O245+P245/(1+H245)^5</f>
        <v>508.588226538891</v>
      </c>
      <c r="R245" s="24" t="n">
        <f aca="false">Q245-'DCF Base Case'!$B$5</f>
        <v>323.588226538891</v>
      </c>
      <c r="S245" s="32" t="n">
        <f aca="false">R245/'DCF Base Case'!$B$6</f>
        <v>12.9435290615556</v>
      </c>
    </row>
    <row r="246" customFormat="false" ht="15" hidden="false" customHeight="true" outlineLevel="0" collapsed="false">
      <c r="A246" s="6" t="n">
        <v>245</v>
      </c>
      <c r="B246" s="30" t="n">
        <v>0.111588656640365</v>
      </c>
      <c r="C246" s="30" t="n">
        <v>0.42255142403386</v>
      </c>
      <c r="D246" s="30" t="n">
        <v>0.0708496733140794</v>
      </c>
      <c r="E246" s="30" t="n">
        <v>0.253824724090887</v>
      </c>
      <c r="F246" s="30" t="n">
        <v>0.0136653514012645</v>
      </c>
      <c r="G246" s="30" t="n">
        <v>0.132419669779434</v>
      </c>
      <c r="H246" s="31" t="n">
        <f aca="false">MAX(D246,F246+0.015)</f>
        <v>0.0708496733140794</v>
      </c>
      <c r="I246" s="25" t="n">
        <f aca="false">(C246-'DCF Base Case'!$B$3)*(1-E246)+'DCF Base Case'!$B$3-G246</f>
        <v>0.215874969766635</v>
      </c>
      <c r="J246" s="24" t="n">
        <f aca="false">'DCF Base Case'!$B$2*(1+B246)^1*$I246-'DCF Base Case'!$B$2*(1+B246)^0*B246*'DCF Base Case'!$B$4</f>
        <v>34.3093936521646</v>
      </c>
      <c r="K246" s="24" t="n">
        <f aca="false">'DCF Base Case'!$B$2*(1+B246)^2*$I246-'DCF Base Case'!$B$2*(1+B246)^1*B246*'DCF Base Case'!$B$4</f>
        <v>38.1379327999551</v>
      </c>
      <c r="L246" s="24" t="n">
        <f aca="false">'DCF Base Case'!$B$2*(1+B246)^3*$I246-'DCF Base Case'!$B$2*(1+B246)^2*B246*'DCF Base Case'!$B$4</f>
        <v>42.3936934881426</v>
      </c>
      <c r="M246" s="24" t="n">
        <f aca="false">'DCF Base Case'!$B$2*(1+B246)^4*$I246-'DCF Base Case'!$B$2*(1+B246)^3*B246*'DCF Base Case'!$B$4</f>
        <v>47.1243487945078</v>
      </c>
      <c r="N246" s="24" t="n">
        <f aca="false">'DCF Base Case'!$B$2*(1+B246)^5*$I246-'DCF Base Case'!$B$2*(1+B246)^4*B246*'DCF Base Case'!$B$4</f>
        <v>52.382891571539</v>
      </c>
      <c r="O246" s="24" t="n">
        <f aca="false">J246/(1+H246)^1+K246/(1+H246)^2+L246/(1+H246)^3+M246/(1+H246)^4+N246/(1+H246)^5</f>
        <v>172.85860590393</v>
      </c>
      <c r="P246" s="24" t="n">
        <f aca="false">N246*(1+F246)/(H246-F246)</f>
        <v>928.553848609667</v>
      </c>
      <c r="Q246" s="24" t="n">
        <f aca="false">O246+P246/(1+H246)^5</f>
        <v>832.282305779771</v>
      </c>
      <c r="R246" s="24" t="n">
        <f aca="false">Q246-'DCF Base Case'!$B$5</f>
        <v>647.282305779771</v>
      </c>
      <c r="S246" s="32" t="n">
        <f aca="false">R246/'DCF Base Case'!$B$6</f>
        <v>25.8912922311908</v>
      </c>
    </row>
    <row r="247" customFormat="false" ht="15" hidden="false" customHeight="true" outlineLevel="0" collapsed="false">
      <c r="A247" s="6" t="n">
        <v>246</v>
      </c>
      <c r="B247" s="30" t="n">
        <v>0.0922292575568504</v>
      </c>
      <c r="C247" s="30" t="n">
        <v>0.436558871400052</v>
      </c>
      <c r="D247" s="30" t="n">
        <v>0.0848524263438271</v>
      </c>
      <c r="E247" s="30" t="n">
        <v>0.245116158089895</v>
      </c>
      <c r="F247" s="30" t="n">
        <v>0.0186175640952466</v>
      </c>
      <c r="G247" s="30" t="n">
        <v>0.161793729675415</v>
      </c>
      <c r="H247" s="31" t="n">
        <f aca="false">MAX(D247,F247+0.015)</f>
        <v>0.0848524263438271</v>
      </c>
      <c r="I247" s="25" t="n">
        <f aca="false">(C247-'DCF Base Case'!$B$3)*(1-E247)+'DCF Base Case'!$B$3-G247</f>
        <v>0.199622608938682</v>
      </c>
      <c r="J247" s="24" t="n">
        <f aca="false">'DCF Base Case'!$B$2*(1+B247)^1*$I247-'DCF Base Case'!$B$2*(1+B247)^0*B247*'DCF Base Case'!$B$4</f>
        <v>31.2136825527631</v>
      </c>
      <c r="K247" s="24" t="n">
        <f aca="false">'DCF Base Case'!$B$2*(1+B247)^2*$I247-'DCF Base Case'!$B$2*(1+B247)^1*B247*'DCF Base Case'!$B$4</f>
        <v>34.0924973202197</v>
      </c>
      <c r="L247" s="24" t="n">
        <f aca="false">'DCF Base Case'!$B$2*(1+B247)^3*$I247-'DCF Base Case'!$B$2*(1+B247)^2*B247*'DCF Base Case'!$B$4</f>
        <v>37.2368230363225</v>
      </c>
      <c r="M247" s="24" t="n">
        <f aca="false">'DCF Base Case'!$B$2*(1+B247)^4*$I247-'DCF Base Case'!$B$2*(1+B247)^3*B247*'DCF Base Case'!$B$4</f>
        <v>40.6711475787383</v>
      </c>
      <c r="N247" s="24" t="n">
        <f aca="false">'DCF Base Case'!$B$2*(1+B247)^5*$I247-'DCF Base Case'!$B$2*(1+B247)^4*B247*'DCF Base Case'!$B$4</f>
        <v>44.4222173239105</v>
      </c>
      <c r="O247" s="24" t="n">
        <f aca="false">J247/(1+H247)^1+K247/(1+H247)^2+L247/(1+H247)^3+M247/(1+H247)^4+N247/(1+H247)^5</f>
        <v>145.83124255009</v>
      </c>
      <c r="P247" s="24" t="n">
        <f aca="false">N247*(1+F247)/(H247-F247)</f>
        <v>683.16365832196</v>
      </c>
      <c r="Q247" s="24" t="n">
        <f aca="false">O247+P247/(1+H247)^5</f>
        <v>600.475209287907</v>
      </c>
      <c r="R247" s="24" t="n">
        <f aca="false">Q247-'DCF Base Case'!$B$5</f>
        <v>415.475209287907</v>
      </c>
      <c r="S247" s="32" t="n">
        <f aca="false">R247/'DCF Base Case'!$B$6</f>
        <v>16.6190083715163</v>
      </c>
    </row>
    <row r="248" customFormat="false" ht="15" hidden="false" customHeight="true" outlineLevel="0" collapsed="false">
      <c r="A248" s="6" t="n">
        <v>247</v>
      </c>
      <c r="B248" s="30" t="n">
        <v>0.130502328994626</v>
      </c>
      <c r="C248" s="30" t="n">
        <v>0.399791810138865</v>
      </c>
      <c r="D248" s="30" t="n">
        <v>0.0807025463714089</v>
      </c>
      <c r="E248" s="30" t="n">
        <v>0.329124756679996</v>
      </c>
      <c r="F248" s="30" t="n">
        <v>0.0209551434288325</v>
      </c>
      <c r="G248" s="30" t="n">
        <v>0.178531154440869</v>
      </c>
      <c r="H248" s="31" t="n">
        <f aca="false">MAX(D248,F248+0.015)</f>
        <v>0.0807025463714089</v>
      </c>
      <c r="I248" s="25" t="n">
        <f aca="false">(C248-'DCF Base Case'!$B$3)*(1-E248)+'DCF Base Case'!$B$3-G248</f>
        <v>0.132465491831786</v>
      </c>
      <c r="J248" s="24" t="n">
        <f aca="false">'DCF Base Case'!$B$2*(1+B248)^1*$I248-'DCF Base Case'!$B$2*(1+B248)^0*B248*'DCF Base Case'!$B$4</f>
        <v>21.1464341878251</v>
      </c>
      <c r="K248" s="24" t="n">
        <f aca="false">'DCF Base Case'!$B$2*(1+B248)^2*$I248-'DCF Base Case'!$B$2*(1+B248)^1*B248*'DCF Base Case'!$B$4</f>
        <v>23.9060930992678</v>
      </c>
      <c r="L248" s="24" t="n">
        <f aca="false">'DCF Base Case'!$B$2*(1+B248)^3*$I248-'DCF Base Case'!$B$2*(1+B248)^2*B248*'DCF Base Case'!$B$4</f>
        <v>27.0258939258846</v>
      </c>
      <c r="M248" s="24" t="n">
        <f aca="false">'DCF Base Case'!$B$2*(1+B248)^4*$I248-'DCF Base Case'!$B$2*(1+B248)^3*B248*'DCF Base Case'!$B$4</f>
        <v>30.5528360263743</v>
      </c>
      <c r="N248" s="24" t="n">
        <f aca="false">'DCF Base Case'!$B$2*(1+B248)^5*$I248-'DCF Base Case'!$B$2*(1+B248)^4*B248*'DCF Base Case'!$B$4</f>
        <v>34.5400522852071</v>
      </c>
      <c r="O248" s="24" t="n">
        <f aca="false">J248/(1+H248)^1+K248/(1+H248)^2+L248/(1+H248)^3+M248/(1+H248)^4+N248/(1+H248)^5</f>
        <v>107.278474993803</v>
      </c>
      <c r="P248" s="24" t="n">
        <f aca="false">N248*(1+F248)/(H248-F248)</f>
        <v>590.215512275492</v>
      </c>
      <c r="Q248" s="24" t="n">
        <f aca="false">O248+P248/(1+H248)^5</f>
        <v>507.665270045008</v>
      </c>
      <c r="R248" s="24" t="n">
        <f aca="false">Q248-'DCF Base Case'!$B$5</f>
        <v>322.665270045008</v>
      </c>
      <c r="S248" s="32" t="n">
        <f aca="false">R248/'DCF Base Case'!$B$6</f>
        <v>12.9066108018003</v>
      </c>
    </row>
    <row r="249" customFormat="false" ht="15" hidden="false" customHeight="true" outlineLevel="0" collapsed="false">
      <c r="A249" s="6" t="n">
        <v>248</v>
      </c>
      <c r="B249" s="30" t="n">
        <v>0.0923351671589448</v>
      </c>
      <c r="C249" s="30" t="n">
        <v>0.421869831290225</v>
      </c>
      <c r="D249" s="30" t="n">
        <v>0.0935537048330639</v>
      </c>
      <c r="E249" s="30" t="n">
        <v>0.261514213412955</v>
      </c>
      <c r="F249" s="30" t="n">
        <v>0.0225068326287291</v>
      </c>
      <c r="G249" s="30" t="n">
        <v>0.138425602232734</v>
      </c>
      <c r="H249" s="31" t="n">
        <f aca="false">MAX(D249,F249+0.015)</f>
        <v>0.0935537048330639</v>
      </c>
      <c r="I249" s="25" t="n">
        <f aca="false">(C249-'DCF Base Case'!$B$3)*(1-E249)+'DCF Base Case'!$B$3-G249</f>
        <v>0.207116119708656</v>
      </c>
      <c r="J249" s="24" t="n">
        <f aca="false">'DCF Base Case'!$B$2*(1+B249)^1*$I249-'DCF Base Case'!$B$2*(1+B249)^0*B249*'DCF Base Case'!$B$4</f>
        <v>32.4031741031323</v>
      </c>
      <c r="K249" s="24" t="n">
        <f aca="false">'DCF Base Case'!$B$2*(1+B249)^2*$I249-'DCF Base Case'!$B$2*(1+B249)^1*B249*'DCF Base Case'!$B$4</f>
        <v>35.3951266004254</v>
      </c>
      <c r="L249" s="24" t="n">
        <f aca="false">'DCF Base Case'!$B$2*(1+B249)^3*$I249-'DCF Base Case'!$B$2*(1+B249)^2*B249*'DCF Base Case'!$B$4</f>
        <v>38.6633415316876</v>
      </c>
      <c r="M249" s="24" t="n">
        <f aca="false">'DCF Base Case'!$B$2*(1+B249)^4*$I249-'DCF Base Case'!$B$2*(1+B249)^3*B249*'DCF Base Case'!$B$4</f>
        <v>42.2333276349394</v>
      </c>
      <c r="N249" s="24" t="n">
        <f aca="false">'DCF Base Case'!$B$2*(1+B249)^5*$I249-'DCF Base Case'!$B$2*(1+B249)^4*B249*'DCF Base Case'!$B$4</f>
        <v>46.13294900179</v>
      </c>
      <c r="O249" s="24" t="n">
        <f aca="false">J249/(1+H249)^1+K249/(1+H249)^2+L249/(1+H249)^3+M249/(1+H249)^4+N249/(1+H249)^5</f>
        <v>147.825576441679</v>
      </c>
      <c r="P249" s="24" t="n">
        <f aca="false">N249*(1+F249)/(H249-F249)</f>
        <v>663.945562979547</v>
      </c>
      <c r="Q249" s="24" t="n">
        <f aca="false">O249+P249/(1+H249)^5</f>
        <v>572.378554511187</v>
      </c>
      <c r="R249" s="24" t="n">
        <f aca="false">Q249-'DCF Base Case'!$B$5</f>
        <v>387.378554511187</v>
      </c>
      <c r="S249" s="32" t="n">
        <f aca="false">R249/'DCF Base Case'!$B$6</f>
        <v>15.4951421804475</v>
      </c>
    </row>
    <row r="250" customFormat="false" ht="15" hidden="false" customHeight="true" outlineLevel="0" collapsed="false">
      <c r="A250" s="6" t="n">
        <v>249</v>
      </c>
      <c r="B250" s="30" t="n">
        <v>0.096911908384138</v>
      </c>
      <c r="C250" s="30" t="n">
        <v>0.420562348956</v>
      </c>
      <c r="D250" s="30" t="n">
        <v>0.0782207760298868</v>
      </c>
      <c r="E250" s="30" t="n">
        <v>0.279009941125121</v>
      </c>
      <c r="F250" s="30" t="n">
        <v>0.0168329232848461</v>
      </c>
      <c r="G250" s="30" t="n">
        <v>0.143826632354191</v>
      </c>
      <c r="H250" s="31" t="n">
        <f aca="false">MAX(D250,F250+0.015)</f>
        <v>0.0782207760298868</v>
      </c>
      <c r="I250" s="25" t="n">
        <f aca="false">(C250-'DCF Base Case'!$B$3)*(1-E250)+'DCF Base Case'!$B$3-G250</f>
        <v>0.195665932726419</v>
      </c>
      <c r="J250" s="24" t="n">
        <f aca="false">'DCF Base Case'!$B$2*(1+B250)^1*$I250-'DCF Base Case'!$B$2*(1+B250)^0*B250*'DCF Base Case'!$B$4</f>
        <v>30.6995354910702</v>
      </c>
      <c r="K250" s="24" t="n">
        <f aca="false">'DCF Base Case'!$B$2*(1+B250)^2*$I250-'DCF Base Case'!$B$2*(1+B250)^1*B250*'DCF Base Case'!$B$4</f>
        <v>33.6746860620164</v>
      </c>
      <c r="L250" s="24" t="n">
        <f aca="false">'DCF Base Case'!$B$2*(1+B250)^3*$I250-'DCF Base Case'!$B$2*(1+B250)^2*B250*'DCF Base Case'!$B$4</f>
        <v>36.9381641525232</v>
      </c>
      <c r="M250" s="24" t="n">
        <f aca="false">'DCF Base Case'!$B$2*(1+B250)^4*$I250-'DCF Base Case'!$B$2*(1+B250)^3*B250*'DCF Base Case'!$B$4</f>
        <v>40.5179121327508</v>
      </c>
      <c r="N250" s="24" t="n">
        <f aca="false">'DCF Base Case'!$B$2*(1+B250)^5*$I250-'DCF Base Case'!$B$2*(1+B250)^4*B250*'DCF Base Case'!$B$4</f>
        <v>44.4445803212765</v>
      </c>
      <c r="O250" s="24" t="n">
        <f aca="false">J250/(1+H250)^1+K250/(1+H250)^2+L250/(1+H250)^3+M250/(1+H250)^4+N250/(1+H250)^5</f>
        <v>147.384053676428</v>
      </c>
      <c r="P250" s="24" t="n">
        <f aca="false">N250*(1+F250)/(H250-F250)</f>
        <v>736.183308446192</v>
      </c>
      <c r="Q250" s="24" t="n">
        <f aca="false">O250+P250/(1+H250)^5</f>
        <v>652.565610415011</v>
      </c>
      <c r="R250" s="24" t="n">
        <f aca="false">Q250-'DCF Base Case'!$B$5</f>
        <v>467.565610415011</v>
      </c>
      <c r="S250" s="32" t="n">
        <f aca="false">R250/'DCF Base Case'!$B$6</f>
        <v>18.7026244166004</v>
      </c>
    </row>
    <row r="251" customFormat="false" ht="15" hidden="false" customHeight="true" outlineLevel="0" collapsed="false">
      <c r="A251" s="6" t="n">
        <v>250</v>
      </c>
      <c r="B251" s="30" t="n">
        <v>0.0825331525134122</v>
      </c>
      <c r="C251" s="30" t="n">
        <v>0.387215482457435</v>
      </c>
      <c r="D251" s="30" t="n">
        <v>0.0885507721050257</v>
      </c>
      <c r="E251" s="30" t="n">
        <v>0.256586727415106</v>
      </c>
      <c r="F251" s="30" t="n">
        <v>0.0219081367448613</v>
      </c>
      <c r="G251" s="30" t="n">
        <v>0.141790477922735</v>
      </c>
      <c r="H251" s="31" t="n">
        <f aca="false">MAX(D251,F251+0.015)</f>
        <v>0.0885507721050257</v>
      </c>
      <c r="I251" s="25" t="n">
        <f aca="false">(C251-'DCF Base Case'!$B$3)*(1-E251)+'DCF Base Case'!$B$3-G251</f>
        <v>0.179426925650449</v>
      </c>
      <c r="J251" s="24" t="n">
        <f aca="false">'DCF Base Case'!$B$2*(1+B251)^1*$I251-'DCF Base Case'!$B$2*(1+B251)^0*B251*'DCF Base Case'!$B$4</f>
        <v>27.8051421297414</v>
      </c>
      <c r="K251" s="24" t="n">
        <f aca="false">'DCF Base Case'!$B$2*(1+B251)^2*$I251-'DCF Base Case'!$B$2*(1+B251)^1*B251*'DCF Base Case'!$B$4</f>
        <v>30.0999881657924</v>
      </c>
      <c r="L251" s="24" t="n">
        <f aca="false">'DCF Base Case'!$B$2*(1+B251)^3*$I251-'DCF Base Case'!$B$2*(1+B251)^2*B251*'DCF Base Case'!$B$4</f>
        <v>32.5842350797317</v>
      </c>
      <c r="M251" s="24" t="n">
        <f aca="false">'DCF Base Case'!$B$2*(1+B251)^4*$I251-'DCF Base Case'!$B$2*(1+B251)^3*B251*'DCF Base Case'!$B$4</f>
        <v>35.2735147231</v>
      </c>
      <c r="N251" s="24" t="n">
        <f aca="false">'DCF Base Case'!$B$2*(1+B251)^5*$I251-'DCF Base Case'!$B$2*(1+B251)^4*B251*'DCF Base Case'!$B$4</f>
        <v>38.1847490934257</v>
      </c>
      <c r="O251" s="24" t="n">
        <f aca="false">J251/(1+H251)^1+K251/(1+H251)^2+L251/(1+H251)^3+M251/(1+H251)^4+N251/(1+H251)^5</f>
        <v>126.312057597647</v>
      </c>
      <c r="P251" s="24" t="n">
        <f aca="false">N251*(1+F251)/(H251-F251)</f>
        <v>585.530652970811</v>
      </c>
      <c r="Q251" s="24" t="n">
        <f aca="false">O251+P251/(1+H251)^5</f>
        <v>509.406793809771</v>
      </c>
      <c r="R251" s="24" t="n">
        <f aca="false">Q251-'DCF Base Case'!$B$5</f>
        <v>324.406793809771</v>
      </c>
      <c r="S251" s="32" t="n">
        <f aca="false">R251/'DCF Base Case'!$B$6</f>
        <v>12.9762717523909</v>
      </c>
    </row>
    <row r="252" customFormat="false" ht="15" hidden="false" customHeight="true" outlineLevel="0" collapsed="false">
      <c r="A252" s="6" t="n">
        <v>251</v>
      </c>
      <c r="B252" s="30" t="n">
        <v>0.0777886661641945</v>
      </c>
      <c r="C252" s="30" t="n">
        <v>0.396060399392616</v>
      </c>
      <c r="D252" s="30" t="n">
        <v>0.0995766140176232</v>
      </c>
      <c r="E252" s="30" t="n">
        <v>0.289429005274415</v>
      </c>
      <c r="F252" s="30" t="n">
        <v>0.0185339051781606</v>
      </c>
      <c r="G252" s="30" t="n">
        <v>0.176942699339345</v>
      </c>
      <c r="H252" s="31" t="n">
        <f aca="false">MAX(D252,F252+0.015)</f>
        <v>0.0995766140176232</v>
      </c>
      <c r="I252" s="25" t="n">
        <f aca="false">(C252-'DCF Base Case'!$B$3)*(1-E252)+'DCF Base Case'!$B$3-G252</f>
        <v>0.142112103314153</v>
      </c>
      <c r="J252" s="24" t="n">
        <f aca="false">'DCF Base Case'!$B$2*(1+B252)^1*$I252-'DCF Base Case'!$B$2*(1+B252)^0*B252*'DCF Base Case'!$B$4</f>
        <v>21.8708073723143</v>
      </c>
      <c r="K252" s="24" t="n">
        <f aca="false">'DCF Base Case'!$B$2*(1+B252)^2*$I252-'DCF Base Case'!$B$2*(1+B252)^1*B252*'DCF Base Case'!$B$4</f>
        <v>23.5721083057407</v>
      </c>
      <c r="L252" s="24" t="n">
        <f aca="false">'DCF Base Case'!$B$2*(1+B252)^3*$I252-'DCF Base Case'!$B$2*(1+B252)^2*B252*'DCF Base Case'!$B$4</f>
        <v>25.4057511695222</v>
      </c>
      <c r="M252" s="24" t="n">
        <f aca="false">'DCF Base Case'!$B$2*(1+B252)^4*$I252-'DCF Base Case'!$B$2*(1+B252)^3*B252*'DCF Base Case'!$B$4</f>
        <v>27.3820306658987</v>
      </c>
      <c r="N252" s="24" t="n">
        <f aca="false">'DCF Base Case'!$B$2*(1+B252)^5*$I252-'DCF Base Case'!$B$2*(1+B252)^4*B252*'DCF Base Case'!$B$4</f>
        <v>29.5120423082661</v>
      </c>
      <c r="O252" s="24" t="n">
        <f aca="false">J252/(1+H252)^1+K252/(1+H252)^2+L252/(1+H252)^3+M252/(1+H252)^4+N252/(1+H252)^5</f>
        <v>95.5871478312549</v>
      </c>
      <c r="P252" s="24" t="n">
        <f aca="false">N252*(1+F252)/(H252-F252)</f>
        <v>370.903393191918</v>
      </c>
      <c r="Q252" s="24" t="n">
        <f aca="false">O252+P252/(1+H252)^5</f>
        <v>326.332697348394</v>
      </c>
      <c r="R252" s="24" t="n">
        <f aca="false">Q252-'DCF Base Case'!$B$5</f>
        <v>141.332697348394</v>
      </c>
      <c r="S252" s="32" t="n">
        <f aca="false">R252/'DCF Base Case'!$B$6</f>
        <v>5.65330789393574</v>
      </c>
    </row>
    <row r="253" customFormat="false" ht="15" hidden="false" customHeight="true" outlineLevel="0" collapsed="false">
      <c r="A253" s="6" t="n">
        <v>252</v>
      </c>
      <c r="B253" s="30" t="n">
        <v>0.0493676184290103</v>
      </c>
      <c r="C253" s="30" t="n">
        <v>0.396191763669885</v>
      </c>
      <c r="D253" s="30" t="n">
        <v>0.106972655955852</v>
      </c>
      <c r="E253" s="30" t="n">
        <v>0.283450652826798</v>
      </c>
      <c r="F253" s="30" t="n">
        <v>0.0196040464855083</v>
      </c>
      <c r="G253" s="30" t="n">
        <v>0.178157303318962</v>
      </c>
      <c r="H253" s="31" t="n">
        <f aca="false">MAX(D253,F253+0.015)</f>
        <v>0.106972655955852</v>
      </c>
      <c r="I253" s="25" t="n">
        <f aca="false">(C253-'DCF Base Case'!$B$3)*(1-E253)+'DCF Base Case'!$B$3-G253</f>
        <v>0.142582231161577</v>
      </c>
      <c r="J253" s="24" t="n">
        <f aca="false">'DCF Base Case'!$B$2*(1+B253)^1*$I253-'DCF Base Case'!$B$2*(1+B253)^0*B253*'DCF Base Case'!$B$4</f>
        <v>21.4803214297601</v>
      </c>
      <c r="K253" s="24" t="n">
        <f aca="false">'DCF Base Case'!$B$2*(1+B253)^2*$I253-'DCF Base Case'!$B$2*(1+B253)^1*B253*'DCF Base Case'!$B$4</f>
        <v>22.540753741837</v>
      </c>
      <c r="L253" s="24" t="n">
        <f aca="false">'DCF Base Case'!$B$2*(1+B253)^3*$I253-'DCF Base Case'!$B$2*(1+B253)^2*B253*'DCF Base Case'!$B$4</f>
        <v>23.6535370716663</v>
      </c>
      <c r="M253" s="24" t="n">
        <f aca="false">'DCF Base Case'!$B$2*(1+B253)^4*$I253-'DCF Base Case'!$B$2*(1+B253)^3*B253*'DCF Base Case'!$B$4</f>
        <v>24.8212558643167</v>
      </c>
      <c r="N253" s="24" t="n">
        <f aca="false">'DCF Base Case'!$B$2*(1+B253)^5*$I253-'DCF Base Case'!$B$2*(1+B253)^4*B253*'DCF Base Case'!$B$4</f>
        <v>26.0466221527552</v>
      </c>
      <c r="O253" s="24" t="n">
        <f aca="false">J253/(1+H253)^1+K253/(1+H253)^2+L253/(1+H253)^3+M253/(1+H253)^4+N253/(1+H253)^5</f>
        <v>87.4369461995331</v>
      </c>
      <c r="P253" s="24" t="n">
        <f aca="false">N253*(1+F253)/(H253-F253)</f>
        <v>303.967769490973</v>
      </c>
      <c r="Q253" s="24" t="n">
        <f aca="false">O253+P253/(1+H253)^5</f>
        <v>270.307201220778</v>
      </c>
      <c r="R253" s="24" t="n">
        <f aca="false">Q253-'DCF Base Case'!$B$5</f>
        <v>85.3072012207775</v>
      </c>
      <c r="S253" s="32" t="n">
        <f aca="false">R253/'DCF Base Case'!$B$6</f>
        <v>3.4122880488311</v>
      </c>
    </row>
    <row r="254" customFormat="false" ht="15" hidden="false" customHeight="true" outlineLevel="0" collapsed="false">
      <c r="A254" s="6" t="n">
        <v>253</v>
      </c>
      <c r="B254" s="30" t="n">
        <v>0.109567138060357</v>
      </c>
      <c r="C254" s="30" t="n">
        <v>0.378919260225571</v>
      </c>
      <c r="D254" s="30" t="n">
        <v>0.0664944087002987</v>
      </c>
      <c r="E254" s="30" t="n">
        <v>0.28576971396955</v>
      </c>
      <c r="F254" s="30" t="n">
        <v>0.0164447626474733</v>
      </c>
      <c r="G254" s="30" t="n">
        <v>0.196156031515697</v>
      </c>
      <c r="H254" s="31" t="n">
        <f aca="false">MAX(D254,F254+0.015)</f>
        <v>0.0664944087002987</v>
      </c>
      <c r="I254" s="25" t="n">
        <f aca="false">(C254-'DCF Base Case'!$B$3)*(1-E254)+'DCF Base Case'!$B$3-G254</f>
        <v>0.111629642913701</v>
      </c>
      <c r="J254" s="24" t="n">
        <f aca="false">'DCF Base Case'!$B$2*(1+B254)^1*$I254-'DCF Base Case'!$B$2*(1+B254)^0*B254*'DCF Base Case'!$B$4</f>
        <v>17.4831675439533</v>
      </c>
      <c r="K254" s="24" t="n">
        <f aca="false">'DCF Base Case'!$B$2*(1+B254)^2*$I254-'DCF Base Case'!$B$2*(1+B254)^1*B254*'DCF Base Case'!$B$4</f>
        <v>19.398748175974</v>
      </c>
      <c r="L254" s="24" t="n">
        <f aca="false">'DCF Base Case'!$B$2*(1+B254)^3*$I254-'DCF Base Case'!$B$2*(1+B254)^2*B254*'DCF Base Case'!$B$4</f>
        <v>21.5242134955691</v>
      </c>
      <c r="M254" s="24" t="n">
        <f aca="false">'DCF Base Case'!$B$2*(1+B254)^4*$I254-'DCF Base Case'!$B$2*(1+B254)^3*B254*'DCF Base Case'!$B$4</f>
        <v>23.8825599672787</v>
      </c>
      <c r="N254" s="24" t="n">
        <f aca="false">'DCF Base Case'!$B$2*(1+B254)^5*$I254-'DCF Base Case'!$B$2*(1+B254)^4*B254*'DCF Base Case'!$B$4</f>
        <v>26.4993037124483</v>
      </c>
      <c r="O254" s="24" t="n">
        <f aca="false">J254/(1+H254)^1+K254/(1+H254)^2+L254/(1+H254)^3+M254/(1+H254)^4+N254/(1+H254)^5</f>
        <v>88.8591422268001</v>
      </c>
      <c r="P254" s="24" t="n">
        <f aca="false">N254*(1+F254)/(H254-F254)</f>
        <v>538.167211889848</v>
      </c>
      <c r="Q254" s="24" t="n">
        <f aca="false">O254+P254/(1+H254)^5</f>
        <v>478.912768672324</v>
      </c>
      <c r="R254" s="24" t="n">
        <f aca="false">Q254-'DCF Base Case'!$B$5</f>
        <v>293.912768672324</v>
      </c>
      <c r="S254" s="32" t="n">
        <f aca="false">R254/'DCF Base Case'!$B$6</f>
        <v>11.756510746893</v>
      </c>
    </row>
    <row r="255" customFormat="false" ht="15" hidden="false" customHeight="true" outlineLevel="0" collapsed="false">
      <c r="A255" s="6" t="n">
        <v>254</v>
      </c>
      <c r="B255" s="30" t="n">
        <v>0.0833771036749602</v>
      </c>
      <c r="C255" s="30" t="n">
        <v>0.372792003869644</v>
      </c>
      <c r="D255" s="30" t="n">
        <v>0.071051846914716</v>
      </c>
      <c r="E255" s="30" t="n">
        <v>0.242561632976018</v>
      </c>
      <c r="F255" s="30" t="n">
        <v>0.0184440901275179</v>
      </c>
      <c r="G255" s="30" t="n">
        <v>0.161277999222092</v>
      </c>
      <c r="H255" s="31" t="n">
        <f aca="false">MAX(D255,F255+0.015)</f>
        <v>0.071051846914716</v>
      </c>
      <c r="I255" s="25" t="n">
        <f aca="false">(C255-'DCF Base Case'!$B$3)*(1-E255)+'DCF Base Case'!$B$3-G255</f>
        <v>0.152621979715412</v>
      </c>
      <c r="J255" s="24" t="n">
        <f aca="false">'DCF Base Case'!$B$2*(1+B255)^1*$I255-'DCF Base Case'!$B$2*(1+B255)^0*B255*'DCF Base Case'!$B$4</f>
        <v>23.612647558491</v>
      </c>
      <c r="K255" s="24" t="n">
        <f aca="false">'DCF Base Case'!$B$2*(1+B255)^2*$I255-'DCF Base Case'!$B$2*(1+B255)^1*B255*'DCF Base Case'!$B$4</f>
        <v>25.5814017220156</v>
      </c>
      <c r="L255" s="24" t="n">
        <f aca="false">'DCF Base Case'!$B$2*(1+B255)^3*$I255-'DCF Base Case'!$B$2*(1+B255)^2*B255*'DCF Base Case'!$B$4</f>
        <v>27.7143049055429</v>
      </c>
      <c r="M255" s="24" t="n">
        <f aca="false">'DCF Base Case'!$B$2*(1+B255)^4*$I255-'DCF Base Case'!$B$2*(1+B255)^3*B255*'DCF Base Case'!$B$4</f>
        <v>30.0250433789318</v>
      </c>
      <c r="N255" s="24" t="n">
        <f aca="false">'DCF Base Case'!$B$2*(1+B255)^5*$I255-'DCF Base Case'!$B$2*(1+B255)^4*B255*'DCF Base Case'!$B$4</f>
        <v>32.5284445335821</v>
      </c>
      <c r="O255" s="24" t="n">
        <f aca="false">J255/(1+H255)^1+K255/(1+H255)^2+L255/(1+H255)^3+M255/(1+H255)^4+N255/(1+H255)^5</f>
        <v>112.797472079435</v>
      </c>
      <c r="P255" s="24" t="n">
        <f aca="false">N255*(1+F255)/(H255-F255)</f>
        <v>629.724666464569</v>
      </c>
      <c r="Q255" s="24" t="n">
        <f aca="false">O255+P255/(1+H255)^5</f>
        <v>559.582110799337</v>
      </c>
      <c r="R255" s="24" t="n">
        <f aca="false">Q255-'DCF Base Case'!$B$5</f>
        <v>374.582110799337</v>
      </c>
      <c r="S255" s="32" t="n">
        <f aca="false">R255/'DCF Base Case'!$B$6</f>
        <v>14.9832844319735</v>
      </c>
    </row>
    <row r="256" customFormat="false" ht="15" hidden="false" customHeight="true" outlineLevel="0" collapsed="false">
      <c r="A256" s="6" t="n">
        <v>255</v>
      </c>
      <c r="B256" s="30" t="n">
        <v>0.0809642647705432</v>
      </c>
      <c r="C256" s="30" t="n">
        <v>0.43212008680849</v>
      </c>
      <c r="D256" s="30" t="n">
        <v>0.0981837182016837</v>
      </c>
      <c r="E256" s="30" t="n">
        <v>0.275035262592525</v>
      </c>
      <c r="F256" s="30" t="n">
        <v>0.0116937468974979</v>
      </c>
      <c r="G256" s="30" t="n">
        <v>0.179860903822023</v>
      </c>
      <c r="H256" s="31" t="n">
        <f aca="false">MAX(D256,F256+0.015)</f>
        <v>0.0981837182016837</v>
      </c>
      <c r="I256" s="25" t="n">
        <f aca="false">(C256-'DCF Base Case'!$B$3)*(1-E256)+'DCF Base Case'!$B$3-G256</f>
        <v>0.169165505576618</v>
      </c>
      <c r="J256" s="24" t="n">
        <f aca="false">'DCF Base Case'!$B$2*(1+B256)^1*$I256-'DCF Base Case'!$B$2*(1+B256)^0*B256*'DCF Base Case'!$B$4</f>
        <v>26.1627760704721</v>
      </c>
      <c r="K256" s="24" t="n">
        <f aca="false">'DCF Base Case'!$B$2*(1+B256)^2*$I256-'DCF Base Case'!$B$2*(1+B256)^1*B256*'DCF Base Case'!$B$4</f>
        <v>28.2810259993743</v>
      </c>
      <c r="L256" s="24" t="n">
        <f aca="false">'DCF Base Case'!$B$2*(1+B256)^3*$I256-'DCF Base Case'!$B$2*(1+B256)^2*B256*'DCF Base Case'!$B$4</f>
        <v>30.5707784763702</v>
      </c>
      <c r="M256" s="24" t="n">
        <f aca="false">'DCF Base Case'!$B$2*(1+B256)^4*$I256-'DCF Base Case'!$B$2*(1+B256)^3*B256*'DCF Base Case'!$B$4</f>
        <v>33.0459190791727</v>
      </c>
      <c r="N256" s="24" t="n">
        <f aca="false">'DCF Base Case'!$B$2*(1+B256)^5*$I256-'DCF Base Case'!$B$2*(1+B256)^4*B256*'DCF Base Case'!$B$4</f>
        <v>35.7214576210848</v>
      </c>
      <c r="O256" s="24" t="n">
        <f aca="false">J256/(1+H256)^1+K256/(1+H256)^2+L256/(1+H256)^3+M256/(1+H256)^4+N256/(1+H256)^5</f>
        <v>115.440970577117</v>
      </c>
      <c r="P256" s="24" t="n">
        <f aca="false">N256*(1+F256)/(H256-F256)</f>
        <v>417.842378259252</v>
      </c>
      <c r="Q256" s="24" t="n">
        <f aca="false">O256+P256/(1+H256)^5</f>
        <v>377.040815457835</v>
      </c>
      <c r="R256" s="24" t="n">
        <f aca="false">Q256-'DCF Base Case'!$B$5</f>
        <v>192.040815457835</v>
      </c>
      <c r="S256" s="32" t="n">
        <f aca="false">R256/'DCF Base Case'!$B$6</f>
        <v>7.68163261831342</v>
      </c>
    </row>
    <row r="257" customFormat="false" ht="15" hidden="false" customHeight="true" outlineLevel="0" collapsed="false">
      <c r="A257" s="6" t="n">
        <v>256</v>
      </c>
      <c r="B257" s="30" t="n">
        <v>0.101965532395652</v>
      </c>
      <c r="C257" s="30" t="n">
        <v>0.424552998077333</v>
      </c>
      <c r="D257" s="30" t="n">
        <v>0.0957962772423893</v>
      </c>
      <c r="E257" s="30" t="n">
        <v>0.256385891547405</v>
      </c>
      <c r="F257" s="30" t="n">
        <v>0.0257898970092579</v>
      </c>
      <c r="G257" s="30" t="n">
        <v>0.145974730004697</v>
      </c>
      <c r="H257" s="31" t="n">
        <f aca="false">MAX(D257,F257+0.015)</f>
        <v>0.0957962772423893</v>
      </c>
      <c r="I257" s="25" t="n">
        <f aca="false">(C257-'DCF Base Case'!$B$3)*(1-E257)+'DCF Base Case'!$B$3-G257</f>
        <v>0.203059035052618</v>
      </c>
      <c r="J257" s="24" t="n">
        <f aca="false">'DCF Base Case'!$B$2*(1+B257)^1*$I257-'DCF Base Case'!$B$2*(1+B257)^0*B257*'DCF Base Case'!$B$4</f>
        <v>32.0022382961572</v>
      </c>
      <c r="K257" s="24" t="n">
        <f aca="false">'DCF Base Case'!$B$2*(1+B257)^2*$I257-'DCF Base Case'!$B$2*(1+B257)^1*B257*'DCF Base Case'!$B$4</f>
        <v>35.2653635618774</v>
      </c>
      <c r="L257" s="24" t="n">
        <f aca="false">'DCF Base Case'!$B$2*(1+B257)^3*$I257-'DCF Base Case'!$B$2*(1+B257)^2*B257*'DCF Base Case'!$B$4</f>
        <v>38.8612151325905</v>
      </c>
      <c r="M257" s="24" t="n">
        <f aca="false">'DCF Base Case'!$B$2*(1+B257)^4*$I257-'DCF Base Case'!$B$2*(1+B257)^3*B257*'DCF Base Case'!$B$4</f>
        <v>42.823719623127</v>
      </c>
      <c r="N257" s="24" t="n">
        <f aca="false">'DCF Base Case'!$B$2*(1+B257)^5*$I257-'DCF Base Case'!$B$2*(1+B257)^4*B257*'DCF Base Case'!$B$4</f>
        <v>47.1902629936613</v>
      </c>
      <c r="O257" s="24" t="n">
        <f aca="false">J257/(1+H257)^1+K257/(1+H257)^2+L257/(1+H257)^3+M257/(1+H257)^4+N257/(1+H257)^5</f>
        <v>147.676233400194</v>
      </c>
      <c r="P257" s="24" t="n">
        <f aca="false">N257*(1+F257)/(H257-F257)</f>
        <v>691.469761111834</v>
      </c>
      <c r="Q257" s="24" t="n">
        <f aca="false">O257+P257/(1+H257)^5</f>
        <v>585.32336787847</v>
      </c>
      <c r="R257" s="24" t="n">
        <f aca="false">Q257-'DCF Base Case'!$B$5</f>
        <v>400.32336787847</v>
      </c>
      <c r="S257" s="32" t="n">
        <f aca="false">R257/'DCF Base Case'!$B$6</f>
        <v>16.0129347151388</v>
      </c>
    </row>
    <row r="258" customFormat="false" ht="15" hidden="false" customHeight="true" outlineLevel="0" collapsed="false">
      <c r="A258" s="6" t="n">
        <v>257</v>
      </c>
      <c r="B258" s="30" t="n">
        <v>0.10632052358901</v>
      </c>
      <c r="C258" s="30" t="n">
        <v>0.383708963319261</v>
      </c>
      <c r="D258" s="30" t="n">
        <v>0.0747670884400295</v>
      </c>
      <c r="E258" s="30" t="n">
        <v>0.324688747480566</v>
      </c>
      <c r="F258" s="30" t="n">
        <v>0.0183360574684652</v>
      </c>
      <c r="G258" s="30" t="n">
        <v>0.18531779495438</v>
      </c>
      <c r="H258" s="31" t="n">
        <f aca="false">MAX(D258,F258+0.015)</f>
        <v>0.0747670884400295</v>
      </c>
      <c r="I258" s="25" t="n">
        <f aca="false">(C258-'DCF Base Case'!$B$3)*(1-E258)+'DCF Base Case'!$B$3-G258</f>
        <v>0.116014722840157</v>
      </c>
      <c r="J258" s="24" t="n">
        <f aca="false">'DCF Base Case'!$B$2*(1+B258)^1*$I258-'DCF Base Case'!$B$2*(1+B258)^0*B258*'DCF Base Case'!$B$4</f>
        <v>18.1481787152885</v>
      </c>
      <c r="K258" s="24" t="n">
        <f aca="false">'DCF Base Case'!$B$2*(1+B258)^2*$I258-'DCF Base Case'!$B$2*(1+B258)^1*B258*'DCF Base Case'!$B$4</f>
        <v>20.0777025784849</v>
      </c>
      <c r="L258" s="24" t="n">
        <f aca="false">'DCF Base Case'!$B$2*(1+B258)^3*$I258-'DCF Base Case'!$B$2*(1+B258)^2*B258*'DCF Base Case'!$B$4</f>
        <v>22.2123744290939</v>
      </c>
      <c r="M258" s="24" t="n">
        <f aca="false">'DCF Base Case'!$B$2*(1+B258)^4*$I258-'DCF Base Case'!$B$2*(1+B258)^3*B258*'DCF Base Case'!$B$4</f>
        <v>24.5740057085503</v>
      </c>
      <c r="N258" s="24" t="n">
        <f aca="false">'DCF Base Case'!$B$2*(1+B258)^5*$I258-'DCF Base Case'!$B$2*(1+B258)^4*B258*'DCF Base Case'!$B$4</f>
        <v>27.1867268621626</v>
      </c>
      <c r="O258" s="24" t="n">
        <f aca="false">J258/(1+H258)^1+K258/(1+H258)^2+L258/(1+H258)^3+M258/(1+H258)^4+N258/(1+H258)^5</f>
        <v>89.5334811548979</v>
      </c>
      <c r="P258" s="24" t="n">
        <f aca="false">N258*(1+F258)/(H258-F258)</f>
        <v>490.602843358247</v>
      </c>
      <c r="Q258" s="24" t="n">
        <f aca="false">O258+P258/(1+H258)^5</f>
        <v>431.6375708327</v>
      </c>
      <c r="R258" s="24" t="n">
        <f aca="false">Q258-'DCF Base Case'!$B$5</f>
        <v>246.6375708327</v>
      </c>
      <c r="S258" s="32" t="n">
        <f aca="false">R258/'DCF Base Case'!$B$6</f>
        <v>9.865502833308</v>
      </c>
    </row>
    <row r="259" customFormat="false" ht="15" hidden="false" customHeight="true" outlineLevel="0" collapsed="false">
      <c r="A259" s="6" t="n">
        <v>258</v>
      </c>
      <c r="B259" s="30" t="n">
        <v>0.0949253009066717</v>
      </c>
      <c r="C259" s="30" t="n">
        <v>0.414435050909906</v>
      </c>
      <c r="D259" s="30" t="n">
        <v>0.10000235357426</v>
      </c>
      <c r="E259" s="30" t="n">
        <v>0.273344676177192</v>
      </c>
      <c r="F259" s="30" t="n">
        <v>0.0125609732338861</v>
      </c>
      <c r="G259" s="30" t="n">
        <v>0.149046031632497</v>
      </c>
      <c r="H259" s="31" t="n">
        <f aca="false">MAX(D259,F259+0.015)</f>
        <v>0.10000235357426</v>
      </c>
      <c r="I259" s="25" t="n">
        <f aca="false">(C259-'DCF Base Case'!$B$3)*(1-E259)+'DCF Base Case'!$B$3-G259</f>
        <v>0.187640212392998</v>
      </c>
      <c r="J259" s="24" t="n">
        <f aca="false">'DCF Base Case'!$B$2*(1+B259)^1*$I259-'DCF Base Case'!$B$2*(1+B259)^0*B259*'DCF Base Case'!$B$4</f>
        <v>29.3776172634622</v>
      </c>
      <c r="K259" s="24" t="n">
        <f aca="false">'DCF Base Case'!$B$2*(1+B259)^2*$I259-'DCF Base Case'!$B$2*(1+B259)^1*B259*'DCF Base Case'!$B$4</f>
        <v>32.1662964221174</v>
      </c>
      <c r="L259" s="24" t="n">
        <f aca="false">'DCF Base Case'!$B$2*(1+B259)^3*$I259-'DCF Base Case'!$B$2*(1+B259)^2*B259*'DCF Base Case'!$B$4</f>
        <v>35.2196917890401</v>
      </c>
      <c r="M259" s="24" t="n">
        <f aca="false">'DCF Base Case'!$B$2*(1+B259)^4*$I259-'DCF Base Case'!$B$2*(1+B259)^3*B259*'DCF Base Case'!$B$4</f>
        <v>38.562931629955</v>
      </c>
      <c r="N259" s="24" t="n">
        <f aca="false">'DCF Base Case'!$B$2*(1+B259)^5*$I259-'DCF Base Case'!$B$2*(1+B259)^4*B259*'DCF Base Case'!$B$4</f>
        <v>42.2235295187718</v>
      </c>
      <c r="O259" s="24" t="n">
        <f aca="false">J259/(1+H259)^1+K259/(1+H259)^2+L259/(1+H259)^3+M259/(1+H259)^4+N259/(1+H259)^5</f>
        <v>132.307360912356</v>
      </c>
      <c r="P259" s="24" t="n">
        <f aca="false">N259*(1+F259)/(H259-F259)</f>
        <v>488.943541106896</v>
      </c>
      <c r="Q259" s="24" t="n">
        <f aca="false">O259+P259/(1+H259)^5</f>
        <v>435.899583494504</v>
      </c>
      <c r="R259" s="24" t="n">
        <f aca="false">Q259-'DCF Base Case'!$B$5</f>
        <v>250.899583494504</v>
      </c>
      <c r="S259" s="32" t="n">
        <f aca="false">R259/'DCF Base Case'!$B$6</f>
        <v>10.0359833397802</v>
      </c>
    </row>
    <row r="260" customFormat="false" ht="15" hidden="false" customHeight="true" outlineLevel="0" collapsed="false">
      <c r="A260" s="6" t="n">
        <v>259</v>
      </c>
      <c r="B260" s="30" t="n">
        <v>0.101871852604621</v>
      </c>
      <c r="C260" s="30" t="n">
        <v>0.426142781187692</v>
      </c>
      <c r="D260" s="30" t="n">
        <v>0.0677623592474102</v>
      </c>
      <c r="E260" s="30" t="n">
        <v>0.262941597891527</v>
      </c>
      <c r="F260" s="30" t="n">
        <v>0.0170047133430973</v>
      </c>
      <c r="G260" s="30" t="n">
        <v>0.157809017437194</v>
      </c>
      <c r="H260" s="31" t="n">
        <f aca="false">MAX(D260,F260+0.015)</f>
        <v>0.0677623592474102</v>
      </c>
      <c r="I260" s="25" t="n">
        <f aca="false">(C260-'DCF Base Case'!$B$3)*(1-E260)+'DCF Base Case'!$B$3-G260</f>
        <v>0.190465507660965</v>
      </c>
      <c r="J260" s="24" t="n">
        <f aca="false">'DCF Base Case'!$B$2*(1+B260)^1*$I260-'DCF Base Case'!$B$2*(1+B260)^0*B260*'DCF Base Case'!$B$4</f>
        <v>29.9878017998017</v>
      </c>
      <c r="K260" s="24" t="n">
        <f aca="false">'DCF Base Case'!$B$2*(1+B260)^2*$I260-'DCF Base Case'!$B$2*(1+B260)^1*B260*'DCF Base Case'!$B$4</f>
        <v>33.0427147246877</v>
      </c>
      <c r="L260" s="24" t="n">
        <f aca="false">'DCF Base Case'!$B$2*(1+B260)^3*$I260-'DCF Base Case'!$B$2*(1+B260)^2*B260*'DCF Base Case'!$B$4</f>
        <v>36.4088372887776</v>
      </c>
      <c r="M260" s="24" t="n">
        <f aca="false">'DCF Base Case'!$B$2*(1+B260)^4*$I260-'DCF Base Case'!$B$2*(1+B260)^3*B260*'DCF Base Case'!$B$4</f>
        <v>40.1178729945656</v>
      </c>
      <c r="N260" s="24" t="n">
        <f aca="false">'DCF Base Case'!$B$2*(1+B260)^5*$I260-'DCF Base Case'!$B$2*(1+B260)^4*B260*'DCF Base Case'!$B$4</f>
        <v>44.2047550390789</v>
      </c>
      <c r="O260" s="24" t="n">
        <f aca="false">J260/(1+H260)^1+K260/(1+H260)^2+L260/(1+H260)^3+M260/(1+H260)^4+N260/(1+H260)^5</f>
        <v>149.686396078767</v>
      </c>
      <c r="P260" s="24" t="n">
        <f aca="false">N260*(1+F260)/(H260-F260)</f>
        <v>885.707826396659</v>
      </c>
      <c r="Q260" s="24" t="n">
        <f aca="false">O260+P260/(1+H260)^5</f>
        <v>787.828569338024</v>
      </c>
      <c r="R260" s="24" t="n">
        <f aca="false">Q260-'DCF Base Case'!$B$5</f>
        <v>602.828569338024</v>
      </c>
      <c r="S260" s="32" t="n">
        <f aca="false">R260/'DCF Base Case'!$B$6</f>
        <v>24.113142773521</v>
      </c>
    </row>
    <row r="261" customFormat="false" ht="15" hidden="false" customHeight="true" outlineLevel="0" collapsed="false">
      <c r="A261" s="6" t="n">
        <v>260</v>
      </c>
      <c r="B261" s="30" t="n">
        <v>0.0605455827179182</v>
      </c>
      <c r="C261" s="30" t="n">
        <v>0.389216314098505</v>
      </c>
      <c r="D261" s="30" t="n">
        <v>0.0769852846621452</v>
      </c>
      <c r="E261" s="30" t="n">
        <v>0.303310225586722</v>
      </c>
      <c r="F261" s="30" t="n">
        <v>0.0222597254378674</v>
      </c>
      <c r="G261" s="30" t="n">
        <v>0.162139936565459</v>
      </c>
      <c r="H261" s="31" t="n">
        <f aca="false">MAX(D261,F261+0.015)</f>
        <v>0.0769852846621452</v>
      </c>
      <c r="I261" s="25" t="n">
        <f aca="false">(C261-'DCF Base Case'!$B$3)*(1-E261)+'DCF Base Case'!$B$3-G261</f>
        <v>0.14845341882807</v>
      </c>
      <c r="J261" s="24" t="n">
        <f aca="false">'DCF Base Case'!$B$2*(1+B261)^1*$I261-'DCF Base Case'!$B$2*(1+B261)^0*B261*'DCF Base Case'!$B$4</f>
        <v>22.565661263912</v>
      </c>
      <c r="K261" s="24" t="n">
        <f aca="false">'DCF Base Case'!$B$2*(1+B261)^2*$I261-'DCF Base Case'!$B$2*(1+B261)^1*B261*'DCF Base Case'!$B$4</f>
        <v>23.9319123745507</v>
      </c>
      <c r="L261" s="24" t="n">
        <f aca="false">'DCF Base Case'!$B$2*(1+B261)^3*$I261-'DCF Base Case'!$B$2*(1+B261)^2*B261*'DCF Base Case'!$B$4</f>
        <v>25.3808839548221</v>
      </c>
      <c r="M261" s="24" t="n">
        <f aca="false">'DCF Base Case'!$B$2*(1+B261)^4*$I261-'DCF Base Case'!$B$2*(1+B261)^3*B261*'DCF Base Case'!$B$4</f>
        <v>26.9175843637626</v>
      </c>
      <c r="N261" s="24" t="n">
        <f aca="false">'DCF Base Case'!$B$2*(1+B261)^5*$I261-'DCF Base Case'!$B$2*(1+B261)^4*B261*'DCF Base Case'!$B$4</f>
        <v>28.5473251944254</v>
      </c>
      <c r="O261" s="24" t="n">
        <f aca="false">J261/(1+H261)^1+K261/(1+H261)^2+L261/(1+H261)^3+M261/(1+H261)^4+N261/(1+H261)^5</f>
        <v>101.613215470129</v>
      </c>
      <c r="P261" s="24" t="n">
        <f aca="false">N261*(1+F261)/(H261-F261)</f>
        <v>533.256877205057</v>
      </c>
      <c r="Q261" s="24" t="n">
        <f aca="false">O261+P261/(1+H261)^5</f>
        <v>469.646941198275</v>
      </c>
      <c r="R261" s="24" t="n">
        <f aca="false">Q261-'DCF Base Case'!$B$5</f>
        <v>284.646941198275</v>
      </c>
      <c r="S261" s="32" t="n">
        <f aca="false">R261/'DCF Base Case'!$B$6</f>
        <v>11.385877647931</v>
      </c>
    </row>
    <row r="262" customFormat="false" ht="15" hidden="false" customHeight="true" outlineLevel="0" collapsed="false">
      <c r="A262" s="6" t="n">
        <v>261</v>
      </c>
      <c r="B262" s="30" t="n">
        <v>0.0816841939398033</v>
      </c>
      <c r="C262" s="30" t="n">
        <v>0.41463792974556</v>
      </c>
      <c r="D262" s="30" t="n">
        <v>0.0760176738179887</v>
      </c>
      <c r="E262" s="30" t="n">
        <v>0.256631179445813</v>
      </c>
      <c r="F262" s="30" t="n">
        <v>0.0155110442918826</v>
      </c>
      <c r="G262" s="30" t="n">
        <v>0.152420680952254</v>
      </c>
      <c r="H262" s="31" t="n">
        <f aca="false">MAX(D262,F262+0.015)</f>
        <v>0.0760176738179887</v>
      </c>
      <c r="I262" s="25" t="n">
        <f aca="false">(C262-'DCF Base Case'!$B$3)*(1-E262)+'DCF Base Case'!$B$3-G262</f>
        <v>0.189170281167689</v>
      </c>
      <c r="J262" s="24" t="n">
        <f aca="false">'DCF Base Case'!$B$2*(1+B262)^1*$I262-'DCF Base Case'!$B$2*(1+B262)^0*B262*'DCF Base Case'!$B$4</f>
        <v>29.3149367061862</v>
      </c>
      <c r="K262" s="24" t="n">
        <f aca="false">'DCF Base Case'!$B$2*(1+B262)^2*$I262-'DCF Base Case'!$B$2*(1+B262)^1*B262*'DCF Base Case'!$B$4</f>
        <v>31.7095036814274</v>
      </c>
      <c r="L262" s="24" t="n">
        <f aca="false">'DCF Base Case'!$B$2*(1+B262)^3*$I262-'DCF Base Case'!$B$2*(1+B262)^2*B262*'DCF Base Case'!$B$4</f>
        <v>34.2996689298761</v>
      </c>
      <c r="M262" s="24" t="n">
        <f aca="false">'DCF Base Case'!$B$2*(1+B262)^4*$I262-'DCF Base Case'!$B$2*(1+B262)^3*B262*'DCF Base Case'!$B$4</f>
        <v>37.1014097388151</v>
      </c>
      <c r="N262" s="24" t="n">
        <f aca="false">'DCF Base Case'!$B$2*(1+B262)^5*$I262-'DCF Base Case'!$B$2*(1+B262)^4*B262*'DCF Base Case'!$B$4</f>
        <v>40.1320084873606</v>
      </c>
      <c r="O262" s="24" t="n">
        <f aca="false">J262/(1+H262)^1+K262/(1+H262)^2+L262/(1+H262)^3+M262/(1+H262)^4+N262/(1+H262)^5</f>
        <v>137.661880923759</v>
      </c>
      <c r="P262" s="24" t="n">
        <f aca="false">N262*(1+F262)/(H262-F262)</f>
        <v>673.554256248009</v>
      </c>
      <c r="Q262" s="24" t="n">
        <f aca="false">O262+P262/(1+H262)^5</f>
        <v>604.617451794429</v>
      </c>
      <c r="R262" s="24" t="n">
        <f aca="false">Q262-'DCF Base Case'!$B$5</f>
        <v>419.617451794429</v>
      </c>
      <c r="S262" s="32" t="n">
        <f aca="false">R262/'DCF Base Case'!$B$6</f>
        <v>16.7846980717772</v>
      </c>
    </row>
    <row r="263" customFormat="false" ht="15" hidden="false" customHeight="true" outlineLevel="0" collapsed="false">
      <c r="A263" s="6" t="n">
        <v>262</v>
      </c>
      <c r="B263" s="30" t="n">
        <v>0.06473041256352</v>
      </c>
      <c r="C263" s="30" t="n">
        <v>0.408941058960524</v>
      </c>
      <c r="D263" s="30" t="n">
        <v>0.0930268724116208</v>
      </c>
      <c r="E263" s="30" t="n">
        <v>0.251123822227924</v>
      </c>
      <c r="F263" s="30" t="n">
        <v>0.0194474427133787</v>
      </c>
      <c r="G263" s="30" t="n">
        <v>0.160651566781909</v>
      </c>
      <c r="H263" s="31" t="n">
        <f aca="false">MAX(D263,F263+0.015)</f>
        <v>0.0930268724116208</v>
      </c>
      <c r="I263" s="25" t="n">
        <f aca="false">(C263-'DCF Base Case'!$B$3)*(1-E263)+'DCF Base Case'!$B$3-G263</f>
        <v>0.178240747276144</v>
      </c>
      <c r="J263" s="24" t="n">
        <f aca="false">'DCF Base Case'!$B$2*(1+B263)^1*$I263-'DCF Base Case'!$B$2*(1+B263)^0*B263*'DCF Base Case'!$B$4</f>
        <v>27.2362826408777</v>
      </c>
      <c r="K263" s="24" t="n">
        <f aca="false">'DCF Base Case'!$B$2*(1+B263)^2*$I263-'DCF Base Case'!$B$2*(1+B263)^1*B263*'DCF Base Case'!$B$4</f>
        <v>28.9992984529183</v>
      </c>
      <c r="L263" s="24" t="n">
        <f aca="false">'DCF Base Case'!$B$2*(1+B263)^3*$I263-'DCF Base Case'!$B$2*(1+B263)^2*B263*'DCF Base Case'!$B$4</f>
        <v>30.8764350058284</v>
      </c>
      <c r="M263" s="24" t="n">
        <f aca="false">'DCF Base Case'!$B$2*(1+B263)^4*$I263-'DCF Base Case'!$B$2*(1+B263)^3*B263*'DCF Base Case'!$B$4</f>
        <v>32.8750793822463</v>
      </c>
      <c r="N263" s="24" t="n">
        <f aca="false">'DCF Base Case'!$B$2*(1+B263)^5*$I263-'DCF Base Case'!$B$2*(1+B263)^4*B263*'DCF Base Case'!$B$4</f>
        <v>35.0030968337176</v>
      </c>
      <c r="O263" s="24" t="n">
        <f aca="false">J263/(1+H263)^1+K263/(1+H263)^2+L263/(1+H263)^3+M263/(1+H263)^4+N263/(1+H263)^5</f>
        <v>118.305074609717</v>
      </c>
      <c r="P263" s="24" t="n">
        <f aca="false">N263*(1+F263)/(H263-F263)</f>
        <v>484.970020840413</v>
      </c>
      <c r="Q263" s="24" t="n">
        <f aca="false">O263+P263/(1+H263)^5</f>
        <v>429.162106596753</v>
      </c>
      <c r="R263" s="24" t="n">
        <f aca="false">Q263-'DCF Base Case'!$B$5</f>
        <v>244.162106596753</v>
      </c>
      <c r="S263" s="32" t="n">
        <f aca="false">R263/'DCF Base Case'!$B$6</f>
        <v>9.76648426387012</v>
      </c>
    </row>
    <row r="264" customFormat="false" ht="15" hidden="false" customHeight="true" outlineLevel="0" collapsed="false">
      <c r="A264" s="6" t="n">
        <v>263</v>
      </c>
      <c r="B264" s="30" t="n">
        <v>0.0972004478012581</v>
      </c>
      <c r="C264" s="30" t="n">
        <v>0.417066656195044</v>
      </c>
      <c r="D264" s="30" t="n">
        <v>0.0690104079207521</v>
      </c>
      <c r="E264" s="30" t="n">
        <v>0.255082758757606</v>
      </c>
      <c r="F264" s="30" t="n">
        <v>0.01946329264024</v>
      </c>
      <c r="G264" s="30" t="n">
        <v>0.189821399898205</v>
      </c>
      <c r="H264" s="31" t="n">
        <f aca="false">MAX(D264,F264+0.015)</f>
        <v>0.0690104079207521</v>
      </c>
      <c r="I264" s="25" t="n">
        <f aca="false">(C264-'DCF Base Case'!$B$3)*(1-E264)+'DCF Base Case'!$B$3-G264</f>
        <v>0.154019501687286</v>
      </c>
      <c r="J264" s="24" t="n">
        <f aca="false">'DCF Base Case'!$B$2*(1+B264)^1*$I264-'DCF Base Case'!$B$2*(1+B264)^0*B264*'DCF Base Case'!$B$4</f>
        <v>24.08076665417</v>
      </c>
      <c r="K264" s="24" t="n">
        <f aca="false">'DCF Base Case'!$B$2*(1+B264)^2*$I264-'DCF Base Case'!$B$2*(1+B264)^1*B264*'DCF Base Case'!$B$4</f>
        <v>26.4214279563529</v>
      </c>
      <c r="L264" s="24" t="n">
        <f aca="false">'DCF Base Case'!$B$2*(1+B264)^3*$I264-'DCF Base Case'!$B$2*(1+B264)^2*B264*'DCF Base Case'!$B$4</f>
        <v>28.9896025852591</v>
      </c>
      <c r="M264" s="24" t="n">
        <f aca="false">'DCF Base Case'!$B$2*(1+B264)^4*$I264-'DCF Base Case'!$B$2*(1+B264)^3*B264*'DCF Base Case'!$B$4</f>
        <v>31.8074049381268</v>
      </c>
      <c r="N264" s="24" t="n">
        <f aca="false">'DCF Base Case'!$B$2*(1+B264)^5*$I264-'DCF Base Case'!$B$2*(1+B264)^4*B264*'DCF Base Case'!$B$4</f>
        <v>34.8990989415086</v>
      </c>
      <c r="O264" s="24" t="n">
        <f aca="false">J264/(1+H264)^1+K264/(1+H264)^2+L264/(1+H264)^3+M264/(1+H264)^4+N264/(1+H264)^5</f>
        <v>118.730049745521</v>
      </c>
      <c r="P264" s="24" t="n">
        <f aca="false">N264*(1+F264)/(H264-F264)</f>
        <v>718.071074686392</v>
      </c>
      <c r="Q264" s="24" t="n">
        <f aca="false">O264+P264/(1+H264)^5</f>
        <v>633.078890282983</v>
      </c>
      <c r="R264" s="24" t="n">
        <f aca="false">Q264-'DCF Base Case'!$B$5</f>
        <v>448.078890282982</v>
      </c>
      <c r="S264" s="32" t="n">
        <f aca="false">R264/'DCF Base Case'!$B$6</f>
        <v>17.9231556113193</v>
      </c>
    </row>
    <row r="265" customFormat="false" ht="15" hidden="false" customHeight="true" outlineLevel="0" collapsed="false">
      <c r="A265" s="6" t="n">
        <v>264</v>
      </c>
      <c r="B265" s="30" t="n">
        <v>0.048187779347313</v>
      </c>
      <c r="C265" s="30" t="n">
        <v>0.404223735597871</v>
      </c>
      <c r="D265" s="30" t="n">
        <v>0.0980858420581641</v>
      </c>
      <c r="E265" s="30" t="n">
        <v>0.275488057690626</v>
      </c>
      <c r="F265" s="30" t="n">
        <v>0.0213189325539367</v>
      </c>
      <c r="G265" s="30" t="n">
        <v>0.151048758418091</v>
      </c>
      <c r="H265" s="31" t="n">
        <f aca="false">MAX(D265,F265+0.015)</f>
        <v>0.0980858420581641</v>
      </c>
      <c r="I265" s="25" t="n">
        <f aca="false">(C265-'DCF Base Case'!$B$3)*(1-E265)+'DCF Base Case'!$B$3-G265</f>
        <v>0.177629612887255</v>
      </c>
      <c r="J265" s="24" t="n">
        <f aca="false">'DCF Base Case'!$B$2*(1+B265)^1*$I265-'DCF Base Case'!$B$2*(1+B265)^0*B265*'DCF Base Case'!$B$4</f>
        <v>26.7878156342383</v>
      </c>
      <c r="K265" s="24" t="n">
        <f aca="false">'DCF Base Case'!$B$2*(1+B265)^2*$I265-'DCF Base Case'!$B$2*(1+B265)^1*B265*'DCF Base Case'!$B$4</f>
        <v>28.0786609832174</v>
      </c>
      <c r="L265" s="24" t="n">
        <f aca="false">'DCF Base Case'!$B$2*(1+B265)^3*$I265-'DCF Base Case'!$B$2*(1+B265)^2*B265*'DCF Base Case'!$B$4</f>
        <v>29.4317093030447</v>
      </c>
      <c r="M265" s="24" t="n">
        <f aca="false">'DCF Base Case'!$B$2*(1+B265)^4*$I265-'DCF Base Case'!$B$2*(1+B265)^3*B265*'DCF Base Case'!$B$4</f>
        <v>30.8499580167541</v>
      </c>
      <c r="N265" s="24" t="n">
        <f aca="false">'DCF Base Case'!$B$2*(1+B265)^5*$I265-'DCF Base Case'!$B$2*(1+B265)^4*B265*'DCF Base Case'!$B$4</f>
        <v>32.3365489865393</v>
      </c>
      <c r="O265" s="24" t="n">
        <f aca="false">J265/(1+H265)^1+K265/(1+H265)^2+L265/(1+H265)^3+M265/(1+H265)^4+N265/(1+H265)^5</f>
        <v>111.382114912314</v>
      </c>
      <c r="P265" s="24" t="n">
        <f aca="false">N265*(1+F265)/(H265-F265)</f>
        <v>430.210489215952</v>
      </c>
      <c r="Q265" s="24" t="n">
        <f aca="false">O265+P265/(1+H265)^5</f>
        <v>380.845359319798</v>
      </c>
      <c r="R265" s="24" t="n">
        <f aca="false">Q265-'DCF Base Case'!$B$5</f>
        <v>195.845359319798</v>
      </c>
      <c r="S265" s="32" t="n">
        <f aca="false">R265/'DCF Base Case'!$B$6</f>
        <v>7.83381437279191</v>
      </c>
    </row>
    <row r="266" customFormat="false" ht="15" hidden="false" customHeight="true" outlineLevel="0" collapsed="false">
      <c r="A266" s="6" t="n">
        <v>265</v>
      </c>
      <c r="B266" s="30" t="n">
        <v>0.0875653560605776</v>
      </c>
      <c r="C266" s="30" t="n">
        <v>0.378872208614271</v>
      </c>
      <c r="D266" s="30" t="n">
        <v>0.0592122236073924</v>
      </c>
      <c r="E266" s="30" t="n">
        <v>0.308627140492326</v>
      </c>
      <c r="F266" s="30" t="n">
        <v>0.0153296176425979</v>
      </c>
      <c r="G266" s="30" t="n">
        <v>0.156020259296254</v>
      </c>
      <c r="H266" s="31" t="n">
        <f aca="false">MAX(D266,F266+0.015)</f>
        <v>0.0592122236073924</v>
      </c>
      <c r="I266" s="25" t="n">
        <f aca="false">(C266-'DCF Base Case'!$B$3)*(1-E266)+'DCF Base Case'!$B$3-G266</f>
        <v>0.146043231225385</v>
      </c>
      <c r="J266" s="24" t="n">
        <f aca="false">'DCF Base Case'!$B$2*(1+B266)^1*$I266-'DCF Base Case'!$B$2*(1+B266)^0*B266*'DCF Base Case'!$B$4</f>
        <v>22.6496667224781</v>
      </c>
      <c r="K266" s="24" t="n">
        <f aca="false">'DCF Base Case'!$B$2*(1+B266)^2*$I266-'DCF Base Case'!$B$2*(1+B266)^1*B266*'DCF Base Case'!$B$4</f>
        <v>24.6329928536853</v>
      </c>
      <c r="L266" s="24" t="n">
        <f aca="false">'DCF Base Case'!$B$2*(1+B266)^3*$I266-'DCF Base Case'!$B$2*(1+B266)^2*B266*'DCF Base Case'!$B$4</f>
        <v>26.7899896437559</v>
      </c>
      <c r="M266" s="24" t="n">
        <f aca="false">'DCF Base Case'!$B$2*(1+B266)^4*$I266-'DCF Base Case'!$B$2*(1+B266)^3*B266*'DCF Base Case'!$B$4</f>
        <v>29.1358646257706</v>
      </c>
      <c r="N266" s="24" t="n">
        <f aca="false">'DCF Base Case'!$B$2*(1+B266)^5*$I266-'DCF Base Case'!$B$2*(1+B266)^4*B266*'DCF Base Case'!$B$4</f>
        <v>31.687156985859</v>
      </c>
      <c r="O266" s="24" t="n">
        <f aca="false">J266/(1+H266)^1+K266/(1+H266)^2+L266/(1+H266)^3+M266/(1+H266)^4+N266/(1+H266)^5</f>
        <v>112.79675561689</v>
      </c>
      <c r="P266" s="24" t="n">
        <f aca="false">N266*(1+F266)/(H266-F266)</f>
        <v>733.15857796696</v>
      </c>
      <c r="Q266" s="24" t="n">
        <f aca="false">O266+P266/(1+H266)^5</f>
        <v>662.695844570451</v>
      </c>
      <c r="R266" s="24" t="n">
        <f aca="false">Q266-'DCF Base Case'!$B$5</f>
        <v>477.695844570451</v>
      </c>
      <c r="S266" s="32" t="n">
        <f aca="false">R266/'DCF Base Case'!$B$6</f>
        <v>19.107833782818</v>
      </c>
    </row>
    <row r="267" customFormat="false" ht="15" hidden="false" customHeight="true" outlineLevel="0" collapsed="false">
      <c r="A267" s="6" t="n">
        <v>266</v>
      </c>
      <c r="B267" s="30" t="n">
        <v>0.0603477211166799</v>
      </c>
      <c r="C267" s="30" t="n">
        <v>0.374585425684707</v>
      </c>
      <c r="D267" s="30" t="n">
        <v>0.0830877852989592</v>
      </c>
      <c r="E267" s="30" t="n">
        <v>0.262850478484921</v>
      </c>
      <c r="F267" s="30" t="n">
        <v>0.0206959352875762</v>
      </c>
      <c r="G267" s="30" t="n">
        <v>0.175811274609013</v>
      </c>
      <c r="H267" s="31" t="n">
        <f aca="false">MAX(D267,F267+0.015)</f>
        <v>0.0830877852989592</v>
      </c>
      <c r="I267" s="25" t="n">
        <f aca="false">(C267-'DCF Base Case'!$B$3)*(1-E267)+'DCF Base Case'!$B$3-G267</f>
        <v>0.134484754904031</v>
      </c>
      <c r="J267" s="24" t="n">
        <f aca="false">'DCF Base Case'!$B$2*(1+B267)^1*$I267-'DCF Base Case'!$B$2*(1+B267)^0*B267*'DCF Base Case'!$B$4</f>
        <v>20.414574904319</v>
      </c>
      <c r="K267" s="24" t="n">
        <f aca="false">'DCF Base Case'!$B$2*(1+B267)^2*$I267-'DCF Base Case'!$B$2*(1+B267)^1*B267*'DCF Base Case'!$B$4</f>
        <v>21.6465479773604</v>
      </c>
      <c r="L267" s="24" t="n">
        <f aca="false">'DCF Base Case'!$B$2*(1+B267)^3*$I267-'DCF Base Case'!$B$2*(1+B267)^2*B267*'DCF Base Case'!$B$4</f>
        <v>22.9528678178369</v>
      </c>
      <c r="M267" s="24" t="n">
        <f aca="false">'DCF Base Case'!$B$2*(1+B267)^4*$I267-'DCF Base Case'!$B$2*(1+B267)^3*B267*'DCF Base Case'!$B$4</f>
        <v>24.3380210837358</v>
      </c>
      <c r="N267" s="24" t="n">
        <f aca="false">'DCF Base Case'!$B$2*(1+B267)^5*$I267-'DCF Base Case'!$B$2*(1+B267)^4*B267*'DCF Base Case'!$B$4</f>
        <v>25.8067651926289</v>
      </c>
      <c r="O267" s="24" t="n">
        <f aca="false">J267/(1+H267)^1+K267/(1+H267)^2+L267/(1+H267)^3+M267/(1+H267)^4+N267/(1+H267)^5</f>
        <v>90.3673420181956</v>
      </c>
      <c r="P267" s="24" t="n">
        <f aca="false">N267*(1+F267)/(H267-F267)</f>
        <v>422.184313018953</v>
      </c>
      <c r="Q267" s="24" t="n">
        <f aca="false">O267+P267/(1+H267)^5</f>
        <v>373.626397153491</v>
      </c>
      <c r="R267" s="24" t="n">
        <f aca="false">Q267-'DCF Base Case'!$B$5</f>
        <v>188.626397153491</v>
      </c>
      <c r="S267" s="32" t="n">
        <f aca="false">R267/'DCF Base Case'!$B$6</f>
        <v>7.54505588613962</v>
      </c>
    </row>
    <row r="268" customFormat="false" ht="15" hidden="false" customHeight="true" outlineLevel="0" collapsed="false">
      <c r="A268" s="6" t="n">
        <v>267</v>
      </c>
      <c r="B268" s="30" t="n">
        <v>0.0967471291590104</v>
      </c>
      <c r="C268" s="30" t="n">
        <v>0.421606856960147</v>
      </c>
      <c r="D268" s="30" t="n">
        <v>0.102355450254251</v>
      </c>
      <c r="E268" s="30" t="n">
        <v>0.257727779756141</v>
      </c>
      <c r="F268" s="30" t="n">
        <v>0.0191469479077449</v>
      </c>
      <c r="G268" s="30" t="n">
        <v>0.192214507348533</v>
      </c>
      <c r="H268" s="31" t="n">
        <f aca="false">MAX(D268,F268+0.015)</f>
        <v>0.102355450254251</v>
      </c>
      <c r="I268" s="25" t="n">
        <f aca="false">(C268-'DCF Base Case'!$B$3)*(1-E268)+'DCF Base Case'!$B$3-G268</f>
        <v>0.154237161805609</v>
      </c>
      <c r="J268" s="24" t="n">
        <f aca="false">'DCF Base Case'!$B$2*(1+B268)^1*$I268-'DCF Base Case'!$B$2*(1+B268)^0*B268*'DCF Base Case'!$B$4</f>
        <v>24.1072288290489</v>
      </c>
      <c r="K268" s="24" t="n">
        <f aca="false">'DCF Base Case'!$B$2*(1+B268)^2*$I268-'DCF Base Case'!$B$2*(1+B268)^1*B268*'DCF Base Case'!$B$4</f>
        <v>26.4395340102387</v>
      </c>
      <c r="L268" s="24" t="n">
        <f aca="false">'DCF Base Case'!$B$2*(1+B268)^3*$I268-'DCF Base Case'!$B$2*(1+B268)^2*B268*'DCF Base Case'!$B$4</f>
        <v>28.9974830220313</v>
      </c>
      <c r="M268" s="24" t="n">
        <f aca="false">'DCF Base Case'!$B$2*(1+B268)^4*$I268-'DCF Base Case'!$B$2*(1+B268)^3*B268*'DCF Base Case'!$B$4</f>
        <v>31.80290625725</v>
      </c>
      <c r="N268" s="24" t="n">
        <f aca="false">'DCF Base Case'!$B$2*(1+B268)^5*$I268-'DCF Base Case'!$B$2*(1+B268)^4*B268*'DCF Base Case'!$B$4</f>
        <v>34.8797461365521</v>
      </c>
      <c r="O268" s="24" t="n">
        <f aca="false">J268/(1+H268)^1+K268/(1+H268)^2+L268/(1+H268)^3+M268/(1+H268)^4+N268/(1+H268)^5</f>
        <v>108.237223839856</v>
      </c>
      <c r="P268" s="24" t="n">
        <f aca="false">N268*(1+F268)/(H268-F268)</f>
        <v>427.21099186274</v>
      </c>
      <c r="Q268" s="24" t="n">
        <f aca="false">O268+P268/(1+H268)^5</f>
        <v>370.679714024411</v>
      </c>
      <c r="R268" s="24" t="n">
        <f aca="false">Q268-'DCF Base Case'!$B$5</f>
        <v>185.679714024411</v>
      </c>
      <c r="S268" s="32" t="n">
        <f aca="false">R268/'DCF Base Case'!$B$6</f>
        <v>7.42718856097645</v>
      </c>
    </row>
    <row r="269" customFormat="false" ht="15" hidden="false" customHeight="true" outlineLevel="0" collapsed="false">
      <c r="A269" s="6" t="n">
        <v>268</v>
      </c>
      <c r="B269" s="30" t="n">
        <v>0.117304386905161</v>
      </c>
      <c r="C269" s="30" t="n">
        <v>0.393490444238889</v>
      </c>
      <c r="D269" s="30" t="n">
        <v>0.0815640901417854</v>
      </c>
      <c r="E269" s="30" t="n">
        <v>0.320616245163411</v>
      </c>
      <c r="F269" s="30" t="n">
        <v>0.0211657293165113</v>
      </c>
      <c r="G269" s="30" t="n">
        <v>0.16964564458007</v>
      </c>
      <c r="H269" s="31" t="n">
        <f aca="false">MAX(D269,F269+0.015)</f>
        <v>0.0815640901417854</v>
      </c>
      <c r="I269" s="25" t="n">
        <f aca="false">(C269-'DCF Base Case'!$B$3)*(1-E269)+'DCF Base Case'!$B$3-G269</f>
        <v>0.139365482790507</v>
      </c>
      <c r="J269" s="24" t="n">
        <f aca="false">'DCF Base Case'!$B$2*(1+B269)^1*$I269-'DCF Base Case'!$B$2*(1+B269)^0*B269*'DCF Base Case'!$B$4</f>
        <v>22.068207386186</v>
      </c>
      <c r="K269" s="24" t="n">
        <f aca="false">'DCF Base Case'!$B$2*(1+B269)^2*$I269-'DCF Base Case'!$B$2*(1+B269)^1*B269*'DCF Base Case'!$B$4</f>
        <v>24.6569049237185</v>
      </c>
      <c r="L269" s="24" t="n">
        <f aca="false">'DCF Base Case'!$B$2*(1+B269)^3*$I269-'DCF Base Case'!$B$2*(1+B269)^2*B269*'DCF Base Case'!$B$4</f>
        <v>27.5492680387742</v>
      </c>
      <c r="M269" s="24" t="n">
        <f aca="false">'DCF Base Case'!$B$2*(1+B269)^4*$I269-'DCF Base Case'!$B$2*(1+B269)^3*B269*'DCF Base Case'!$B$4</f>
        <v>30.7809180357485</v>
      </c>
      <c r="N269" s="24" t="n">
        <f aca="false">'DCF Base Case'!$B$2*(1+B269)^5*$I269-'DCF Base Case'!$B$2*(1+B269)^4*B269*'DCF Base Case'!$B$4</f>
        <v>34.39165475431</v>
      </c>
      <c r="O269" s="24" t="n">
        <f aca="false">J269/(1+H269)^1+K269/(1+H269)^2+L269/(1+H269)^3+M269/(1+H269)^4+N269/(1+H269)^5</f>
        <v>108.988885777367</v>
      </c>
      <c r="P269" s="24" t="n">
        <f aca="false">N269*(1+F269)/(H269-F269)</f>
        <v>581.465767112187</v>
      </c>
      <c r="Q269" s="24" t="n">
        <f aca="false">O269+P269/(1+H269)^5</f>
        <v>501.871538967806</v>
      </c>
      <c r="R269" s="24" t="n">
        <f aca="false">Q269-'DCF Base Case'!$B$5</f>
        <v>316.871538967806</v>
      </c>
      <c r="S269" s="32" t="n">
        <f aca="false">R269/'DCF Base Case'!$B$6</f>
        <v>12.6748615587123</v>
      </c>
    </row>
    <row r="270" customFormat="false" ht="15" hidden="false" customHeight="true" outlineLevel="0" collapsed="false">
      <c r="A270" s="6" t="n">
        <v>269</v>
      </c>
      <c r="B270" s="30" t="n">
        <v>0.0854883169222831</v>
      </c>
      <c r="C270" s="30" t="n">
        <v>0.404599668907145</v>
      </c>
      <c r="D270" s="30" t="n">
        <v>0.0881704096939936</v>
      </c>
      <c r="E270" s="30" t="n">
        <v>0.272952754080861</v>
      </c>
      <c r="F270" s="30" t="n">
        <v>0.0191939260287492</v>
      </c>
      <c r="G270" s="30" t="n">
        <v>0.166971182832525</v>
      </c>
      <c r="H270" s="31" t="n">
        <f aca="false">MAX(D270,F270+0.015)</f>
        <v>0.0881704096939936</v>
      </c>
      <c r="I270" s="25" t="n">
        <f aca="false">(C270-'DCF Base Case'!$B$3)*(1-E270)+'DCF Base Case'!$B$3-G270</f>
        <v>0.162675750176722</v>
      </c>
      <c r="J270" s="24" t="n">
        <f aca="false">'DCF Base Case'!$B$2*(1+B270)^1*$I270-'DCF Base Case'!$B$2*(1+B270)^0*B270*'DCF Base Case'!$B$4</f>
        <v>25.2326066295811</v>
      </c>
      <c r="K270" s="24" t="n">
        <f aca="false">'DCF Base Case'!$B$2*(1+B270)^2*$I270-'DCF Base Case'!$B$2*(1+B270)^1*B270*'DCF Base Case'!$B$4</f>
        <v>27.389699701906</v>
      </c>
      <c r="L270" s="24" t="n">
        <f aca="false">'DCF Base Case'!$B$2*(1+B270)^3*$I270-'DCF Base Case'!$B$2*(1+B270)^2*B270*'DCF Base Case'!$B$4</f>
        <v>29.7311990304287</v>
      </c>
      <c r="M270" s="24" t="n">
        <f aca="false">'DCF Base Case'!$B$2*(1+B270)^4*$I270-'DCF Base Case'!$B$2*(1+B270)^3*B270*'DCF Base Case'!$B$4</f>
        <v>32.2728691956215</v>
      </c>
      <c r="N270" s="24" t="n">
        <f aca="false">'DCF Base Case'!$B$2*(1+B270)^5*$I270-'DCF Base Case'!$B$2*(1+B270)^4*B270*'DCF Base Case'!$B$4</f>
        <v>35.0318224654081</v>
      </c>
      <c r="O270" s="24" t="n">
        <f aca="false">J270/(1+H270)^1+K270/(1+H270)^2+L270/(1+H270)^3+M270/(1+H270)^4+N270/(1+H270)^5</f>
        <v>115.370383752942</v>
      </c>
      <c r="P270" s="24" t="n">
        <f aca="false">N270*(1+F270)/(H270-F270)</f>
        <v>517.628889981412</v>
      </c>
      <c r="Q270" s="24" t="n">
        <f aca="false">O270+P270/(1+H270)^5</f>
        <v>454.631390744822</v>
      </c>
      <c r="R270" s="24" t="n">
        <f aca="false">Q270-'DCF Base Case'!$B$5</f>
        <v>269.631390744822</v>
      </c>
      <c r="S270" s="32" t="n">
        <f aca="false">R270/'DCF Base Case'!$B$6</f>
        <v>10.7852556297929</v>
      </c>
    </row>
    <row r="271" customFormat="false" ht="15" hidden="false" customHeight="true" outlineLevel="0" collapsed="false">
      <c r="A271" s="6" t="n">
        <v>270</v>
      </c>
      <c r="B271" s="30" t="n">
        <v>0.0752748615143144</v>
      </c>
      <c r="C271" s="30" t="n">
        <v>0.42015080550498</v>
      </c>
      <c r="D271" s="30" t="n">
        <v>0.11705669113257</v>
      </c>
      <c r="E271" s="30" t="n">
        <v>0.24911742737363</v>
      </c>
      <c r="F271" s="30" t="n">
        <v>0.0205034607662586</v>
      </c>
      <c r="G271" s="30" t="n">
        <v>0.149904547098972</v>
      </c>
      <c r="H271" s="31" t="n">
        <f aca="false">MAX(D271,F271+0.015)</f>
        <v>0.11705669113257</v>
      </c>
      <c r="I271" s="25" t="n">
        <f aca="false">(C271-'DCF Base Case'!$B$3)*(1-E271)+'DCF Base Case'!$B$3-G271</f>
        <v>0.197964636188221</v>
      </c>
      <c r="J271" s="24" t="n">
        <f aca="false">'DCF Base Case'!$B$2*(1+B271)^1*$I271-'DCF Base Case'!$B$2*(1+B271)^0*B271*'DCF Base Case'!$B$4</f>
        <v>30.5381818829058</v>
      </c>
      <c r="K271" s="24" t="n">
        <f aca="false">'DCF Base Case'!$B$2*(1+B271)^2*$I271-'DCF Base Case'!$B$2*(1+B271)^1*B271*'DCF Base Case'!$B$4</f>
        <v>32.8369392950404</v>
      </c>
      <c r="L271" s="24" t="n">
        <f aca="false">'DCF Base Case'!$B$2*(1+B271)^3*$I271-'DCF Base Case'!$B$2*(1+B271)^2*B271*'DCF Base Case'!$B$4</f>
        <v>35.3087353530286</v>
      </c>
      <c r="M271" s="24" t="n">
        <f aca="false">'DCF Base Case'!$B$2*(1+B271)^4*$I271-'DCF Base Case'!$B$2*(1+B271)^3*B271*'DCF Base Case'!$B$4</f>
        <v>37.9665955169734</v>
      </c>
      <c r="N271" s="24" t="n">
        <f aca="false">'DCF Base Case'!$B$2*(1+B271)^5*$I271-'DCF Base Case'!$B$2*(1+B271)^4*B271*'DCF Base Case'!$B$4</f>
        <v>40.8245257366835</v>
      </c>
      <c r="O271" s="24" t="n">
        <f aca="false">J271/(1+H271)^1+K271/(1+H271)^2+L271/(1+H271)^3+M271/(1+H271)^4+N271/(1+H271)^5</f>
        <v>126.840354031458</v>
      </c>
      <c r="P271" s="24" t="n">
        <f aca="false">N271*(1+F271)/(H271-F271)</f>
        <v>431.488098744783</v>
      </c>
      <c r="Q271" s="24" t="n">
        <f aca="false">O271+P271/(1+H271)^5</f>
        <v>374.920923397854</v>
      </c>
      <c r="R271" s="24" t="n">
        <f aca="false">Q271-'DCF Base Case'!$B$5</f>
        <v>189.920923397854</v>
      </c>
      <c r="S271" s="32" t="n">
        <f aca="false">R271/'DCF Base Case'!$B$6</f>
        <v>7.59683693591416</v>
      </c>
    </row>
    <row r="272" customFormat="false" ht="15" hidden="false" customHeight="true" outlineLevel="0" collapsed="false">
      <c r="A272" s="6" t="n">
        <v>271</v>
      </c>
      <c r="B272" s="30" t="n">
        <v>0.102461102393128</v>
      </c>
      <c r="C272" s="30" t="n">
        <v>0.419852025423928</v>
      </c>
      <c r="D272" s="30" t="n">
        <v>0.0933804025144671</v>
      </c>
      <c r="E272" s="30" t="n">
        <v>0.315547555488706</v>
      </c>
      <c r="F272" s="30" t="n">
        <v>0.0200426924702782</v>
      </c>
      <c r="G272" s="30" t="n">
        <v>0.192200047552842</v>
      </c>
      <c r="H272" s="31" t="n">
        <f aca="false">MAX(D272,F272+0.015)</f>
        <v>0.0933804025144671</v>
      </c>
      <c r="I272" s="25" t="n">
        <f aca="false">(C272-'DCF Base Case'!$B$3)*(1-E272)+'DCF Base Case'!$B$3-G272</f>
        <v>0.136189879795115</v>
      </c>
      <c r="J272" s="24" t="n">
        <f aca="false">'DCF Base Case'!$B$2*(1+B272)^1*$I272-'DCF Base Case'!$B$2*(1+B272)^0*B272*'DCF Base Case'!$B$4</f>
        <v>21.3251807315779</v>
      </c>
      <c r="K272" s="24" t="n">
        <f aca="false">'DCF Base Case'!$B$2*(1+B272)^2*$I272-'DCF Base Case'!$B$2*(1+B272)^1*B272*'DCF Base Case'!$B$4</f>
        <v>23.5101822580681</v>
      </c>
      <c r="L272" s="24" t="n">
        <f aca="false">'DCF Base Case'!$B$2*(1+B272)^3*$I272-'DCF Base Case'!$B$2*(1+B272)^2*B272*'DCF Base Case'!$B$4</f>
        <v>25.9190614496931</v>
      </c>
      <c r="M272" s="24" t="n">
        <f aca="false">'DCF Base Case'!$B$2*(1+B272)^4*$I272-'DCF Base Case'!$B$2*(1+B272)^3*B272*'DCF Base Case'!$B$4</f>
        <v>28.5747570588239</v>
      </c>
      <c r="N272" s="24" t="n">
        <f aca="false">'DCF Base Case'!$B$2*(1+B272)^5*$I272-'DCF Base Case'!$B$2*(1+B272)^4*B272*'DCF Base Case'!$B$4</f>
        <v>31.5025581676868</v>
      </c>
      <c r="O272" s="24" t="n">
        <f aca="false">J272/(1+H272)^1+K272/(1+H272)^2+L272/(1+H272)^3+M272/(1+H272)^4+N272/(1+H272)^5</f>
        <v>99.1528330834746</v>
      </c>
      <c r="P272" s="24" t="n">
        <f aca="false">N272*(1+F272)/(H272-F272)</f>
        <v>438.164134572879</v>
      </c>
      <c r="Q272" s="24" t="n">
        <f aca="false">O272+P272/(1+H272)^5</f>
        <v>379.554375870871</v>
      </c>
      <c r="R272" s="24" t="n">
        <f aca="false">Q272-'DCF Base Case'!$B$5</f>
        <v>194.554375870871</v>
      </c>
      <c r="S272" s="32" t="n">
        <f aca="false">R272/'DCF Base Case'!$B$6</f>
        <v>7.78217503483482</v>
      </c>
    </row>
    <row r="273" customFormat="false" ht="15" hidden="false" customHeight="true" outlineLevel="0" collapsed="false">
      <c r="A273" s="6" t="n">
        <v>272</v>
      </c>
      <c r="B273" s="30" t="n">
        <v>0.0469034301148055</v>
      </c>
      <c r="C273" s="30" t="n">
        <v>0.428273944017127</v>
      </c>
      <c r="D273" s="30" t="n">
        <v>0.0891256836708158</v>
      </c>
      <c r="E273" s="30" t="n">
        <v>0.312697678970529</v>
      </c>
      <c r="F273" s="30" t="n">
        <v>0.0144124594520429</v>
      </c>
      <c r="G273" s="30" t="n">
        <v>0.148499250522753</v>
      </c>
      <c r="H273" s="31" t="n">
        <f aca="false">MAX(D273,F273+0.015)</f>
        <v>0.0891256836708158</v>
      </c>
      <c r="I273" s="25" t="n">
        <f aca="false">(C273-'DCF Base Case'!$B$3)*(1-E273)+'DCF Base Case'!$B$3-G273</f>
        <v>0.186505123502833</v>
      </c>
      <c r="J273" s="24" t="n">
        <f aca="false">'DCF Base Case'!$B$2*(1+B273)^1*$I273-'DCF Base Case'!$B$2*(1+B273)^0*B273*'DCF Base Case'!$B$4</f>
        <v>28.1076338407203</v>
      </c>
      <c r="K273" s="24" t="n">
        <f aca="false">'DCF Base Case'!$B$2*(1+B273)^2*$I273-'DCF Base Case'!$B$2*(1+B273)^1*B273*'DCF Base Case'!$B$4</f>
        <v>29.425978280261</v>
      </c>
      <c r="L273" s="24" t="n">
        <f aca="false">'DCF Base Case'!$B$2*(1+B273)^3*$I273-'DCF Base Case'!$B$2*(1+B273)^2*B273*'DCF Base Case'!$B$4</f>
        <v>30.806157596089</v>
      </c>
      <c r="M273" s="24" t="n">
        <f aca="false">'DCF Base Case'!$B$2*(1+B273)^4*$I273-'DCF Base Case'!$B$2*(1+B273)^3*B273*'DCF Base Case'!$B$4</f>
        <v>32.2510720560029</v>
      </c>
      <c r="N273" s="24" t="n">
        <f aca="false">'DCF Base Case'!$B$2*(1+B273)^5*$I273-'DCF Base Case'!$B$2*(1+B273)^4*B273*'DCF Base Case'!$B$4</f>
        <v>33.7637579603092</v>
      </c>
      <c r="O273" s="24" t="n">
        <f aca="false">J273/(1+H273)^1+K273/(1+H273)^2+L273/(1+H273)^3+M273/(1+H273)^4+N273/(1+H273)^5</f>
        <v>119.413173389621</v>
      </c>
      <c r="P273" s="24" t="n">
        <f aca="false">N273*(1+F273)/(H273-F273)</f>
        <v>458.424557513003</v>
      </c>
      <c r="Q273" s="24" t="n">
        <f aca="false">O273+P273/(1+H273)^5</f>
        <v>418.555506242208</v>
      </c>
      <c r="R273" s="24" t="n">
        <f aca="false">Q273-'DCF Base Case'!$B$5</f>
        <v>233.555506242208</v>
      </c>
      <c r="S273" s="32" t="n">
        <f aca="false">R273/'DCF Base Case'!$B$6</f>
        <v>9.34222024968833</v>
      </c>
    </row>
    <row r="274" customFormat="false" ht="15" hidden="false" customHeight="true" outlineLevel="0" collapsed="false">
      <c r="A274" s="6" t="n">
        <v>273</v>
      </c>
      <c r="B274" s="30" t="n">
        <v>0.0929901579229234</v>
      </c>
      <c r="C274" s="30" t="n">
        <v>0.415534164711797</v>
      </c>
      <c r="D274" s="30" t="n">
        <v>0.0881137544681099</v>
      </c>
      <c r="E274" s="30" t="n">
        <v>0.312895075523503</v>
      </c>
      <c r="F274" s="30" t="n">
        <v>0.012604532633655</v>
      </c>
      <c r="G274" s="30" t="n">
        <v>0.188528756847977</v>
      </c>
      <c r="H274" s="31" t="n">
        <f aca="false">MAX(D274,F274+0.015)</f>
        <v>0.0881137544681099</v>
      </c>
      <c r="I274" s="25" t="n">
        <f aca="false">(C274-'DCF Base Case'!$B$3)*(1-E274)+'DCF Base Case'!$B$3-G274</f>
        <v>0.137663173831782</v>
      </c>
      <c r="J274" s="24" t="n">
        <f aca="false">'DCF Base Case'!$B$2*(1+B274)^1*$I274-'DCF Base Case'!$B$2*(1+B274)^0*B274*'DCF Base Case'!$B$4</f>
        <v>21.412844458488</v>
      </c>
      <c r="K274" s="24" t="n">
        <f aca="false">'DCF Base Case'!$B$2*(1+B274)^2*$I274-'DCF Base Case'!$B$2*(1+B274)^1*B274*'DCF Base Case'!$B$4</f>
        <v>23.4040282462617</v>
      </c>
      <c r="L274" s="24" t="n">
        <f aca="false">'DCF Base Case'!$B$2*(1+B274)^3*$I274-'DCF Base Case'!$B$2*(1+B274)^2*B274*'DCF Base Case'!$B$4</f>
        <v>25.5803725289142</v>
      </c>
      <c r="M274" s="24" t="n">
        <f aca="false">'DCF Base Case'!$B$2*(1+B274)^4*$I274-'DCF Base Case'!$B$2*(1+B274)^3*B274*'DCF Base Case'!$B$4</f>
        <v>27.9590954101051</v>
      </c>
      <c r="N274" s="24" t="n">
        <f aca="false">'DCF Base Case'!$B$2*(1+B274)^5*$I274-'DCF Base Case'!$B$2*(1+B274)^4*B274*'DCF Base Case'!$B$4</f>
        <v>30.5590161076729</v>
      </c>
      <c r="O274" s="24" t="n">
        <f aca="false">J274/(1+H274)^1+K274/(1+H274)^2+L274/(1+H274)^3+M274/(1+H274)^4+N274/(1+H274)^5</f>
        <v>99.2802020393438</v>
      </c>
      <c r="P274" s="24" t="n">
        <f aca="false">N274*(1+F274)/(H274-F274)</f>
        <v>409.806874864847</v>
      </c>
      <c r="Q274" s="24" t="n">
        <f aca="false">O274+P274/(1+H274)^5</f>
        <v>367.943127396873</v>
      </c>
      <c r="R274" s="24" t="n">
        <f aca="false">Q274-'DCF Base Case'!$B$5</f>
        <v>182.943127396873</v>
      </c>
      <c r="S274" s="32" t="n">
        <f aca="false">R274/'DCF Base Case'!$B$6</f>
        <v>7.3177250958749</v>
      </c>
    </row>
    <row r="275" customFormat="false" ht="15" hidden="false" customHeight="true" outlineLevel="0" collapsed="false">
      <c r="A275" s="6" t="n">
        <v>274</v>
      </c>
      <c r="B275" s="30" t="n">
        <v>0.0901654721239778</v>
      </c>
      <c r="C275" s="30" t="n">
        <v>0.410523699701046</v>
      </c>
      <c r="D275" s="30" t="n">
        <v>0.0688177324217662</v>
      </c>
      <c r="E275" s="30" t="n">
        <v>0.294828415164682</v>
      </c>
      <c r="F275" s="30" t="n">
        <v>0.0111748220473277</v>
      </c>
      <c r="G275" s="30" t="n">
        <v>0.180627542262252</v>
      </c>
      <c r="H275" s="31" t="n">
        <f aca="false">MAX(D275,F275+0.015)</f>
        <v>0.0688177324217662</v>
      </c>
      <c r="I275" s="25" t="n">
        <f aca="false">(C275-'DCF Base Case'!$B$3)*(1-E275)+'DCF Base Case'!$B$3-G275</f>
        <v>0.147189799639801</v>
      </c>
      <c r="J275" s="24" t="n">
        <f aca="false">'DCF Base Case'!$B$2*(1+B275)^1*$I275-'DCF Base Case'!$B$2*(1+B275)^0*B275*'DCF Base Case'!$B$4</f>
        <v>22.8746596216036</v>
      </c>
      <c r="K275" s="24" t="n">
        <f aca="false">'DCF Base Case'!$B$2*(1+B275)^2*$I275-'DCF Base Case'!$B$2*(1+B275)^1*B275*'DCF Base Case'!$B$4</f>
        <v>24.9371641060608</v>
      </c>
      <c r="L275" s="24" t="n">
        <f aca="false">'DCF Base Case'!$B$2*(1+B275)^3*$I275-'DCF Base Case'!$B$2*(1+B275)^2*B275*'DCF Base Case'!$B$4</f>
        <v>27.1856352811168</v>
      </c>
      <c r="M275" s="24" t="n">
        <f aca="false">'DCF Base Case'!$B$2*(1+B275)^4*$I275-'DCF Base Case'!$B$2*(1+B275)^3*B275*'DCF Base Case'!$B$4</f>
        <v>29.636840921229</v>
      </c>
      <c r="N275" s="24" t="n">
        <f aca="false">'DCF Base Case'!$B$2*(1+B275)^5*$I275-'DCF Base Case'!$B$2*(1+B275)^4*B275*'DCF Base Case'!$B$4</f>
        <v>32.3090606751548</v>
      </c>
      <c r="O275" s="24" t="n">
        <f aca="false">J275/(1+H275)^1+K275/(1+H275)^2+L275/(1+H275)^3+M275/(1+H275)^4+N275/(1+H275)^5</f>
        <v>111.37004102101</v>
      </c>
      <c r="P275" s="24" t="n">
        <f aca="false">N275*(1+F275)/(H275-F275)</f>
        <v>566.767161243188</v>
      </c>
      <c r="Q275" s="24" t="n">
        <f aca="false">O275+P275/(1+H275)^5</f>
        <v>517.707094385308</v>
      </c>
      <c r="R275" s="24" t="n">
        <f aca="false">Q275-'DCF Base Case'!$B$5</f>
        <v>332.707094385308</v>
      </c>
      <c r="S275" s="32" t="n">
        <f aca="false">R275/'DCF Base Case'!$B$6</f>
        <v>13.3082837754123</v>
      </c>
    </row>
    <row r="276" customFormat="false" ht="15" hidden="false" customHeight="true" outlineLevel="0" collapsed="false">
      <c r="A276" s="6" t="n">
        <v>275</v>
      </c>
      <c r="B276" s="30" t="n">
        <v>0.058416799555099</v>
      </c>
      <c r="C276" s="30" t="n">
        <v>0.403708546040675</v>
      </c>
      <c r="D276" s="30" t="n">
        <v>0.0836891427893929</v>
      </c>
      <c r="E276" s="30" t="n">
        <v>0.315375946779094</v>
      </c>
      <c r="F276" s="30" t="n">
        <v>0.0186656356581276</v>
      </c>
      <c r="G276" s="30" t="n">
        <v>0.151228042459826</v>
      </c>
      <c r="H276" s="31" t="n">
        <f aca="false">MAX(D276,F276+0.015)</f>
        <v>0.0836891427893929</v>
      </c>
      <c r="I276" s="25" t="n">
        <f aca="false">(C276-'DCF Base Case'!$B$3)*(1-E276)+'DCF Base Case'!$B$3-G276</f>
        <v>0.166159411731742</v>
      </c>
      <c r="J276" s="24" t="n">
        <f aca="false">'DCF Base Case'!$B$2*(1+B276)^1*$I276-'DCF Base Case'!$B$2*(1+B276)^0*B276*'DCF Base Case'!$B$4</f>
        <v>25.2464442751902</v>
      </c>
      <c r="K276" s="24" t="n">
        <f aca="false">'DCF Base Case'!$B$2*(1+B276)^2*$I276-'DCF Base Case'!$B$2*(1+B276)^1*B276*'DCF Base Case'!$B$4</f>
        <v>26.721260749893</v>
      </c>
      <c r="L276" s="24" t="n">
        <f aca="false">'DCF Base Case'!$B$2*(1+B276)^3*$I276-'DCF Base Case'!$B$2*(1+B276)^2*B276*'DCF Base Case'!$B$4</f>
        <v>28.282231282979</v>
      </c>
      <c r="M276" s="24" t="n">
        <f aca="false">'DCF Base Case'!$B$2*(1+B276)^4*$I276-'DCF Base Case'!$B$2*(1+B276)^3*B276*'DCF Base Case'!$B$4</f>
        <v>29.9343887188078</v>
      </c>
      <c r="N276" s="24" t="n">
        <f aca="false">'DCF Base Case'!$B$2*(1+B276)^5*$I276-'DCF Base Case'!$B$2*(1+B276)^4*B276*'DCF Base Case'!$B$4</f>
        <v>31.6830599043988</v>
      </c>
      <c r="O276" s="24" t="n">
        <f aca="false">J276/(1+H276)^1+K276/(1+H276)^2+L276/(1+H276)^3+M276/(1+H276)^4+N276/(1+H276)^5</f>
        <v>111.176065040126</v>
      </c>
      <c r="P276" s="24" t="n">
        <f aca="false">N276*(1+F276)/(H276-F276)</f>
        <v>496.350408967565</v>
      </c>
      <c r="Q276" s="24" t="n">
        <f aca="false">O276+P276/(1+H276)^5</f>
        <v>443.272927496258</v>
      </c>
      <c r="R276" s="24" t="n">
        <f aca="false">Q276-'DCF Base Case'!$B$5</f>
        <v>258.272927496258</v>
      </c>
      <c r="S276" s="32" t="n">
        <f aca="false">R276/'DCF Base Case'!$B$6</f>
        <v>10.3309170998503</v>
      </c>
    </row>
    <row r="277" customFormat="false" ht="15" hidden="false" customHeight="true" outlineLevel="0" collapsed="false">
      <c r="A277" s="6" t="n">
        <v>276</v>
      </c>
      <c r="B277" s="30" t="n">
        <v>0.0791290690002279</v>
      </c>
      <c r="C277" s="30" t="n">
        <v>0.435097130245426</v>
      </c>
      <c r="D277" s="30" t="n">
        <v>0.0908992666609898</v>
      </c>
      <c r="E277" s="30" t="n">
        <v>0.269774474705353</v>
      </c>
      <c r="F277" s="30" t="n">
        <v>0.0184347524819369</v>
      </c>
      <c r="G277" s="30" t="n">
        <v>0.135301849809011</v>
      </c>
      <c r="H277" s="31" t="n">
        <f aca="false">MAX(D277,F277+0.015)</f>
        <v>0.0908992666609898</v>
      </c>
      <c r="I277" s="25" t="n">
        <f aca="false">(C277-'DCF Base Case'!$B$3)*(1-E277)+'DCF Base Case'!$B$3-G277</f>
        <v>0.217487862390345</v>
      </c>
      <c r="J277" s="24" t="n">
        <f aca="false">'DCF Base Case'!$B$2*(1+B277)^1*$I277-'DCF Base Case'!$B$2*(1+B277)^0*B277*'DCF Base Case'!$B$4</f>
        <v>33.6869223465696</v>
      </c>
      <c r="K277" s="24" t="n">
        <f aca="false">'DCF Base Case'!$B$2*(1+B277)^2*$I277-'DCF Base Case'!$B$2*(1+B277)^1*B277*'DCF Base Case'!$B$4</f>
        <v>36.3525371493367</v>
      </c>
      <c r="L277" s="24" t="n">
        <f aca="false">'DCF Base Case'!$B$2*(1+B277)^3*$I277-'DCF Base Case'!$B$2*(1+B277)^2*B277*'DCF Base Case'!$B$4</f>
        <v>39.2290795697599</v>
      </c>
      <c r="M277" s="24" t="n">
        <f aca="false">'DCF Base Case'!$B$2*(1+B277)^4*$I277-'DCF Base Case'!$B$2*(1+B277)^3*B277*'DCF Base Case'!$B$4</f>
        <v>42.3332401138508</v>
      </c>
      <c r="N277" s="24" t="n">
        <f aca="false">'DCF Base Case'!$B$2*(1+B277)^5*$I277-'DCF Base Case'!$B$2*(1+B277)^4*B277*'DCF Base Case'!$B$4</f>
        <v>45.683029991823</v>
      </c>
      <c r="O277" s="24" t="n">
        <f aca="false">J277/(1+H277)^1+K277/(1+H277)^2+L277/(1+H277)^3+M277/(1+H277)^4+N277/(1+H277)^5</f>
        <v>151.103763074574</v>
      </c>
      <c r="P277" s="24" t="n">
        <f aca="false">N277*(1+F277)/(H277-F277)</f>
        <v>642.040947482071</v>
      </c>
      <c r="Q277" s="24" t="n">
        <f aca="false">O277+P277/(1+H277)^5</f>
        <v>566.669255832032</v>
      </c>
      <c r="R277" s="24" t="n">
        <f aca="false">Q277-'DCF Base Case'!$B$5</f>
        <v>381.669255832032</v>
      </c>
      <c r="S277" s="32" t="n">
        <f aca="false">R277/'DCF Base Case'!$B$6</f>
        <v>15.2667702332813</v>
      </c>
    </row>
    <row r="278" customFormat="false" ht="15" hidden="false" customHeight="true" outlineLevel="0" collapsed="false">
      <c r="A278" s="6" t="n">
        <v>277</v>
      </c>
      <c r="B278" s="30" t="n">
        <v>0.0982368241563197</v>
      </c>
      <c r="C278" s="30" t="n">
        <v>0.37977849777872</v>
      </c>
      <c r="D278" s="30" t="n">
        <v>0.09326976112419</v>
      </c>
      <c r="E278" s="30" t="n">
        <v>0.283341148033766</v>
      </c>
      <c r="F278" s="30" t="n">
        <v>0.0264441190168018</v>
      </c>
      <c r="G278" s="30" t="n">
        <v>0.143292619644348</v>
      </c>
      <c r="H278" s="31" t="n">
        <f aca="false">MAX(D278,F278+0.015)</f>
        <v>0.09326976112419</v>
      </c>
      <c r="I278" s="25" t="n">
        <f aca="false">(C278-'DCF Base Case'!$B$3)*(1-E278)+'DCF Base Case'!$B$3-G278</f>
        <v>0.1657133518196</v>
      </c>
      <c r="J278" s="24" t="n">
        <f aca="false">'DCF Base Case'!$B$2*(1+B278)^1*$I278-'DCF Base Case'!$B$2*(1+B278)^0*B278*'DCF Base Case'!$B$4</f>
        <v>25.9615830722052</v>
      </c>
      <c r="K278" s="24" t="n">
        <f aca="false">'DCF Base Case'!$B$2*(1+B278)^2*$I278-'DCF Base Case'!$B$2*(1+B278)^1*B278*'DCF Base Case'!$B$4</f>
        <v>28.5119665432891</v>
      </c>
      <c r="L278" s="24" t="n">
        <f aca="false">'DCF Base Case'!$B$2*(1+B278)^3*$I278-'DCF Base Case'!$B$2*(1+B278)^2*B278*'DCF Base Case'!$B$4</f>
        <v>31.3128915869531</v>
      </c>
      <c r="M278" s="24" t="n">
        <f aca="false">'DCF Base Case'!$B$2*(1+B278)^4*$I278-'DCF Base Case'!$B$2*(1+B278)^3*B278*'DCF Base Case'!$B$4</f>
        <v>34.3889706116065</v>
      </c>
      <c r="N278" s="24" t="n">
        <f aca="false">'DCF Base Case'!$B$2*(1+B278)^5*$I278-'DCF Base Case'!$B$2*(1+B278)^4*B278*'DCF Base Case'!$B$4</f>
        <v>37.7672338704957</v>
      </c>
      <c r="O278" s="24" t="n">
        <f aca="false">J278/(1+H278)^1+K278/(1+H278)^2+L278/(1+H278)^3+M278/(1+H278)^4+N278/(1+H278)^5</f>
        <v>119.817456047345</v>
      </c>
      <c r="P278" s="24" t="n">
        <f aca="false">N278*(1+F278)/(H278-F278)</f>
        <v>580.105987393371</v>
      </c>
      <c r="Q278" s="24" t="n">
        <f aca="false">O278+P278/(1+H278)^5</f>
        <v>491.242058840771</v>
      </c>
      <c r="R278" s="24" t="n">
        <f aca="false">Q278-'DCF Base Case'!$B$5</f>
        <v>306.242058840771</v>
      </c>
      <c r="S278" s="32" t="n">
        <f aca="false">R278/'DCF Base Case'!$B$6</f>
        <v>12.2496823536309</v>
      </c>
    </row>
    <row r="279" customFormat="false" ht="15" hidden="false" customHeight="true" outlineLevel="0" collapsed="false">
      <c r="A279" s="6" t="n">
        <v>278</v>
      </c>
      <c r="B279" s="30" t="n">
        <v>0.0879121895133647</v>
      </c>
      <c r="C279" s="30" t="n">
        <v>0.44591264441667</v>
      </c>
      <c r="D279" s="30" t="n">
        <v>0.0981052860432056</v>
      </c>
      <c r="E279" s="30" t="n">
        <v>0.26343883899228</v>
      </c>
      <c r="F279" s="30" t="n">
        <v>0.0201518634155064</v>
      </c>
      <c r="G279" s="30" t="n">
        <v>0.165271449531867</v>
      </c>
      <c r="H279" s="31" t="n">
        <f aca="false">MAX(D279,F279+0.015)</f>
        <v>0.0981052860432056</v>
      </c>
      <c r="I279" s="25" t="n">
        <f aca="false">(C279-'DCF Base Case'!$B$3)*(1-E279)+'DCF Base Case'!$B$3-G279</f>
        <v>0.197417534616694</v>
      </c>
      <c r="J279" s="24" t="n">
        <f aca="false">'DCF Base Case'!$B$2*(1+B279)^1*$I279-'DCF Base Case'!$B$2*(1+B279)^0*B279*'DCF Base Case'!$B$4</f>
        <v>30.7596586139278</v>
      </c>
      <c r="K279" s="24" t="n">
        <f aca="false">'DCF Base Case'!$B$2*(1+B279)^2*$I279-'DCF Base Case'!$B$2*(1+B279)^1*B279*'DCF Base Case'!$B$4</f>
        <v>33.4638075513618</v>
      </c>
      <c r="L279" s="24" t="n">
        <f aca="false">'DCF Base Case'!$B$2*(1+B279)^3*$I279-'DCF Base Case'!$B$2*(1+B279)^2*B279*'DCF Base Case'!$B$4</f>
        <v>36.4056841426559</v>
      </c>
      <c r="M279" s="24" t="n">
        <f aca="false">'DCF Base Case'!$B$2*(1+B279)^4*$I279-'DCF Base Case'!$B$2*(1+B279)^3*B279*'DCF Base Case'!$B$4</f>
        <v>39.6061875463687</v>
      </c>
      <c r="N279" s="24" t="n">
        <f aca="false">'DCF Base Case'!$B$2*(1+B279)^5*$I279-'DCF Base Case'!$B$2*(1+B279)^4*B279*'DCF Base Case'!$B$4</f>
        <v>43.088054211847</v>
      </c>
      <c r="O279" s="24" t="n">
        <f aca="false">J279/(1+H279)^1+K279/(1+H279)^2+L279/(1+H279)^3+M279/(1+H279)^4+N279/(1+H279)^5</f>
        <v>137.481741489641</v>
      </c>
      <c r="P279" s="24" t="n">
        <f aca="false">N279*(1+F279)/(H279-F279)</f>
        <v>563.879779918028</v>
      </c>
      <c r="Q279" s="24" t="n">
        <f aca="false">O279+P279/(1+H279)^5</f>
        <v>490.637759095346</v>
      </c>
      <c r="R279" s="24" t="n">
        <f aca="false">Q279-'DCF Base Case'!$B$5</f>
        <v>305.637759095346</v>
      </c>
      <c r="S279" s="32" t="n">
        <f aca="false">R279/'DCF Base Case'!$B$6</f>
        <v>12.2255103638138</v>
      </c>
    </row>
    <row r="280" customFormat="false" ht="15" hidden="false" customHeight="true" outlineLevel="0" collapsed="false">
      <c r="A280" s="6" t="n">
        <v>279</v>
      </c>
      <c r="B280" s="30" t="n">
        <v>0.0958984878213101</v>
      </c>
      <c r="C280" s="30" t="n">
        <v>0.401653742632064</v>
      </c>
      <c r="D280" s="30" t="n">
        <v>0.0840174755702919</v>
      </c>
      <c r="E280" s="30" t="n">
        <v>0.251001565955754</v>
      </c>
      <c r="F280" s="30" t="n">
        <v>0.0198440338034093</v>
      </c>
      <c r="G280" s="30" t="n">
        <v>0.175749727662085</v>
      </c>
      <c r="H280" s="31" t="n">
        <f aca="false">MAX(D280,F280+0.015)</f>
        <v>0.0840174755702919</v>
      </c>
      <c r="I280" s="25" t="n">
        <f aca="false">(C280-'DCF Base Case'!$B$3)*(1-E280)+'DCF Base Case'!$B$3-G280</f>
        <v>0.15771850017159</v>
      </c>
      <c r="J280" s="24" t="n">
        <f aca="false">'DCF Base Case'!$B$2*(1+B280)^1*$I280-'DCF Base Case'!$B$2*(1+B280)^0*B280*'DCF Base Case'!$B$4</f>
        <v>24.6451441247034</v>
      </c>
      <c r="K280" s="24" t="n">
        <f aca="false">'DCF Base Case'!$B$2*(1+B280)^2*$I280-'DCF Base Case'!$B$2*(1+B280)^1*B280*'DCF Base Case'!$B$4</f>
        <v>27.0085761784007</v>
      </c>
      <c r="L280" s="24" t="n">
        <f aca="false">'DCF Base Case'!$B$2*(1+B280)^3*$I280-'DCF Base Case'!$B$2*(1+B280)^2*B280*'DCF Base Case'!$B$4</f>
        <v>29.5986577921159</v>
      </c>
      <c r="M280" s="24" t="n">
        <f aca="false">'DCF Base Case'!$B$2*(1+B280)^4*$I280-'DCF Base Case'!$B$2*(1+B280)^3*B280*'DCF Base Case'!$B$4</f>
        <v>32.4371243159203</v>
      </c>
      <c r="N280" s="24" t="n">
        <f aca="false">'DCF Base Case'!$B$2*(1+B280)^5*$I280-'DCF Base Case'!$B$2*(1+B280)^4*B280*'DCF Base Case'!$B$4</f>
        <v>35.5477954870889</v>
      </c>
      <c r="O280" s="24" t="n">
        <f aca="false">J280/(1+H280)^1+K280/(1+H280)^2+L280/(1+H280)^3+M280/(1+H280)^4+N280/(1+H280)^5</f>
        <v>116.194286513267</v>
      </c>
      <c r="P280" s="24" t="n">
        <f aca="false">N280*(1+F280)/(H280-F280)</f>
        <v>564.925398174299</v>
      </c>
      <c r="Q280" s="24" t="n">
        <f aca="false">O280+P280/(1+H280)^5</f>
        <v>493.601053187228</v>
      </c>
      <c r="R280" s="24" t="n">
        <f aca="false">Q280-'DCF Base Case'!$B$5</f>
        <v>308.601053187228</v>
      </c>
      <c r="S280" s="32" t="n">
        <f aca="false">R280/'DCF Base Case'!$B$6</f>
        <v>12.3440421274891</v>
      </c>
    </row>
    <row r="281" customFormat="false" ht="15" hidden="false" customHeight="true" outlineLevel="0" collapsed="false">
      <c r="A281" s="6" t="n">
        <v>280</v>
      </c>
      <c r="B281" s="30" t="n">
        <v>0.085279620874458</v>
      </c>
      <c r="C281" s="30" t="n">
        <v>0.378270753166206</v>
      </c>
      <c r="D281" s="30" t="n">
        <v>0.0958738504913661</v>
      </c>
      <c r="E281" s="30" t="n">
        <v>0.290489021154384</v>
      </c>
      <c r="F281" s="30" t="n">
        <v>0.0163980530300625</v>
      </c>
      <c r="G281" s="30" t="n">
        <v>0.159471936189366</v>
      </c>
      <c r="H281" s="31" t="n">
        <f aca="false">MAX(D281,F281+0.015)</f>
        <v>0.0958738504913661</v>
      </c>
      <c r="I281" s="25" t="n">
        <f aca="false">(C281-'DCF Base Case'!$B$3)*(1-E281)+'DCF Base Case'!$B$3-G281</f>
        <v>0.146678888908327</v>
      </c>
      <c r="J281" s="24" t="n">
        <f aca="false">'DCF Base Case'!$B$2*(1+B281)^1*$I281-'DCF Base Case'!$B$2*(1+B281)^0*B281*'DCF Base Case'!$B$4</f>
        <v>22.7112369461799</v>
      </c>
      <c r="K281" s="24" t="n">
        <f aca="false">'DCF Base Case'!$B$2*(1+B281)^2*$I281-'DCF Base Case'!$B$2*(1+B281)^1*B281*'DCF Base Case'!$B$4</f>
        <v>24.6480426225401</v>
      </c>
      <c r="L281" s="24" t="n">
        <f aca="false">'DCF Base Case'!$B$2*(1+B281)^3*$I281-'DCF Base Case'!$B$2*(1+B281)^2*B281*'DCF Base Case'!$B$4</f>
        <v>26.7500183526878</v>
      </c>
      <c r="M281" s="24" t="n">
        <f aca="false">'DCF Base Case'!$B$2*(1+B281)^4*$I281-'DCF Base Case'!$B$2*(1+B281)^3*B281*'DCF Base Case'!$B$4</f>
        <v>29.0312497761899</v>
      </c>
      <c r="N281" s="24" t="n">
        <f aca="false">'DCF Base Case'!$B$2*(1+B281)^5*$I281-'DCF Base Case'!$B$2*(1+B281)^4*B281*'DCF Base Case'!$B$4</f>
        <v>31.507023750615</v>
      </c>
      <c r="O281" s="24" t="n">
        <f aca="false">J281/(1+H281)^1+K281/(1+H281)^2+L281/(1+H281)^3+M281/(1+H281)^4+N281/(1+H281)^5</f>
        <v>101.637360986636</v>
      </c>
      <c r="P281" s="24" t="n">
        <f aca="false">N281*(1+F281)/(H281-F281)</f>
        <v>402.936222344786</v>
      </c>
      <c r="Q281" s="24" t="n">
        <f aca="false">O281+P281/(1+H281)^5</f>
        <v>356.574724649292</v>
      </c>
      <c r="R281" s="24" t="n">
        <f aca="false">Q281-'DCF Base Case'!$B$5</f>
        <v>171.574724649292</v>
      </c>
      <c r="S281" s="32" t="n">
        <f aca="false">R281/'DCF Base Case'!$B$6</f>
        <v>6.86298898597167</v>
      </c>
    </row>
    <row r="282" customFormat="false" ht="15" hidden="false" customHeight="true" outlineLevel="0" collapsed="false">
      <c r="A282" s="6" t="n">
        <v>281</v>
      </c>
      <c r="B282" s="30" t="n">
        <v>0.0582647947359889</v>
      </c>
      <c r="C282" s="30" t="n">
        <v>0.380297942572581</v>
      </c>
      <c r="D282" s="30" t="n">
        <v>0.0790840751900715</v>
      </c>
      <c r="E282" s="30" t="n">
        <v>0.317053365220269</v>
      </c>
      <c r="F282" s="30" t="n">
        <v>0.0167615351059766</v>
      </c>
      <c r="G282" s="30" t="n">
        <v>0.180426004609853</v>
      </c>
      <c r="H282" s="31" t="n">
        <f aca="false">MAX(D282,F282+0.015)</f>
        <v>0.0790840751900715</v>
      </c>
      <c r="I282" s="25" t="n">
        <f aca="false">(C282-'DCF Base Case'!$B$3)*(1-E282)+'DCF Base Case'!$B$3-G282</f>
        <v>0.120514132962382</v>
      </c>
      <c r="J282" s="24" t="n">
        <f aca="false">'DCF Base Case'!$B$2*(1+B282)^1*$I282-'DCF Base Case'!$B$2*(1+B282)^0*B282*'DCF Base Case'!$B$4</f>
        <v>18.2392484493204</v>
      </c>
      <c r="K282" s="24" t="n">
        <f aca="false">'DCF Base Case'!$B$2*(1+B282)^2*$I282-'DCF Base Case'!$B$2*(1+B282)^1*B282*'DCF Base Case'!$B$4</f>
        <v>19.3019545163588</v>
      </c>
      <c r="L282" s="24" t="n">
        <f aca="false">'DCF Base Case'!$B$2*(1+B282)^3*$I282-'DCF Base Case'!$B$2*(1+B282)^2*B282*'DCF Base Case'!$B$4</f>
        <v>20.4265789342578</v>
      </c>
      <c r="M282" s="24" t="n">
        <f aca="false">'DCF Base Case'!$B$2*(1+B282)^4*$I282-'DCF Base Case'!$B$2*(1+B282)^3*B282*'DCF Base Case'!$B$4</f>
        <v>21.6167293630208</v>
      </c>
      <c r="N282" s="24" t="n">
        <f aca="false">'DCF Base Case'!$B$2*(1+B282)^5*$I282-'DCF Base Case'!$B$2*(1+B282)^4*B282*'DCF Base Case'!$B$4</f>
        <v>22.8762236622206</v>
      </c>
      <c r="O282" s="24" t="n">
        <f aca="false">J282/(1+H282)^1+K282/(1+H282)^2+L282/(1+H282)^3+M282/(1+H282)^4+N282/(1+H282)^5</f>
        <v>81.3138666745949</v>
      </c>
      <c r="P282" s="24" t="n">
        <f aca="false">N282*(1+F282)/(H282-F282)</f>
        <v>373.214317915183</v>
      </c>
      <c r="Q282" s="24" t="n">
        <f aca="false">O282+P282/(1+H282)^5</f>
        <v>336.397080222967</v>
      </c>
      <c r="R282" s="24" t="n">
        <f aca="false">Q282-'DCF Base Case'!$B$5</f>
        <v>151.397080222967</v>
      </c>
      <c r="S282" s="32" t="n">
        <f aca="false">R282/'DCF Base Case'!$B$6</f>
        <v>6.05588320891869</v>
      </c>
    </row>
    <row r="283" customFormat="false" ht="15" hidden="false" customHeight="true" outlineLevel="0" collapsed="false">
      <c r="A283" s="6" t="n">
        <v>282</v>
      </c>
      <c r="B283" s="30" t="n">
        <v>0.078417403838775</v>
      </c>
      <c r="C283" s="30" t="n">
        <v>0.415721970245652</v>
      </c>
      <c r="D283" s="30" t="n">
        <v>0.0834446494764182</v>
      </c>
      <c r="E283" s="30" t="n">
        <v>0.306479550459165</v>
      </c>
      <c r="F283" s="30" t="n">
        <v>0.0172019634941813</v>
      </c>
      <c r="G283" s="30" t="n">
        <v>0.135220255770027</v>
      </c>
      <c r="H283" s="31" t="n">
        <f aca="false">MAX(D283,F283+0.015)</f>
        <v>0.0834446494764182</v>
      </c>
      <c r="I283" s="25" t="n">
        <f aca="false">(C283-'DCF Base Case'!$B$3)*(1-E283)+'DCF Base Case'!$B$3-G283</f>
        <v>0.192933773478431</v>
      </c>
      <c r="J283" s="24" t="n">
        <f aca="false">'DCF Base Case'!$B$2*(1+B283)^1*$I283-'DCF Base Case'!$B$2*(1+B283)^0*B283*'DCF Base Case'!$B$4</f>
        <v>29.8280394638783</v>
      </c>
      <c r="K283" s="24" t="n">
        <f aca="false">'DCF Base Case'!$B$2*(1+B283)^2*$I283-'DCF Base Case'!$B$2*(1+B283)^1*B283*'DCF Base Case'!$B$4</f>
        <v>32.1670768802362</v>
      </c>
      <c r="L283" s="24" t="n">
        <f aca="false">'DCF Base Case'!$B$2*(1+B283)^3*$I283-'DCF Base Case'!$B$2*(1+B283)^2*B283*'DCF Base Case'!$B$4</f>
        <v>34.6895355382666</v>
      </c>
      <c r="M283" s="24" t="n">
        <f aca="false">'DCF Base Case'!$B$2*(1+B283)^4*$I283-'DCF Base Case'!$B$2*(1+B283)^3*B283*'DCF Base Case'!$B$4</f>
        <v>37.4097988555504</v>
      </c>
      <c r="N283" s="24" t="n">
        <f aca="false">'DCF Base Case'!$B$2*(1+B283)^5*$I283-'DCF Base Case'!$B$2*(1+B283)^4*B283*'DCF Base Case'!$B$4</f>
        <v>40.3433781599334</v>
      </c>
      <c r="O283" s="24" t="n">
        <f aca="false">J283/(1+H283)^1+K283/(1+H283)^2+L283/(1+H283)^3+M283/(1+H283)^4+N283/(1+H283)^5</f>
        <v>136.382201245429</v>
      </c>
      <c r="P283" s="24" t="n">
        <f aca="false">N283*(1+F283)/(H283-F283)</f>
        <v>619.500294557452</v>
      </c>
      <c r="Q283" s="24" t="n">
        <f aca="false">O283+P283/(1+H283)^5</f>
        <v>551.343764698958</v>
      </c>
      <c r="R283" s="24" t="n">
        <f aca="false">Q283-'DCF Base Case'!$B$5</f>
        <v>366.343764698958</v>
      </c>
      <c r="S283" s="32" t="n">
        <f aca="false">R283/'DCF Base Case'!$B$6</f>
        <v>14.6537505879583</v>
      </c>
    </row>
    <row r="284" customFormat="false" ht="15" hidden="false" customHeight="true" outlineLevel="0" collapsed="false">
      <c r="A284" s="6" t="n">
        <v>283</v>
      </c>
      <c r="B284" s="30" t="n">
        <v>0.0604320429375744</v>
      </c>
      <c r="C284" s="30" t="n">
        <v>0.391279711979333</v>
      </c>
      <c r="D284" s="30" t="n">
        <v>0.0712603403225414</v>
      </c>
      <c r="E284" s="30" t="n">
        <v>0.291912397058206</v>
      </c>
      <c r="F284" s="30" t="n">
        <v>0.0174913868730232</v>
      </c>
      <c r="G284" s="30" t="n">
        <v>0.212740317147191</v>
      </c>
      <c r="H284" s="31" t="n">
        <f aca="false">MAX(D284,F284+0.015)</f>
        <v>0.0712603403225414</v>
      </c>
      <c r="I284" s="25" t="n">
        <f aca="false">(C284-'DCF Base Case'!$B$3)*(1-E284)+'DCF Base Case'!$B$3-G284</f>
        <v>0.102268607805577</v>
      </c>
      <c r="J284" s="24" t="n">
        <f aca="false">'DCF Base Case'!$B$2*(1+B284)^1*$I284-'DCF Base Case'!$B$2*(1+B284)^0*B284*'DCF Base Case'!$B$4</f>
        <v>15.4622123752508</v>
      </c>
      <c r="K284" s="24" t="n">
        <f aca="false">'DCF Base Case'!$B$2*(1+B284)^2*$I284-'DCF Base Case'!$B$2*(1+B284)^1*B284*'DCF Base Case'!$B$4</f>
        <v>16.3966254574218</v>
      </c>
      <c r="L284" s="24" t="n">
        <f aca="false">'DCF Base Case'!$B$2*(1+B284)^3*$I284-'DCF Base Case'!$B$2*(1+B284)^2*B284*'DCF Base Case'!$B$4</f>
        <v>17.3875070310961</v>
      </c>
      <c r="M284" s="24" t="n">
        <f aca="false">'DCF Base Case'!$B$2*(1+B284)^4*$I284-'DCF Base Case'!$B$2*(1+B284)^3*B284*'DCF Base Case'!$B$4</f>
        <v>18.4382696025766</v>
      </c>
      <c r="N284" s="24" t="n">
        <f aca="false">'DCF Base Case'!$B$2*(1+B284)^5*$I284-'DCF Base Case'!$B$2*(1+B284)^4*B284*'DCF Base Case'!$B$4</f>
        <v>19.5525319028941</v>
      </c>
      <c r="O284" s="24" t="n">
        <f aca="false">J284/(1+H284)^1+K284/(1+H284)^2+L284/(1+H284)^3+M284/(1+H284)^4+N284/(1+H284)^5</f>
        <v>70.7240408494218</v>
      </c>
      <c r="P284" s="24" t="n">
        <f aca="false">N284*(1+F284)/(H284-F284)</f>
        <v>370.000372453465</v>
      </c>
      <c r="Q284" s="24" t="n">
        <f aca="false">O284+P284/(1+H284)^5</f>
        <v>332.981003074502</v>
      </c>
      <c r="R284" s="24" t="n">
        <f aca="false">Q284-'DCF Base Case'!$B$5</f>
        <v>147.981003074502</v>
      </c>
      <c r="S284" s="32" t="n">
        <f aca="false">R284/'DCF Base Case'!$B$6</f>
        <v>5.91924012298008</v>
      </c>
    </row>
    <row r="285" customFormat="false" ht="15" hidden="false" customHeight="true" outlineLevel="0" collapsed="false">
      <c r="A285" s="6" t="n">
        <v>284</v>
      </c>
      <c r="B285" s="30" t="n">
        <v>0.0543405993340001</v>
      </c>
      <c r="C285" s="30" t="n">
        <v>0.405045032042365</v>
      </c>
      <c r="D285" s="30" t="n">
        <v>0.0725925167414376</v>
      </c>
      <c r="E285" s="30" t="n">
        <v>0.26740192935393</v>
      </c>
      <c r="F285" s="30" t="n">
        <v>0.0198661225922511</v>
      </c>
      <c r="G285" s="30" t="n">
        <v>0.126332789392992</v>
      </c>
      <c r="H285" s="31" t="n">
        <f aca="false">MAX(D285,F285+0.015)</f>
        <v>0.0725925167414376</v>
      </c>
      <c r="I285" s="25" t="n">
        <f aca="false">(C285-'DCF Base Case'!$B$3)*(1-E285)+'DCF Base Case'!$B$3-G285</f>
        <v>0.205164670422031</v>
      </c>
      <c r="J285" s="24" t="n">
        <f aca="false">'DCF Base Case'!$B$2*(1+B285)^1*$I285-'DCF Base Case'!$B$2*(1+B285)^0*B285*'DCF Base Case'!$B$4</f>
        <v>31.1290674212615</v>
      </c>
      <c r="K285" s="24" t="n">
        <f aca="false">'DCF Base Case'!$B$2*(1+B285)^2*$I285-'DCF Base Case'!$B$2*(1+B285)^1*B285*'DCF Base Case'!$B$4</f>
        <v>32.8206396016413</v>
      </c>
      <c r="L285" s="24" t="n">
        <f aca="false">'DCF Base Case'!$B$2*(1+B285)^3*$I285-'DCF Base Case'!$B$2*(1+B285)^2*B285*'DCF Base Case'!$B$4</f>
        <v>34.6041328281197</v>
      </c>
      <c r="M285" s="24" t="n">
        <f aca="false">'DCF Base Case'!$B$2*(1+B285)^4*$I285-'DCF Base Case'!$B$2*(1+B285)^3*B285*'DCF Base Case'!$B$4</f>
        <v>36.4845421454331</v>
      </c>
      <c r="N285" s="24" t="n">
        <f aca="false">'DCF Base Case'!$B$2*(1+B285)^5*$I285-'DCF Base Case'!$B$2*(1+B285)^4*B285*'DCF Base Case'!$B$4</f>
        <v>38.4671340320425</v>
      </c>
      <c r="O285" s="24" t="n">
        <f aca="false">J285/(1+H285)^1+K285/(1+H285)^2+L285/(1+H285)^3+M285/(1+H285)^4+N285/(1+H285)^5</f>
        <v>140.25605179392</v>
      </c>
      <c r="P285" s="24" t="n">
        <f aca="false">N285*(1+F285)/(H285-F285)</f>
        <v>744.05480339681</v>
      </c>
      <c r="Q285" s="24" t="n">
        <f aca="false">O285+P285/(1+H285)^5</f>
        <v>664.376509290858</v>
      </c>
      <c r="R285" s="24" t="n">
        <f aca="false">Q285-'DCF Base Case'!$B$5</f>
        <v>479.376509290858</v>
      </c>
      <c r="S285" s="32" t="n">
        <f aca="false">R285/'DCF Base Case'!$B$6</f>
        <v>19.1750603716343</v>
      </c>
    </row>
    <row r="286" customFormat="false" ht="15" hidden="false" customHeight="true" outlineLevel="0" collapsed="false">
      <c r="A286" s="6" t="n">
        <v>285</v>
      </c>
      <c r="B286" s="30" t="n">
        <v>0.0949225197697186</v>
      </c>
      <c r="C286" s="30" t="n">
        <v>0.448853686145675</v>
      </c>
      <c r="D286" s="30" t="n">
        <v>0.0800121787179455</v>
      </c>
      <c r="E286" s="30" t="n">
        <v>0.287267955944934</v>
      </c>
      <c r="F286" s="30" t="n">
        <v>0.0230231837150756</v>
      </c>
      <c r="G286" s="30" t="n">
        <v>0.161770310406766</v>
      </c>
      <c r="H286" s="31" t="n">
        <f aca="false">MAX(D286,F286+0.015)</f>
        <v>0.0800121787179455</v>
      </c>
      <c r="I286" s="25" t="n">
        <f aca="false">(C286-'DCF Base Case'!$B$3)*(1-E286)+'DCF Base Case'!$B$3-G286</f>
        <v>0.195486929074333</v>
      </c>
      <c r="J286" s="24" t="n">
        <f aca="false">'DCF Base Case'!$B$2*(1+B286)^1*$I286-'DCF Base Case'!$B$2*(1+B286)^0*B286*'DCF Base Case'!$B$4</f>
        <v>30.6233279787982</v>
      </c>
      <c r="K286" s="24" t="n">
        <f aca="false">'DCF Base Case'!$B$2*(1+B286)^2*$I286-'DCF Base Case'!$B$2*(1+B286)^1*B286*'DCF Base Case'!$B$4</f>
        <v>33.5301714342802</v>
      </c>
      <c r="L286" s="24" t="n">
        <f aca="false">'DCF Base Case'!$B$2*(1+B286)^3*$I286-'DCF Base Case'!$B$2*(1+B286)^2*B286*'DCF Base Case'!$B$4</f>
        <v>36.7129397951327</v>
      </c>
      <c r="M286" s="24" t="n">
        <f aca="false">'DCF Base Case'!$B$2*(1+B286)^4*$I286-'DCF Base Case'!$B$2*(1+B286)^3*B286*'DCF Base Case'!$B$4</f>
        <v>40.1978245486407</v>
      </c>
      <c r="N286" s="24" t="n">
        <f aca="false">'DCF Base Case'!$B$2*(1+B286)^5*$I286-'DCF Base Case'!$B$2*(1+B286)^4*B286*'DCF Base Case'!$B$4</f>
        <v>44.0135033440587</v>
      </c>
      <c r="O286" s="24" t="n">
        <f aca="false">J286/(1+H286)^1+K286/(1+H286)^2+L286/(1+H286)^3+M286/(1+H286)^4+N286/(1+H286)^5</f>
        <v>145.742042526897</v>
      </c>
      <c r="P286" s="24" t="n">
        <f aca="false">N286*(1+F286)/(H286-F286)</f>
        <v>790.097005838155</v>
      </c>
      <c r="Q286" s="24" t="n">
        <f aca="false">O286+P286/(1+H286)^5</f>
        <v>683.438471130569</v>
      </c>
      <c r="R286" s="24" t="n">
        <f aca="false">Q286-'DCF Base Case'!$B$5</f>
        <v>498.438471130569</v>
      </c>
      <c r="S286" s="32" t="n">
        <f aca="false">R286/'DCF Base Case'!$B$6</f>
        <v>19.9375388452228</v>
      </c>
    </row>
    <row r="287" customFormat="false" ht="15" hidden="false" customHeight="true" outlineLevel="0" collapsed="false">
      <c r="A287" s="6" t="n">
        <v>286</v>
      </c>
      <c r="B287" s="30" t="n">
        <v>0.0774588869807896</v>
      </c>
      <c r="C287" s="30" t="n">
        <v>0.367655694813231</v>
      </c>
      <c r="D287" s="30" t="n">
        <v>0.0920508979133447</v>
      </c>
      <c r="E287" s="30" t="n">
        <v>0.276542463617539</v>
      </c>
      <c r="F287" s="30" t="n">
        <v>0.0152183310978081</v>
      </c>
      <c r="G287" s="30" t="n">
        <v>0.168059853654132</v>
      </c>
      <c r="H287" s="31" t="n">
        <f aca="false">MAX(D287,F287+0.015)</f>
        <v>0.0920508979133447</v>
      </c>
      <c r="I287" s="25" t="n">
        <f aca="false">(C287-'DCF Base Case'!$B$3)*(1-E287)+'DCF Base Case'!$B$3-G287</f>
        <v>0.13387394982271</v>
      </c>
      <c r="J287" s="24" t="n">
        <f aca="false">'DCF Base Case'!$B$2*(1+B287)^1*$I287-'DCF Base Case'!$B$2*(1+B287)^0*B287*'DCF Base Case'!$B$4</f>
        <v>20.57838700253</v>
      </c>
      <c r="K287" s="24" t="n">
        <f aca="false">'DCF Base Case'!$B$2*(1+B287)^2*$I287-'DCF Base Case'!$B$2*(1+B287)^1*B287*'DCF Base Case'!$B$4</f>
        <v>22.1723659556059</v>
      </c>
      <c r="L287" s="24" t="n">
        <f aca="false">'DCF Base Case'!$B$2*(1+B287)^3*$I287-'DCF Base Case'!$B$2*(1+B287)^2*B287*'DCF Base Case'!$B$4</f>
        <v>23.8898127442579</v>
      </c>
      <c r="M287" s="24" t="n">
        <f aca="false">'DCF Base Case'!$B$2*(1+B287)^4*$I287-'DCF Base Case'!$B$2*(1+B287)^3*B287*'DCF Base Case'!$B$4</f>
        <v>25.7402910496076</v>
      </c>
      <c r="N287" s="24" t="n">
        <f aca="false">'DCF Base Case'!$B$2*(1+B287)^5*$I287-'DCF Base Case'!$B$2*(1+B287)^4*B287*'DCF Base Case'!$B$4</f>
        <v>27.7341053448717</v>
      </c>
      <c r="O287" s="24" t="n">
        <f aca="false">J287/(1+H287)^1+K287/(1+H287)^2+L287/(1+H287)^3+M287/(1+H287)^4+N287/(1+H287)^5</f>
        <v>91.7344994413525</v>
      </c>
      <c r="P287" s="24" t="n">
        <f aca="false">N287*(1+F287)/(H287-F287)</f>
        <v>366.461427877455</v>
      </c>
      <c r="Q287" s="24" t="n">
        <f aca="false">O287+P287/(1+H287)^5</f>
        <v>327.681177959563</v>
      </c>
      <c r="R287" s="24" t="n">
        <f aca="false">Q287-'DCF Base Case'!$B$5</f>
        <v>142.681177959563</v>
      </c>
      <c r="S287" s="32" t="n">
        <f aca="false">R287/'DCF Base Case'!$B$6</f>
        <v>5.70724711838254</v>
      </c>
    </row>
    <row r="288" customFormat="false" ht="15" hidden="false" customHeight="true" outlineLevel="0" collapsed="false">
      <c r="A288" s="6" t="n">
        <v>287</v>
      </c>
      <c r="B288" s="30" t="n">
        <v>0.0773977066619531</v>
      </c>
      <c r="C288" s="30" t="n">
        <v>0.398119683894111</v>
      </c>
      <c r="D288" s="30" t="n">
        <v>0.0916692027171958</v>
      </c>
      <c r="E288" s="30" t="n">
        <v>0.25410138257231</v>
      </c>
      <c r="F288" s="30" t="n">
        <v>0.0231004126781066</v>
      </c>
      <c r="G288" s="30" t="n">
        <v>0.138011514716358</v>
      </c>
      <c r="H288" s="31" t="n">
        <f aca="false">MAX(D288,F288+0.015)</f>
        <v>0.0916692027171958</v>
      </c>
      <c r="I288" s="25" t="n">
        <f aca="false">(C288-'DCF Base Case'!$B$3)*(1-E288)+'DCF Base Case'!$B$3-G288</f>
        <v>0.191978586805409</v>
      </c>
      <c r="J288" s="24" t="n">
        <f aca="false">'DCF Base Case'!$B$2*(1+B288)^1*$I288-'DCF Base Case'!$B$2*(1+B288)^0*B288*'DCF Base Case'!$B$4</f>
        <v>29.6547269031113</v>
      </c>
      <c r="K288" s="24" t="n">
        <f aca="false">'DCF Base Case'!$B$2*(1+B288)^2*$I288-'DCF Base Case'!$B$2*(1+B288)^1*B288*'DCF Base Case'!$B$4</f>
        <v>31.9499347570986</v>
      </c>
      <c r="L288" s="24" t="n">
        <f aca="false">'DCF Base Case'!$B$2*(1+B288)^3*$I288-'DCF Base Case'!$B$2*(1+B288)^2*B288*'DCF Base Case'!$B$4</f>
        <v>34.422786435297</v>
      </c>
      <c r="M288" s="24" t="n">
        <f aca="false">'DCF Base Case'!$B$2*(1+B288)^4*$I288-'DCF Base Case'!$B$2*(1+B288)^3*B288*'DCF Base Case'!$B$4</f>
        <v>37.0870311623032</v>
      </c>
      <c r="N288" s="24" t="n">
        <f aca="false">'DCF Base Case'!$B$2*(1+B288)^5*$I288-'DCF Base Case'!$B$2*(1+B288)^4*B288*'DCF Base Case'!$B$4</f>
        <v>39.9574823211659</v>
      </c>
      <c r="O288" s="24" t="n">
        <f aca="false">J288/(1+H288)^1+K288/(1+H288)^2+L288/(1+H288)^3+M288/(1+H288)^4+N288/(1+H288)^5</f>
        <v>132.317733745502</v>
      </c>
      <c r="P288" s="24" t="n">
        <f aca="false">N288*(1+F288)/(H288-F288)</f>
        <v>596.197142009624</v>
      </c>
      <c r="Q288" s="24" t="n">
        <f aca="false">O288+P288/(1+H288)^5</f>
        <v>516.851602392682</v>
      </c>
      <c r="R288" s="24" t="n">
        <f aca="false">Q288-'DCF Base Case'!$B$5</f>
        <v>331.851602392682</v>
      </c>
      <c r="S288" s="32" t="n">
        <f aca="false">R288/'DCF Base Case'!$B$6</f>
        <v>13.2740640957073</v>
      </c>
    </row>
    <row r="289" customFormat="false" ht="15" hidden="false" customHeight="true" outlineLevel="0" collapsed="false">
      <c r="A289" s="6" t="n">
        <v>288</v>
      </c>
      <c r="B289" s="30" t="n">
        <v>0.0756202824113079</v>
      </c>
      <c r="C289" s="30" t="n">
        <v>0.444731675233435</v>
      </c>
      <c r="D289" s="30" t="n">
        <v>0.0974009023780666</v>
      </c>
      <c r="E289" s="30" t="n">
        <v>0.282434317640061</v>
      </c>
      <c r="F289" s="30" t="n">
        <v>0.0155097863030195</v>
      </c>
      <c r="G289" s="30" t="n">
        <v>0.154543206672458</v>
      </c>
      <c r="H289" s="31" t="n">
        <f aca="false">MAX(D289,F289+0.015)</f>
        <v>0.0974009023780666</v>
      </c>
      <c r="I289" s="25" t="n">
        <f aca="false">(C289-'DCF Base Case'!$B$3)*(1-E289)+'DCF Base Case'!$B$3-G289</f>
        <v>0.201297442626708</v>
      </c>
      <c r="J289" s="24" t="n">
        <f aca="false">'DCF Base Case'!$B$2*(1+B289)^1*$I289-'DCF Base Case'!$B$2*(1+B289)^0*B289*'DCF Base Case'!$B$4</f>
        <v>31.0663955240989</v>
      </c>
      <c r="K289" s="24" t="n">
        <f aca="false">'DCF Base Case'!$B$2*(1+B289)^2*$I289-'DCF Base Case'!$B$2*(1+B289)^1*B289*'DCF Base Case'!$B$4</f>
        <v>33.4156451271326</v>
      </c>
      <c r="L289" s="24" t="n">
        <f aca="false">'DCF Base Case'!$B$2*(1+B289)^3*$I289-'DCF Base Case'!$B$2*(1+B289)^2*B289*'DCF Base Case'!$B$4</f>
        <v>35.9425456486024</v>
      </c>
      <c r="M289" s="24" t="n">
        <f aca="false">'DCF Base Case'!$B$2*(1+B289)^4*$I289-'DCF Base Case'!$B$2*(1+B289)^3*B289*'DCF Base Case'!$B$4</f>
        <v>38.6605311011311</v>
      </c>
      <c r="N289" s="24" t="n">
        <f aca="false">'DCF Base Case'!$B$2*(1+B289)^5*$I289-'DCF Base Case'!$B$2*(1+B289)^4*B289*'DCF Base Case'!$B$4</f>
        <v>41.5840513811698</v>
      </c>
      <c r="O289" s="24" t="n">
        <f aca="false">J289/(1+H289)^1+K289/(1+H289)^2+L289/(1+H289)^3+M289/(1+H289)^4+N289/(1+H289)^5</f>
        <v>136.037117033619</v>
      </c>
      <c r="P289" s="24" t="n">
        <f aca="false">N289*(1+F289)/(H289-F289)</f>
        <v>515.672678010711</v>
      </c>
      <c r="Q289" s="24" t="n">
        <f aca="false">O289+P289/(1+H289)^5</f>
        <v>460.039016916366</v>
      </c>
      <c r="R289" s="24" t="n">
        <f aca="false">Q289-'DCF Base Case'!$B$5</f>
        <v>275.039016916366</v>
      </c>
      <c r="S289" s="32" t="n">
        <f aca="false">R289/'DCF Base Case'!$B$6</f>
        <v>11.0015606766546</v>
      </c>
    </row>
    <row r="290" customFormat="false" ht="15" hidden="false" customHeight="true" outlineLevel="0" collapsed="false">
      <c r="A290" s="6" t="n">
        <v>289</v>
      </c>
      <c r="B290" s="30" t="n">
        <v>0.0914822961438592</v>
      </c>
      <c r="C290" s="30" t="n">
        <v>0.416084182598185</v>
      </c>
      <c r="D290" s="30" t="n">
        <v>0.0840004197741144</v>
      </c>
      <c r="E290" s="30" t="n">
        <v>0.278783747611519</v>
      </c>
      <c r="F290" s="30" t="n">
        <v>0.0185233369715165</v>
      </c>
      <c r="G290" s="30" t="n">
        <v>0.137280530807916</v>
      </c>
      <c r="H290" s="31" t="n">
        <f aca="false">MAX(D290,F290+0.015)</f>
        <v>0.0840004197741144</v>
      </c>
      <c r="I290" s="25" t="n">
        <f aca="false">(C290-'DCF Base Case'!$B$3)*(1-E290)+'DCF Base Case'!$B$3-G290</f>
        <v>0.199048031233169</v>
      </c>
      <c r="J290" s="24" t="n">
        <f aca="false">'DCF Base Case'!$B$2*(1+B290)^1*$I290-'DCF Base Case'!$B$2*(1+B290)^0*B290*'DCF Base Case'!$B$4</f>
        <v>31.1043753269018</v>
      </c>
      <c r="K290" s="24" t="n">
        <f aca="false">'DCF Base Case'!$B$2*(1+B290)^2*$I290-'DCF Base Case'!$B$2*(1+B290)^1*B290*'DCF Base Case'!$B$4</f>
        <v>33.9498750019272</v>
      </c>
      <c r="L290" s="24" t="n">
        <f aca="false">'DCF Base Case'!$B$2*(1+B290)^3*$I290-'DCF Base Case'!$B$2*(1+B290)^2*B290*'DCF Base Case'!$B$4</f>
        <v>37.0556875209005</v>
      </c>
      <c r="M290" s="24" t="n">
        <f aca="false">'DCF Base Case'!$B$2*(1+B290)^4*$I290-'DCF Base Case'!$B$2*(1+B290)^3*B290*'DCF Base Case'!$B$4</f>
        <v>40.4456269005018</v>
      </c>
      <c r="N290" s="24" t="n">
        <f aca="false">'DCF Base Case'!$B$2*(1+B290)^5*$I290-'DCF Base Case'!$B$2*(1+B290)^4*B290*'DCF Base Case'!$B$4</f>
        <v>44.1456857183376</v>
      </c>
      <c r="O290" s="24" t="n">
        <f aca="false">J290/(1+H290)^1+K290/(1+H290)^2+L290/(1+H290)^3+M290/(1+H290)^4+N290/(1+H290)^5</f>
        <v>145.46451921228</v>
      </c>
      <c r="P290" s="24" t="n">
        <f aca="false">N290*(1+F290)/(H290-F290)</f>
        <v>686.704556864483</v>
      </c>
      <c r="Q290" s="24" t="n">
        <f aca="false">O290+P290/(1+H290)^5</f>
        <v>604.263746099749</v>
      </c>
      <c r="R290" s="24" t="n">
        <f aca="false">Q290-'DCF Base Case'!$B$5</f>
        <v>419.263746099749</v>
      </c>
      <c r="S290" s="32" t="n">
        <f aca="false">R290/'DCF Base Case'!$B$6</f>
        <v>16.77054984399</v>
      </c>
    </row>
    <row r="291" customFormat="false" ht="15" hidden="false" customHeight="true" outlineLevel="0" collapsed="false">
      <c r="A291" s="6" t="n">
        <v>290</v>
      </c>
      <c r="B291" s="30" t="n">
        <v>0.0789068675892541</v>
      </c>
      <c r="C291" s="30" t="n">
        <v>0.428407475916573</v>
      </c>
      <c r="D291" s="30" t="n">
        <v>0.0699483227269377</v>
      </c>
      <c r="E291" s="30" t="n">
        <v>0.274540105922955</v>
      </c>
      <c r="F291" s="30" t="n">
        <v>0.0160067616053967</v>
      </c>
      <c r="G291" s="30" t="n">
        <v>0.167712186875015</v>
      </c>
      <c r="H291" s="31" t="n">
        <f aca="false">MAX(D291,F291+0.015)</f>
        <v>0.0699483227269377</v>
      </c>
      <c r="I291" s="25" t="n">
        <f aca="false">(C291-'DCF Base Case'!$B$3)*(1-E291)+'DCF Base Case'!$B$3-G291</f>
        <v>0.17877046899522</v>
      </c>
      <c r="J291" s="24" t="n">
        <f aca="false">'DCF Base Case'!$B$2*(1+B291)^1*$I291-'DCF Base Case'!$B$2*(1+B291)^0*B291*'DCF Base Case'!$B$4</f>
        <v>27.6238747005455</v>
      </c>
      <c r="K291" s="24" t="n">
        <f aca="false">'DCF Base Case'!$B$2*(1+B291)^2*$I291-'DCF Base Case'!$B$2*(1+B291)^1*B291*'DCF Base Case'!$B$4</f>
        <v>29.8035881238436</v>
      </c>
      <c r="L291" s="24" t="n">
        <f aca="false">'DCF Base Case'!$B$2*(1+B291)^3*$I291-'DCF Base Case'!$B$2*(1+B291)^2*B291*'DCF Base Case'!$B$4</f>
        <v>32.1552959056164</v>
      </c>
      <c r="M291" s="24" t="n">
        <f aca="false">'DCF Base Case'!$B$2*(1+B291)^4*$I291-'DCF Base Case'!$B$2*(1+B291)^3*B291*'DCF Base Case'!$B$4</f>
        <v>34.6925695819342</v>
      </c>
      <c r="N291" s="24" t="n">
        <f aca="false">'DCF Base Case'!$B$2*(1+B291)^5*$I291-'DCF Base Case'!$B$2*(1+B291)^4*B291*'DCF Base Case'!$B$4</f>
        <v>37.4300515762669</v>
      </c>
      <c r="O291" s="24" t="n">
        <f aca="false">J291/(1+H291)^1+K291/(1+H291)^2+L291/(1+H291)^3+M291/(1+H291)^4+N291/(1+H291)^5</f>
        <v>131.269641996547</v>
      </c>
      <c r="P291" s="24" t="n">
        <f aca="false">N291*(1+F291)/(H291-F291)</f>
        <v>705.007135463481</v>
      </c>
      <c r="Q291" s="24" t="n">
        <f aca="false">O291+P291/(1+H291)^5</f>
        <v>634.051387327545</v>
      </c>
      <c r="R291" s="24" t="n">
        <f aca="false">Q291-'DCF Base Case'!$B$5</f>
        <v>449.051387327545</v>
      </c>
      <c r="S291" s="32" t="n">
        <f aca="false">R291/'DCF Base Case'!$B$6</f>
        <v>17.9620554931018</v>
      </c>
    </row>
    <row r="292" customFormat="false" ht="15" hidden="false" customHeight="true" outlineLevel="0" collapsed="false">
      <c r="A292" s="6" t="n">
        <v>291</v>
      </c>
      <c r="B292" s="30" t="n">
        <v>0.0817596551003657</v>
      </c>
      <c r="C292" s="30" t="n">
        <v>0.439405923661543</v>
      </c>
      <c r="D292" s="30" t="n">
        <v>0.0905724146960928</v>
      </c>
      <c r="E292" s="30" t="n">
        <v>0.254441094562292</v>
      </c>
      <c r="F292" s="30" t="n">
        <v>0.0217599049939722</v>
      </c>
      <c r="G292" s="30" t="n">
        <v>0.149615719016245</v>
      </c>
      <c r="H292" s="31" t="n">
        <f aca="false">MAX(D292,F292+0.015)</f>
        <v>0.0905724146960928</v>
      </c>
      <c r="I292" s="25" t="n">
        <f aca="false">(C292-'DCF Base Case'!$B$3)*(1-E292)+'DCF Base Case'!$B$3-G292</f>
        <v>0.211064622764798</v>
      </c>
      <c r="J292" s="24" t="n">
        <f aca="false">'DCF Base Case'!$B$2*(1+B292)^1*$I292-'DCF Base Case'!$B$2*(1+B292)^0*B292*'DCF Base Case'!$B$4</f>
        <v>32.7509185615742</v>
      </c>
      <c r="K292" s="24" t="n">
        <f aca="false">'DCF Base Case'!$B$2*(1+B292)^2*$I292-'DCF Base Case'!$B$2*(1+B292)^1*B292*'DCF Base Case'!$B$4</f>
        <v>35.4286223673887</v>
      </c>
      <c r="L292" s="24" t="n">
        <f aca="false">'DCF Base Case'!$B$2*(1+B292)^3*$I292-'DCF Base Case'!$B$2*(1+B292)^2*B292*'DCF Base Case'!$B$4</f>
        <v>38.3252543128275</v>
      </c>
      <c r="M292" s="24" t="n">
        <f aca="false">'DCF Base Case'!$B$2*(1+B292)^4*$I292-'DCF Base Case'!$B$2*(1+B292)^3*B292*'DCF Base Case'!$B$4</f>
        <v>41.4587138870781</v>
      </c>
      <c r="N292" s="24" t="n">
        <f aca="false">'DCF Base Case'!$B$2*(1+B292)^5*$I292-'DCF Base Case'!$B$2*(1+B292)^4*B292*'DCF Base Case'!$B$4</f>
        <v>44.8483640353903</v>
      </c>
      <c r="O292" s="24" t="n">
        <f aca="false">J292/(1+H292)^1+K292/(1+H292)^2+L292/(1+H292)^3+M292/(1+H292)^4+N292/(1+H292)^5</f>
        <v>147.747491081225</v>
      </c>
      <c r="P292" s="24" t="n">
        <f aca="false">N292*(1+F292)/(H292-F292)</f>
        <v>665.929209300781</v>
      </c>
      <c r="Q292" s="24" t="n">
        <f aca="false">O292+P292/(1+H292)^5</f>
        <v>579.421124735866</v>
      </c>
      <c r="R292" s="24" t="n">
        <f aca="false">Q292-'DCF Base Case'!$B$5</f>
        <v>394.421124735866</v>
      </c>
      <c r="S292" s="32" t="n">
        <f aca="false">R292/'DCF Base Case'!$B$6</f>
        <v>15.7768449894346</v>
      </c>
    </row>
    <row r="293" customFormat="false" ht="15" hidden="false" customHeight="true" outlineLevel="0" collapsed="false">
      <c r="A293" s="6" t="n">
        <v>292</v>
      </c>
      <c r="B293" s="30" t="n">
        <v>0.07754803279709</v>
      </c>
      <c r="C293" s="30" t="n">
        <v>0.416744658569651</v>
      </c>
      <c r="D293" s="30" t="n">
        <v>0.0795907783829685</v>
      </c>
      <c r="E293" s="30" t="n">
        <v>0.307092247375216</v>
      </c>
      <c r="F293" s="30" t="n">
        <v>0.016195163984671</v>
      </c>
      <c r="G293" s="30" t="n">
        <v>0.152739931867171</v>
      </c>
      <c r="H293" s="31" t="n">
        <f aca="false">MAX(D293,F293+0.015)</f>
        <v>0.0795907783829685</v>
      </c>
      <c r="I293" s="25" t="n">
        <f aca="false">(C293-'DCF Base Case'!$B$3)*(1-E293)+'DCF Base Case'!$B$3-G293</f>
        <v>0.175947665079487</v>
      </c>
      <c r="J293" s="24" t="n">
        <f aca="false">'DCF Base Case'!$B$2*(1+B293)^1*$I293-'DCF Base Case'!$B$2*(1+B293)^0*B293*'DCF Base Case'!$B$4</f>
        <v>27.1535148126708</v>
      </c>
      <c r="K293" s="24" t="n">
        <f aca="false">'DCF Base Case'!$B$2*(1+B293)^2*$I293-'DCF Base Case'!$B$2*(1+B293)^1*B293*'DCF Base Case'!$B$4</f>
        <v>29.2592164699201</v>
      </c>
      <c r="L293" s="24" t="n">
        <f aca="false">'DCF Base Case'!$B$2*(1+B293)^3*$I293-'DCF Base Case'!$B$2*(1+B293)^2*B293*'DCF Base Case'!$B$4</f>
        <v>31.5282111483466</v>
      </c>
      <c r="M293" s="24" t="n">
        <f aca="false">'DCF Base Case'!$B$2*(1+B293)^4*$I293-'DCF Base Case'!$B$2*(1+B293)^3*B293*'DCF Base Case'!$B$4</f>
        <v>33.9731619005121</v>
      </c>
      <c r="N293" s="24" t="n">
        <f aca="false">'DCF Base Case'!$B$2*(1+B293)^5*$I293-'DCF Base Case'!$B$2*(1+B293)^4*B293*'DCF Base Case'!$B$4</f>
        <v>36.6077137737939</v>
      </c>
      <c r="O293" s="24" t="n">
        <f aca="false">J293/(1+H293)^1+K293/(1+H293)^2+L293/(1+H293)^3+M293/(1+H293)^4+N293/(1+H293)^5</f>
        <v>125.283360425051</v>
      </c>
      <c r="P293" s="24" t="n">
        <f aca="false">N293*(1+F293)/(H293-F293)</f>
        <v>586.800554810357</v>
      </c>
      <c r="Q293" s="24" t="n">
        <f aca="false">O293+P293/(1+H293)^5</f>
        <v>525.407436668006</v>
      </c>
      <c r="R293" s="24" t="n">
        <f aca="false">Q293-'DCF Base Case'!$B$5</f>
        <v>340.407436668006</v>
      </c>
      <c r="S293" s="32" t="n">
        <f aca="false">R293/'DCF Base Case'!$B$6</f>
        <v>13.6162974667202</v>
      </c>
    </row>
    <row r="294" customFormat="false" ht="15" hidden="false" customHeight="true" outlineLevel="0" collapsed="false">
      <c r="A294" s="6" t="n">
        <v>293</v>
      </c>
      <c r="B294" s="30" t="n">
        <v>0.0757626031403756</v>
      </c>
      <c r="C294" s="30" t="n">
        <v>0.396640086971832</v>
      </c>
      <c r="D294" s="30" t="n">
        <v>0.097091107111026</v>
      </c>
      <c r="E294" s="30" t="n">
        <v>0.29880490245303</v>
      </c>
      <c r="F294" s="30" t="n">
        <v>0.0251067797669088</v>
      </c>
      <c r="G294" s="30" t="n">
        <v>0.2116302506922</v>
      </c>
      <c r="H294" s="31" t="n">
        <f aca="false">MAX(D294,F294+0.015)</f>
        <v>0.097091107111026</v>
      </c>
      <c r="I294" s="25" t="n">
        <f aca="false">(C294-'DCF Base Case'!$B$3)*(1-E294)+'DCF Base Case'!$B$3-G294</f>
        <v>0.105336471101946</v>
      </c>
      <c r="J294" s="24" t="n">
        <f aca="false">'DCF Base Case'!$B$2*(1+B294)^1*$I294-'DCF Base Case'!$B$2*(1+B294)^0*B294*'DCF Base Case'!$B$4</f>
        <v>16.1014029482857</v>
      </c>
      <c r="K294" s="24" t="n">
        <f aca="false">'DCF Base Case'!$B$2*(1+B294)^2*$I294-'DCF Base Case'!$B$2*(1+B294)^1*B294*'DCF Base Case'!$B$4</f>
        <v>17.32128714986</v>
      </c>
      <c r="L294" s="24" t="n">
        <f aca="false">'DCF Base Case'!$B$2*(1+B294)^3*$I294-'DCF Base Case'!$B$2*(1+B294)^2*B294*'DCF Base Case'!$B$4</f>
        <v>18.6335929540753</v>
      </c>
      <c r="M294" s="24" t="n">
        <f aca="false">'DCF Base Case'!$B$2*(1+B294)^4*$I294-'DCF Base Case'!$B$2*(1+B294)^3*B294*'DCF Base Case'!$B$4</f>
        <v>20.0453224621342</v>
      </c>
      <c r="N294" s="24" t="n">
        <f aca="false">'DCF Base Case'!$B$2*(1+B294)^5*$I294-'DCF Base Case'!$B$2*(1+B294)^4*B294*'DCF Base Case'!$B$4</f>
        <v>21.5640082726537</v>
      </c>
      <c r="O294" s="24" t="n">
        <f aca="false">J294/(1+H294)^1+K294/(1+H294)^2+L294/(1+H294)^3+M294/(1+H294)^4+N294/(1+H294)^5</f>
        <v>70.5839406967986</v>
      </c>
      <c r="P294" s="24" t="n">
        <f aca="false">N294*(1+F294)/(H294-F294)</f>
        <v>307.086443602832</v>
      </c>
      <c r="Q294" s="24" t="n">
        <f aca="false">O294+P294/(1+H294)^5</f>
        <v>263.801757737816</v>
      </c>
      <c r="R294" s="24" t="n">
        <f aca="false">Q294-'DCF Base Case'!$B$5</f>
        <v>78.8017577378163</v>
      </c>
      <c r="S294" s="32" t="n">
        <f aca="false">R294/'DCF Base Case'!$B$6</f>
        <v>3.15207030951265</v>
      </c>
    </row>
    <row r="295" customFormat="false" ht="15" hidden="false" customHeight="true" outlineLevel="0" collapsed="false">
      <c r="A295" s="6" t="n">
        <v>294</v>
      </c>
      <c r="B295" s="30" t="n">
        <v>0.0675078868391558</v>
      </c>
      <c r="C295" s="30" t="n">
        <v>0.408004920533212</v>
      </c>
      <c r="D295" s="30" t="n">
        <v>0.0720617965169222</v>
      </c>
      <c r="E295" s="30" t="n">
        <v>0.262035045379701</v>
      </c>
      <c r="F295" s="30" t="n">
        <v>0.0168011802412185</v>
      </c>
      <c r="G295" s="30" t="n">
        <v>0.144101490028443</v>
      </c>
      <c r="H295" s="31" t="n">
        <f aca="false">MAX(D295,F295+0.015)</f>
        <v>0.0720617965169222</v>
      </c>
      <c r="I295" s="25" t="n">
        <f aca="false">(C295-'DCF Base Case'!$B$3)*(1-E295)+'DCF Base Case'!$B$3-G295</f>
        <v>0.191056398537069</v>
      </c>
      <c r="J295" s="24" t="n">
        <f aca="false">'DCF Base Case'!$B$2*(1+B295)^1*$I295-'DCF Base Case'!$B$2*(1+B295)^0*B295*'DCF Base Case'!$B$4</f>
        <v>29.2797014713135</v>
      </c>
      <c r="K295" s="24" t="n">
        <f aca="false">'DCF Base Case'!$B$2*(1+B295)^2*$I295-'DCF Base Case'!$B$2*(1+B295)^1*B295*'DCF Base Case'!$B$4</f>
        <v>31.2563122449232</v>
      </c>
      <c r="L295" s="24" t="n">
        <f aca="false">'DCF Base Case'!$B$2*(1+B295)^3*$I295-'DCF Base Case'!$B$2*(1+B295)^2*B295*'DCF Base Case'!$B$4</f>
        <v>33.3663598349628</v>
      </c>
      <c r="M295" s="24" t="n">
        <f aca="false">'DCF Base Case'!$B$2*(1+B295)^4*$I295-'DCF Base Case'!$B$2*(1+B295)^3*B295*'DCF Base Case'!$B$4</f>
        <v>35.618852278936</v>
      </c>
      <c r="N295" s="24" t="n">
        <f aca="false">'DCF Base Case'!$B$2*(1+B295)^5*$I295-'DCF Base Case'!$B$2*(1+B295)^4*B295*'DCF Base Case'!$B$4</f>
        <v>38.0234057279231</v>
      </c>
      <c r="O295" s="24" t="n">
        <f aca="false">J295/(1+H295)^1+K295/(1+H295)^2+L295/(1+H295)^3+M295/(1+H295)^4+N295/(1+H295)^5</f>
        <v>135.402674658496</v>
      </c>
      <c r="P295" s="24" t="n">
        <f aca="false">N295*(1+F295)/(H295-F295)</f>
        <v>699.634684275887</v>
      </c>
      <c r="Q295" s="24" t="n">
        <f aca="false">O295+P295/(1+H295)^5</f>
        <v>629.45418527368</v>
      </c>
      <c r="R295" s="24" t="n">
        <f aca="false">Q295-'DCF Base Case'!$B$5</f>
        <v>444.45418527368</v>
      </c>
      <c r="S295" s="32" t="n">
        <f aca="false">R295/'DCF Base Case'!$B$6</f>
        <v>17.7781674109472</v>
      </c>
    </row>
    <row r="296" customFormat="false" ht="15" hidden="false" customHeight="true" outlineLevel="0" collapsed="false">
      <c r="A296" s="6" t="n">
        <v>295</v>
      </c>
      <c r="B296" s="30" t="n">
        <v>0.0670578672369193</v>
      </c>
      <c r="C296" s="30" t="n">
        <v>0.402944385599265</v>
      </c>
      <c r="D296" s="30" t="n">
        <v>0.0716160973977495</v>
      </c>
      <c r="E296" s="30" t="n">
        <v>0.305518558727232</v>
      </c>
      <c r="F296" s="30" t="n">
        <v>0.0156027174031234</v>
      </c>
      <c r="G296" s="30" t="n">
        <v>0.216142232951274</v>
      </c>
      <c r="H296" s="31" t="n">
        <f aca="false">MAX(D296,F296+0.015)</f>
        <v>0.0716160973977495</v>
      </c>
      <c r="I296" s="25" t="n">
        <f aca="false">(C296-'DCF Base Case'!$B$3)*(1-E296)+'DCF Base Case'!$B$3-G296</f>
        <v>0.103412577347014</v>
      </c>
      <c r="J296" s="24" t="n">
        <f aca="false">'DCF Base Case'!$B$2*(1+B296)^1*$I296-'DCF Base Case'!$B$2*(1+B296)^0*B296*'DCF Base Case'!$B$4</f>
        <v>15.7086428907791</v>
      </c>
      <c r="K296" s="24" t="n">
        <f aca="false">'DCF Base Case'!$B$2*(1+B296)^2*$I296-'DCF Base Case'!$B$2*(1+B296)^1*B296*'DCF Base Case'!$B$4</f>
        <v>16.7620309802212</v>
      </c>
      <c r="L296" s="24" t="n">
        <f aca="false">'DCF Base Case'!$B$2*(1+B296)^3*$I296-'DCF Base Case'!$B$2*(1+B296)^2*B296*'DCF Base Case'!$B$4</f>
        <v>17.886057028314</v>
      </c>
      <c r="M296" s="24" t="n">
        <f aca="false">'DCF Base Case'!$B$2*(1+B296)^4*$I296-'DCF Base Case'!$B$2*(1+B296)^3*B296*'DCF Base Case'!$B$4</f>
        <v>19.0854578659106</v>
      </c>
      <c r="N296" s="24" t="n">
        <f aca="false">'DCF Base Case'!$B$2*(1+B296)^5*$I296-'DCF Base Case'!$B$2*(1+B296)^4*B296*'DCF Base Case'!$B$4</f>
        <v>20.3652879656387</v>
      </c>
      <c r="O296" s="24" t="n">
        <f aca="false">J296/(1+H296)^1+K296/(1+H296)^2+L296/(1+H296)^3+M296/(1+H296)^4+N296/(1+H296)^5</f>
        <v>72.6732897917885</v>
      </c>
      <c r="P296" s="24" t="n">
        <f aca="false">N296*(1+F296)/(H296-F296)</f>
        <v>369.25180734646</v>
      </c>
      <c r="Q296" s="24" t="n">
        <f aca="false">O296+P296/(1+H296)^5</f>
        <v>333.965514002343</v>
      </c>
      <c r="R296" s="24" t="n">
        <f aca="false">Q296-'DCF Base Case'!$B$5</f>
        <v>148.965514002343</v>
      </c>
      <c r="S296" s="32" t="n">
        <f aca="false">R296/'DCF Base Case'!$B$6</f>
        <v>5.95862056009373</v>
      </c>
    </row>
    <row r="297" customFormat="false" ht="15" hidden="false" customHeight="true" outlineLevel="0" collapsed="false">
      <c r="A297" s="6" t="n">
        <v>296</v>
      </c>
      <c r="B297" s="30" t="n">
        <v>0.0803643558101984</v>
      </c>
      <c r="C297" s="30" t="n">
        <v>0.412759995351207</v>
      </c>
      <c r="D297" s="30" t="n">
        <v>0.0707512469708736</v>
      </c>
      <c r="E297" s="30" t="n">
        <v>0.329130035111898</v>
      </c>
      <c r="F297" s="30" t="n">
        <v>0.0233461393661584</v>
      </c>
      <c r="G297" s="30" t="n">
        <v>0.172045936381291</v>
      </c>
      <c r="H297" s="31" t="n">
        <f aca="false">MAX(D297,F297+0.015)</f>
        <v>0.0707512469708736</v>
      </c>
      <c r="I297" s="25" t="n">
        <f aca="false">(C297-'DCF Base Case'!$B$3)*(1-E297)+'DCF Base Case'!$B$3-G297</f>
        <v>0.147649251771733</v>
      </c>
      <c r="J297" s="24" t="n">
        <f aca="false">'DCF Base Case'!$B$2*(1+B297)^1*$I297-'DCF Base Case'!$B$2*(1+B297)^0*B297*'DCF Base Case'!$B$4</f>
        <v>22.7800884247784</v>
      </c>
      <c r="K297" s="24" t="n">
        <f aca="false">'DCF Base Case'!$B$2*(1+B297)^2*$I297-'DCF Base Case'!$B$2*(1+B297)^1*B297*'DCF Base Case'!$B$4</f>
        <v>24.6107955563351</v>
      </c>
      <c r="L297" s="24" t="n">
        <f aca="false">'DCF Base Case'!$B$2*(1+B297)^3*$I297-'DCF Base Case'!$B$2*(1+B297)^2*B297*'DCF Base Case'!$B$4</f>
        <v>26.5886262871965</v>
      </c>
      <c r="M297" s="24" t="n">
        <f aca="false">'DCF Base Case'!$B$2*(1+B297)^4*$I297-'DCF Base Case'!$B$2*(1+B297)^3*B297*'DCF Base Case'!$B$4</f>
        <v>28.7254041106452</v>
      </c>
      <c r="N297" s="24" t="n">
        <f aca="false">'DCF Base Case'!$B$2*(1+B297)^5*$I297-'DCF Base Case'!$B$2*(1+B297)^4*B297*'DCF Base Case'!$B$4</f>
        <v>31.0339027073848</v>
      </c>
      <c r="O297" s="24" t="n">
        <f aca="false">J297/(1+H297)^1+K297/(1+H297)^2+L297/(1+H297)^3+M297/(1+H297)^4+N297/(1+H297)^5</f>
        <v>108.301589538727</v>
      </c>
      <c r="P297" s="24" t="n">
        <f aca="false">N297*(1+F297)/(H297-F297)</f>
        <v>669.936766938344</v>
      </c>
      <c r="Q297" s="24" t="n">
        <f aca="false">O297+P297/(1+H297)^5</f>
        <v>584.283961465623</v>
      </c>
      <c r="R297" s="24" t="n">
        <f aca="false">Q297-'DCF Base Case'!$B$5</f>
        <v>399.283961465623</v>
      </c>
      <c r="S297" s="32" t="n">
        <f aca="false">R297/'DCF Base Case'!$B$6</f>
        <v>15.9713584586249</v>
      </c>
    </row>
    <row r="298" customFormat="false" ht="15" hidden="false" customHeight="true" outlineLevel="0" collapsed="false">
      <c r="A298" s="6" t="n">
        <v>297</v>
      </c>
      <c r="B298" s="30" t="n">
        <v>0.0610976203427157</v>
      </c>
      <c r="C298" s="30" t="n">
        <v>0.408499118662857</v>
      </c>
      <c r="D298" s="30" t="n">
        <v>0.0726642584938102</v>
      </c>
      <c r="E298" s="30" t="n">
        <v>0.323334718915619</v>
      </c>
      <c r="F298" s="30" t="n">
        <v>0.0222599898500813</v>
      </c>
      <c r="G298" s="30" t="n">
        <v>0.167351179233976</v>
      </c>
      <c r="H298" s="31" t="n">
        <f aca="false">MAX(D298,F298+0.015)</f>
        <v>0.0726642584938102</v>
      </c>
      <c r="I298" s="25" t="n">
        <f aca="false">(C298-'DCF Base Case'!$B$3)*(1-E298)+'DCF Base Case'!$B$3-G298</f>
        <v>0.151099505177779</v>
      </c>
      <c r="J298" s="24" t="n">
        <f aca="false">'DCF Base Case'!$B$2*(1+B298)^1*$I298-'DCF Base Case'!$B$2*(1+B298)^0*B298*'DCF Base Case'!$B$4</f>
        <v>22.9822675314791</v>
      </c>
      <c r="K298" s="24" t="n">
        <f aca="false">'DCF Base Case'!$B$2*(1+B298)^2*$I298-'DCF Base Case'!$B$2*(1+B298)^1*B298*'DCF Base Case'!$B$4</f>
        <v>24.3864293877321</v>
      </c>
      <c r="L298" s="24" t="n">
        <f aca="false">'DCF Base Case'!$B$2*(1+B298)^3*$I298-'DCF Base Case'!$B$2*(1+B298)^2*B298*'DCF Base Case'!$B$4</f>
        <v>25.8763821919782</v>
      </c>
      <c r="M298" s="24" t="n">
        <f aca="false">'DCF Base Case'!$B$2*(1+B298)^4*$I298-'DCF Base Case'!$B$2*(1+B298)^3*B298*'DCF Base Case'!$B$4</f>
        <v>27.4573675669867</v>
      </c>
      <c r="N298" s="24" t="n">
        <f aca="false">'DCF Base Case'!$B$2*(1+B298)^5*$I298-'DCF Base Case'!$B$2*(1+B298)^4*B298*'DCF Base Case'!$B$4</f>
        <v>29.1349473862048</v>
      </c>
      <c r="O298" s="24" t="n">
        <f aca="false">J298/(1+H298)^1+K298/(1+H298)^2+L298/(1+H298)^3+M298/(1+H298)^4+N298/(1+H298)^5</f>
        <v>104.841488319613</v>
      </c>
      <c r="P298" s="24" t="n">
        <f aca="false">N298*(1+F298)/(H298-F298)</f>
        <v>590.892236326694</v>
      </c>
      <c r="Q298" s="24" t="n">
        <f aca="false">O298+P298/(1+H298)^5</f>
        <v>520.933361641877</v>
      </c>
      <c r="R298" s="24" t="n">
        <f aca="false">Q298-'DCF Base Case'!$B$5</f>
        <v>335.933361641877</v>
      </c>
      <c r="S298" s="32" t="n">
        <f aca="false">R298/'DCF Base Case'!$B$6</f>
        <v>13.4373344656751</v>
      </c>
    </row>
    <row r="299" customFormat="false" ht="15" hidden="false" customHeight="true" outlineLevel="0" collapsed="false">
      <c r="A299" s="6" t="n">
        <v>298</v>
      </c>
      <c r="B299" s="30" t="n">
        <v>0.0460900058860017</v>
      </c>
      <c r="C299" s="30" t="n">
        <v>0.375106826157367</v>
      </c>
      <c r="D299" s="30" t="n">
        <v>0.0925653724475986</v>
      </c>
      <c r="E299" s="30" t="n">
        <v>0.316614183500385</v>
      </c>
      <c r="F299" s="30" t="n">
        <v>0.0233112891320752</v>
      </c>
      <c r="G299" s="30" t="n">
        <v>0.134925266033051</v>
      </c>
      <c r="H299" s="31" t="n">
        <f aca="false">MAX(D299,F299+0.015)</f>
        <v>0.0925653724475986</v>
      </c>
      <c r="I299" s="25" t="n">
        <f aca="false">(C299-'DCF Base Case'!$B$3)*(1-E299)+'DCF Base Case'!$B$3-G299</f>
        <v>0.16257726249013</v>
      </c>
      <c r="J299" s="24" t="n">
        <f aca="false">'DCF Base Case'!$B$2*(1+B299)^1*$I299-'DCF Base Case'!$B$2*(1+B299)^0*B299*'DCF Base Case'!$B$4</f>
        <v>24.4597236483043</v>
      </c>
      <c r="K299" s="24" t="n">
        <f aca="false">'DCF Base Case'!$B$2*(1+B299)^2*$I299-'DCF Base Case'!$B$2*(1+B299)^1*B299*'DCF Base Case'!$B$4</f>
        <v>25.5870724552247</v>
      </c>
      <c r="L299" s="24" t="n">
        <f aca="false">'DCF Base Case'!$B$2*(1+B299)^3*$I299-'DCF Base Case'!$B$2*(1+B299)^2*B299*'DCF Base Case'!$B$4</f>
        <v>26.7663807752915</v>
      </c>
      <c r="M299" s="24" t="n">
        <f aca="false">'DCF Base Case'!$B$2*(1+B299)^4*$I299-'DCF Base Case'!$B$2*(1+B299)^3*B299*'DCF Base Case'!$B$4</f>
        <v>28.0000434227717</v>
      </c>
      <c r="N299" s="24" t="n">
        <f aca="false">'DCF Base Case'!$B$2*(1+B299)^5*$I299-'DCF Base Case'!$B$2*(1+B299)^4*B299*'DCF Base Case'!$B$4</f>
        <v>29.2905655889355</v>
      </c>
      <c r="O299" s="24" t="n">
        <f aca="false">J299/(1+H299)^1+K299/(1+H299)^2+L299/(1+H299)^3+M299/(1+H299)^4+N299/(1+H299)^5</f>
        <v>102.810542384154</v>
      </c>
      <c r="P299" s="24" t="n">
        <f aca="false">N299*(1+F299)/(H299-F299)</f>
        <v>432.802875978616</v>
      </c>
      <c r="Q299" s="24" t="n">
        <f aca="false">O299+P299/(1+H299)^5</f>
        <v>380.815780087358</v>
      </c>
      <c r="R299" s="24" t="n">
        <f aca="false">Q299-'DCF Base Case'!$B$5</f>
        <v>195.815780087358</v>
      </c>
      <c r="S299" s="32" t="n">
        <f aca="false">R299/'DCF Base Case'!$B$6</f>
        <v>7.83263120349433</v>
      </c>
    </row>
    <row r="300" customFormat="false" ht="15" hidden="false" customHeight="true" outlineLevel="0" collapsed="false">
      <c r="A300" s="6" t="n">
        <v>299</v>
      </c>
      <c r="B300" s="30" t="n">
        <v>0.0963252541521375</v>
      </c>
      <c r="C300" s="30" t="n">
        <v>0.435892299838119</v>
      </c>
      <c r="D300" s="30" t="n">
        <v>0.0667583087785953</v>
      </c>
      <c r="E300" s="30" t="n">
        <v>0.279422250076623</v>
      </c>
      <c r="F300" s="30" t="n">
        <v>0.0203261933641833</v>
      </c>
      <c r="G300" s="30" t="n">
        <v>0.159079253213734</v>
      </c>
      <c r="H300" s="31" t="n">
        <f aca="false">MAX(D300,F300+0.015)</f>
        <v>0.0667583087785953</v>
      </c>
      <c r="I300" s="25" t="n">
        <f aca="false">(C300-'DCF Base Case'!$B$3)*(1-E300)+'DCF Base Case'!$B$3-G300</f>
        <v>0.191339931922505</v>
      </c>
      <c r="J300" s="24" t="n">
        <f aca="false">'DCF Base Case'!$B$2*(1+B300)^1*$I300-'DCF Base Case'!$B$2*(1+B300)^0*B300*'DCF Base Case'!$B$4</f>
        <v>29.9977510711251</v>
      </c>
      <c r="K300" s="24" t="n">
        <f aca="false">'DCF Base Case'!$B$2*(1+B300)^2*$I300-'DCF Base Case'!$B$2*(1+B300)^1*B300*'DCF Base Case'!$B$4</f>
        <v>32.8872920670438</v>
      </c>
      <c r="L300" s="24" t="n">
        <f aca="false">'DCF Base Case'!$B$2*(1+B300)^3*$I300-'DCF Base Case'!$B$2*(1+B300)^2*B300*'DCF Base Case'!$B$4</f>
        <v>36.0551688337774</v>
      </c>
      <c r="M300" s="24" t="n">
        <f aca="false">'DCF Base Case'!$B$2*(1+B300)^4*$I300-'DCF Base Case'!$B$2*(1+B300)^3*B300*'DCF Base Case'!$B$4</f>
        <v>39.5281921351893</v>
      </c>
      <c r="N300" s="24" t="n">
        <f aca="false">'DCF Base Case'!$B$2*(1+B300)^5*$I300-'DCF Base Case'!$B$2*(1+B300)^4*B300*'DCF Base Case'!$B$4</f>
        <v>43.3357552887859</v>
      </c>
      <c r="O300" s="24" t="n">
        <f aca="false">J300/(1+H300)^1+K300/(1+H300)^2+L300/(1+H300)^3+M300/(1+H300)^4+N300/(1+H300)^5</f>
        <v>148.615461654892</v>
      </c>
      <c r="P300" s="24" t="n">
        <f aca="false">N300*(1+F300)/(H300-F300)</f>
        <v>952.284982834195</v>
      </c>
      <c r="Q300" s="24" t="n">
        <f aca="false">O300+P300/(1+H300)^5</f>
        <v>837.960675830315</v>
      </c>
      <c r="R300" s="24" t="n">
        <f aca="false">Q300-'DCF Base Case'!$B$5</f>
        <v>652.960675830315</v>
      </c>
      <c r="S300" s="32" t="n">
        <f aca="false">R300/'DCF Base Case'!$B$6</f>
        <v>26.1184270332126</v>
      </c>
    </row>
    <row r="301" customFormat="false" ht="15" hidden="false" customHeight="true" outlineLevel="0" collapsed="false">
      <c r="A301" s="6" t="n">
        <v>300</v>
      </c>
      <c r="B301" s="30" t="n">
        <v>0.0526493660329943</v>
      </c>
      <c r="C301" s="30" t="n">
        <v>0.391956718077325</v>
      </c>
      <c r="D301" s="30" t="n">
        <v>0.0813996402671948</v>
      </c>
      <c r="E301" s="30" t="n">
        <v>0.275617971628038</v>
      </c>
      <c r="F301" s="30" t="n">
        <v>0.017081487650107</v>
      </c>
      <c r="G301" s="30" t="n">
        <v>0.156270013624348</v>
      </c>
      <c r="H301" s="31" t="n">
        <f aca="false">MAX(D301,F301+0.015)</f>
        <v>0.0813996402671948</v>
      </c>
      <c r="I301" s="25" t="n">
        <f aca="false">(C301-'DCF Base Case'!$B$3)*(1-E301)+'DCF Base Case'!$B$3-G301</f>
        <v>0.163486725162167</v>
      </c>
      <c r="J301" s="24" t="n">
        <f aca="false">'DCF Base Case'!$B$2*(1+B301)^1*$I301-'DCF Base Case'!$B$2*(1+B301)^0*B301*'DCF Base Case'!$B$4</f>
        <v>24.7246339092875</v>
      </c>
      <c r="K301" s="24" t="n">
        <f aca="false">'DCF Base Case'!$B$2*(1+B301)^2*$I301-'DCF Base Case'!$B$2*(1+B301)^1*B301*'DCF Base Case'!$B$4</f>
        <v>26.0263702100093</v>
      </c>
      <c r="L301" s="24" t="n">
        <f aca="false">'DCF Base Case'!$B$2*(1+B301)^3*$I301-'DCF Base Case'!$B$2*(1+B301)^2*B301*'DCF Base Case'!$B$4</f>
        <v>27.3966421017063</v>
      </c>
      <c r="M301" s="24" t="n">
        <f aca="false">'DCF Base Case'!$B$2*(1+B301)^4*$I301-'DCF Base Case'!$B$2*(1+B301)^3*B301*'DCF Base Case'!$B$4</f>
        <v>28.839057939794</v>
      </c>
      <c r="N301" s="24" t="n">
        <f aca="false">'DCF Base Case'!$B$2*(1+B301)^5*$I301-'DCF Base Case'!$B$2*(1+B301)^4*B301*'DCF Base Case'!$B$4</f>
        <v>30.3574160573129</v>
      </c>
      <c r="O301" s="24" t="n">
        <f aca="false">J301/(1+H301)^1+K301/(1+H301)^2+L301/(1+H301)^3+M301/(1+H301)^4+N301/(1+H301)^5</f>
        <v>108.398672501858</v>
      </c>
      <c r="P301" s="24" t="n">
        <f aca="false">N301*(1+F301)/(H301-F301)</f>
        <v>480.050570926723</v>
      </c>
      <c r="Q301" s="24" t="n">
        <f aca="false">O301+P301/(1+H301)^5</f>
        <v>433.004181924109</v>
      </c>
      <c r="R301" s="24" t="n">
        <f aca="false">Q301-'DCF Base Case'!$B$5</f>
        <v>248.004181924109</v>
      </c>
      <c r="S301" s="32" t="n">
        <f aca="false">R301/'DCF Base Case'!$B$6</f>
        <v>9.92016727696434</v>
      </c>
    </row>
    <row r="302" customFormat="false" ht="15" hidden="false" customHeight="true" outlineLevel="0" collapsed="false">
      <c r="A302" s="6" t="n">
        <v>301</v>
      </c>
      <c r="B302" s="30" t="n">
        <v>0.0892018112735669</v>
      </c>
      <c r="C302" s="30" t="n">
        <v>0.422885710310843</v>
      </c>
      <c r="D302" s="30" t="n">
        <v>0.0816513056085767</v>
      </c>
      <c r="E302" s="30" t="n">
        <v>0.269230044705812</v>
      </c>
      <c r="F302" s="30" t="n">
        <v>0.0196921893242624</v>
      </c>
      <c r="G302" s="30" t="n">
        <v>0.13046348963129</v>
      </c>
      <c r="H302" s="31" t="n">
        <f aca="false">MAX(D302,F302+0.015)</f>
        <v>0.0816513056085767</v>
      </c>
      <c r="I302" s="25" t="n">
        <f aca="false">(C302-'DCF Base Case'!$B$3)*(1-E302)+'DCF Base Case'!$B$3-G302</f>
        <v>0.213568587798871</v>
      </c>
      <c r="J302" s="24" t="n">
        <f aca="false">'DCF Base Case'!$B$2*(1+B302)^1*$I302-'DCF Base Case'!$B$2*(1+B302)^0*B302*'DCF Base Case'!$B$4</f>
        <v>33.3417695569019</v>
      </c>
      <c r="K302" s="24" t="n">
        <f aca="false">'DCF Base Case'!$B$2*(1+B302)^2*$I302-'DCF Base Case'!$B$2*(1+B302)^1*B302*'DCF Base Case'!$B$4</f>
        <v>36.3159157924434</v>
      </c>
      <c r="L302" s="24" t="n">
        <f aca="false">'DCF Base Case'!$B$2*(1+B302)^3*$I302-'DCF Base Case'!$B$2*(1+B302)^2*B302*'DCF Base Case'!$B$4</f>
        <v>39.5553612591877</v>
      </c>
      <c r="M302" s="24" t="n">
        <f aca="false">'DCF Base Case'!$B$2*(1+B302)^4*$I302-'DCF Base Case'!$B$2*(1+B302)^3*B302*'DCF Base Case'!$B$4</f>
        <v>43.0837711290875</v>
      </c>
      <c r="N302" s="24" t="n">
        <f aca="false">'DCF Base Case'!$B$2*(1+B302)^5*$I302-'DCF Base Case'!$B$2*(1+B302)^4*B302*'DCF Base Case'!$B$4</f>
        <v>46.9269215502979</v>
      </c>
      <c r="O302" s="24" t="n">
        <f aca="false">J302/(1+H302)^1+K302/(1+H302)^2+L302/(1+H302)^3+M302/(1+H302)^4+N302/(1+H302)^5</f>
        <v>156.291204560363</v>
      </c>
      <c r="P302" s="24" t="n">
        <f aca="false">N302*(1+F302)/(H302-F302)</f>
        <v>772.299836464667</v>
      </c>
      <c r="Q302" s="24" t="n">
        <f aca="false">O302+P302/(1+H302)^5</f>
        <v>677.905576250862</v>
      </c>
      <c r="R302" s="24" t="n">
        <f aca="false">Q302-'DCF Base Case'!$B$5</f>
        <v>492.905576250862</v>
      </c>
      <c r="S302" s="32" t="n">
        <f aca="false">R302/'DCF Base Case'!$B$6</f>
        <v>19.7162230500345</v>
      </c>
    </row>
    <row r="303" customFormat="false" ht="15" hidden="false" customHeight="true" outlineLevel="0" collapsed="false">
      <c r="A303" s="6" t="n">
        <v>302</v>
      </c>
      <c r="B303" s="30" t="n">
        <v>0.100208760127911</v>
      </c>
      <c r="C303" s="30" t="n">
        <v>0.418279976523299</v>
      </c>
      <c r="D303" s="30" t="n">
        <v>0.0854366287925732</v>
      </c>
      <c r="E303" s="30" t="n">
        <v>0.309176053673685</v>
      </c>
      <c r="F303" s="30" t="n">
        <v>0.0121091769826716</v>
      </c>
      <c r="G303" s="30" t="n">
        <v>0.129838763765901</v>
      </c>
      <c r="H303" s="31" t="n">
        <f aca="false">MAX(D303,F303+0.015)</f>
        <v>0.0854366287925732</v>
      </c>
      <c r="I303" s="25" t="n">
        <f aca="false">(C303-'DCF Base Case'!$B$3)*(1-E303)+'DCF Base Case'!$B$3-G303</f>
        <v>0.199311947262782</v>
      </c>
      <c r="J303" s="24" t="n">
        <f aca="false">'DCF Base Case'!$B$2*(1+B303)^1*$I303-'DCF Base Case'!$B$2*(1+B303)^0*B303*'DCF Base Case'!$B$4</f>
        <v>31.36038069806</v>
      </c>
      <c r="K303" s="24" t="n">
        <f aca="false">'DCF Base Case'!$B$2*(1+B303)^2*$I303-'DCF Base Case'!$B$2*(1+B303)^1*B303*'DCF Base Case'!$B$4</f>
        <v>34.5029655649518</v>
      </c>
      <c r="L303" s="24" t="n">
        <f aca="false">'DCF Base Case'!$B$2*(1+B303)^3*$I303-'DCF Base Case'!$B$2*(1+B303)^2*B303*'DCF Base Case'!$B$4</f>
        <v>37.9604649649517</v>
      </c>
      <c r="M303" s="24" t="n">
        <f aca="false">'DCF Base Case'!$B$2*(1+B303)^4*$I303-'DCF Base Case'!$B$2*(1+B303)^3*B303*'DCF Base Case'!$B$4</f>
        <v>41.7644360929685</v>
      </c>
      <c r="N303" s="24" t="n">
        <f aca="false">'DCF Base Case'!$B$2*(1+B303)^5*$I303-'DCF Base Case'!$B$2*(1+B303)^4*B303*'DCF Base Case'!$B$4</f>
        <v>45.9495984512862</v>
      </c>
      <c r="O303" s="24" t="n">
        <f aca="false">J303/(1+H303)^1+K303/(1+H303)^2+L303/(1+H303)^3+M303/(1+H303)^4+N303/(1+H303)^5</f>
        <v>148.445645387701</v>
      </c>
      <c r="P303" s="24" t="n">
        <f aca="false">N303*(1+F303)/(H303-F303)</f>
        <v>634.223733722269</v>
      </c>
      <c r="Q303" s="24" t="n">
        <f aca="false">O303+P303/(1+H303)^5</f>
        <v>569.38557564593</v>
      </c>
      <c r="R303" s="24" t="n">
        <f aca="false">Q303-'DCF Base Case'!$B$5</f>
        <v>384.38557564593</v>
      </c>
      <c r="S303" s="32" t="n">
        <f aca="false">R303/'DCF Base Case'!$B$6</f>
        <v>15.3754230258372</v>
      </c>
    </row>
    <row r="304" customFormat="false" ht="15" hidden="false" customHeight="true" outlineLevel="0" collapsed="false">
      <c r="A304" s="6" t="n">
        <v>303</v>
      </c>
      <c r="B304" s="30" t="n">
        <v>0.0957214677193854</v>
      </c>
      <c r="C304" s="30" t="n">
        <v>0.41668462565622</v>
      </c>
      <c r="D304" s="30" t="n">
        <v>0.0868719463751113</v>
      </c>
      <c r="E304" s="30" t="n">
        <v>0.268071686613859</v>
      </c>
      <c r="F304" s="30" t="n">
        <v>0.021734872214592</v>
      </c>
      <c r="G304" s="30" t="n">
        <v>0.187549739400449</v>
      </c>
      <c r="H304" s="31" t="n">
        <f aca="false">MAX(D304,F304+0.015)</f>
        <v>0.0868719463751113</v>
      </c>
      <c r="I304" s="25" t="n">
        <f aca="false">(C304-'DCF Base Case'!$B$3)*(1-E304)+'DCF Base Case'!$B$3-G304</f>
        <v>0.152282855129845</v>
      </c>
      <c r="J304" s="24" t="n">
        <f aca="false">'DCF Base Case'!$B$2*(1+B304)^1*$I304-'DCF Base Case'!$B$2*(1+B304)^0*B304*'DCF Base Case'!$B$4</f>
        <v>23.7782526774697</v>
      </c>
      <c r="K304" s="24" t="n">
        <f aca="false">'DCF Base Case'!$B$2*(1+B304)^2*$I304-'DCF Base Case'!$B$2*(1+B304)^1*B304*'DCF Base Case'!$B$4</f>
        <v>26.0543419235595</v>
      </c>
      <c r="L304" s="24" t="n">
        <f aca="false">'DCF Base Case'!$B$2*(1+B304)^3*$I304-'DCF Base Case'!$B$2*(1+B304)^2*B304*'DCF Base Case'!$B$4</f>
        <v>28.5483017729453</v>
      </c>
      <c r="M304" s="24" t="n">
        <f aca="false">'DCF Base Case'!$B$2*(1+B304)^4*$I304-'DCF Base Case'!$B$2*(1+B304)^3*B304*'DCF Base Case'!$B$4</f>
        <v>31.2809871195476</v>
      </c>
      <c r="N304" s="24" t="n">
        <f aca="false">'DCF Base Case'!$B$2*(1+B304)^5*$I304-'DCF Base Case'!$B$2*(1+B304)^4*B304*'DCF Base Case'!$B$4</f>
        <v>34.2752491183419</v>
      </c>
      <c r="O304" s="24" t="n">
        <f aca="false">J304/(1+H304)^1+K304/(1+H304)^2+L304/(1+H304)^3+M304/(1+H304)^4+N304/(1+H304)^5</f>
        <v>111.184360958152</v>
      </c>
      <c r="P304" s="24" t="n">
        <f aca="false">N304*(1+F304)/(H304-F304)</f>
        <v>537.63878297252</v>
      </c>
      <c r="Q304" s="24" t="n">
        <f aca="false">O304+P304/(1+H304)^5</f>
        <v>465.670038985334</v>
      </c>
      <c r="R304" s="24" t="n">
        <f aca="false">Q304-'DCF Base Case'!$B$5</f>
        <v>280.670038985334</v>
      </c>
      <c r="S304" s="32" t="n">
        <f aca="false">R304/'DCF Base Case'!$B$6</f>
        <v>11.2268015594134</v>
      </c>
    </row>
    <row r="305" customFormat="false" ht="15" hidden="false" customHeight="true" outlineLevel="0" collapsed="false">
      <c r="A305" s="6" t="n">
        <v>304</v>
      </c>
      <c r="B305" s="30" t="n">
        <v>0.100364206987967</v>
      </c>
      <c r="C305" s="30" t="n">
        <v>0.413111148450068</v>
      </c>
      <c r="D305" s="30" t="n">
        <v>0.0618154167362416</v>
      </c>
      <c r="E305" s="30" t="n">
        <v>0.303238072736174</v>
      </c>
      <c r="F305" s="30" t="n">
        <v>0.023684728346423</v>
      </c>
      <c r="G305" s="30" t="n">
        <v>0.18053304954001</v>
      </c>
      <c r="H305" s="31" t="n">
        <f aca="false">MAX(D305,F305+0.015)</f>
        <v>0.0618154167362416</v>
      </c>
      <c r="I305" s="25" t="n">
        <f aca="false">(C305-'DCF Base Case'!$B$3)*(1-E305)+'DCF Base Case'!$B$3-G305</f>
        <v>0.146728019883935</v>
      </c>
      <c r="J305" s="24" t="n">
        <f aca="false">'DCF Base Case'!$B$2*(1+B305)^1*$I305-'DCF Base Case'!$B$2*(1+B305)^0*B305*'DCF Base Case'!$B$4</f>
        <v>22.9742835797649</v>
      </c>
      <c r="K305" s="24" t="n">
        <f aca="false">'DCF Base Case'!$B$2*(1+B305)^2*$I305-'DCF Base Case'!$B$2*(1+B305)^1*B305*'DCF Base Case'!$B$4</f>
        <v>25.2800793323647</v>
      </c>
      <c r="L305" s="24" t="n">
        <f aca="false">'DCF Base Case'!$B$2*(1+B305)^3*$I305-'DCF Base Case'!$B$2*(1+B305)^2*B305*'DCF Base Case'!$B$4</f>
        <v>27.8172944471503</v>
      </c>
      <c r="M305" s="24" t="n">
        <f aca="false">'DCF Base Case'!$B$2*(1+B305)^4*$I305-'DCF Base Case'!$B$2*(1+B305)^3*B305*'DCF Base Case'!$B$4</f>
        <v>30.6091551448894</v>
      </c>
      <c r="N305" s="24" t="n">
        <f aca="false">'DCF Base Case'!$B$2*(1+B305)^5*$I305-'DCF Base Case'!$B$2*(1+B305)^4*B305*'DCF Base Case'!$B$4</f>
        <v>33.6812187275778</v>
      </c>
      <c r="O305" s="24" t="n">
        <f aca="false">J305/(1+H305)^1+K305/(1+H305)^2+L305/(1+H305)^3+M305/(1+H305)^4+N305/(1+H305)^5</f>
        <v>116.329526093111</v>
      </c>
      <c r="P305" s="24" t="n">
        <f aca="false">N305*(1+F305)/(H305-F305)</f>
        <v>904.230967220705</v>
      </c>
      <c r="Q305" s="24" t="n">
        <f aca="false">O305+P305/(1+H305)^5</f>
        <v>786.266956107761</v>
      </c>
      <c r="R305" s="24" t="n">
        <f aca="false">Q305-'DCF Base Case'!$B$5</f>
        <v>601.266956107761</v>
      </c>
      <c r="S305" s="32" t="n">
        <f aca="false">R305/'DCF Base Case'!$B$6</f>
        <v>24.0506782443104</v>
      </c>
    </row>
    <row r="306" customFormat="false" ht="15" hidden="false" customHeight="true" outlineLevel="0" collapsed="false">
      <c r="A306" s="6" t="n">
        <v>305</v>
      </c>
      <c r="B306" s="30" t="n">
        <v>0.0707836420488096</v>
      </c>
      <c r="C306" s="30" t="n">
        <v>0.421361504796183</v>
      </c>
      <c r="D306" s="30" t="n">
        <v>0.0944658267875759</v>
      </c>
      <c r="E306" s="30" t="n">
        <v>0.32572558149883</v>
      </c>
      <c r="F306" s="30" t="n">
        <v>0.0157736383101071</v>
      </c>
      <c r="G306" s="30" t="n">
        <v>0.160523480549583</v>
      </c>
      <c r="H306" s="31" t="n">
        <f aca="false">MAX(D306,F306+0.015)</f>
        <v>0.0944658267875759</v>
      </c>
      <c r="I306" s="25" t="n">
        <f aca="false">(C306-'DCF Base Case'!$B$3)*(1-E306)+'DCF Base Case'!$B$3-G306</f>
        <v>0.165934128670489</v>
      </c>
      <c r="J306" s="24" t="n">
        <f aca="false">'DCF Base Case'!$B$2*(1+B306)^1*$I306-'DCF Base Case'!$B$2*(1+B306)^0*B306*'DCF Base Case'!$B$4</f>
        <v>25.4556259995951</v>
      </c>
      <c r="K306" s="24" t="n">
        <f aca="false">'DCF Base Case'!$B$2*(1+B306)^2*$I306-'DCF Base Case'!$B$2*(1+B306)^1*B306*'DCF Base Case'!$B$4</f>
        <v>27.2574679184788</v>
      </c>
      <c r="L306" s="24" t="n">
        <f aca="false">'DCF Base Case'!$B$2*(1+B306)^3*$I306-'DCF Base Case'!$B$2*(1+B306)^2*B306*'DCF Base Case'!$B$4</f>
        <v>29.1868507707773</v>
      </c>
      <c r="M306" s="24" t="n">
        <f aca="false">'DCF Base Case'!$B$2*(1+B306)^4*$I306-'DCF Base Case'!$B$2*(1+B306)^3*B306*'DCF Base Case'!$B$4</f>
        <v>31.2528023682681</v>
      </c>
      <c r="N306" s="24" t="n">
        <f aca="false">'DCF Base Case'!$B$2*(1+B306)^5*$I306-'DCF Base Case'!$B$2*(1+B306)^4*B306*'DCF Base Case'!$B$4</f>
        <v>33.4649895441257</v>
      </c>
      <c r="O306" s="24" t="n">
        <f aca="false">J306/(1+H306)^1+K306/(1+H306)^2+L306/(1+H306)^3+M306/(1+H306)^4+N306/(1+H306)^5</f>
        <v>111.367490102094</v>
      </c>
      <c r="P306" s="24" t="n">
        <f aca="false">N306*(1+F306)/(H306-F306)</f>
        <v>431.972408480915</v>
      </c>
      <c r="Q306" s="24" t="n">
        <f aca="false">O306+P306/(1+H306)^5</f>
        <v>386.438599214381</v>
      </c>
      <c r="R306" s="24" t="n">
        <f aca="false">Q306-'DCF Base Case'!$B$5</f>
        <v>201.438599214381</v>
      </c>
      <c r="S306" s="32" t="n">
        <f aca="false">R306/'DCF Base Case'!$B$6</f>
        <v>8.05754396857522</v>
      </c>
    </row>
    <row r="307" customFormat="false" ht="15" hidden="false" customHeight="true" outlineLevel="0" collapsed="false">
      <c r="A307" s="6" t="n">
        <v>306</v>
      </c>
      <c r="B307" s="30" t="n">
        <v>0.10627688627888</v>
      </c>
      <c r="C307" s="30" t="n">
        <v>0.421205268403323</v>
      </c>
      <c r="D307" s="30" t="n">
        <v>0.072709396377436</v>
      </c>
      <c r="E307" s="30" t="n">
        <v>0.292050082117627</v>
      </c>
      <c r="F307" s="30" t="n">
        <v>0.021422591095874</v>
      </c>
      <c r="G307" s="30" t="n">
        <v>0.167182214182258</v>
      </c>
      <c r="H307" s="31" t="n">
        <f aca="false">MAX(D307,F307+0.015)</f>
        <v>0.072709396377436</v>
      </c>
      <c r="I307" s="25" t="n">
        <f aca="false">(C307-'DCF Base Case'!$B$3)*(1-E307)+'DCF Base Case'!$B$3-G307</f>
        <v>0.168976531670789</v>
      </c>
      <c r="J307" s="24" t="n">
        <f aca="false">'DCF Base Case'!$B$2*(1+B307)^1*$I307-'DCF Base Case'!$B$2*(1+B307)^0*B307*'DCF Base Case'!$B$4</f>
        <v>26.6432460847768</v>
      </c>
      <c r="K307" s="24" t="n">
        <f aca="false">'DCF Base Case'!$B$2*(1+B307)^2*$I307-'DCF Base Case'!$B$2*(1+B307)^1*B307*'DCF Base Case'!$B$4</f>
        <v>29.4748073190288</v>
      </c>
      <c r="L307" s="24" t="n">
        <f aca="false">'DCF Base Case'!$B$2*(1+B307)^3*$I307-'DCF Base Case'!$B$2*(1+B307)^2*B307*'DCF Base Case'!$B$4</f>
        <v>32.6072980645652</v>
      </c>
      <c r="M307" s="24" t="n">
        <f aca="false">'DCF Base Case'!$B$2*(1+B307)^4*$I307-'DCF Base Case'!$B$2*(1+B307)^3*B307*'DCF Base Case'!$B$4</f>
        <v>36.0727001728345</v>
      </c>
      <c r="N307" s="24" t="n">
        <f aca="false">'DCF Base Case'!$B$2*(1+B307)^5*$I307-'DCF Base Case'!$B$2*(1+B307)^4*B307*'DCF Base Case'!$B$4</f>
        <v>39.906394426875</v>
      </c>
      <c r="O307" s="24" t="n">
        <f aca="false">J307/(1+H307)^1+K307/(1+H307)^2+L307/(1+H307)^3+M307/(1+H307)^4+N307/(1+H307)^5</f>
        <v>132.205890391001</v>
      </c>
      <c r="P307" s="24" t="n">
        <f aca="false">N307*(1+F307)/(H307-F307)</f>
        <v>794.771531839722</v>
      </c>
      <c r="Q307" s="24" t="n">
        <f aca="false">O307+P307/(1+H307)^5</f>
        <v>691.74684368899</v>
      </c>
      <c r="R307" s="24" t="n">
        <f aca="false">Q307-'DCF Base Case'!$B$5</f>
        <v>506.74684368899</v>
      </c>
      <c r="S307" s="32" t="n">
        <f aca="false">R307/'DCF Base Case'!$B$6</f>
        <v>20.2698737475596</v>
      </c>
    </row>
    <row r="308" customFormat="false" ht="15" hidden="false" customHeight="true" outlineLevel="0" collapsed="false">
      <c r="A308" s="6" t="n">
        <v>307</v>
      </c>
      <c r="B308" s="30" t="n">
        <v>0.0945523809400628</v>
      </c>
      <c r="C308" s="30" t="n">
        <v>0.41104585975234</v>
      </c>
      <c r="D308" s="30" t="n">
        <v>0.101261068292877</v>
      </c>
      <c r="E308" s="30" t="n">
        <v>0.260113251411223</v>
      </c>
      <c r="F308" s="30" t="n">
        <v>0.0169811514936709</v>
      </c>
      <c r="G308" s="30" t="n">
        <v>0.165468311836335</v>
      </c>
      <c r="H308" s="31" t="n">
        <f aca="false">MAX(D308,F308+0.015)</f>
        <v>0.101261068292877</v>
      </c>
      <c r="I308" s="25" t="n">
        <f aca="false">(C308-'DCF Base Case'!$B$3)*(1-E308)+'DCF Base Case'!$B$3-G308</f>
        <v>0.172473795540161</v>
      </c>
      <c r="J308" s="24" t="n">
        <f aca="false">'DCF Base Case'!$B$2*(1+B308)^1*$I308-'DCF Base Case'!$B$2*(1+B308)^0*B308*'DCF Base Case'!$B$4</f>
        <v>26.9620296588574</v>
      </c>
      <c r="K308" s="24" t="n">
        <f aca="false">'DCF Base Case'!$B$2*(1+B308)^2*$I308-'DCF Base Case'!$B$2*(1+B308)^1*B308*'DCF Base Case'!$B$4</f>
        <v>29.511353758079</v>
      </c>
      <c r="L308" s="24" t="n">
        <f aca="false">'DCF Base Case'!$B$2*(1+B308)^3*$I308-'DCF Base Case'!$B$2*(1+B308)^2*B308*'DCF Base Case'!$B$4</f>
        <v>32.3017225206698</v>
      </c>
      <c r="M308" s="24" t="n">
        <f aca="false">'DCF Base Case'!$B$2*(1+B308)^4*$I308-'DCF Base Case'!$B$2*(1+B308)^3*B308*'DCF Base Case'!$B$4</f>
        <v>35.3559272934644</v>
      </c>
      <c r="N308" s="24" t="n">
        <f aca="false">'DCF Base Case'!$B$2*(1+B308)^5*$I308-'DCF Base Case'!$B$2*(1+B308)^4*B308*'DCF Base Case'!$B$4</f>
        <v>38.6989143994052</v>
      </c>
      <c r="O308" s="24" t="n">
        <f aca="false">J308/(1+H308)^1+K308/(1+H308)^2+L308/(1+H308)^3+M308/(1+H308)^4+N308/(1+H308)^5</f>
        <v>120.931946378762</v>
      </c>
      <c r="P308" s="24" t="n">
        <f aca="false">N308*(1+F308)/(H308-F308)</f>
        <v>466.968502368441</v>
      </c>
      <c r="Q308" s="24" t="n">
        <f aca="false">O308+P308/(1+H308)^5</f>
        <v>409.226312935484</v>
      </c>
      <c r="R308" s="24" t="n">
        <f aca="false">Q308-'DCF Base Case'!$B$5</f>
        <v>224.226312935484</v>
      </c>
      <c r="S308" s="32" t="n">
        <f aca="false">R308/'DCF Base Case'!$B$6</f>
        <v>8.96905251741934</v>
      </c>
    </row>
    <row r="309" customFormat="false" ht="15" hidden="false" customHeight="true" outlineLevel="0" collapsed="false">
      <c r="A309" s="6" t="n">
        <v>308</v>
      </c>
      <c r="B309" s="30" t="n">
        <v>0.10920120932842</v>
      </c>
      <c r="C309" s="30" t="n">
        <v>0.388644555091029</v>
      </c>
      <c r="D309" s="30" t="n">
        <v>0.0705867357525802</v>
      </c>
      <c r="E309" s="30" t="n">
        <v>0.246762750972378</v>
      </c>
      <c r="F309" s="30" t="n">
        <v>0.0194753473413432</v>
      </c>
      <c r="G309" s="30" t="n">
        <v>0.142953710083035</v>
      </c>
      <c r="H309" s="31" t="n">
        <f aca="false">MAX(D309,F309+0.015)</f>
        <v>0.0705867357525802</v>
      </c>
      <c r="I309" s="25" t="n">
        <f aca="false">(C309-'DCF Base Case'!$B$3)*(1-E309)+'DCF Base Case'!$B$3-G309</f>
        <v>0.181867003069705</v>
      </c>
      <c r="J309" s="24" t="n">
        <f aca="false">'DCF Base Case'!$B$2*(1+B309)^1*$I309-'DCF Base Case'!$B$2*(1+B309)^0*B309*'DCF Base Case'!$B$4</f>
        <v>28.7754042019899</v>
      </c>
      <c r="K309" s="24" t="n">
        <f aca="false">'DCF Base Case'!$B$2*(1+B309)^2*$I309-'DCF Base Case'!$B$2*(1+B309)^1*B309*'DCF Base Case'!$B$4</f>
        <v>31.9177131397613</v>
      </c>
      <c r="L309" s="24" t="n">
        <f aca="false">'DCF Base Case'!$B$2*(1+B309)^3*$I309-'DCF Base Case'!$B$2*(1+B309)^2*B309*'DCF Base Case'!$B$4</f>
        <v>35.4031660136209</v>
      </c>
      <c r="M309" s="24" t="n">
        <f aca="false">'DCF Base Case'!$B$2*(1+B309)^4*$I309-'DCF Base Case'!$B$2*(1+B309)^3*B309*'DCF Base Case'!$B$4</f>
        <v>39.2692345563631</v>
      </c>
      <c r="N309" s="24" t="n">
        <f aca="false">'DCF Base Case'!$B$2*(1+B309)^5*$I309-'DCF Base Case'!$B$2*(1+B309)^4*B309*'DCF Base Case'!$B$4</f>
        <v>43.5574824593193</v>
      </c>
      <c r="O309" s="24" t="n">
        <f aca="false">J309/(1+H309)^1+K309/(1+H309)^2+L309/(1+H309)^3+M309/(1+H309)^4+N309/(1+H309)^5</f>
        <v>144.441385933372</v>
      </c>
      <c r="P309" s="24" t="n">
        <f aca="false">N309*(1+F309)/(H309-F309)</f>
        <v>868.804016870852</v>
      </c>
      <c r="Q309" s="24" t="n">
        <f aca="false">O309+P309/(1+H309)^5</f>
        <v>762.191065318714</v>
      </c>
      <c r="R309" s="24" t="n">
        <f aca="false">Q309-'DCF Base Case'!$B$5</f>
        <v>577.191065318714</v>
      </c>
      <c r="S309" s="32" t="n">
        <f aca="false">R309/'DCF Base Case'!$B$6</f>
        <v>23.0876426127486</v>
      </c>
    </row>
    <row r="310" customFormat="false" ht="15" hidden="false" customHeight="true" outlineLevel="0" collapsed="false">
      <c r="A310" s="6" t="n">
        <v>309</v>
      </c>
      <c r="B310" s="30" t="n">
        <v>0.0818500526621489</v>
      </c>
      <c r="C310" s="30" t="n">
        <v>0.424568108005174</v>
      </c>
      <c r="D310" s="30" t="n">
        <v>0.0779430300713887</v>
      </c>
      <c r="E310" s="30" t="n">
        <v>0.286402643342548</v>
      </c>
      <c r="F310" s="30" t="n">
        <v>0.018179834682804</v>
      </c>
      <c r="G310" s="30" t="n">
        <v>0.181211692847776</v>
      </c>
      <c r="H310" s="31" t="n">
        <f aca="false">MAX(D310,F310+0.015)</f>
        <v>0.0779430300713887</v>
      </c>
      <c r="I310" s="25" t="n">
        <f aca="false">(C310-'DCF Base Case'!$B$3)*(1-E310)+'DCF Base Case'!$B$3-G310</f>
        <v>0.158991330380303</v>
      </c>
      <c r="J310" s="24" t="n">
        <f aca="false">'DCF Base Case'!$B$2*(1+B310)^1*$I310-'DCF Base Case'!$B$2*(1+B310)^0*B310*'DCF Base Case'!$B$4</f>
        <v>24.5846452469093</v>
      </c>
      <c r="K310" s="24" t="n">
        <f aca="false">'DCF Base Case'!$B$2*(1+B310)^2*$I310-'DCF Base Case'!$B$2*(1+B310)^1*B310*'DCF Base Case'!$B$4</f>
        <v>26.596899755049</v>
      </c>
      <c r="L310" s="24" t="n">
        <f aca="false">'DCF Base Case'!$B$2*(1+B310)^3*$I310-'DCF Base Case'!$B$2*(1+B310)^2*B310*'DCF Base Case'!$B$4</f>
        <v>28.7738574006497</v>
      </c>
      <c r="M310" s="24" t="n">
        <f aca="false">'DCF Base Case'!$B$2*(1+B310)^4*$I310-'DCF Base Case'!$B$2*(1+B310)^3*B310*'DCF Base Case'!$B$4</f>
        <v>31.128999144186</v>
      </c>
      <c r="N310" s="24" t="n">
        <f aca="false">'DCF Base Case'!$B$2*(1+B310)^5*$I310-'DCF Base Case'!$B$2*(1+B310)^4*B310*'DCF Base Case'!$B$4</f>
        <v>33.6769093634576</v>
      </c>
      <c r="O310" s="24" t="n">
        <f aca="false">J310/(1+H310)^1+K310/(1+H310)^2+L310/(1+H310)^3+M310/(1+H310)^4+N310/(1+H310)^5</f>
        <v>114.864638429498</v>
      </c>
      <c r="P310" s="24" t="n">
        <f aca="false">N310*(1+F310)/(H310-F310)</f>
        <v>573.750278668376</v>
      </c>
      <c r="Q310" s="24" t="n">
        <f aca="false">O310+P310/(1+H310)^5</f>
        <v>509.08936969781</v>
      </c>
      <c r="R310" s="24" t="n">
        <f aca="false">Q310-'DCF Base Case'!$B$5</f>
        <v>324.08936969781</v>
      </c>
      <c r="S310" s="32" t="n">
        <f aca="false">R310/'DCF Base Case'!$B$6</f>
        <v>12.9635747879124</v>
      </c>
    </row>
    <row r="311" customFormat="false" ht="15" hidden="false" customHeight="true" outlineLevel="0" collapsed="false">
      <c r="A311" s="6" t="n">
        <v>310</v>
      </c>
      <c r="B311" s="30" t="n">
        <v>0.100166104440833</v>
      </c>
      <c r="C311" s="30" t="n">
        <v>0.403470526480926</v>
      </c>
      <c r="D311" s="30" t="n">
        <v>0.083144830712595</v>
      </c>
      <c r="E311" s="30" t="n">
        <v>0.311683026978718</v>
      </c>
      <c r="F311" s="30" t="n">
        <v>0.0207511889569901</v>
      </c>
      <c r="G311" s="30" t="n">
        <v>0.138023594601793</v>
      </c>
      <c r="H311" s="31" t="n">
        <f aca="false">MAX(D311,F311+0.015)</f>
        <v>0.083144830712595</v>
      </c>
      <c r="I311" s="25" t="n">
        <f aca="false">(C311-'DCF Base Case'!$B$3)*(1-E311)+'DCF Base Case'!$B$3-G311</f>
        <v>0.180210810396094</v>
      </c>
      <c r="J311" s="24" t="n">
        <f aca="false">'DCF Base Case'!$B$2*(1+B311)^1*$I311-'DCF Base Case'!$B$2*(1+B311)^0*B311*'DCF Base Case'!$B$4</f>
        <v>28.3122421071639</v>
      </c>
      <c r="K311" s="24" t="n">
        <f aca="false">'DCF Base Case'!$B$2*(1+B311)^2*$I311-'DCF Base Case'!$B$2*(1+B311)^1*B311*'DCF Base Case'!$B$4</f>
        <v>31.1481691070242</v>
      </c>
      <c r="L311" s="24" t="n">
        <f aca="false">'DCF Base Case'!$B$2*(1+B311)^3*$I311-'DCF Base Case'!$B$2*(1+B311)^2*B311*'DCF Base Case'!$B$4</f>
        <v>34.2681598669392</v>
      </c>
      <c r="M311" s="24" t="n">
        <f aca="false">'DCF Base Case'!$B$2*(1+B311)^4*$I311-'DCF Base Case'!$B$2*(1+B311)^3*B311*'DCF Base Case'!$B$4</f>
        <v>37.7006679471661</v>
      </c>
      <c r="N311" s="24" t="n">
        <f aca="false">'DCF Base Case'!$B$2*(1+B311)^5*$I311-'DCF Base Case'!$B$2*(1+B311)^4*B311*'DCF Base Case'!$B$4</f>
        <v>41.4769969902512</v>
      </c>
      <c r="O311" s="24" t="n">
        <f aca="false">J311/(1+H311)^1+K311/(1+H311)^2+L311/(1+H311)^3+M311/(1+H311)^4+N311/(1+H311)^5</f>
        <v>134.86733533889</v>
      </c>
      <c r="P311" s="24" t="n">
        <f aca="false">N311*(1+F311)/(H311-F311)</f>
        <v>678.557827382485</v>
      </c>
      <c r="Q311" s="24" t="n">
        <f aca="false">O311+P311/(1+H311)^5</f>
        <v>590.016979590477</v>
      </c>
      <c r="R311" s="24" t="n">
        <f aca="false">Q311-'DCF Base Case'!$B$5</f>
        <v>405.016979590477</v>
      </c>
      <c r="S311" s="32" t="n">
        <f aca="false">R311/'DCF Base Case'!$B$6</f>
        <v>16.2006791836191</v>
      </c>
    </row>
    <row r="312" customFormat="false" ht="15" hidden="false" customHeight="true" outlineLevel="0" collapsed="false">
      <c r="A312" s="6" t="n">
        <v>311</v>
      </c>
      <c r="B312" s="30" t="n">
        <v>0.104220470180289</v>
      </c>
      <c r="C312" s="30" t="n">
        <v>0.395981237459894</v>
      </c>
      <c r="D312" s="30" t="n">
        <v>0.100537643769571</v>
      </c>
      <c r="E312" s="30" t="n">
        <v>0.311094299491131</v>
      </c>
      <c r="F312" s="30" t="n">
        <v>0.0203826837660594</v>
      </c>
      <c r="G312" s="30" t="n">
        <v>0.168763450207043</v>
      </c>
      <c r="H312" s="31" t="n">
        <f aca="false">MAX(D312,F312+0.015)</f>
        <v>0.100537643769571</v>
      </c>
      <c r="I312" s="25" t="n">
        <f aca="false">(C312-'DCF Base Case'!$B$3)*(1-E312)+'DCF Base Case'!$B$3-G312</f>
        <v>0.144472540507481</v>
      </c>
      <c r="J312" s="24" t="n">
        <f aca="false">'DCF Base Case'!$B$2*(1+B312)^1*$I312-'DCF Base Case'!$B$2*(1+B312)^0*B312*'DCF Base Case'!$B$4</f>
        <v>22.6784237627759</v>
      </c>
      <c r="K312" s="24" t="n">
        <f aca="false">'DCF Base Case'!$B$2*(1+B312)^2*$I312-'DCF Base Case'!$B$2*(1+B312)^1*B312*'DCF Base Case'!$B$4</f>
        <v>25.0419797502803</v>
      </c>
      <c r="L312" s="24" t="n">
        <f aca="false">'DCF Base Case'!$B$2*(1+B312)^3*$I312-'DCF Base Case'!$B$2*(1+B312)^2*B312*'DCF Base Case'!$B$4</f>
        <v>27.6518666540998</v>
      </c>
      <c r="M312" s="24" t="n">
        <f aca="false">'DCF Base Case'!$B$2*(1+B312)^4*$I312-'DCF Base Case'!$B$2*(1+B312)^3*B312*'DCF Base Case'!$B$4</f>
        <v>30.5337571981527</v>
      </c>
      <c r="N312" s="24" t="n">
        <f aca="false">'DCF Base Case'!$B$2*(1+B312)^5*$I312-'DCF Base Case'!$B$2*(1+B312)^4*B312*'DCF Base Case'!$B$4</f>
        <v>33.7159997297149</v>
      </c>
      <c r="O312" s="24" t="n">
        <f aca="false">J312/(1+H312)^1+K312/(1+H312)^2+L312/(1+H312)^3+M312/(1+H312)^4+N312/(1+H312)^5</f>
        <v>103.725275965742</v>
      </c>
      <c r="P312" s="24" t="n">
        <f aca="false">N312*(1+F312)/(H312-F312)</f>
        <v>429.208900965767</v>
      </c>
      <c r="Q312" s="24" t="n">
        <f aca="false">O312+P312/(1+H312)^5</f>
        <v>369.579894297696</v>
      </c>
      <c r="R312" s="24" t="n">
        <f aca="false">Q312-'DCF Base Case'!$B$5</f>
        <v>184.579894297696</v>
      </c>
      <c r="S312" s="32" t="n">
        <f aca="false">R312/'DCF Base Case'!$B$6</f>
        <v>7.38319577190783</v>
      </c>
    </row>
    <row r="313" customFormat="false" ht="15" hidden="false" customHeight="true" outlineLevel="0" collapsed="false">
      <c r="A313" s="6" t="n">
        <v>312</v>
      </c>
      <c r="B313" s="30" t="n">
        <v>0.085673380051223</v>
      </c>
      <c r="C313" s="30" t="n">
        <v>0.426123391274696</v>
      </c>
      <c r="D313" s="30" t="n">
        <v>0.0809214401359173</v>
      </c>
      <c r="E313" s="30" t="n">
        <v>0.286532339308829</v>
      </c>
      <c r="F313" s="30" t="n">
        <v>0.022484982594</v>
      </c>
      <c r="G313" s="30" t="n">
        <v>0.153889462472443</v>
      </c>
      <c r="H313" s="31" t="n">
        <f aca="false">MAX(D313,F313+0.015)</f>
        <v>0.0809214401359173</v>
      </c>
      <c r="I313" s="25" t="n">
        <f aca="false">(C313-'DCF Base Case'!$B$3)*(1-E313)+'DCF Base Case'!$B$3-G313</f>
        <v>0.187385000776251</v>
      </c>
      <c r="J313" s="24" t="n">
        <f aca="false">'DCF Base Case'!$B$2*(1+B313)^1*$I313-'DCF Base Case'!$B$2*(1+B313)^0*B313*'DCF Base Case'!$B$4</f>
        <v>29.1259623355069</v>
      </c>
      <c r="K313" s="24" t="n">
        <f aca="false">'DCF Base Case'!$B$2*(1+B313)^2*$I313-'DCF Base Case'!$B$2*(1+B313)^1*B313*'DCF Base Case'!$B$4</f>
        <v>31.6212819760344</v>
      </c>
      <c r="L313" s="24" t="n">
        <f aca="false">'DCF Base Case'!$B$2*(1+B313)^3*$I313-'DCF Base Case'!$B$2*(1+B313)^2*B313*'DCF Base Case'!$B$4</f>
        <v>34.3303840844741</v>
      </c>
      <c r="M313" s="24" t="n">
        <f aca="false">'DCF Base Case'!$B$2*(1+B313)^4*$I313-'DCF Base Case'!$B$2*(1+B313)^3*B313*'DCF Base Case'!$B$4</f>
        <v>37.2715841274477</v>
      </c>
      <c r="N313" s="24" t="n">
        <f aca="false">'DCF Base Case'!$B$2*(1+B313)^5*$I313-'DCF Base Case'!$B$2*(1+B313)^4*B313*'DCF Base Case'!$B$4</f>
        <v>40.4647667195096</v>
      </c>
      <c r="O313" s="24" t="n">
        <f aca="false">J313/(1+H313)^1+K313/(1+H313)^2+L313/(1+H313)^3+M313/(1+H313)^4+N313/(1+H313)^5</f>
        <v>135.917265892251</v>
      </c>
      <c r="P313" s="24" t="n">
        <f aca="false">N313*(1+F313)/(H313-F313)</f>
        <v>708.027454696231</v>
      </c>
      <c r="Q313" s="24" t="n">
        <f aca="false">O313+P313/(1+H313)^5</f>
        <v>615.738476830989</v>
      </c>
      <c r="R313" s="24" t="n">
        <f aca="false">Q313-'DCF Base Case'!$B$5</f>
        <v>430.738476830989</v>
      </c>
      <c r="S313" s="32" t="n">
        <f aca="false">R313/'DCF Base Case'!$B$6</f>
        <v>17.2295390732396</v>
      </c>
    </row>
    <row r="314" customFormat="false" ht="15" hidden="false" customHeight="true" outlineLevel="0" collapsed="false">
      <c r="A314" s="6" t="n">
        <v>313</v>
      </c>
      <c r="B314" s="30" t="n">
        <v>0.0766663101310296</v>
      </c>
      <c r="C314" s="30" t="n">
        <v>0.383369445508958</v>
      </c>
      <c r="D314" s="30" t="n">
        <v>0.0732907997926121</v>
      </c>
      <c r="E314" s="30" t="n">
        <v>0.248616221270777</v>
      </c>
      <c r="F314" s="30" t="n">
        <v>0.0219729665115728</v>
      </c>
      <c r="G314" s="30" t="n">
        <v>0.205460645044954</v>
      </c>
      <c r="H314" s="31" t="n">
        <f aca="false">MAX(D314,F314+0.015)</f>
        <v>0.0732907997926121</v>
      </c>
      <c r="I314" s="25" t="n">
        <f aca="false">(C314-'DCF Base Case'!$B$3)*(1-E314)+'DCF Base Case'!$B$3-G314</f>
        <v>0.114917046336095</v>
      </c>
      <c r="J314" s="24" t="n">
        <f aca="false">'DCF Base Case'!$B$2*(1+B314)^1*$I314-'DCF Base Case'!$B$2*(1+B314)^0*B314*'DCF Base Case'!$B$4</f>
        <v>17.6069618271568</v>
      </c>
      <c r="K314" s="24" t="n">
        <f aca="false">'DCF Base Case'!$B$2*(1+B314)^2*$I314-'DCF Base Case'!$B$2*(1+B314)^1*B314*'DCF Base Case'!$B$4</f>
        <v>18.9568226230628</v>
      </c>
      <c r="L314" s="24" t="n">
        <f aca="false">'DCF Base Case'!$B$2*(1+B314)^3*$I314-'DCF Base Case'!$B$2*(1+B314)^2*B314*'DCF Base Case'!$B$4</f>
        <v>20.4101722653815</v>
      </c>
      <c r="M314" s="24" t="n">
        <f aca="false">'DCF Base Case'!$B$2*(1+B314)^4*$I314-'DCF Base Case'!$B$2*(1+B314)^3*B314*'DCF Base Case'!$B$4</f>
        <v>21.9749448621069</v>
      </c>
      <c r="N314" s="24" t="n">
        <f aca="false">'DCF Base Case'!$B$2*(1+B314)^5*$I314-'DCF Base Case'!$B$2*(1+B314)^4*B314*'DCF Base Case'!$B$4</f>
        <v>23.6596828000175</v>
      </c>
      <c r="O314" s="24" t="n">
        <f aca="false">J314/(1+H314)^1+K314/(1+H314)^2+L314/(1+H314)^3+M314/(1+H314)^4+N314/(1+H314)^5</f>
        <v>82.5408119868674</v>
      </c>
      <c r="P314" s="24" t="n">
        <f aca="false">N314*(1+F314)/(H314-F314)</f>
        <v>471.172586056755</v>
      </c>
      <c r="Q314" s="24" t="n">
        <f aca="false">O314+P314/(1+H314)^5</f>
        <v>413.361744216152</v>
      </c>
      <c r="R314" s="24" t="n">
        <f aca="false">Q314-'DCF Base Case'!$B$5</f>
        <v>228.361744216152</v>
      </c>
      <c r="S314" s="32" t="n">
        <f aca="false">R314/'DCF Base Case'!$B$6</f>
        <v>9.13446976864607</v>
      </c>
    </row>
    <row r="315" customFormat="false" ht="15" hidden="false" customHeight="true" outlineLevel="0" collapsed="false">
      <c r="A315" s="6" t="n">
        <v>314</v>
      </c>
      <c r="B315" s="30" t="n">
        <v>0.120374625012632</v>
      </c>
      <c r="C315" s="30" t="n">
        <v>0.390281727460444</v>
      </c>
      <c r="D315" s="30" t="n">
        <v>0.0929734013871182</v>
      </c>
      <c r="E315" s="30" t="n">
        <v>0.322301134871674</v>
      </c>
      <c r="F315" s="30" t="n">
        <v>0.0175288224669729</v>
      </c>
      <c r="G315" s="30" t="n">
        <v>0.16748727907147</v>
      </c>
      <c r="H315" s="31" t="n">
        <f aca="false">MAX(D315,F315+0.015)</f>
        <v>0.0929734013871182</v>
      </c>
      <c r="I315" s="25" t="n">
        <f aca="false">(C315-'DCF Base Case'!$B$3)*(1-E315)+'DCF Base Case'!$B$3-G315</f>
        <v>0.138905352242113</v>
      </c>
      <c r="J315" s="24" t="n">
        <f aca="false">'DCF Base Case'!$B$2*(1+B315)^1*$I315-'DCF Base Case'!$B$2*(1+B315)^0*B315*'DCF Base Case'!$B$4</f>
        <v>22.0421450111183</v>
      </c>
      <c r="K315" s="24" t="n">
        <f aca="false">'DCF Base Case'!$B$2*(1+B315)^2*$I315-'DCF Base Case'!$B$2*(1+B315)^1*B315*'DCF Base Case'!$B$4</f>
        <v>24.6954599513057</v>
      </c>
      <c r="L315" s="24" t="n">
        <f aca="false">'DCF Base Case'!$B$2*(1+B315)^3*$I315-'DCF Base Case'!$B$2*(1+B315)^2*B315*'DCF Base Case'!$B$4</f>
        <v>27.6681666824586</v>
      </c>
      <c r="M315" s="24" t="n">
        <f aca="false">'DCF Base Case'!$B$2*(1+B315)^4*$I315-'DCF Base Case'!$B$2*(1+B315)^3*B315*'DCF Base Case'!$B$4</f>
        <v>30.9987118716466</v>
      </c>
      <c r="N315" s="24" t="n">
        <f aca="false">'DCF Base Case'!$B$2*(1+B315)^5*$I315-'DCF Base Case'!$B$2*(1+B315)^4*B315*'DCF Base Case'!$B$4</f>
        <v>34.7301701890706</v>
      </c>
      <c r="O315" s="24" t="n">
        <f aca="false">J315/(1+H315)^1+K315/(1+H315)^2+L315/(1+H315)^3+M315/(1+H315)^4+N315/(1+H315)^5</f>
        <v>106.020011581199</v>
      </c>
      <c r="P315" s="24" t="n">
        <f aca="false">N315*(1+F315)/(H315-F315)</f>
        <v>468.409389811391</v>
      </c>
      <c r="Q315" s="24" t="n">
        <f aca="false">O315+P315/(1+H315)^5</f>
        <v>406.335428088288</v>
      </c>
      <c r="R315" s="24" t="n">
        <f aca="false">Q315-'DCF Base Case'!$B$5</f>
        <v>221.335428088288</v>
      </c>
      <c r="S315" s="32" t="n">
        <f aca="false">R315/'DCF Base Case'!$B$6</f>
        <v>8.85341712353153</v>
      </c>
    </row>
    <row r="316" customFormat="false" ht="15" hidden="false" customHeight="true" outlineLevel="0" collapsed="false">
      <c r="A316" s="6" t="n">
        <v>315</v>
      </c>
      <c r="B316" s="30" t="n">
        <v>0.0505658243644454</v>
      </c>
      <c r="C316" s="30" t="n">
        <v>0.404179945244585</v>
      </c>
      <c r="D316" s="30" t="n">
        <v>0.0733008429762181</v>
      </c>
      <c r="E316" s="30" t="n">
        <v>0.285449694876579</v>
      </c>
      <c r="F316" s="30" t="n">
        <v>0.0132197266154342</v>
      </c>
      <c r="G316" s="30" t="n">
        <v>0.178027601176813</v>
      </c>
      <c r="H316" s="31" t="n">
        <f aca="false">MAX(D316,F316+0.015)</f>
        <v>0.0733008429762181</v>
      </c>
      <c r="I316" s="25" t="n">
        <f aca="false">(C316-'DCF Base Case'!$B$3)*(1-E316)+'DCF Base Case'!$B$3-G316</f>
        <v>0.147887762356428</v>
      </c>
      <c r="J316" s="24" t="n">
        <f aca="false">'DCF Base Case'!$B$2*(1+B316)^1*$I316-'DCF Base Case'!$B$2*(1+B316)^0*B316*'DCF Base Case'!$B$4</f>
        <v>22.3080838651568</v>
      </c>
      <c r="K316" s="24" t="n">
        <f aca="false">'DCF Base Case'!$B$2*(1+B316)^2*$I316-'DCF Base Case'!$B$2*(1+B316)^1*B316*'DCF Base Case'!$B$4</f>
        <v>23.4361105157896</v>
      </c>
      <c r="L316" s="24" t="n">
        <f aca="false">'DCF Base Case'!$B$2*(1+B316)^3*$I316-'DCF Base Case'!$B$2*(1+B316)^2*B316*'DCF Base Case'!$B$4</f>
        <v>24.6211767639168</v>
      </c>
      <c r="M316" s="24" t="n">
        <f aca="false">'DCF Base Case'!$B$2*(1+B316)^4*$I316-'DCF Base Case'!$B$2*(1+B316)^3*B316*'DCF Base Case'!$B$4</f>
        <v>25.866166863807</v>
      </c>
      <c r="N316" s="24" t="n">
        <f aca="false">'DCF Base Case'!$B$2*(1+B316)^5*$I316-'DCF Base Case'!$B$2*(1+B316)^4*B316*'DCF Base Case'!$B$4</f>
        <v>27.1741109144237</v>
      </c>
      <c r="O316" s="24" t="n">
        <f aca="false">J316/(1+H316)^1+K316/(1+H316)^2+L316/(1+H316)^3+M316/(1+H316)^4+N316/(1+H316)^5</f>
        <v>99.6124112440826</v>
      </c>
      <c r="P316" s="24" t="n">
        <f aca="false">N316*(1+F316)/(H316-F316)</f>
        <v>458.269534580442</v>
      </c>
      <c r="Q316" s="24" t="n">
        <f aca="false">O316+P316/(1+H316)^5</f>
        <v>421.358765333211</v>
      </c>
      <c r="R316" s="24" t="n">
        <f aca="false">Q316-'DCF Base Case'!$B$5</f>
        <v>236.358765333211</v>
      </c>
      <c r="S316" s="32" t="n">
        <f aca="false">R316/'DCF Base Case'!$B$6</f>
        <v>9.45435061332846</v>
      </c>
    </row>
    <row r="317" customFormat="false" ht="15" hidden="false" customHeight="true" outlineLevel="0" collapsed="false">
      <c r="A317" s="6" t="n">
        <v>316</v>
      </c>
      <c r="B317" s="30" t="n">
        <v>0.112359758188367</v>
      </c>
      <c r="C317" s="30" t="n">
        <v>0.406074271201075</v>
      </c>
      <c r="D317" s="30" t="n">
        <v>0.0724938516044852</v>
      </c>
      <c r="E317" s="30" t="n">
        <v>0.245847226053381</v>
      </c>
      <c r="F317" s="30" t="n">
        <v>0.0183137275045281</v>
      </c>
      <c r="G317" s="30" t="n">
        <v>0.153491498312612</v>
      </c>
      <c r="H317" s="31" t="n">
        <f aca="false">MAX(D317,F317+0.015)</f>
        <v>0.0724938516044852</v>
      </c>
      <c r="I317" s="25" t="n">
        <f aca="false">(C317-'DCF Base Case'!$B$3)*(1-E317)+'DCF Base Case'!$B$3-G317</f>
        <v>0.18471067912897</v>
      </c>
      <c r="J317" s="24" t="n">
        <f aca="false">'DCF Base Case'!$B$2*(1+B317)^1*$I317-'DCF Base Case'!$B$2*(1+B317)^0*B317*'DCF Base Case'!$B$4</f>
        <v>29.3036203756336</v>
      </c>
      <c r="K317" s="24" t="n">
        <f aca="false">'DCF Base Case'!$B$2*(1+B317)^2*$I317-'DCF Base Case'!$B$2*(1+B317)^1*B317*'DCF Base Case'!$B$4</f>
        <v>32.5961680750835</v>
      </c>
      <c r="L317" s="24" t="n">
        <f aca="false">'DCF Base Case'!$B$2*(1+B317)^3*$I317-'DCF Base Case'!$B$2*(1+B317)^2*B317*'DCF Base Case'!$B$4</f>
        <v>36.2586656378672</v>
      </c>
      <c r="M317" s="24" t="n">
        <f aca="false">'DCF Base Case'!$B$2*(1+B317)^4*$I317-'DCF Base Case'!$B$2*(1+B317)^3*B317*'DCF Base Case'!$B$4</f>
        <v>40.3326805411708</v>
      </c>
      <c r="N317" s="24" t="n">
        <f aca="false">'DCF Base Case'!$B$2*(1+B317)^5*$I317-'DCF Base Case'!$B$2*(1+B317)^4*B317*'DCF Base Case'!$B$4</f>
        <v>44.8644507738654</v>
      </c>
      <c r="O317" s="24" t="n">
        <f aca="false">J317/(1+H317)^1+K317/(1+H317)^2+L317/(1+H317)^3+M317/(1+H317)^4+N317/(1+H317)^5</f>
        <v>147.155234849581</v>
      </c>
      <c r="P317" s="24" t="n">
        <f aca="false">N317*(1+F317)/(H317-F317)</f>
        <v>843.225940488654</v>
      </c>
      <c r="Q317" s="24" t="n">
        <f aca="false">O317+P317/(1+H317)^5</f>
        <v>741.406209563453</v>
      </c>
      <c r="R317" s="24" t="n">
        <f aca="false">Q317-'DCF Base Case'!$B$5</f>
        <v>556.406209563453</v>
      </c>
      <c r="S317" s="32" t="n">
        <f aca="false">R317/'DCF Base Case'!$B$6</f>
        <v>22.2562483825381</v>
      </c>
    </row>
    <row r="318" customFormat="false" ht="15" hidden="false" customHeight="true" outlineLevel="0" collapsed="false">
      <c r="A318" s="6" t="n">
        <v>317</v>
      </c>
      <c r="B318" s="30" t="n">
        <v>0.057385125246621</v>
      </c>
      <c r="C318" s="30" t="n">
        <v>0.4121251803516</v>
      </c>
      <c r="D318" s="30" t="n">
        <v>0.0800503257994889</v>
      </c>
      <c r="E318" s="30" t="n">
        <v>0.257613912024587</v>
      </c>
      <c r="F318" s="30" t="n">
        <v>0.017118909830956</v>
      </c>
      <c r="G318" s="30" t="n">
        <v>0.190809289853642</v>
      </c>
      <c r="H318" s="31" t="n">
        <f aca="false">MAX(D318,F318+0.015)</f>
        <v>0.0800503257994889</v>
      </c>
      <c r="I318" s="25" t="n">
        <f aca="false">(C318-'DCF Base Case'!$B$3)*(1-E318)+'DCF Base Case'!$B$3-G318</f>
        <v>0.14863651910694</v>
      </c>
      <c r="J318" s="24" t="n">
        <f aca="false">'DCF Base Case'!$B$2*(1+B318)^1*$I318-'DCF Base Case'!$B$2*(1+B318)^0*B318*'DCF Base Case'!$B$4</f>
        <v>22.5394511391337</v>
      </c>
      <c r="K318" s="24" t="n">
        <f aca="false">'DCF Base Case'!$B$2*(1+B318)^2*$I318-'DCF Base Case'!$B$2*(1+B318)^1*B318*'DCF Base Case'!$B$4</f>
        <v>23.832880365743</v>
      </c>
      <c r="L318" s="24" t="n">
        <f aca="false">'DCF Base Case'!$B$2*(1+B318)^3*$I318-'DCF Base Case'!$B$2*(1+B318)^2*B318*'DCF Base Case'!$B$4</f>
        <v>25.2005331905189</v>
      </c>
      <c r="M318" s="24" t="n">
        <f aca="false">'DCF Base Case'!$B$2*(1+B318)^4*$I318-'DCF Base Case'!$B$2*(1+B318)^3*B318*'DCF Base Case'!$B$4</f>
        <v>26.6466689439384</v>
      </c>
      <c r="N318" s="24" t="n">
        <f aca="false">'DCF Base Case'!$B$2*(1+B318)^5*$I318-'DCF Base Case'!$B$2*(1+B318)^4*B318*'DCF Base Case'!$B$4</f>
        <v>28.1757913786916</v>
      </c>
      <c r="O318" s="24" t="n">
        <f aca="false">J318/(1+H318)^1+K318/(1+H318)^2+L318/(1+H318)^3+M318/(1+H318)^4+N318/(1+H318)^5</f>
        <v>100.055988433731</v>
      </c>
      <c r="P318" s="24" t="n">
        <f aca="false">N318*(1+F318)/(H318-F318)</f>
        <v>455.38670582351</v>
      </c>
      <c r="Q318" s="24" t="n">
        <f aca="false">O318+P318/(1+H318)^5</f>
        <v>409.912328470772</v>
      </c>
      <c r="R318" s="24" t="n">
        <f aca="false">Q318-'DCF Base Case'!$B$5</f>
        <v>224.912328470772</v>
      </c>
      <c r="S318" s="32" t="n">
        <f aca="false">R318/'DCF Base Case'!$B$6</f>
        <v>8.99649313883088</v>
      </c>
    </row>
    <row r="319" customFormat="false" ht="15" hidden="false" customHeight="true" outlineLevel="0" collapsed="false">
      <c r="A319" s="6" t="n">
        <v>318</v>
      </c>
      <c r="B319" s="30" t="n">
        <v>0.103035468418035</v>
      </c>
      <c r="C319" s="30" t="n">
        <v>0.416685917349753</v>
      </c>
      <c r="D319" s="30" t="n">
        <v>0.0918101552031134</v>
      </c>
      <c r="E319" s="30" t="n">
        <v>0.256439144643902</v>
      </c>
      <c r="F319" s="30" t="n">
        <v>0.0194741501313737</v>
      </c>
      <c r="G319" s="30" t="n">
        <v>0.168535130206965</v>
      </c>
      <c r="H319" s="31" t="n">
        <f aca="false">MAX(D319,F319+0.015)</f>
        <v>0.0918101552031134</v>
      </c>
      <c r="I319" s="25" t="n">
        <f aca="false">(C319-'DCF Base Case'!$B$3)*(1-E319)+'DCF Base Case'!$B$3-G319</f>
        <v>0.174633295716165</v>
      </c>
      <c r="J319" s="24" t="n">
        <f aca="false">'DCF Base Case'!$B$2*(1+B319)^1*$I319-'DCF Base Case'!$B$2*(1+B319)^0*B319*'DCF Base Case'!$B$4</f>
        <v>27.482669987923</v>
      </c>
      <c r="K319" s="24" t="n">
        <f aca="false">'DCF Base Case'!$B$2*(1+B319)^2*$I319-'DCF Base Case'!$B$2*(1+B319)^1*B319*'DCF Base Case'!$B$4</f>
        <v>30.3143597635069</v>
      </c>
      <c r="L319" s="24" t="n">
        <f aca="false">'DCF Base Case'!$B$2*(1+B319)^3*$I319-'DCF Base Case'!$B$2*(1+B319)^2*B319*'DCF Base Case'!$B$4</f>
        <v>33.4378140215327</v>
      </c>
      <c r="M319" s="24" t="n">
        <f aca="false">'DCF Base Case'!$B$2*(1+B319)^4*$I319-'DCF Base Case'!$B$2*(1+B319)^3*B319*'DCF Base Case'!$B$4</f>
        <v>36.8830948521165</v>
      </c>
      <c r="N319" s="24" t="n">
        <f aca="false">'DCF Base Case'!$B$2*(1+B319)^5*$I319-'DCF Base Case'!$B$2*(1+B319)^4*B319*'DCF Base Case'!$B$4</f>
        <v>40.6833618069111</v>
      </c>
      <c r="O319" s="24" t="n">
        <f aca="false">J319/(1+H319)^1+K319/(1+H319)^2+L319/(1+H319)^3+M319/(1+H319)^4+N319/(1+H319)^5</f>
        <v>128.473019982127</v>
      </c>
      <c r="P319" s="24" t="n">
        <f aca="false">N319*(1+F319)/(H319-F319)</f>
        <v>573.374706848327</v>
      </c>
      <c r="Q319" s="24" t="n">
        <f aca="false">O319+P319/(1+H319)^5</f>
        <v>498.04827371185</v>
      </c>
      <c r="R319" s="24" t="n">
        <f aca="false">Q319-'DCF Base Case'!$B$5</f>
        <v>313.04827371185</v>
      </c>
      <c r="S319" s="32" t="n">
        <f aca="false">R319/'DCF Base Case'!$B$6</f>
        <v>12.521930948474</v>
      </c>
    </row>
    <row r="320" customFormat="false" ht="15" hidden="false" customHeight="true" outlineLevel="0" collapsed="false">
      <c r="A320" s="6" t="n">
        <v>319</v>
      </c>
      <c r="B320" s="30" t="n">
        <v>0.079952216104426</v>
      </c>
      <c r="C320" s="30" t="n">
        <v>0.419808714059862</v>
      </c>
      <c r="D320" s="30" t="n">
        <v>0.076415231998911</v>
      </c>
      <c r="E320" s="30" t="n">
        <v>0.295042047618675</v>
      </c>
      <c r="F320" s="30" t="n">
        <v>0.0213249626869275</v>
      </c>
      <c r="G320" s="30" t="n">
        <v>0.12265794905282</v>
      </c>
      <c r="H320" s="31" t="n">
        <f aca="false">MAX(D320,F320+0.015)</f>
        <v>0.076415231998911</v>
      </c>
      <c r="I320" s="25" t="n">
        <f aca="false">(C320-'DCF Base Case'!$B$3)*(1-E320)+'DCF Base Case'!$B$3-G320</f>
        <v>0.211645008593085</v>
      </c>
      <c r="J320" s="24" t="n">
        <f aca="false">'DCF Base Case'!$B$2*(1+B320)^1*$I320-'DCF Base Case'!$B$2*(1+B320)^0*B320*'DCF Base Case'!$B$4</f>
        <v>32.7943497882894</v>
      </c>
      <c r="K320" s="24" t="n">
        <f aca="false">'DCF Base Case'!$B$2*(1+B320)^2*$I320-'DCF Base Case'!$B$2*(1+B320)^1*B320*'DCF Base Case'!$B$4</f>
        <v>35.4163307295669</v>
      </c>
      <c r="L320" s="24" t="n">
        <f aca="false">'DCF Base Case'!$B$2*(1+B320)^3*$I320-'DCF Base Case'!$B$2*(1+B320)^2*B320*'DCF Base Case'!$B$4</f>
        <v>38.247944857683</v>
      </c>
      <c r="M320" s="24" t="n">
        <f aca="false">'DCF Base Case'!$B$2*(1+B320)^4*$I320-'DCF Base Case'!$B$2*(1+B320)^3*B320*'DCF Base Case'!$B$4</f>
        <v>41.3059528104947</v>
      </c>
      <c r="N320" s="24" t="n">
        <f aca="false">'DCF Base Case'!$B$2*(1+B320)^5*$I320-'DCF Base Case'!$B$2*(1+B320)^4*B320*'DCF Base Case'!$B$4</f>
        <v>44.6084552759986</v>
      </c>
      <c r="O320" s="24" t="n">
        <f aca="false">J320/(1+H320)^1+K320/(1+H320)^2+L320/(1+H320)^3+M320/(1+H320)^4+N320/(1+H320)^5</f>
        <v>153.335699437952</v>
      </c>
      <c r="P320" s="24" t="n">
        <f aca="false">N320*(1+F320)/(H320-F320)</f>
        <v>827.001383171135</v>
      </c>
      <c r="Q320" s="24" t="n">
        <f aca="false">O320+P320/(1+H320)^5</f>
        <v>725.613714904171</v>
      </c>
      <c r="R320" s="24" t="n">
        <f aca="false">Q320-'DCF Base Case'!$B$5</f>
        <v>540.613714904171</v>
      </c>
      <c r="S320" s="32" t="n">
        <f aca="false">R320/'DCF Base Case'!$B$6</f>
        <v>21.6245485961669</v>
      </c>
    </row>
    <row r="321" customFormat="false" ht="15" hidden="false" customHeight="true" outlineLevel="0" collapsed="false">
      <c r="A321" s="6" t="n">
        <v>320</v>
      </c>
      <c r="B321" s="30" t="n">
        <v>0.115817038028394</v>
      </c>
      <c r="C321" s="30" t="n">
        <v>0.366653888545728</v>
      </c>
      <c r="D321" s="30" t="n">
        <v>0.0782234607188826</v>
      </c>
      <c r="E321" s="30" t="n">
        <v>0.311131824804745</v>
      </c>
      <c r="F321" s="30" t="n">
        <v>0.0181064652776394</v>
      </c>
      <c r="G321" s="30" t="n">
        <v>0.136887724911755</v>
      </c>
      <c r="H321" s="31" t="n">
        <f aca="false">MAX(D321,F321+0.015)</f>
        <v>0.0782234607188826</v>
      </c>
      <c r="I321" s="25" t="n">
        <f aca="false">(C321-'DCF Base Case'!$B$3)*(1-E321)+'DCF Base Case'!$B$3-G321</f>
        <v>0.156135607443602</v>
      </c>
      <c r="J321" s="24" t="n">
        <f aca="false">'DCF Base Case'!$B$2*(1+B321)^1*$I321-'DCF Base Case'!$B$2*(1+B321)^0*B321*'DCF Base Case'!$B$4</f>
        <v>24.7579176837067</v>
      </c>
      <c r="K321" s="24" t="n">
        <f aca="false">'DCF Base Case'!$B$2*(1+B321)^2*$I321-'DCF Base Case'!$B$2*(1+B321)^1*B321*'DCF Base Case'!$B$4</f>
        <v>27.6253063775844</v>
      </c>
      <c r="L321" s="24" t="n">
        <f aca="false">'DCF Base Case'!$B$2*(1+B321)^3*$I321-'DCF Base Case'!$B$2*(1+B321)^2*B321*'DCF Base Case'!$B$4</f>
        <v>30.8247875368631</v>
      </c>
      <c r="M321" s="24" t="n">
        <f aca="false">'DCF Base Case'!$B$2*(1+B321)^4*$I321-'DCF Base Case'!$B$2*(1+B321)^3*B321*'DCF Base Case'!$B$4</f>
        <v>34.3948231272371</v>
      </c>
      <c r="N321" s="24" t="n">
        <f aca="false">'DCF Base Case'!$B$2*(1+B321)^5*$I321-'DCF Base Case'!$B$2*(1+B321)^4*B321*'DCF Base Case'!$B$4</f>
        <v>38.3783296653442</v>
      </c>
      <c r="O321" s="24" t="n">
        <f aca="false">J321/(1+H321)^1+K321/(1+H321)^2+L321/(1+H321)^3+M321/(1+H321)^4+N321/(1+H321)^5</f>
        <v>123.098779991468</v>
      </c>
      <c r="P321" s="24" t="n">
        <f aca="false">N321*(1+F321)/(H321-F321)</f>
        <v>649.95306688327</v>
      </c>
      <c r="Q321" s="24" t="n">
        <f aca="false">O321+P321/(1+H321)^5</f>
        <v>569.10211996805</v>
      </c>
      <c r="R321" s="24" t="n">
        <f aca="false">Q321-'DCF Base Case'!$B$5</f>
        <v>384.10211996805</v>
      </c>
      <c r="S321" s="32" t="n">
        <f aca="false">R321/'DCF Base Case'!$B$6</f>
        <v>15.364084798722</v>
      </c>
    </row>
    <row r="322" customFormat="false" ht="15" hidden="false" customHeight="true" outlineLevel="0" collapsed="false">
      <c r="A322" s="6" t="n">
        <v>321</v>
      </c>
      <c r="B322" s="30" t="n">
        <v>0.0661758626741909</v>
      </c>
      <c r="C322" s="30" t="n">
        <v>0.426459252214348</v>
      </c>
      <c r="D322" s="30" t="n">
        <v>0.063863450163965</v>
      </c>
      <c r="E322" s="30" t="n">
        <v>0.314201077400683</v>
      </c>
      <c r="F322" s="30" t="n">
        <v>0.0191463106409454</v>
      </c>
      <c r="G322" s="30" t="n">
        <v>0.141591955464808</v>
      </c>
      <c r="H322" s="31" t="n">
        <f aca="false">MAX(D322,F322+0.015)</f>
        <v>0.063863450163965</v>
      </c>
      <c r="I322" s="25" t="n">
        <f aca="false">(C322-'DCF Base Case'!$B$3)*(1-E322)+'DCF Base Case'!$B$3-G322</f>
        <v>0.191719480298391</v>
      </c>
      <c r="J322" s="24" t="n">
        <f aca="false">'DCF Base Case'!$B$2*(1+B322)^1*$I322-'DCF Base Case'!$B$2*(1+B322)^0*B322*'DCF Base Case'!$B$4</f>
        <v>29.351103930662</v>
      </c>
      <c r="K322" s="24" t="n">
        <f aca="false">'DCF Base Case'!$B$2*(1+B322)^2*$I322-'DCF Base Case'!$B$2*(1+B322)^1*B322*'DCF Base Case'!$B$4</f>
        <v>31.2934385537134</v>
      </c>
      <c r="L322" s="24" t="n">
        <f aca="false">'DCF Base Case'!$B$2*(1+B322)^3*$I322-'DCF Base Case'!$B$2*(1+B322)^2*B322*'DCF Base Case'!$B$4</f>
        <v>33.3643088460472</v>
      </c>
      <c r="M322" s="24" t="n">
        <f aca="false">'DCF Base Case'!$B$2*(1+B322)^4*$I322-'DCF Base Case'!$B$2*(1+B322)^3*B322*'DCF Base Case'!$B$4</f>
        <v>35.5722207664625</v>
      </c>
      <c r="N322" s="24" t="n">
        <f aca="false">'DCF Base Case'!$B$2*(1+B322)^5*$I322-'DCF Base Case'!$B$2*(1+B322)^4*B322*'DCF Base Case'!$B$4</f>
        <v>37.9262431629199</v>
      </c>
      <c r="O322" s="24" t="n">
        <f aca="false">J322/(1+H322)^1+K322/(1+H322)^2+L322/(1+H322)^3+M322/(1+H322)^4+N322/(1+H322)^5</f>
        <v>138.546806111676</v>
      </c>
      <c r="P322" s="24" t="n">
        <f aca="false">N322*(1+F322)/(H322-F322)</f>
        <v>864.375297889161</v>
      </c>
      <c r="Q322" s="24" t="n">
        <f aca="false">O322+P322/(1+H322)^5</f>
        <v>772.814956520463</v>
      </c>
      <c r="R322" s="24" t="n">
        <f aca="false">Q322-'DCF Base Case'!$B$5</f>
        <v>587.814956520463</v>
      </c>
      <c r="S322" s="32" t="n">
        <f aca="false">R322/'DCF Base Case'!$B$6</f>
        <v>23.5125982608185</v>
      </c>
    </row>
    <row r="323" customFormat="false" ht="15" hidden="false" customHeight="true" outlineLevel="0" collapsed="false">
      <c r="A323" s="6" t="n">
        <v>322</v>
      </c>
      <c r="B323" s="30" t="n">
        <v>0.0774104209389793</v>
      </c>
      <c r="C323" s="30" t="n">
        <v>0.387236884570538</v>
      </c>
      <c r="D323" s="30" t="n">
        <v>0.0945284772094438</v>
      </c>
      <c r="E323" s="30" t="n">
        <v>0.302079836445452</v>
      </c>
      <c r="F323" s="30" t="n">
        <v>0.0127365472074161</v>
      </c>
      <c r="G323" s="30" t="n">
        <v>0.157054356891817</v>
      </c>
      <c r="H323" s="31" t="n">
        <f aca="false">MAX(D323,F323+0.015)</f>
        <v>0.0945284772094438</v>
      </c>
      <c r="I323" s="25" t="n">
        <f aca="false">(C323-'DCF Base Case'!$B$3)*(1-E323)+'DCF Base Case'!$B$3-G323</f>
        <v>0.152476451659915</v>
      </c>
      <c r="J323" s="24" t="n">
        <f aca="false">'DCF Base Case'!$B$2*(1+B323)^1*$I323-'DCF Base Case'!$B$2*(1+B323)^0*B323*'DCF Base Case'!$B$4</f>
        <v>23.4838237740132</v>
      </c>
      <c r="K323" s="24" t="n">
        <f aca="false">'DCF Base Case'!$B$2*(1+B323)^2*$I323-'DCF Base Case'!$B$2*(1+B323)^1*B323*'DCF Base Case'!$B$4</f>
        <v>25.3017164576163</v>
      </c>
      <c r="L323" s="24" t="n">
        <f aca="false">'DCF Base Case'!$B$2*(1+B323)^3*$I323-'DCF Base Case'!$B$2*(1+B323)^2*B323*'DCF Base Case'!$B$4</f>
        <v>27.2603329790791</v>
      </c>
      <c r="M323" s="24" t="n">
        <f aca="false">'DCF Base Case'!$B$2*(1+B323)^4*$I323-'DCF Base Case'!$B$2*(1+B323)^3*B323*'DCF Base Case'!$B$4</f>
        <v>29.3705668299264</v>
      </c>
      <c r="N323" s="24" t="n">
        <f aca="false">'DCF Base Case'!$B$2*(1+B323)^5*$I323-'DCF Base Case'!$B$2*(1+B323)^4*B323*'DCF Base Case'!$B$4</f>
        <v>31.6441547714474</v>
      </c>
      <c r="O323" s="24" t="n">
        <f aca="false">J323/(1+H323)^1+K323/(1+H323)^2+L323/(1+H323)^3+M323/(1+H323)^4+N323/(1+H323)^5</f>
        <v>103.974746963366</v>
      </c>
      <c r="P323" s="24" t="n">
        <f aca="false">N323*(1+F323)/(H323-F323)</f>
        <v>391.813618308533</v>
      </c>
      <c r="Q323" s="24" t="n">
        <f aca="false">O323+P323/(1+H323)^5</f>
        <v>353.402169861994</v>
      </c>
      <c r="R323" s="24" t="n">
        <f aca="false">Q323-'DCF Base Case'!$B$5</f>
        <v>168.402169861994</v>
      </c>
      <c r="S323" s="32" t="n">
        <f aca="false">R323/'DCF Base Case'!$B$6</f>
        <v>6.73608679447977</v>
      </c>
    </row>
    <row r="324" customFormat="false" ht="15" hidden="false" customHeight="true" outlineLevel="0" collapsed="false">
      <c r="A324" s="6" t="n">
        <v>323</v>
      </c>
      <c r="B324" s="30" t="n">
        <v>0.0711462435709649</v>
      </c>
      <c r="C324" s="30" t="n">
        <v>0.43305397984404</v>
      </c>
      <c r="D324" s="30" t="n">
        <v>0.0701489097006094</v>
      </c>
      <c r="E324" s="30" t="n">
        <v>0.326807660106836</v>
      </c>
      <c r="F324" s="30" t="n">
        <v>0.0192290823222383</v>
      </c>
      <c r="G324" s="30" t="n">
        <v>0.142147781377703</v>
      </c>
      <c r="H324" s="31" t="n">
        <f aca="false">MAX(D324,F324+0.015)</f>
        <v>0.0701489097006094</v>
      </c>
      <c r="I324" s="25" t="n">
        <f aca="false">(C324-'DCF Base Case'!$B$3)*(1-E324)+'DCF Base Case'!$B$3-G324</f>
        <v>0.191865836427442</v>
      </c>
      <c r="J324" s="24" t="n">
        <f aca="false">'DCF Base Case'!$B$2*(1+B324)^1*$I324-'DCF Base Case'!$B$2*(1+B324)^0*B324*'DCF Base Case'!$B$4</f>
        <v>29.4903874845004</v>
      </c>
      <c r="K324" s="24" t="n">
        <f aca="false">'DCF Base Case'!$B$2*(1+B324)^2*$I324-'DCF Base Case'!$B$2*(1+B324)^1*B324*'DCF Base Case'!$B$4</f>
        <v>31.5885177754748</v>
      </c>
      <c r="L324" s="24" t="n">
        <f aca="false">'DCF Base Case'!$B$2*(1+B324)^3*$I324-'DCF Base Case'!$B$2*(1+B324)^2*B324*'DCF Base Case'!$B$4</f>
        <v>33.8359221551745</v>
      </c>
      <c r="M324" s="24" t="n">
        <f aca="false">'DCF Base Case'!$B$2*(1+B324)^4*$I324-'DCF Base Case'!$B$2*(1+B324)^3*B324*'DCF Base Case'!$B$4</f>
        <v>36.2432209142747</v>
      </c>
      <c r="N324" s="24" t="n">
        <f aca="false">'DCF Base Case'!$B$2*(1+B324)^5*$I324-'DCF Base Case'!$B$2*(1+B324)^4*B324*'DCF Base Case'!$B$4</f>
        <v>38.821789937238</v>
      </c>
      <c r="O324" s="24" t="n">
        <f aca="false">J324/(1+H324)^1+K324/(1+H324)^2+L324/(1+H324)^3+M324/(1+H324)^4+N324/(1+H324)^5</f>
        <v>138.043435240376</v>
      </c>
      <c r="P324" s="24" t="n">
        <f aca="false">N324*(1+F324)/(H324-F324)</f>
        <v>777.070531638231</v>
      </c>
      <c r="Q324" s="24" t="n">
        <f aca="false">O324+P324/(1+H324)^5</f>
        <v>691.698622265483</v>
      </c>
      <c r="R324" s="24" t="n">
        <f aca="false">Q324-'DCF Base Case'!$B$5</f>
        <v>506.698622265483</v>
      </c>
      <c r="S324" s="32" t="n">
        <f aca="false">R324/'DCF Base Case'!$B$6</f>
        <v>20.2679448906193</v>
      </c>
    </row>
    <row r="325" customFormat="false" ht="15" hidden="false" customHeight="true" outlineLevel="0" collapsed="false">
      <c r="A325" s="6" t="n">
        <v>324</v>
      </c>
      <c r="B325" s="30" t="n">
        <v>0.0752927757248584</v>
      </c>
      <c r="C325" s="30" t="n">
        <v>0.391137012108562</v>
      </c>
      <c r="D325" s="30" t="n">
        <v>0.0709791975778294</v>
      </c>
      <c r="E325" s="30" t="n">
        <v>0.282353572581378</v>
      </c>
      <c r="F325" s="30" t="n">
        <v>0.0143822806544683</v>
      </c>
      <c r="G325" s="30" t="n">
        <v>0.127645956691235</v>
      </c>
      <c r="H325" s="31" t="n">
        <f aca="false">MAX(D325,F325+0.015)</f>
        <v>0.0709791975778294</v>
      </c>
      <c r="I325" s="25" t="n">
        <f aca="false">(C325-'DCF Base Case'!$B$3)*(1-E325)+'DCF Base Case'!$B$3-G325</f>
        <v>0.189758087115248</v>
      </c>
      <c r="J325" s="24" t="n">
        <f aca="false">'DCF Base Case'!$B$2*(1+B325)^1*$I325-'DCF Base Case'!$B$2*(1+B325)^0*B325*'DCF Base Case'!$B$4</f>
        <v>29.2590739561041</v>
      </c>
      <c r="K325" s="24" t="n">
        <f aca="false">'DCF Base Case'!$B$2*(1+B325)^2*$I325-'DCF Base Case'!$B$2*(1+B325)^1*B325*'DCF Base Case'!$B$4</f>
        <v>31.4620708493981</v>
      </c>
      <c r="L325" s="24" t="n">
        <f aca="false">'DCF Base Case'!$B$2*(1+B325)^3*$I325-'DCF Base Case'!$B$2*(1+B325)^2*B325*'DCF Base Case'!$B$4</f>
        <v>33.8309374937014</v>
      </c>
      <c r="M325" s="24" t="n">
        <f aca="false">'DCF Base Case'!$B$2*(1+B325)^4*$I325-'DCF Base Case'!$B$2*(1+B325)^3*B325*'DCF Base Case'!$B$4</f>
        <v>36.3781626829764</v>
      </c>
      <c r="N325" s="24" t="n">
        <f aca="false">'DCF Base Case'!$B$2*(1+B325)^5*$I325-'DCF Base Case'!$B$2*(1+B325)^4*B325*'DCF Base Case'!$B$4</f>
        <v>39.1171755271481</v>
      </c>
      <c r="O325" s="24" t="n">
        <f aca="false">J325/(1+H325)^1+K325/(1+H325)^2+L325/(1+H325)^3+M325/(1+H325)^4+N325/(1+H325)^5</f>
        <v>137.704441509066</v>
      </c>
      <c r="P325" s="24" t="n">
        <f aca="false">N325*(1+F325)/(H325-F325)</f>
        <v>701.094191715792</v>
      </c>
      <c r="Q325" s="24" t="n">
        <f aca="false">O325+P325/(1+H325)^5</f>
        <v>635.293924672678</v>
      </c>
      <c r="R325" s="24" t="n">
        <f aca="false">Q325-'DCF Base Case'!$B$5</f>
        <v>450.293924672678</v>
      </c>
      <c r="S325" s="32" t="n">
        <f aca="false">R325/'DCF Base Case'!$B$6</f>
        <v>18.0117569869071</v>
      </c>
    </row>
    <row r="326" customFormat="false" ht="15" hidden="false" customHeight="true" outlineLevel="0" collapsed="false">
      <c r="A326" s="6" t="n">
        <v>325</v>
      </c>
      <c r="B326" s="30" t="n">
        <v>0.0819578832911742</v>
      </c>
      <c r="C326" s="30" t="n">
        <v>0.374335138485603</v>
      </c>
      <c r="D326" s="30" t="n">
        <v>0.0767262304512573</v>
      </c>
      <c r="E326" s="30" t="n">
        <v>0.259990632801031</v>
      </c>
      <c r="F326" s="30" t="n">
        <v>0.0157938041279793</v>
      </c>
      <c r="G326" s="30" t="n">
        <v>0.208329991460549</v>
      </c>
      <c r="H326" s="31" t="n">
        <f aca="false">MAX(D326,F326+0.015)</f>
        <v>0.0767262304512573</v>
      </c>
      <c r="I326" s="25" t="n">
        <f aca="false">(C326-'DCF Base Case'!$B$3)*(1-E326)+'DCF Base Case'!$B$3-G326</f>
        <v>0.102480299754655</v>
      </c>
      <c r="J326" s="24" t="n">
        <f aca="false">'DCF Base Case'!$B$2*(1+B326)^1*$I326-'DCF Base Case'!$B$2*(1+B326)^0*B326*'DCF Base Case'!$B$4</f>
        <v>15.7209915969141</v>
      </c>
      <c r="K326" s="24" t="n">
        <f aca="false">'DCF Base Case'!$B$2*(1+B326)^2*$I326-'DCF Base Case'!$B$2*(1+B326)^1*B326*'DCF Base Case'!$B$4</f>
        <v>17.0094507914355</v>
      </c>
      <c r="L326" s="24" t="n">
        <f aca="false">'DCF Base Case'!$B$2*(1+B326)^3*$I326-'DCF Base Case'!$B$2*(1+B326)^2*B326*'DCF Base Case'!$B$4</f>
        <v>18.403509374247</v>
      </c>
      <c r="M326" s="24" t="n">
        <f aca="false">'DCF Base Case'!$B$2*(1+B326)^4*$I326-'DCF Base Case'!$B$2*(1+B326)^3*B326*'DCF Base Case'!$B$4</f>
        <v>19.9118220476895</v>
      </c>
      <c r="N326" s="24" t="n">
        <f aca="false">'DCF Base Case'!$B$2*(1+B326)^5*$I326-'DCF Base Case'!$B$2*(1+B326)^4*B326*'DCF Base Case'!$B$4</f>
        <v>21.5437528351887</v>
      </c>
      <c r="O326" s="24" t="n">
        <f aca="false">J326/(1+H326)^1+K326/(1+H326)^2+L326/(1+H326)^3+M326/(1+H326)^4+N326/(1+H326)^5</f>
        <v>73.7165454680575</v>
      </c>
      <c r="P326" s="24" t="n">
        <f aca="false">N326*(1+F326)/(H326-F326)</f>
        <v>359.152129139635</v>
      </c>
      <c r="Q326" s="24" t="n">
        <f aca="false">O326+P326/(1+H326)^5</f>
        <v>321.888087699068</v>
      </c>
      <c r="R326" s="24" t="n">
        <f aca="false">Q326-'DCF Base Case'!$B$5</f>
        <v>136.888087699068</v>
      </c>
      <c r="S326" s="32" t="n">
        <f aca="false">R326/'DCF Base Case'!$B$6</f>
        <v>5.47552350796274</v>
      </c>
    </row>
    <row r="327" customFormat="false" ht="15" hidden="false" customHeight="true" outlineLevel="0" collapsed="false">
      <c r="A327" s="6" t="n">
        <v>326</v>
      </c>
      <c r="B327" s="30" t="n">
        <v>0.0911375926104427</v>
      </c>
      <c r="C327" s="30" t="n">
        <v>0.419927447165146</v>
      </c>
      <c r="D327" s="30" t="n">
        <v>0.0654596187402348</v>
      </c>
      <c r="E327" s="30" t="n">
        <v>0.264209680089568</v>
      </c>
      <c r="F327" s="30" t="n">
        <v>0.0201217890537478</v>
      </c>
      <c r="G327" s="30" t="n">
        <v>0.14472187378074</v>
      </c>
      <c r="H327" s="31" t="n">
        <f aca="false">MAX(D327,F327+0.015)</f>
        <v>0.0654596187402348</v>
      </c>
      <c r="I327" s="25" t="n">
        <f aca="false">(C327-'DCF Base Case'!$B$3)*(1-E327)+'DCF Base Case'!$B$3-G327</f>
        <v>0.198603935319718</v>
      </c>
      <c r="J327" s="24" t="n">
        <f aca="false">'DCF Base Case'!$B$2*(1+B327)^1*$I327-'DCF Base Case'!$B$2*(1+B327)^0*B327*'DCF Base Case'!$B$4</f>
        <v>31.0256633529635</v>
      </c>
      <c r="K327" s="24" t="n">
        <f aca="false">'DCF Base Case'!$B$2*(1+B327)^2*$I327-'DCF Base Case'!$B$2*(1+B327)^1*B327*'DCF Base Case'!$B$4</f>
        <v>33.8532676200946</v>
      </c>
      <c r="L327" s="24" t="n">
        <f aca="false">'DCF Base Case'!$B$2*(1+B327)^3*$I327-'DCF Base Case'!$B$2*(1+B327)^2*B327*'DCF Base Case'!$B$4</f>
        <v>36.9385729329871</v>
      </c>
      <c r="M327" s="24" t="n">
        <f aca="false">'DCF Base Case'!$B$2*(1+B327)^4*$I327-'DCF Base Case'!$B$2*(1+B327)^3*B327*'DCF Base Case'!$B$4</f>
        <v>40.3050655445648</v>
      </c>
      <c r="N327" s="24" t="n">
        <f aca="false">'DCF Base Case'!$B$2*(1+B327)^5*$I327-'DCF Base Case'!$B$2*(1+B327)^4*B327*'DCF Base Case'!$B$4</f>
        <v>43.9783721883026</v>
      </c>
      <c r="O327" s="24" t="n">
        <f aca="false">J327/(1+H327)^1+K327/(1+H327)^2+L327/(1+H327)^3+M327/(1+H327)^4+N327/(1+H327)^5</f>
        <v>152.786649159589</v>
      </c>
      <c r="P327" s="24" t="n">
        <f aca="false">N327*(1+F327)/(H327-F327)</f>
        <v>989.533377019464</v>
      </c>
      <c r="Q327" s="24" t="n">
        <f aca="false">O327+P327/(1+H327)^5</f>
        <v>873.471636387784</v>
      </c>
      <c r="R327" s="24" t="n">
        <f aca="false">Q327-'DCF Base Case'!$B$5</f>
        <v>688.471636387784</v>
      </c>
      <c r="S327" s="32" t="n">
        <f aca="false">R327/'DCF Base Case'!$B$6</f>
        <v>27.5388654555114</v>
      </c>
    </row>
    <row r="328" customFormat="false" ht="15" hidden="false" customHeight="true" outlineLevel="0" collapsed="false">
      <c r="A328" s="6" t="n">
        <v>327</v>
      </c>
      <c r="B328" s="30" t="n">
        <v>0.109840216341685</v>
      </c>
      <c r="C328" s="30" t="n">
        <v>0.395438457271571</v>
      </c>
      <c r="D328" s="30" t="n">
        <v>0.0818499725054831</v>
      </c>
      <c r="E328" s="30" t="n">
        <v>0.265509243254372</v>
      </c>
      <c r="F328" s="30" t="n">
        <v>0.0199458841786604</v>
      </c>
      <c r="G328" s="30" t="n">
        <v>0.152306471228672</v>
      </c>
      <c r="H328" s="31" t="n">
        <f aca="false">MAX(D328,F328+0.015)</f>
        <v>0.0818499725054831</v>
      </c>
      <c r="I328" s="25" t="n">
        <f aca="false">(C328-'DCF Base Case'!$B$3)*(1-E328)+'DCF Base Case'!$B$3-G328</f>
        <v>0.172655622122116</v>
      </c>
      <c r="J328" s="24" t="n">
        <f aca="false">'DCF Base Case'!$B$2*(1+B328)^1*$I328-'DCF Base Case'!$B$2*(1+B328)^0*B328*'DCF Base Case'!$B$4</f>
        <v>27.3071172451632</v>
      </c>
      <c r="K328" s="24" t="n">
        <f aca="false">'DCF Base Case'!$B$2*(1+B328)^2*$I328-'DCF Base Case'!$B$2*(1+B328)^1*B328*'DCF Base Case'!$B$4</f>
        <v>30.3065369110397</v>
      </c>
      <c r="L328" s="24" t="n">
        <f aca="false">'DCF Base Case'!$B$2*(1+B328)^3*$I328-'DCF Base Case'!$B$2*(1+B328)^2*B328*'DCF Base Case'!$B$4</f>
        <v>33.6354134819156</v>
      </c>
      <c r="M328" s="24" t="n">
        <f aca="false">'DCF Base Case'!$B$2*(1+B328)^4*$I328-'DCF Base Case'!$B$2*(1+B328)^3*B328*'DCF Base Case'!$B$4</f>
        <v>37.3299345755112</v>
      </c>
      <c r="N328" s="24" t="n">
        <f aca="false">'DCF Base Case'!$B$2*(1+B328)^5*$I328-'DCF Base Case'!$B$2*(1+B328)^4*B328*'DCF Base Case'!$B$4</f>
        <v>41.4302626653063</v>
      </c>
      <c r="O328" s="24" t="n">
        <f aca="false">J328/(1+H328)^1+K328/(1+H328)^2+L328/(1+H328)^3+M328/(1+H328)^4+N328/(1+H328)^5</f>
        <v>132.907345846112</v>
      </c>
      <c r="P328" s="24" t="n">
        <f aca="false">N328*(1+F328)/(H328-F328)</f>
        <v>682.614460984</v>
      </c>
      <c r="Q328" s="24" t="n">
        <f aca="false">O328+P328/(1+H328)^5</f>
        <v>593.524695974351</v>
      </c>
      <c r="R328" s="24" t="n">
        <f aca="false">Q328-'DCF Base Case'!$B$5</f>
        <v>408.524695974351</v>
      </c>
      <c r="S328" s="32" t="n">
        <f aca="false">R328/'DCF Base Case'!$B$6</f>
        <v>16.340987838974</v>
      </c>
    </row>
    <row r="329" customFormat="false" ht="15" hidden="false" customHeight="true" outlineLevel="0" collapsed="false">
      <c r="A329" s="6" t="n">
        <v>328</v>
      </c>
      <c r="B329" s="30" t="n">
        <v>0.0843416521651103</v>
      </c>
      <c r="C329" s="30" t="n">
        <v>0.407497266290179</v>
      </c>
      <c r="D329" s="30" t="n">
        <v>0.0769217346686957</v>
      </c>
      <c r="E329" s="30" t="n">
        <v>0.294262505275133</v>
      </c>
      <c r="F329" s="30" t="n">
        <v>0.0202020598914179</v>
      </c>
      <c r="G329" s="30" t="n">
        <v>0.163326956804253</v>
      </c>
      <c r="H329" s="31" t="n">
        <f aca="false">MAX(D329,F329+0.015)</f>
        <v>0.0769217346686957</v>
      </c>
      <c r="I329" s="25" t="n">
        <f aca="false">(C329-'DCF Base Case'!$B$3)*(1-E329)+'DCF Base Case'!$B$3-G329</f>
        <v>0.162513268700377</v>
      </c>
      <c r="J329" s="24" t="n">
        <f aca="false">'DCF Base Case'!$B$2*(1+B329)^1*$I329-'DCF Base Case'!$B$2*(1+B329)^0*B329*'DCF Base Case'!$B$4</f>
        <v>25.1850002238731</v>
      </c>
      <c r="K329" s="24" t="n">
        <f aca="false">'DCF Base Case'!$B$2*(1+B329)^2*$I329-'DCF Base Case'!$B$2*(1+B329)^1*B329*'DCF Base Case'!$B$4</f>
        <v>27.3091447525332</v>
      </c>
      <c r="L329" s="24" t="n">
        <f aca="false">'DCF Base Case'!$B$2*(1+B329)^3*$I329-'DCF Base Case'!$B$2*(1+B329)^2*B329*'DCF Base Case'!$B$4</f>
        <v>29.612443140178</v>
      </c>
      <c r="M329" s="24" t="n">
        <f aca="false">'DCF Base Case'!$B$2*(1+B329)^4*$I329-'DCF Base Case'!$B$2*(1+B329)^3*B329*'DCF Base Case'!$B$4</f>
        <v>32.110005519266</v>
      </c>
      <c r="N329" s="24" t="n">
        <f aca="false">'DCF Base Case'!$B$2*(1+B329)^5*$I329-'DCF Base Case'!$B$2*(1+B329)^4*B329*'DCF Base Case'!$B$4</f>
        <v>34.8182164357918</v>
      </c>
      <c r="O329" s="24" t="n">
        <f aca="false">J329/(1+H329)^1+K329/(1+H329)^2+L329/(1+H329)^3+M329/(1+H329)^4+N329/(1+H329)^5</f>
        <v>118.552930309579</v>
      </c>
      <c r="P329" s="24" t="n">
        <f aca="false">N329*(1+F329)/(H329-F329)</f>
        <v>626.266216599855</v>
      </c>
      <c r="Q329" s="24" t="n">
        <f aca="false">O329+P329/(1+H329)^5</f>
        <v>550.905728729179</v>
      </c>
      <c r="R329" s="24" t="n">
        <f aca="false">Q329-'DCF Base Case'!$B$5</f>
        <v>365.905728729179</v>
      </c>
      <c r="S329" s="32" t="n">
        <f aca="false">R329/'DCF Base Case'!$B$6</f>
        <v>14.6362291491672</v>
      </c>
    </row>
    <row r="330" customFormat="false" ht="15" hidden="false" customHeight="true" outlineLevel="0" collapsed="false">
      <c r="A330" s="6" t="n">
        <v>329</v>
      </c>
      <c r="B330" s="30" t="n">
        <v>0.0808308177063418</v>
      </c>
      <c r="C330" s="30" t="n">
        <v>0.42678831572489</v>
      </c>
      <c r="D330" s="30" t="n">
        <v>0.082405823318044</v>
      </c>
      <c r="E330" s="30" t="n">
        <v>0.271625356664932</v>
      </c>
      <c r="F330" s="30" t="n">
        <v>0.0197363029338768</v>
      </c>
      <c r="G330" s="30" t="n">
        <v>0.203588891329305</v>
      </c>
      <c r="H330" s="31" t="n">
        <f aca="false">MAX(D330,F330+0.015)</f>
        <v>0.082405823318044</v>
      </c>
      <c r="I330" s="25" t="n">
        <f aca="false">(C330-'DCF Base Case'!$B$3)*(1-E330)+'DCF Base Case'!$B$3-G330</f>
        <v>0.142584192282827</v>
      </c>
      <c r="J330" s="24" t="n">
        <f aca="false">'DCF Base Case'!$B$2*(1+B330)^1*$I330-'DCF Base Case'!$B$2*(1+B330)^0*B330*'DCF Base Case'!$B$4</f>
        <v>21.9942473678492</v>
      </c>
      <c r="K330" s="24" t="n">
        <f aca="false">'DCF Base Case'!$B$2*(1+B330)^2*$I330-'DCF Base Case'!$B$2*(1+B330)^1*B330*'DCF Base Case'!$B$4</f>
        <v>23.772060367428</v>
      </c>
      <c r="L330" s="24" t="n">
        <f aca="false">'DCF Base Case'!$B$2*(1+B330)^3*$I330-'DCF Base Case'!$B$2*(1+B330)^2*B330*'DCF Base Case'!$B$4</f>
        <v>25.6935754454917</v>
      </c>
      <c r="M330" s="24" t="n">
        <f aca="false">'DCF Base Case'!$B$2*(1+B330)^4*$I330-'DCF Base Case'!$B$2*(1+B330)^3*B330*'DCF Base Case'!$B$4</f>
        <v>27.7704081585504</v>
      </c>
      <c r="N330" s="24" t="n">
        <f aca="false">'DCF Base Case'!$B$2*(1+B330)^5*$I330-'DCF Base Case'!$B$2*(1+B330)^4*B330*'DCF Base Case'!$B$4</f>
        <v>30.0151129580448</v>
      </c>
      <c r="O330" s="24" t="n">
        <f aca="false">J330/(1+H330)^1+K330/(1+H330)^2+L330/(1+H330)^3+M330/(1+H330)^4+N330/(1+H330)^5</f>
        <v>101.303653547542</v>
      </c>
      <c r="P330" s="24" t="n">
        <f aca="false">N330*(1+F330)/(H330-F330)</f>
        <v>488.395317729478</v>
      </c>
      <c r="Q330" s="24" t="n">
        <f aca="false">O330+P330/(1+H330)^5</f>
        <v>430.019689645174</v>
      </c>
      <c r="R330" s="24" t="n">
        <f aca="false">Q330-'DCF Base Case'!$B$5</f>
        <v>245.019689645174</v>
      </c>
      <c r="S330" s="32" t="n">
        <f aca="false">R330/'DCF Base Case'!$B$6</f>
        <v>9.80078758580697</v>
      </c>
    </row>
    <row r="331" customFormat="false" ht="15" hidden="false" customHeight="true" outlineLevel="0" collapsed="false">
      <c r="A331" s="6" t="n">
        <v>330</v>
      </c>
      <c r="B331" s="30" t="n">
        <v>0.0612208367964263</v>
      </c>
      <c r="C331" s="30" t="n">
        <v>0.419974712820165</v>
      </c>
      <c r="D331" s="30" t="n">
        <v>0.0641751172263809</v>
      </c>
      <c r="E331" s="30" t="n">
        <v>0.285979865693165</v>
      </c>
      <c r="F331" s="30" t="n">
        <v>0.0247500091631811</v>
      </c>
      <c r="G331" s="30" t="n">
        <v>0.176696083629642</v>
      </c>
      <c r="H331" s="31" t="n">
        <f aca="false">MAX(D331,F331+0.015)</f>
        <v>0.0641751172263809</v>
      </c>
      <c r="I331" s="25" t="n">
        <f aca="false">(C331-'DCF Base Case'!$B$3)*(1-E331)+'DCF Base Case'!$B$3-G331</f>
        <v>0.160351699763798</v>
      </c>
      <c r="J331" s="24" t="n">
        <f aca="false">'DCF Base Case'!$B$2*(1+B331)^1*$I331-'DCF Base Case'!$B$2*(1+B331)^0*B331*'DCF Base Case'!$B$4</f>
        <v>24.4081312856703</v>
      </c>
      <c r="K331" s="24" t="n">
        <f aca="false">'DCF Base Case'!$B$2*(1+B331)^2*$I331-'DCF Base Case'!$B$2*(1+B331)^1*B331*'DCF Base Case'!$B$4</f>
        <v>25.902417507616</v>
      </c>
      <c r="L331" s="24" t="n">
        <f aca="false">'DCF Base Case'!$B$2*(1+B331)^3*$I331-'DCF Base Case'!$B$2*(1+B331)^2*B331*'DCF Base Case'!$B$4</f>
        <v>27.4881851824827</v>
      </c>
      <c r="M331" s="24" t="n">
        <f aca="false">'DCF Base Case'!$B$2*(1+B331)^4*$I331-'DCF Base Case'!$B$2*(1+B331)^3*B331*'DCF Base Case'!$B$4</f>
        <v>29.1710348813694</v>
      </c>
      <c r="N331" s="24" t="n">
        <f aca="false">'DCF Base Case'!$B$2*(1+B331)^5*$I331-'DCF Base Case'!$B$2*(1+B331)^4*B331*'DCF Base Case'!$B$4</f>
        <v>30.9569100470246</v>
      </c>
      <c r="O331" s="24" t="n">
        <f aca="false">J331/(1+H331)^1+K331/(1+H331)^2+L331/(1+H331)^3+M331/(1+H331)^4+N331/(1+H331)^5</f>
        <v>114.046018688291</v>
      </c>
      <c r="P331" s="24" t="n">
        <f aca="false">N331*(1+F331)/(H331-F331)</f>
        <v>804.641899864903</v>
      </c>
      <c r="Q331" s="24" t="n">
        <f aca="false">O331+P331/(1+H331)^5</f>
        <v>703.618418094913</v>
      </c>
      <c r="R331" s="24" t="n">
        <f aca="false">Q331-'DCF Base Case'!$B$5</f>
        <v>518.618418094913</v>
      </c>
      <c r="S331" s="32" t="n">
        <f aca="false">R331/'DCF Base Case'!$B$6</f>
        <v>20.7447367237965</v>
      </c>
    </row>
    <row r="332" customFormat="false" ht="15" hidden="false" customHeight="true" outlineLevel="0" collapsed="false">
      <c r="A332" s="6" t="n">
        <v>331</v>
      </c>
      <c r="B332" s="30" t="n">
        <v>0.0935102544300143</v>
      </c>
      <c r="C332" s="30" t="n">
        <v>0.40387696853176</v>
      </c>
      <c r="D332" s="30" t="n">
        <v>0.0853415192053741</v>
      </c>
      <c r="E332" s="30" t="n">
        <v>0.272960483712143</v>
      </c>
      <c r="F332" s="30" t="n">
        <v>0.0161473249677776</v>
      </c>
      <c r="G332" s="30" t="n">
        <v>0.15929151045976</v>
      </c>
      <c r="H332" s="31" t="n">
        <f aca="false">MAX(D332,F332+0.015)</f>
        <v>0.0853415192053741</v>
      </c>
      <c r="I332" s="25" t="n">
        <f aca="false">(C332-'DCF Base Case'!$B$3)*(1-E332)+'DCF Base Case'!$B$3-G332</f>
        <v>0.169827868263955</v>
      </c>
      <c r="J332" s="24" t="n">
        <f aca="false">'DCF Base Case'!$B$2*(1+B332)^1*$I332-'DCF Base Case'!$B$2*(1+B332)^0*B332*'DCF Base Case'!$B$4</f>
        <v>26.52096513125</v>
      </c>
      <c r="K332" s="24" t="n">
        <f aca="false">'DCF Base Case'!$B$2*(1+B332)^2*$I332-'DCF Base Case'!$B$2*(1+B332)^1*B332*'DCF Base Case'!$B$4</f>
        <v>29.0009473284028</v>
      </c>
      <c r="L332" s="24" t="n">
        <f aca="false">'DCF Base Case'!$B$2*(1+B332)^3*$I332-'DCF Base Case'!$B$2*(1+B332)^2*B332*'DCF Base Case'!$B$4</f>
        <v>31.7128332917932</v>
      </c>
      <c r="M332" s="24" t="n">
        <f aca="false">'DCF Base Case'!$B$2*(1+B332)^4*$I332-'DCF Base Case'!$B$2*(1+B332)^3*B332*'DCF Base Case'!$B$4</f>
        <v>34.6783084016054</v>
      </c>
      <c r="N332" s="24" t="n">
        <f aca="false">'DCF Base Case'!$B$2*(1+B332)^5*$I332-'DCF Base Case'!$B$2*(1+B332)^4*B332*'DCF Base Case'!$B$4</f>
        <v>37.921085843442</v>
      </c>
      <c r="O332" s="24" t="n">
        <f aca="false">J332/(1+H332)^1+K332/(1+H332)^2+L332/(1+H332)^3+M332/(1+H332)^4+N332/(1+H332)^5</f>
        <v>124.030991377657</v>
      </c>
      <c r="P332" s="24" t="n">
        <f aca="false">N332*(1+F332)/(H332-F332)</f>
        <v>556.887906048482</v>
      </c>
      <c r="Q332" s="24" t="n">
        <f aca="false">O332+P332/(1+H332)^5</f>
        <v>493.804420834912</v>
      </c>
      <c r="R332" s="24" t="n">
        <f aca="false">Q332-'DCF Base Case'!$B$5</f>
        <v>308.804420834912</v>
      </c>
      <c r="S332" s="32" t="n">
        <f aca="false">R332/'DCF Base Case'!$B$6</f>
        <v>12.3521768333965</v>
      </c>
    </row>
    <row r="333" customFormat="false" ht="15" hidden="false" customHeight="true" outlineLevel="0" collapsed="false">
      <c r="A333" s="6" t="n">
        <v>332</v>
      </c>
      <c r="B333" s="30" t="n">
        <v>0.094099377559591</v>
      </c>
      <c r="C333" s="30" t="n">
        <v>0.399351199670984</v>
      </c>
      <c r="D333" s="30" t="n">
        <v>0.0761308999724685</v>
      </c>
      <c r="E333" s="30" t="n">
        <v>0.253824911971294</v>
      </c>
      <c r="F333" s="30" t="n">
        <v>0.0207416693848989</v>
      </c>
      <c r="G333" s="30" t="n">
        <v>0.178088263887253</v>
      </c>
      <c r="H333" s="31" t="n">
        <f aca="false">MAX(D333,F333+0.015)</f>
        <v>0.0761308999724685</v>
      </c>
      <c r="I333" s="25" t="n">
        <f aca="false">(C333-'DCF Base Case'!$B$3)*(1-E333)+'DCF Base Case'!$B$3-G333</f>
        <v>0.152894891237881</v>
      </c>
      <c r="J333" s="24" t="n">
        <f aca="false">'DCF Base Case'!$B$2*(1+B333)^1*$I333-'DCF Base Case'!$B$2*(1+B333)^0*B333*'DCF Base Case'!$B$4</f>
        <v>23.8465874812498</v>
      </c>
      <c r="K333" s="24" t="n">
        <f aca="false">'DCF Base Case'!$B$2*(1+B333)^2*$I333-'DCF Base Case'!$B$2*(1+B333)^1*B333*'DCF Base Case'!$B$4</f>
        <v>26.0905365201557</v>
      </c>
      <c r="L333" s="24" t="n">
        <f aca="false">'DCF Base Case'!$B$2*(1+B333)^3*$I333-'DCF Base Case'!$B$2*(1+B333)^2*B333*'DCF Base Case'!$B$4</f>
        <v>28.5456397668982</v>
      </c>
      <c r="M333" s="24" t="n">
        <f aca="false">'DCF Base Case'!$B$2*(1+B333)^4*$I333-'DCF Base Case'!$B$2*(1+B333)^3*B333*'DCF Base Case'!$B$4</f>
        <v>31.2317667010036</v>
      </c>
      <c r="N333" s="24" t="n">
        <f aca="false">'DCF Base Case'!$B$2*(1+B333)^5*$I333-'DCF Base Case'!$B$2*(1+B333)^4*B333*'DCF Base Case'!$B$4</f>
        <v>34.1706565076544</v>
      </c>
      <c r="O333" s="24" t="n">
        <f aca="false">J333/(1+H333)^1+K333/(1+H333)^2+L333/(1+H333)^3+M333/(1+H333)^4+N333/(1+H333)^5</f>
        <v>114.560147051866</v>
      </c>
      <c r="P333" s="24" t="n">
        <f aca="false">N333*(1+F333)/(H333-F333)</f>
        <v>629.714704421779</v>
      </c>
      <c r="Q333" s="24" t="n">
        <f aca="false">O333+P333/(1+H333)^5</f>
        <v>550.89341340932</v>
      </c>
      <c r="R333" s="24" t="n">
        <f aca="false">Q333-'DCF Base Case'!$B$5</f>
        <v>365.89341340932</v>
      </c>
      <c r="S333" s="32" t="n">
        <f aca="false">R333/'DCF Base Case'!$B$6</f>
        <v>14.6357365363728</v>
      </c>
    </row>
    <row r="334" customFormat="false" ht="15" hidden="false" customHeight="true" outlineLevel="0" collapsed="false">
      <c r="A334" s="6" t="n">
        <v>333</v>
      </c>
      <c r="B334" s="30" t="n">
        <v>0.0948114572996236</v>
      </c>
      <c r="C334" s="30" t="n">
        <v>0.434523590648023</v>
      </c>
      <c r="D334" s="30" t="n">
        <v>0.085966544007888</v>
      </c>
      <c r="E334" s="30" t="n">
        <v>0.291344240217889</v>
      </c>
      <c r="F334" s="30" t="n">
        <v>0.0204319630559409</v>
      </c>
      <c r="G334" s="30" t="n">
        <v>0.16326544726907</v>
      </c>
      <c r="H334" s="31" t="n">
        <f aca="false">MAX(D334,F334+0.015)</f>
        <v>0.085966544007888</v>
      </c>
      <c r="I334" s="25" t="n">
        <f aca="false">(C334-'DCF Base Case'!$B$3)*(1-E334)+'DCF Base Case'!$B$3-G334</f>
        <v>0.182536949233181</v>
      </c>
      <c r="J334" s="24" t="n">
        <f aca="false">'DCF Base Case'!$B$2*(1+B334)^1*$I334-'DCF Base Case'!$B$2*(1+B334)^0*B334*'DCF Base Case'!$B$4</f>
        <v>28.5648839538926</v>
      </c>
      <c r="K334" s="24" t="n">
        <f aca="false">'DCF Base Case'!$B$2*(1+B334)^2*$I334-'DCF Base Case'!$B$2*(1+B334)^1*B334*'DCF Base Case'!$B$4</f>
        <v>31.2731622291558</v>
      </c>
      <c r="L334" s="24" t="n">
        <f aca="false">'DCF Base Case'!$B$2*(1+B334)^3*$I334-'DCF Base Case'!$B$2*(1+B334)^2*B334*'DCF Base Case'!$B$4</f>
        <v>34.2382163144696</v>
      </c>
      <c r="M334" s="24" t="n">
        <f aca="false">'DCF Base Case'!$B$2*(1+B334)^4*$I334-'DCF Base Case'!$B$2*(1+B334)^3*B334*'DCF Base Case'!$B$4</f>
        <v>37.4843914985842</v>
      </c>
      <c r="N334" s="24" t="n">
        <f aca="false">'DCF Base Case'!$B$2*(1+B334)^5*$I334-'DCF Base Case'!$B$2*(1+B334)^4*B334*'DCF Base Case'!$B$4</f>
        <v>41.0383412825546</v>
      </c>
      <c r="O334" s="24" t="n">
        <f aca="false">J334/(1+H334)^1+K334/(1+H334)^2+L334/(1+H334)^3+M334/(1+H334)^4+N334/(1+H334)^5</f>
        <v>133.678133938154</v>
      </c>
      <c r="P334" s="24" t="n">
        <f aca="false">N334*(1+F334)/(H334-F334)</f>
        <v>639.003630559915</v>
      </c>
      <c r="Q334" s="24" t="n">
        <f aca="false">O334+P334/(1+H334)^5</f>
        <v>556.756770546333</v>
      </c>
      <c r="R334" s="24" t="n">
        <f aca="false">Q334-'DCF Base Case'!$B$5</f>
        <v>371.756770546333</v>
      </c>
      <c r="S334" s="32" t="n">
        <f aca="false">R334/'DCF Base Case'!$B$6</f>
        <v>14.8702708218533</v>
      </c>
    </row>
    <row r="335" customFormat="false" ht="15" hidden="false" customHeight="true" outlineLevel="0" collapsed="false">
      <c r="A335" s="6" t="n">
        <v>334</v>
      </c>
      <c r="B335" s="30" t="n">
        <v>0.0785856920489944</v>
      </c>
      <c r="C335" s="30" t="n">
        <v>0.449138773838135</v>
      </c>
      <c r="D335" s="30" t="n">
        <v>0.0800285392216114</v>
      </c>
      <c r="E335" s="30" t="n">
        <v>0.263989372037371</v>
      </c>
      <c r="F335" s="30" t="n">
        <v>0.0208974655768675</v>
      </c>
      <c r="G335" s="30" t="n">
        <v>0.170974896370676</v>
      </c>
      <c r="H335" s="31" t="n">
        <f aca="false">MAX(D335,F335+0.015)</f>
        <v>0.0800285392216114</v>
      </c>
      <c r="I335" s="25" t="n">
        <f aca="false">(C335-'DCF Base Case'!$B$3)*(1-E335)+'DCF Base Case'!$B$3-G335</f>
        <v>0.193914632969153</v>
      </c>
      <c r="J335" s="24" t="n">
        <f aca="false">'DCF Base Case'!$B$2*(1+B335)^1*$I335-'DCF Base Case'!$B$2*(1+B335)^0*B335*'DCF Base Case'!$B$4</f>
        <v>29.9854167865087</v>
      </c>
      <c r="K335" s="24" t="n">
        <f aca="false">'DCF Base Case'!$B$2*(1+B335)^2*$I335-'DCF Base Case'!$B$2*(1+B335)^1*B335*'DCF Base Case'!$B$4</f>
        <v>32.341841516054</v>
      </c>
      <c r="L335" s="24" t="n">
        <f aca="false">'DCF Base Case'!$B$2*(1+B335)^3*$I335-'DCF Base Case'!$B$2*(1+B335)^2*B335*'DCF Base Case'!$B$4</f>
        <v>34.883447513732</v>
      </c>
      <c r="M335" s="24" t="n">
        <f aca="false">'DCF Base Case'!$B$2*(1+B335)^4*$I335-'DCF Base Case'!$B$2*(1+B335)^3*B335*'DCF Base Case'!$B$4</f>
        <v>37.6247873776534</v>
      </c>
      <c r="N335" s="24" t="n">
        <f aca="false">'DCF Base Case'!$B$2*(1+B335)^5*$I335-'DCF Base Case'!$B$2*(1+B335)^4*B335*'DCF Base Case'!$B$4</f>
        <v>40.5815573319226</v>
      </c>
      <c r="O335" s="24" t="n">
        <f aca="false">J335/(1+H335)^1+K335/(1+H335)^2+L335/(1+H335)^3+M335/(1+H335)^4+N335/(1+H335)^5</f>
        <v>138.447298226375</v>
      </c>
      <c r="P335" s="24" t="n">
        <f aca="false">N335*(1+F335)/(H335-F335)</f>
        <v>700.640229843091</v>
      </c>
      <c r="Q335" s="24" t="n">
        <f aca="false">O335+P335/(1+H335)^5</f>
        <v>615.228267319333</v>
      </c>
      <c r="R335" s="24" t="n">
        <f aca="false">Q335-'DCF Base Case'!$B$5</f>
        <v>430.228267319333</v>
      </c>
      <c r="S335" s="32" t="n">
        <f aca="false">R335/'DCF Base Case'!$B$6</f>
        <v>17.2091306927733</v>
      </c>
    </row>
    <row r="336" customFormat="false" ht="15" hidden="false" customHeight="true" outlineLevel="0" collapsed="false">
      <c r="A336" s="6" t="n">
        <v>335</v>
      </c>
      <c r="B336" s="30" t="n">
        <v>0.0600052039006032</v>
      </c>
      <c r="C336" s="30" t="n">
        <v>0.426074043809893</v>
      </c>
      <c r="D336" s="30" t="n">
        <v>0.0839638596711408</v>
      </c>
      <c r="E336" s="30" t="n">
        <v>0.257124771842234</v>
      </c>
      <c r="F336" s="30" t="n">
        <v>0.0235769044248201</v>
      </c>
      <c r="G336" s="30" t="n">
        <v>0.180067766431117</v>
      </c>
      <c r="H336" s="31" t="n">
        <f aca="false">MAX(D336,F336+0.015)</f>
        <v>0.0839638596711408</v>
      </c>
      <c r="I336" s="25" t="n">
        <f aca="false">(C336-'DCF Base Case'!$B$3)*(1-E336)+'DCF Base Case'!$B$3-G336</f>
        <v>0.16987830641575</v>
      </c>
      <c r="J336" s="24" t="n">
        <f aca="false">'DCF Base Case'!$B$2*(1+B336)^1*$I336-'DCF Base Case'!$B$2*(1+B336)^0*B336*'DCF Base Case'!$B$4</f>
        <v>25.8494012434572</v>
      </c>
      <c r="K336" s="24" t="n">
        <f aca="false">'DCF Base Case'!$B$2*(1+B336)^2*$I336-'DCF Base Case'!$B$2*(1+B336)^1*B336*'DCF Base Case'!$B$4</f>
        <v>27.4004998357793</v>
      </c>
      <c r="L336" s="24" t="n">
        <f aca="false">'DCF Base Case'!$B$2*(1+B336)^3*$I336-'DCF Base Case'!$B$2*(1+B336)^2*B336*'DCF Base Case'!$B$4</f>
        <v>29.0446724154037</v>
      </c>
      <c r="M336" s="24" t="n">
        <f aca="false">'DCF Base Case'!$B$2*(1+B336)^4*$I336-'DCF Base Case'!$B$2*(1+B336)^3*B336*'DCF Base Case'!$B$4</f>
        <v>30.7875039059162</v>
      </c>
      <c r="N336" s="24" t="n">
        <f aca="false">'DCF Base Case'!$B$2*(1+B336)^5*$I336-'DCF Base Case'!$B$2*(1+B336)^4*B336*'DCF Base Case'!$B$4</f>
        <v>32.6349143553814</v>
      </c>
      <c r="O336" s="24" t="n">
        <f aca="false">J336/(1+H336)^1+K336/(1+H336)^2+L336/(1+H336)^3+M336/(1+H336)^4+N336/(1+H336)^5</f>
        <v>114.079867936183</v>
      </c>
      <c r="P336" s="24" t="n">
        <f aca="false">N336*(1+F336)/(H336-F336)</f>
        <v>553.171533086786</v>
      </c>
      <c r="Q336" s="24" t="n">
        <f aca="false">O336+P336/(1+H336)^5</f>
        <v>483.725696260076</v>
      </c>
      <c r="R336" s="24" t="n">
        <f aca="false">Q336-'DCF Base Case'!$B$5</f>
        <v>298.725696260076</v>
      </c>
      <c r="S336" s="32" t="n">
        <f aca="false">R336/'DCF Base Case'!$B$6</f>
        <v>11.949027850403</v>
      </c>
    </row>
    <row r="337" customFormat="false" ht="15" hidden="false" customHeight="true" outlineLevel="0" collapsed="false">
      <c r="A337" s="6" t="n">
        <v>336</v>
      </c>
      <c r="B337" s="30" t="n">
        <v>0.0626955699774539</v>
      </c>
      <c r="C337" s="30" t="n">
        <v>0.438945908974084</v>
      </c>
      <c r="D337" s="30" t="n">
        <v>0.0922467710520281</v>
      </c>
      <c r="E337" s="30" t="n">
        <v>0.279358162875754</v>
      </c>
      <c r="F337" s="30" t="n">
        <v>0.0247915090959266</v>
      </c>
      <c r="G337" s="30" t="n">
        <v>0.168811106672065</v>
      </c>
      <c r="H337" s="31" t="n">
        <f aca="false">MAX(D337,F337+0.015)</f>
        <v>0.0922467710520281</v>
      </c>
      <c r="I337" s="25" t="n">
        <f aca="false">(C337-'DCF Base Case'!$B$3)*(1-E337)+'DCF Base Case'!$B$3-G337</f>
        <v>0.183828240743039</v>
      </c>
      <c r="J337" s="24" t="n">
        <f aca="false">'DCF Base Case'!$B$2*(1+B337)^1*$I337-'DCF Base Case'!$B$2*(1+B337)^0*B337*'DCF Base Case'!$B$4</f>
        <v>28.0535255463826</v>
      </c>
      <c r="K337" s="24" t="n">
        <f aca="false">'DCF Base Case'!$B$2*(1+B337)^2*$I337-'DCF Base Case'!$B$2*(1+B337)^1*B337*'DCF Base Case'!$B$4</f>
        <v>29.8123573203902</v>
      </c>
      <c r="L337" s="24" t="n">
        <f aca="false">'DCF Base Case'!$B$2*(1+B337)^3*$I337-'DCF Base Case'!$B$2*(1+B337)^2*B337*'DCF Base Case'!$B$4</f>
        <v>31.6814600549635</v>
      </c>
      <c r="M337" s="24" t="n">
        <f aca="false">'DCF Base Case'!$B$2*(1+B337)^4*$I337-'DCF Base Case'!$B$2*(1+B337)^3*B337*'DCF Base Case'!$B$4</f>
        <v>33.6677472508274</v>
      </c>
      <c r="N337" s="24" t="n">
        <f aca="false">'DCF Base Case'!$B$2*(1+B337)^5*$I337-'DCF Base Case'!$B$2*(1+B337)^4*B337*'DCF Base Case'!$B$4</f>
        <v>35.7785658545749</v>
      </c>
      <c r="O337" s="24" t="n">
        <f aca="false">J337/(1+H337)^1+K337/(1+H337)^2+L337/(1+H337)^3+M337/(1+H337)^4+N337/(1+H337)^5</f>
        <v>121.65768612974</v>
      </c>
      <c r="P337" s="24" t="n">
        <f aca="false">N337*(1+F337)/(H337-F337)</f>
        <v>543.5538967925</v>
      </c>
      <c r="Q337" s="24" t="n">
        <f aca="false">O337+P337/(1+H337)^5</f>
        <v>471.311899639535</v>
      </c>
      <c r="R337" s="24" t="n">
        <f aca="false">Q337-'DCF Base Case'!$B$5</f>
        <v>286.311899639535</v>
      </c>
      <c r="S337" s="32" t="n">
        <f aca="false">R337/'DCF Base Case'!$B$6</f>
        <v>11.4524759855814</v>
      </c>
    </row>
    <row r="338" customFormat="false" ht="15" hidden="false" customHeight="true" outlineLevel="0" collapsed="false">
      <c r="A338" s="6" t="n">
        <v>337</v>
      </c>
      <c r="B338" s="30" t="n">
        <v>0.08943672452895</v>
      </c>
      <c r="C338" s="30" t="n">
        <v>0.399865957358505</v>
      </c>
      <c r="D338" s="30" t="n">
        <v>0.0914003548323779</v>
      </c>
      <c r="E338" s="30" t="n">
        <v>0.293995159971571</v>
      </c>
      <c r="F338" s="30" t="n">
        <v>0.0194087648325428</v>
      </c>
      <c r="G338" s="30" t="n">
        <v>0.149309921112644</v>
      </c>
      <c r="H338" s="31" t="n">
        <f aca="false">MAX(D338,F338+0.015)</f>
        <v>0.0914003548323779</v>
      </c>
      <c r="I338" s="25" t="n">
        <f aca="false">(C338-'DCF Base Case'!$B$3)*(1-E338)+'DCF Base Case'!$B$3-G338</f>
        <v>0.171216750941366</v>
      </c>
      <c r="J338" s="24" t="n">
        <f aca="false">'DCF Base Case'!$B$2*(1+B338)^1*$I338-'DCF Base Case'!$B$2*(1+B338)^0*B338*'DCF Base Case'!$B$4</f>
        <v>26.6577736161565</v>
      </c>
      <c r="K338" s="24" t="n">
        <f aca="false">'DCF Base Case'!$B$2*(1+B338)^2*$I338-'DCF Base Case'!$B$2*(1+B338)^1*B338*'DCF Base Case'!$B$4</f>
        <v>29.0419575716198</v>
      </c>
      <c r="L338" s="24" t="n">
        <f aca="false">'DCF Base Case'!$B$2*(1+B338)^3*$I338-'DCF Base Case'!$B$2*(1+B338)^2*B338*'DCF Base Case'!$B$4</f>
        <v>31.6393751307342</v>
      </c>
      <c r="M338" s="24" t="n">
        <f aca="false">'DCF Base Case'!$B$2*(1+B338)^4*$I338-'DCF Base Case'!$B$2*(1+B338)^3*B338*'DCF Base Case'!$B$4</f>
        <v>34.4690972085698</v>
      </c>
      <c r="N338" s="24" t="n">
        <f aca="false">'DCF Base Case'!$B$2*(1+B338)^5*$I338-'DCF Base Case'!$B$2*(1+B338)^4*B338*'DCF Base Case'!$B$4</f>
        <v>37.5519003603742</v>
      </c>
      <c r="O338" s="24" t="n">
        <f aca="false">J338/(1+H338)^1+K338/(1+H338)^2+L338/(1+H338)^3+M338/(1+H338)^4+N338/(1+H338)^5</f>
        <v>121.68779970412</v>
      </c>
      <c r="P338" s="24" t="n">
        <f aca="false">N338*(1+F338)/(H338-F338)</f>
        <v>531.739004008266</v>
      </c>
      <c r="Q338" s="24" t="n">
        <f aca="false">O338+P338/(1+H338)^5</f>
        <v>465.070225661244</v>
      </c>
      <c r="R338" s="24" t="n">
        <f aca="false">Q338-'DCF Base Case'!$B$5</f>
        <v>280.070225661244</v>
      </c>
      <c r="S338" s="32" t="n">
        <f aca="false">R338/'DCF Base Case'!$B$6</f>
        <v>11.2028090264498</v>
      </c>
    </row>
    <row r="339" customFormat="false" ht="15" hidden="false" customHeight="true" outlineLevel="0" collapsed="false">
      <c r="A339" s="6" t="n">
        <v>338</v>
      </c>
      <c r="B339" s="30" t="n">
        <v>0.0926549388984886</v>
      </c>
      <c r="C339" s="30" t="n">
        <v>0.414335522371156</v>
      </c>
      <c r="D339" s="30" t="n">
        <v>0.0703317824939238</v>
      </c>
      <c r="E339" s="30" t="n">
        <v>0.252457074819045</v>
      </c>
      <c r="F339" s="30" t="n">
        <v>0.0213733781925786</v>
      </c>
      <c r="G339" s="30" t="n">
        <v>0.124306089629335</v>
      </c>
      <c r="H339" s="31" t="n">
        <f aca="false">MAX(D339,F339+0.015)</f>
        <v>0.0703317824939238</v>
      </c>
      <c r="I339" s="25" t="n">
        <f aca="false">(C339-'DCF Base Case'!$B$3)*(1-E339)+'DCF Base Case'!$B$3-G339</f>
        <v>0.218246918496854</v>
      </c>
      <c r="J339" s="24" t="n">
        <f aca="false">'DCF Base Case'!$B$2*(1+B339)^1*$I339-'DCF Base Case'!$B$2*(1+B339)^0*B339*'DCF Base Case'!$B$4</f>
        <v>34.1748941580612</v>
      </c>
      <c r="K339" s="24" t="n">
        <f aca="false">'DCF Base Case'!$B$2*(1+B339)^2*$I339-'DCF Base Case'!$B$2*(1+B339)^1*B339*'DCF Base Case'!$B$4</f>
        <v>37.3413668881387</v>
      </c>
      <c r="L339" s="24" t="n">
        <f aca="false">'DCF Base Case'!$B$2*(1+B339)^3*$I339-'DCF Base Case'!$B$2*(1+B339)^2*B339*'DCF Base Case'!$B$4</f>
        <v>40.8012289555453</v>
      </c>
      <c r="M339" s="24" t="n">
        <f aca="false">'DCF Base Case'!$B$2*(1+B339)^4*$I339-'DCF Base Case'!$B$2*(1+B339)^3*B339*'DCF Base Case'!$B$4</f>
        <v>44.5816643314045</v>
      </c>
      <c r="N339" s="24" t="n">
        <f aca="false">'DCF Base Case'!$B$2*(1+B339)^5*$I339-'DCF Base Case'!$B$2*(1+B339)^4*B339*'DCF Base Case'!$B$4</f>
        <v>48.7123757160238</v>
      </c>
      <c r="O339" s="24" t="n">
        <f aca="false">J339/(1+H339)^1+K339/(1+H339)^2+L339/(1+H339)^3+M339/(1+H339)^4+N339/(1+H339)^5</f>
        <v>166.445865782792</v>
      </c>
      <c r="P339" s="24" t="n">
        <f aca="false">N339*(1+F339)/(H339-F339)</f>
        <v>1016.24071402781</v>
      </c>
      <c r="Q339" s="24" t="n">
        <f aca="false">O339+P339/(1+H339)^5</f>
        <v>889.889138173498</v>
      </c>
      <c r="R339" s="24" t="n">
        <f aca="false">Q339-'DCF Base Case'!$B$5</f>
        <v>704.889138173498</v>
      </c>
      <c r="S339" s="32" t="n">
        <f aca="false">R339/'DCF Base Case'!$B$6</f>
        <v>28.1955655269399</v>
      </c>
    </row>
    <row r="340" customFormat="false" ht="15" hidden="false" customHeight="true" outlineLevel="0" collapsed="false">
      <c r="A340" s="6" t="n">
        <v>339</v>
      </c>
      <c r="B340" s="30" t="n">
        <v>0.0942492787950712</v>
      </c>
      <c r="C340" s="30" t="n">
        <v>0.406052808180139</v>
      </c>
      <c r="D340" s="30" t="n">
        <v>0.099390712675679</v>
      </c>
      <c r="E340" s="30" t="n">
        <v>0.267400513904253</v>
      </c>
      <c r="F340" s="30" t="n">
        <v>0.0217171367191065</v>
      </c>
      <c r="G340" s="30" t="n">
        <v>0.157186852434785</v>
      </c>
      <c r="H340" s="31" t="n">
        <f aca="false">MAX(D340,F340+0.015)</f>
        <v>0.099390712675679</v>
      </c>
      <c r="I340" s="25" t="n">
        <f aca="false">(C340-'DCF Base Case'!$B$3)*(1-E340)+'DCF Base Case'!$B$3-G340</f>
        <v>0.175049292973273</v>
      </c>
      <c r="J340" s="24" t="n">
        <f aca="false">'DCF Base Case'!$B$2*(1+B340)^1*$I340-'DCF Base Case'!$B$2*(1+B340)^0*B340*'DCF Base Case'!$B$4</f>
        <v>27.3644122127321</v>
      </c>
      <c r="K340" s="24" t="n">
        <f aca="false">'DCF Base Case'!$B$2*(1+B340)^2*$I340-'DCF Base Case'!$B$2*(1+B340)^1*B340*'DCF Base Case'!$B$4</f>
        <v>29.9434883284331</v>
      </c>
      <c r="L340" s="24" t="n">
        <f aca="false">'DCF Base Case'!$B$2*(1+B340)^3*$I340-'DCF Base Case'!$B$2*(1+B340)^2*B340*'DCF Base Case'!$B$4</f>
        <v>32.7656405079966</v>
      </c>
      <c r="M340" s="24" t="n">
        <f aca="false">'DCF Base Case'!$B$2*(1+B340)^4*$I340-'DCF Base Case'!$B$2*(1+B340)^3*B340*'DCF Base Case'!$B$4</f>
        <v>35.8537784951338</v>
      </c>
      <c r="N340" s="24" t="n">
        <f aca="false">'DCF Base Case'!$B$2*(1+B340)^5*$I340-'DCF Base Case'!$B$2*(1+B340)^4*B340*'DCF Base Case'!$B$4</f>
        <v>39.2329712603785</v>
      </c>
      <c r="O340" s="24" t="n">
        <f aca="false">J340/(1+H340)^1+K340/(1+H340)^2+L340/(1+H340)^3+M340/(1+H340)^4+N340/(1+H340)^5</f>
        <v>123.294021349273</v>
      </c>
      <c r="P340" s="24" t="n">
        <f aca="false">N340*(1+F340)/(H340-F340)</f>
        <v>516.069957736316</v>
      </c>
      <c r="Q340" s="24" t="n">
        <f aca="false">O340+P340/(1+H340)^5</f>
        <v>444.621790350418</v>
      </c>
      <c r="R340" s="24" t="n">
        <f aca="false">Q340-'DCF Base Case'!$B$5</f>
        <v>259.621790350418</v>
      </c>
      <c r="S340" s="32" t="n">
        <f aca="false">R340/'DCF Base Case'!$B$6</f>
        <v>10.3848716140167</v>
      </c>
    </row>
    <row r="341" customFormat="false" ht="15" hidden="false" customHeight="true" outlineLevel="0" collapsed="false">
      <c r="A341" s="6" t="n">
        <v>340</v>
      </c>
      <c r="B341" s="30" t="n">
        <v>0.0923177853060054</v>
      </c>
      <c r="C341" s="30" t="n">
        <v>0.42949217324956</v>
      </c>
      <c r="D341" s="30" t="n">
        <v>0.0799118871204296</v>
      </c>
      <c r="E341" s="30" t="n">
        <v>0.310263945351053</v>
      </c>
      <c r="F341" s="30" t="n">
        <v>0.0152945606947493</v>
      </c>
      <c r="G341" s="30" t="n">
        <v>0.171990471868518</v>
      </c>
      <c r="H341" s="31" t="n">
        <f aca="false">MAX(D341,F341+0.015)</f>
        <v>0.0799118871204296</v>
      </c>
      <c r="I341" s="25" t="n">
        <f aca="false">(C341-'DCF Base Case'!$B$3)*(1-E341)+'DCF Base Case'!$B$3-G341</f>
        <v>0.164580078106872</v>
      </c>
      <c r="J341" s="24" t="n">
        <f aca="false">'DCF Base Case'!$B$2*(1+B341)^1*$I341-'DCF Base Case'!$B$2*(1+B341)^0*B341*'DCF Base Case'!$B$4</f>
        <v>25.6656108652812</v>
      </c>
      <c r="K341" s="24" t="n">
        <f aca="false">'DCF Base Case'!$B$2*(1+B341)^2*$I341-'DCF Base Case'!$B$2*(1+B341)^1*B341*'DCF Base Case'!$B$4</f>
        <v>28.0350032188897</v>
      </c>
      <c r="L341" s="24" t="n">
        <f aca="false">'DCF Base Case'!$B$2*(1+B341)^3*$I341-'DCF Base Case'!$B$2*(1+B341)^2*B341*'DCF Base Case'!$B$4</f>
        <v>30.6231326271043</v>
      </c>
      <c r="M341" s="24" t="n">
        <f aca="false">'DCF Base Case'!$B$2*(1+B341)^4*$I341-'DCF Base Case'!$B$2*(1+B341)^3*B341*'DCF Base Case'!$B$4</f>
        <v>33.4501924103707</v>
      </c>
      <c r="N341" s="24" t="n">
        <f aca="false">'DCF Base Case'!$B$2*(1+B341)^5*$I341-'DCF Base Case'!$B$2*(1+B341)^4*B341*'DCF Base Case'!$B$4</f>
        <v>36.5382400917558</v>
      </c>
      <c r="O341" s="24" t="n">
        <f aca="false">J341/(1+H341)^1+K341/(1+H341)^2+L341/(1+H341)^3+M341/(1+H341)^4+N341/(1+H341)^5</f>
        <v>121.593767730407</v>
      </c>
      <c r="P341" s="24" t="n">
        <f aca="false">N341*(1+F341)/(H341-F341)</f>
        <v>574.104167946128</v>
      </c>
      <c r="Q341" s="24" t="n">
        <f aca="false">O341+P341/(1+H341)^5</f>
        <v>512.478845514324</v>
      </c>
      <c r="R341" s="24" t="n">
        <f aca="false">Q341-'DCF Base Case'!$B$5</f>
        <v>327.478845514324</v>
      </c>
      <c r="S341" s="32" t="n">
        <f aca="false">R341/'DCF Base Case'!$B$6</f>
        <v>13.099153820573</v>
      </c>
    </row>
    <row r="342" customFormat="false" ht="15" hidden="false" customHeight="true" outlineLevel="0" collapsed="false">
      <c r="A342" s="6" t="n">
        <v>341</v>
      </c>
      <c r="B342" s="30" t="n">
        <v>0.110158963335287</v>
      </c>
      <c r="C342" s="30" t="n">
        <v>0.433671487195872</v>
      </c>
      <c r="D342" s="30" t="n">
        <v>0.10608089364409</v>
      </c>
      <c r="E342" s="30" t="n">
        <v>0.262271709949483</v>
      </c>
      <c r="F342" s="30" t="n">
        <v>0.0138323315170494</v>
      </c>
      <c r="G342" s="30" t="n">
        <v>0.145300582946104</v>
      </c>
      <c r="H342" s="31" t="n">
        <f aca="false">MAX(D342,F342+0.015)</f>
        <v>0.10608089364409</v>
      </c>
      <c r="I342" s="25" t="n">
        <f aca="false">(C342-'DCF Base Case'!$B$3)*(1-E342)+'DCF Base Case'!$B$3-G342</f>
        <v>0.208726464040004</v>
      </c>
      <c r="J342" s="24" t="n">
        <f aca="false">'DCF Base Case'!$B$2*(1+B342)^1*$I342-'DCF Base Case'!$B$2*(1+B342)^0*B342*'DCF Base Case'!$B$4</f>
        <v>33.1201439756887</v>
      </c>
      <c r="K342" s="24" t="n">
        <f aca="false">'DCF Base Case'!$B$2*(1+B342)^2*$I342-'DCF Base Case'!$B$2*(1+B342)^1*B342*'DCF Base Case'!$B$4</f>
        <v>36.768624701566</v>
      </c>
      <c r="L342" s="24" t="n">
        <f aca="false">'DCF Base Case'!$B$2*(1+B342)^3*$I342-'DCF Base Case'!$B$2*(1+B342)^2*B342*'DCF Base Case'!$B$4</f>
        <v>40.8190182819548</v>
      </c>
      <c r="M342" s="24" t="n">
        <f aca="false">'DCF Base Case'!$B$2*(1+B342)^4*$I342-'DCF Base Case'!$B$2*(1+B342)^3*B342*'DCF Base Case'!$B$4</f>
        <v>45.315599020259</v>
      </c>
      <c r="N342" s="24" t="n">
        <f aca="false">'DCF Base Case'!$B$2*(1+B342)^5*$I342-'DCF Base Case'!$B$2*(1+B342)^4*B342*'DCF Base Case'!$B$4</f>
        <v>50.3075184312483</v>
      </c>
      <c r="O342" s="24" t="n">
        <f aca="false">J342/(1+H342)^1+K342/(1+H342)^2+L342/(1+H342)^3+M342/(1+H342)^4+N342/(1+H342)^5</f>
        <v>150.826540754095</v>
      </c>
      <c r="P342" s="24" t="n">
        <f aca="false">N342*(1+F342)/(H342-F342)</f>
        <v>552.890880117457</v>
      </c>
      <c r="Q342" s="24" t="n">
        <f aca="false">O342+P342/(1+H342)^5</f>
        <v>484.794631863516</v>
      </c>
      <c r="R342" s="24" t="n">
        <f aca="false">Q342-'DCF Base Case'!$B$5</f>
        <v>299.794631863516</v>
      </c>
      <c r="S342" s="32" t="n">
        <f aca="false">R342/'DCF Base Case'!$B$6</f>
        <v>11.9917852745406</v>
      </c>
    </row>
    <row r="343" customFormat="false" ht="15" hidden="false" customHeight="true" outlineLevel="0" collapsed="false">
      <c r="A343" s="6" t="n">
        <v>342</v>
      </c>
      <c r="B343" s="30" t="n">
        <v>0.104328938071107</v>
      </c>
      <c r="C343" s="30" t="n">
        <v>0.428841137549645</v>
      </c>
      <c r="D343" s="30" t="n">
        <v>0.0861248232561216</v>
      </c>
      <c r="E343" s="30" t="n">
        <v>0.256958812165882</v>
      </c>
      <c r="F343" s="30" t="n">
        <v>0.0221071897254413</v>
      </c>
      <c r="G343" s="30" t="n">
        <v>0.141008877808226</v>
      </c>
      <c r="H343" s="31" t="n">
        <f aca="false">MAX(D343,F343+0.015)</f>
        <v>0.0861248232561216</v>
      </c>
      <c r="I343" s="25" t="n">
        <f aca="false">(C343-'DCF Base Case'!$B$3)*(1-E343)+'DCF Base Case'!$B$3-G343</f>
        <v>0.211042396010361</v>
      </c>
      <c r="J343" s="24" t="n">
        <f aca="false">'DCF Base Case'!$B$2*(1+B343)^1*$I343-'DCF Base Case'!$B$2*(1+B343)^0*B343*'DCF Base Case'!$B$4</f>
        <v>33.3399017551358</v>
      </c>
      <c r="K343" s="24" t="n">
        <f aca="false">'DCF Base Case'!$B$2*(1+B343)^2*$I343-'DCF Base Case'!$B$2*(1+B343)^1*B343*'DCF Base Case'!$B$4</f>
        <v>36.8182183006442</v>
      </c>
      <c r="L343" s="24" t="n">
        <f aca="false">'DCF Base Case'!$B$2*(1+B343)^3*$I343-'DCF Base Case'!$B$2*(1+B343)^2*B343*'DCF Base Case'!$B$4</f>
        <v>40.6594239176206</v>
      </c>
      <c r="M343" s="24" t="n">
        <f aca="false">'DCF Base Case'!$B$2*(1+B343)^4*$I343-'DCF Base Case'!$B$2*(1+B343)^3*B343*'DCF Base Case'!$B$4</f>
        <v>44.9013784375289</v>
      </c>
      <c r="N343" s="24" t="n">
        <f aca="false">'DCF Base Case'!$B$2*(1+B343)^5*$I343-'DCF Base Case'!$B$2*(1+B343)^4*B343*'DCF Base Case'!$B$4</f>
        <v>49.5858915678452</v>
      </c>
      <c r="O343" s="24" t="n">
        <f aca="false">J343/(1+H343)^1+K343/(1+H343)^2+L343/(1+H343)^3+M343/(1+H343)^4+N343/(1+H343)^5</f>
        <v>158.712812175669</v>
      </c>
      <c r="P343" s="24" t="n">
        <f aca="false">N343*(1+F343)/(H343-F343)</f>
        <v>791.689624955465</v>
      </c>
      <c r="Q343" s="24" t="n">
        <f aca="false">O343+P343/(1+H343)^5</f>
        <v>682.501670025006</v>
      </c>
      <c r="R343" s="24" t="n">
        <f aca="false">Q343-'DCF Base Case'!$B$5</f>
        <v>497.501670025006</v>
      </c>
      <c r="S343" s="32" t="n">
        <f aca="false">R343/'DCF Base Case'!$B$6</f>
        <v>19.9000668010002</v>
      </c>
    </row>
    <row r="344" customFormat="false" ht="15" hidden="false" customHeight="true" outlineLevel="0" collapsed="false">
      <c r="A344" s="6" t="n">
        <v>343</v>
      </c>
      <c r="B344" s="30" t="n">
        <v>0.115176788250105</v>
      </c>
      <c r="C344" s="30" t="n">
        <v>0.457973267560094</v>
      </c>
      <c r="D344" s="30" t="n">
        <v>0.0890309626122871</v>
      </c>
      <c r="E344" s="30" t="n">
        <v>0.297358652078528</v>
      </c>
      <c r="F344" s="30" t="n">
        <v>0.0173779923835134</v>
      </c>
      <c r="G344" s="30" t="n">
        <v>0.131854342041563</v>
      </c>
      <c r="H344" s="31" t="n">
        <f aca="false">MAX(D344,F344+0.015)</f>
        <v>0.0890309626122871</v>
      </c>
      <c r="I344" s="25" t="n">
        <f aca="false">(C344-'DCF Base Case'!$B$3)*(1-E344)+'DCF Base Case'!$B$3-G344</f>
        <v>0.228593236759071</v>
      </c>
      <c r="J344" s="24" t="n">
        <f aca="false">'DCF Base Case'!$B$2*(1+B344)^1*$I344-'DCF Base Case'!$B$2*(1+B344)^0*B344*'DCF Base Case'!$B$4</f>
        <v>36.4626523508902</v>
      </c>
      <c r="K344" s="24" t="n">
        <f aca="false">'DCF Base Case'!$B$2*(1+B344)^2*$I344-'DCF Base Case'!$B$2*(1+B344)^1*B344*'DCF Base Case'!$B$4</f>
        <v>40.6623035397458</v>
      </c>
      <c r="L344" s="24" t="n">
        <f aca="false">'DCF Base Case'!$B$2*(1+B344)^3*$I344-'DCF Base Case'!$B$2*(1+B344)^2*B344*'DCF Base Case'!$B$4</f>
        <v>45.3456570643046</v>
      </c>
      <c r="M344" s="24" t="n">
        <f aca="false">'DCF Base Case'!$B$2*(1+B344)^4*$I344-'DCF Base Case'!$B$2*(1+B344)^3*B344*'DCF Base Case'!$B$4</f>
        <v>50.5684242060619</v>
      </c>
      <c r="N344" s="24" t="n">
        <f aca="false">'DCF Base Case'!$B$2*(1+B344)^5*$I344-'DCF Base Case'!$B$2*(1+B344)^4*B344*'DCF Base Case'!$B$4</f>
        <v>56.392732892985</v>
      </c>
      <c r="O344" s="24" t="n">
        <f aca="false">J344/(1+H344)^1+K344/(1+H344)^2+L344/(1+H344)^3+M344/(1+H344)^4+N344/(1+H344)^5</f>
        <v>175.642430553379</v>
      </c>
      <c r="P344" s="24" t="n">
        <f aca="false">N344*(1+F344)/(H344-F344)</f>
        <v>800.702681165973</v>
      </c>
      <c r="Q344" s="24" t="n">
        <f aca="false">O344+P344/(1+H344)^5</f>
        <v>698.363667969115</v>
      </c>
      <c r="R344" s="24" t="n">
        <f aca="false">Q344-'DCF Base Case'!$B$5</f>
        <v>513.363667969115</v>
      </c>
      <c r="S344" s="32" t="n">
        <f aca="false">R344/'DCF Base Case'!$B$6</f>
        <v>20.5345467187646</v>
      </c>
    </row>
    <row r="345" customFormat="false" ht="15" hidden="false" customHeight="true" outlineLevel="0" collapsed="false">
      <c r="A345" s="6" t="n">
        <v>344</v>
      </c>
      <c r="B345" s="30" t="n">
        <v>0.0769694264933939</v>
      </c>
      <c r="C345" s="30" t="n">
        <v>0.385510840810232</v>
      </c>
      <c r="D345" s="30" t="n">
        <v>0.0690829496594348</v>
      </c>
      <c r="E345" s="30" t="n">
        <v>0.329487285396673</v>
      </c>
      <c r="F345" s="30" t="n">
        <v>0.0203227492868169</v>
      </c>
      <c r="G345" s="30" t="n">
        <v>0.174037710884394</v>
      </c>
      <c r="H345" s="31" t="n">
        <f aca="false">MAX(D345,F345+0.015)</f>
        <v>0.0690829496594348</v>
      </c>
      <c r="I345" s="25" t="n">
        <f aca="false">(C345-'DCF Base Case'!$B$3)*(1-E345)+'DCF Base Case'!$B$3-G345</f>
        <v>0.127285556597853</v>
      </c>
      <c r="J345" s="24" t="n">
        <f aca="false">'DCF Base Case'!$B$2*(1+B345)^1*$I345-'DCF Base Case'!$B$2*(1+B345)^0*B345*'DCF Base Case'!$B$4</f>
        <v>19.5421676638157</v>
      </c>
      <c r="K345" s="24" t="n">
        <f aca="false">'DCF Base Case'!$B$2*(1+B345)^2*$I345-'DCF Base Case'!$B$2*(1+B345)^1*B345*'DCF Base Case'!$B$4</f>
        <v>21.0463171013373</v>
      </c>
      <c r="L345" s="24" t="n">
        <f aca="false">'DCF Base Case'!$B$2*(1+B345)^3*$I345-'DCF Base Case'!$B$2*(1+B345)^2*B345*'DCF Base Case'!$B$4</f>
        <v>22.6662400584254</v>
      </c>
      <c r="M345" s="24" t="n">
        <f aca="false">'DCF Base Case'!$B$2*(1+B345)^4*$I345-'DCF Base Case'!$B$2*(1+B345)^3*B345*'DCF Base Case'!$B$4</f>
        <v>24.410847556484</v>
      </c>
      <c r="N345" s="24" t="n">
        <f aca="false">'DCF Base Case'!$B$2*(1+B345)^5*$I345-'DCF Base Case'!$B$2*(1+B345)^4*B345*'DCF Base Case'!$B$4</f>
        <v>26.2897364931242</v>
      </c>
      <c r="O345" s="24" t="n">
        <f aca="false">J345/(1+H345)^1+K345/(1+H345)^2+L345/(1+H345)^3+M345/(1+H345)^4+N345/(1+H345)^5</f>
        <v>92.7553009296042</v>
      </c>
      <c r="P345" s="24" t="n">
        <f aca="false">N345*(1+F345)/(H345-F345)</f>
        <v>550.121123615274</v>
      </c>
      <c r="Q345" s="24" t="n">
        <f aca="false">O345+P345/(1+H345)^5</f>
        <v>486.669200239253</v>
      </c>
      <c r="R345" s="24" t="n">
        <f aca="false">Q345-'DCF Base Case'!$B$5</f>
        <v>301.669200239253</v>
      </c>
      <c r="S345" s="32" t="n">
        <f aca="false">R345/'DCF Base Case'!$B$6</f>
        <v>12.0667680095701</v>
      </c>
    </row>
    <row r="346" customFormat="false" ht="15" hidden="false" customHeight="true" outlineLevel="0" collapsed="false">
      <c r="A346" s="6" t="n">
        <v>345</v>
      </c>
      <c r="B346" s="30" t="n">
        <v>0.0835116224111747</v>
      </c>
      <c r="C346" s="30" t="n">
        <v>0.408592818957952</v>
      </c>
      <c r="D346" s="30" t="n">
        <v>0.0956100575046327</v>
      </c>
      <c r="E346" s="30" t="n">
        <v>0.278742059254875</v>
      </c>
      <c r="F346" s="30" t="n">
        <v>0.0212479381808861</v>
      </c>
      <c r="G346" s="30" t="n">
        <v>0.161125730630092</v>
      </c>
      <c r="H346" s="31" t="n">
        <f aca="false">MAX(D346,F346+0.015)</f>
        <v>0.0956100575046327</v>
      </c>
      <c r="I346" s="25" t="n">
        <f aca="false">(C346-'DCF Base Case'!$B$3)*(1-E346)+'DCF Base Case'!$B$3-G346</f>
        <v>0.1698115522779</v>
      </c>
      <c r="J346" s="24" t="n">
        <f aca="false">'DCF Base Case'!$B$2*(1+B346)^1*$I346-'DCF Base Case'!$B$2*(1+B346)^0*B346*'DCF Base Case'!$B$4</f>
        <v>26.3156790668655</v>
      </c>
      <c r="K346" s="24" t="n">
        <f aca="false">'DCF Base Case'!$B$2*(1+B346)^2*$I346-'DCF Base Case'!$B$2*(1+B346)^1*B346*'DCF Base Case'!$B$4</f>
        <v>28.5133441205913</v>
      </c>
      <c r="L346" s="24" t="n">
        <f aca="false">'DCF Base Case'!$B$2*(1+B346)^3*$I346-'DCF Base Case'!$B$2*(1+B346)^2*B346*'DCF Base Case'!$B$4</f>
        <v>30.89453974847</v>
      </c>
      <c r="M346" s="24" t="n">
        <f aca="false">'DCF Base Case'!$B$2*(1+B346)^4*$I346-'DCF Base Case'!$B$2*(1+B346)^3*B346*'DCF Base Case'!$B$4</f>
        <v>33.4745928865112</v>
      </c>
      <c r="N346" s="24" t="n">
        <f aca="false">'DCF Base Case'!$B$2*(1+B346)^5*$I346-'DCF Base Case'!$B$2*(1+B346)^4*B346*'DCF Base Case'!$B$4</f>
        <v>36.2701104480174</v>
      </c>
      <c r="O346" s="24" t="n">
        <f aca="false">J346/(1+H346)^1+K346/(1+H346)^2+L346/(1+H346)^3+M346/(1+H346)^4+N346/(1+H346)^5</f>
        <v>117.472781014791</v>
      </c>
      <c r="P346" s="24" t="n">
        <f aca="false">N346*(1+F346)/(H346-F346)</f>
        <v>498.113499850215</v>
      </c>
      <c r="Q346" s="24" t="n">
        <f aca="false">O346+P346/(1+H346)^5</f>
        <v>433.008304866086</v>
      </c>
      <c r="R346" s="24" t="n">
        <f aca="false">Q346-'DCF Base Case'!$B$5</f>
        <v>248.008304866086</v>
      </c>
      <c r="S346" s="32" t="n">
        <f aca="false">R346/'DCF Base Case'!$B$6</f>
        <v>9.92033219464343</v>
      </c>
    </row>
    <row r="347" customFormat="false" ht="15" hidden="false" customHeight="true" outlineLevel="0" collapsed="false">
      <c r="A347" s="6" t="n">
        <v>346</v>
      </c>
      <c r="B347" s="30" t="n">
        <v>0.0827853899035642</v>
      </c>
      <c r="C347" s="30" t="n">
        <v>0.38125028628676</v>
      </c>
      <c r="D347" s="30" t="n">
        <v>0.0632447603139616</v>
      </c>
      <c r="E347" s="30" t="n">
        <v>0.272725250823803</v>
      </c>
      <c r="F347" s="30" t="n">
        <v>0.019562542212276</v>
      </c>
      <c r="G347" s="30" t="n">
        <v>0.139919723036948</v>
      </c>
      <c r="H347" s="31" t="n">
        <f aca="false">MAX(D347,F347+0.015)</f>
        <v>0.0632447603139616</v>
      </c>
      <c r="I347" s="25" t="n">
        <f aca="false">(C347-'DCF Base Case'!$B$3)*(1-E347)+'DCF Base Case'!$B$3-G347</f>
        <v>0.172808265902703</v>
      </c>
      <c r="J347" s="24" t="n">
        <f aca="false">'DCF Base Case'!$B$2*(1+B347)^1*$I347-'DCF Base Case'!$B$2*(1+B347)^0*B347*'DCF Base Case'!$B$4</f>
        <v>26.771452062152</v>
      </c>
      <c r="K347" s="24" t="n">
        <f aca="false">'DCF Base Case'!$B$2*(1+B347)^2*$I347-'DCF Base Case'!$B$2*(1+B347)^1*B347*'DCF Base Case'!$B$4</f>
        <v>28.9877371594018</v>
      </c>
      <c r="L347" s="24" t="n">
        <f aca="false">'DCF Base Case'!$B$2*(1+B347)^3*$I347-'DCF Base Case'!$B$2*(1+B347)^2*B347*'DCF Base Case'!$B$4</f>
        <v>31.3874982825649</v>
      </c>
      <c r="M347" s="24" t="n">
        <f aca="false">'DCF Base Case'!$B$2*(1+B347)^4*$I347-'DCF Base Case'!$B$2*(1+B347)^3*B347*'DCF Base Case'!$B$4</f>
        <v>33.9859245659845</v>
      </c>
      <c r="N347" s="24" t="n">
        <f aca="false">'DCF Base Case'!$B$2*(1+B347)^5*$I347-'DCF Base Case'!$B$2*(1+B347)^4*B347*'DCF Base Case'!$B$4</f>
        <v>36.7994625824127</v>
      </c>
      <c r="O347" s="24" t="n">
        <f aca="false">J347/(1+H347)^1+K347/(1+H347)^2+L347/(1+H347)^3+M347/(1+H347)^4+N347/(1+H347)^5</f>
        <v>130.608360928031</v>
      </c>
      <c r="P347" s="24" t="n">
        <f aca="false">N347*(1+F347)/(H347-F347)</f>
        <v>858.915944589416</v>
      </c>
      <c r="Q347" s="24" t="n">
        <f aca="false">O347+P347/(1+H347)^5</f>
        <v>762.706350437505</v>
      </c>
      <c r="R347" s="24" t="n">
        <f aca="false">Q347-'DCF Base Case'!$B$5</f>
        <v>577.706350437505</v>
      </c>
      <c r="S347" s="32" t="n">
        <f aca="false">R347/'DCF Base Case'!$B$6</f>
        <v>23.1082540175002</v>
      </c>
    </row>
    <row r="348" customFormat="false" ht="15" hidden="false" customHeight="true" outlineLevel="0" collapsed="false">
      <c r="A348" s="6" t="n">
        <v>347</v>
      </c>
      <c r="B348" s="30" t="n">
        <v>0.0893076689072679</v>
      </c>
      <c r="C348" s="30" t="n">
        <v>0.415602358077639</v>
      </c>
      <c r="D348" s="30" t="n">
        <v>0.0612839119333468</v>
      </c>
      <c r="E348" s="30" t="n">
        <v>0.259903236163186</v>
      </c>
      <c r="F348" s="30" t="n">
        <v>0.0208010966971224</v>
      </c>
      <c r="G348" s="30" t="n">
        <v>0.174216398240136</v>
      </c>
      <c r="H348" s="31" t="n">
        <f aca="false">MAX(D348,F348+0.015)</f>
        <v>0.0612839119333468</v>
      </c>
      <c r="I348" s="25" t="n">
        <f aca="false">(C348-'DCF Base Case'!$B$3)*(1-E348)+'DCF Base Case'!$B$3-G348</f>
        <v>0.167156982717288</v>
      </c>
      <c r="J348" s="24" t="n">
        <f aca="false">'DCF Base Case'!$B$2*(1+B348)^1*$I348-'DCF Base Case'!$B$2*(1+B348)^0*B348*'DCF Base Case'!$B$4</f>
        <v>26.0138922021278</v>
      </c>
      <c r="K348" s="24" t="n">
        <f aca="false">'DCF Base Case'!$B$2*(1+B348)^2*$I348-'DCF Base Case'!$B$2*(1+B348)^1*B348*'DCF Base Case'!$B$4</f>
        <v>28.3371322739048</v>
      </c>
      <c r="L348" s="24" t="n">
        <f aca="false">'DCF Base Case'!$B$2*(1+B348)^3*$I348-'DCF Base Case'!$B$2*(1+B348)^2*B348*'DCF Base Case'!$B$4</f>
        <v>30.8678555008042</v>
      </c>
      <c r="M348" s="24" t="n">
        <f aca="false">'DCF Base Case'!$B$2*(1+B348)^4*$I348-'DCF Base Case'!$B$2*(1+B348)^3*B348*'DCF Base Case'!$B$4</f>
        <v>33.6245917197474</v>
      </c>
      <c r="N348" s="24" t="n">
        <f aca="false">'DCF Base Case'!$B$2*(1+B348)^5*$I348-'DCF Base Case'!$B$2*(1+B348)^4*B348*'DCF Base Case'!$B$4</f>
        <v>36.6275256241966</v>
      </c>
      <c r="O348" s="24" t="n">
        <f aca="false">J348/(1+H348)^1+K348/(1+H348)^2+L348/(1+H348)^3+M348/(1+H348)^4+N348/(1+H348)^5</f>
        <v>129.20421529207</v>
      </c>
      <c r="P348" s="24" t="n">
        <f aca="false">N348*(1+F348)/(H348-F348)</f>
        <v>923.587406367566</v>
      </c>
      <c r="Q348" s="24" t="n">
        <f aca="false">O348+P348/(1+H348)^5</f>
        <v>815.197869879348</v>
      </c>
      <c r="R348" s="24" t="n">
        <f aca="false">Q348-'DCF Base Case'!$B$5</f>
        <v>630.197869879348</v>
      </c>
      <c r="S348" s="32" t="n">
        <f aca="false">R348/'DCF Base Case'!$B$6</f>
        <v>25.2079147951739</v>
      </c>
    </row>
    <row r="349" customFormat="false" ht="15" hidden="false" customHeight="true" outlineLevel="0" collapsed="false">
      <c r="A349" s="6" t="n">
        <v>348</v>
      </c>
      <c r="B349" s="30" t="n">
        <v>0.0649315799426306</v>
      </c>
      <c r="C349" s="30" t="n">
        <v>0.408942160297305</v>
      </c>
      <c r="D349" s="30" t="n">
        <v>0.0962464794789652</v>
      </c>
      <c r="E349" s="30" t="n">
        <v>0.30348416562753</v>
      </c>
      <c r="F349" s="30" t="n">
        <v>0.018992090149984</v>
      </c>
      <c r="G349" s="30" t="n">
        <v>0.155771539766769</v>
      </c>
      <c r="H349" s="31" t="n">
        <f aca="false">MAX(D349,F349+0.015)</f>
        <v>0.0962464794789652</v>
      </c>
      <c r="I349" s="25" t="n">
        <f aca="false">(C349-'DCF Base Case'!$B$3)*(1-E349)+'DCF Base Case'!$B$3-G349</f>
        <v>0.168516091754368</v>
      </c>
      <c r="J349" s="24" t="n">
        <f aca="false">'DCF Base Case'!$B$2*(1+B349)^1*$I349-'DCF Base Case'!$B$2*(1+B349)^0*B349*'DCF Base Case'!$B$4</f>
        <v>25.7389732637213</v>
      </c>
      <c r="K349" s="24" t="n">
        <f aca="false">'DCF Base Case'!$B$2*(1+B349)^2*$I349-'DCF Base Case'!$B$2*(1+B349)^1*B349*'DCF Base Case'!$B$4</f>
        <v>27.4102454638358</v>
      </c>
      <c r="L349" s="24" t="n">
        <f aca="false">'DCF Base Case'!$B$2*(1+B349)^3*$I349-'DCF Base Case'!$B$2*(1+B349)^2*B349*'DCF Base Case'!$B$4</f>
        <v>29.190036008418</v>
      </c>
      <c r="M349" s="24" t="n">
        <f aca="false">'DCF Base Case'!$B$2*(1+B349)^4*$I349-'DCF Base Case'!$B$2*(1+B349)^3*B349*'DCF Base Case'!$B$4</f>
        <v>31.0853911650269</v>
      </c>
      <c r="N349" s="24" t="n">
        <f aca="false">'DCF Base Case'!$B$2*(1+B349)^5*$I349-'DCF Base Case'!$B$2*(1+B349)^4*B349*'DCF Base Case'!$B$4</f>
        <v>33.1038147265068</v>
      </c>
      <c r="O349" s="24" t="n">
        <f aca="false">J349/(1+H349)^1+K349/(1+H349)^2+L349/(1+H349)^3+M349/(1+H349)^4+N349/(1+H349)^5</f>
        <v>110.877827901355</v>
      </c>
      <c r="P349" s="24" t="n">
        <f aca="false">N349*(1+F349)/(H349-F349)</f>
        <v>436.642185034353</v>
      </c>
      <c r="Q349" s="24" t="n">
        <f aca="false">O349+P349/(1+H349)^5</f>
        <v>386.671713318308</v>
      </c>
      <c r="R349" s="24" t="n">
        <f aca="false">Q349-'DCF Base Case'!$B$5</f>
        <v>201.671713318308</v>
      </c>
      <c r="S349" s="32" t="n">
        <f aca="false">R349/'DCF Base Case'!$B$6</f>
        <v>8.06686853273232</v>
      </c>
    </row>
    <row r="350" customFormat="false" ht="15" hidden="false" customHeight="true" outlineLevel="0" collapsed="false">
      <c r="A350" s="6" t="n">
        <v>349</v>
      </c>
      <c r="B350" s="30" t="n">
        <v>0.0763704397262993</v>
      </c>
      <c r="C350" s="30" t="n">
        <v>0.419309509629612</v>
      </c>
      <c r="D350" s="30" t="n">
        <v>0.0871461437045718</v>
      </c>
      <c r="E350" s="30" t="n">
        <v>0.298824138992076</v>
      </c>
      <c r="F350" s="30" t="n">
        <v>0.0198326060173292</v>
      </c>
      <c r="G350" s="30" t="n">
        <v>0.184803930515186</v>
      </c>
      <c r="H350" s="31" t="n">
        <f aca="false">MAX(D350,F350+0.015)</f>
        <v>0.0871461437045718</v>
      </c>
      <c r="I350" s="25" t="n">
        <f aca="false">(C350-'DCF Base Case'!$B$3)*(1-E350)+'DCF Base Case'!$B$3-G350</f>
        <v>0.148052913997137</v>
      </c>
      <c r="J350" s="24" t="n">
        <f aca="false">'DCF Base Case'!$B$2*(1+B350)^1*$I350-'DCF Base Case'!$B$2*(1+B350)^0*B350*'DCF Base Case'!$B$4</f>
        <v>22.7749567077601</v>
      </c>
      <c r="K350" s="24" t="n">
        <f aca="false">'DCF Base Case'!$B$2*(1+B350)^2*$I350-'DCF Base Case'!$B$2*(1+B350)^1*B350*'DCF Base Case'!$B$4</f>
        <v>24.5142901662792</v>
      </c>
      <c r="L350" s="24" t="n">
        <f aca="false">'DCF Base Case'!$B$2*(1+B350)^3*$I350-'DCF Base Case'!$B$2*(1+B350)^2*B350*'DCF Base Case'!$B$4</f>
        <v>26.386457285856</v>
      </c>
      <c r="M350" s="24" t="n">
        <f aca="false">'DCF Base Case'!$B$2*(1+B350)^4*$I350-'DCF Base Case'!$B$2*(1+B350)^3*B350*'DCF Base Case'!$B$4</f>
        <v>28.4016026315961</v>
      </c>
      <c r="N350" s="24" t="n">
        <f aca="false">'DCF Base Case'!$B$2*(1+B350)^5*$I350-'DCF Base Case'!$B$2*(1+B350)^4*B350*'DCF Base Case'!$B$4</f>
        <v>30.5706455135027</v>
      </c>
      <c r="O350" s="24" t="n">
        <f aca="false">J350/(1+H350)^1+K350/(1+H350)^2+L350/(1+H350)^3+M350/(1+H350)^4+N350/(1+H350)^5</f>
        <v>102.690529583365</v>
      </c>
      <c r="P350" s="24" t="n">
        <f aca="false">N350*(1+F350)/(H350-F350)</f>
        <v>463.160044069057</v>
      </c>
      <c r="Q350" s="24" t="n">
        <f aca="false">O350+P350/(1+H350)^5</f>
        <v>407.684629605788</v>
      </c>
      <c r="R350" s="24" t="n">
        <f aca="false">Q350-'DCF Base Case'!$B$5</f>
        <v>222.684629605788</v>
      </c>
      <c r="S350" s="32" t="n">
        <f aca="false">R350/'DCF Base Case'!$B$6</f>
        <v>8.90738518423154</v>
      </c>
    </row>
    <row r="351" customFormat="false" ht="15" hidden="false" customHeight="true" outlineLevel="0" collapsed="false">
      <c r="A351" s="6" t="n">
        <v>350</v>
      </c>
      <c r="B351" s="30" t="n">
        <v>0.0919209380010981</v>
      </c>
      <c r="C351" s="30" t="n">
        <v>0.430254762513144</v>
      </c>
      <c r="D351" s="30" t="n">
        <v>0.094579050474033</v>
      </c>
      <c r="E351" s="30" t="n">
        <v>0.261594173468233</v>
      </c>
      <c r="F351" s="30" t="n">
        <v>0.012485177535083</v>
      </c>
      <c r="G351" s="30" t="n">
        <v>0.200813188942838</v>
      </c>
      <c r="H351" s="31" t="n">
        <f aca="false">MAX(D351,F351+0.015)</f>
        <v>0.094579050474033</v>
      </c>
      <c r="I351" s="25" t="n">
        <f aca="false">(C351-'DCF Base Case'!$B$3)*(1-E351)+'DCF Base Case'!$B$3-G351</f>
        <v>0.150896677140779</v>
      </c>
      <c r="J351" s="24" t="n">
        <f aca="false">'DCF Base Case'!$B$2*(1+B351)^1*$I351-'DCF Base Case'!$B$2*(1+B351)^0*B351*'DCF Base Case'!$B$4</f>
        <v>23.4913939001925</v>
      </c>
      <c r="K351" s="24" t="n">
        <f aca="false">'DCF Base Case'!$B$2*(1+B351)^2*$I351-'DCF Base Case'!$B$2*(1+B351)^1*B351*'DCF Base Case'!$B$4</f>
        <v>25.6507448624515</v>
      </c>
      <c r="L351" s="24" t="n">
        <f aca="false">'DCF Base Case'!$B$2*(1+B351)^3*$I351-'DCF Base Case'!$B$2*(1+B351)^2*B351*'DCF Base Case'!$B$4</f>
        <v>28.0085853906349</v>
      </c>
      <c r="M351" s="24" t="n">
        <f aca="false">'DCF Base Case'!$B$2*(1+B351)^4*$I351-'DCF Base Case'!$B$2*(1+B351)^3*B351*'DCF Base Case'!$B$4</f>
        <v>30.5831608318259</v>
      </c>
      <c r="N351" s="24" t="n">
        <f aca="false">'DCF Base Case'!$B$2*(1+B351)^5*$I351-'DCF Base Case'!$B$2*(1+B351)^4*B351*'DCF Base Case'!$B$4</f>
        <v>33.3943936625257</v>
      </c>
      <c r="O351" s="24" t="n">
        <f aca="false">J351/(1+H351)^1+K351/(1+H351)^2+L351/(1+H351)^3+M351/(1+H351)^4+N351/(1+H351)^5</f>
        <v>106.787975009392</v>
      </c>
      <c r="P351" s="24" t="n">
        <f aca="false">N351*(1+F351)/(H351-F351)</f>
        <v>411.861779517005</v>
      </c>
      <c r="Q351" s="24" t="n">
        <f aca="false">O351+P351/(1+H351)^5</f>
        <v>368.91743494702</v>
      </c>
      <c r="R351" s="24" t="n">
        <f aca="false">Q351-'DCF Base Case'!$B$5</f>
        <v>183.91743494702</v>
      </c>
      <c r="S351" s="32" t="n">
        <f aca="false">R351/'DCF Base Case'!$B$6</f>
        <v>7.35669739788079</v>
      </c>
    </row>
    <row r="352" customFormat="false" ht="15" hidden="false" customHeight="true" outlineLevel="0" collapsed="false">
      <c r="A352" s="6" t="n">
        <v>351</v>
      </c>
      <c r="B352" s="30" t="n">
        <v>0.0953501894566565</v>
      </c>
      <c r="C352" s="30" t="n">
        <v>0.379707766407268</v>
      </c>
      <c r="D352" s="30" t="n">
        <v>0.0771479855305942</v>
      </c>
      <c r="E352" s="30" t="n">
        <v>0.303320936394566</v>
      </c>
      <c r="F352" s="30" t="n">
        <v>0.0182599017754954</v>
      </c>
      <c r="G352" s="30" t="n">
        <v>0.154888623498748</v>
      </c>
      <c r="H352" s="31" t="n">
        <f aca="false">MAX(D352,F352+0.015)</f>
        <v>0.0771479855305942</v>
      </c>
      <c r="I352" s="25" t="n">
        <f aca="false">(C352-'DCF Base Case'!$B$3)*(1-E352)+'DCF Base Case'!$B$3-G352</f>
        <v>0.149077549376872</v>
      </c>
      <c r="J352" s="24" t="n">
        <f aca="false">'DCF Base Case'!$B$2*(1+B352)^1*$I352-'DCF Base Case'!$B$2*(1+B352)^0*B352*'DCF Base Case'!$B$4</f>
        <v>23.2625843591487</v>
      </c>
      <c r="K352" s="24" t="n">
        <f aca="false">'DCF Base Case'!$B$2*(1+B352)^2*$I352-'DCF Base Case'!$B$2*(1+B352)^1*B352*'DCF Base Case'!$B$4</f>
        <v>25.480676185045</v>
      </c>
      <c r="L352" s="24" t="n">
        <f aca="false">'DCF Base Case'!$B$2*(1+B352)^3*$I352-'DCF Base Case'!$B$2*(1+B352)^2*B352*'DCF Base Case'!$B$4</f>
        <v>27.9102634867727</v>
      </c>
      <c r="M352" s="24" t="n">
        <f aca="false">'DCF Base Case'!$B$2*(1+B352)^4*$I352-'DCF Base Case'!$B$2*(1+B352)^3*B352*'DCF Base Case'!$B$4</f>
        <v>30.5715123980217</v>
      </c>
      <c r="N352" s="24" t="n">
        <f aca="false">'DCF Base Case'!$B$2*(1+B352)^5*$I352-'DCF Base Case'!$B$2*(1+B352)^4*B352*'DCF Base Case'!$B$4</f>
        <v>33.4865118971496</v>
      </c>
      <c r="O352" s="24" t="n">
        <f aca="false">J352/(1+H352)^1+K352/(1+H352)^2+L352/(1+H352)^3+M352/(1+H352)^4+N352/(1+H352)^5</f>
        <v>111.693979885973</v>
      </c>
      <c r="P352" s="24" t="n">
        <f aca="false">N352*(1+F352)/(H352-F352)</f>
        <v>579.030087937666</v>
      </c>
      <c r="Q352" s="24" t="n">
        <f aca="false">O352+P352/(1+H352)^5</f>
        <v>511.016923214736</v>
      </c>
      <c r="R352" s="24" t="n">
        <f aca="false">Q352-'DCF Base Case'!$B$5</f>
        <v>326.016923214736</v>
      </c>
      <c r="S352" s="32" t="n">
        <f aca="false">R352/'DCF Base Case'!$B$6</f>
        <v>13.0406769285894</v>
      </c>
    </row>
    <row r="353" customFormat="false" ht="15" hidden="false" customHeight="true" outlineLevel="0" collapsed="false">
      <c r="A353" s="6" t="n">
        <v>352</v>
      </c>
      <c r="B353" s="30" t="n">
        <v>0.119922064098192</v>
      </c>
      <c r="C353" s="30" t="n">
        <v>0.403253171563861</v>
      </c>
      <c r="D353" s="30" t="n">
        <v>0.0762203130646968</v>
      </c>
      <c r="E353" s="30" t="n">
        <v>0.285802653771633</v>
      </c>
      <c r="F353" s="30" t="n">
        <v>0.0207407000012352</v>
      </c>
      <c r="G353" s="30" t="n">
        <v>0.176884373752154</v>
      </c>
      <c r="H353" s="31" t="n">
        <f aca="false">MAX(D353,F353+0.015)</f>
        <v>0.0762203130646968</v>
      </c>
      <c r="I353" s="25" t="n">
        <f aca="false">(C353-'DCF Base Case'!$B$3)*(1-E353)+'DCF Base Case'!$B$3-G353</f>
        <v>0.14827231622724</v>
      </c>
      <c r="J353" s="24" t="n">
        <f aca="false">'DCF Base Case'!$B$2*(1+B353)^1*$I353-'DCF Base Case'!$B$2*(1+B353)^0*B353*'DCF Base Case'!$B$4</f>
        <v>23.5560875946583</v>
      </c>
      <c r="K353" s="24" t="n">
        <f aca="false">'DCF Base Case'!$B$2*(1+B353)^2*$I353-'DCF Base Case'!$B$2*(1+B353)^1*B353*'DCF Base Case'!$B$4</f>
        <v>26.3809822410876</v>
      </c>
      <c r="L353" s="24" t="n">
        <f aca="false">'DCF Base Case'!$B$2*(1+B353)^3*$I353-'DCF Base Case'!$B$2*(1+B353)^2*B353*'DCF Base Case'!$B$4</f>
        <v>29.5446440843765</v>
      </c>
      <c r="M353" s="24" t="n">
        <f aca="false">'DCF Base Case'!$B$2*(1+B353)^4*$I353-'DCF Base Case'!$B$2*(1+B353)^3*B353*'DCF Base Case'!$B$4</f>
        <v>33.0876987860214</v>
      </c>
      <c r="N353" s="24" t="n">
        <f aca="false">'DCF Base Case'!$B$2*(1+B353)^5*$I353-'DCF Base Case'!$B$2*(1+B353)^4*B353*'DCF Base Case'!$B$4</f>
        <v>37.0556439207003</v>
      </c>
      <c r="O353" s="24" t="n">
        <f aca="false">J353/(1+H353)^1+K353/(1+H353)^2+L353/(1+H353)^3+M353/(1+H353)^4+N353/(1+H353)^5</f>
        <v>118.69517116561</v>
      </c>
      <c r="P353" s="24" t="n">
        <f aca="false">N353*(1+F353)/(H353-F353)</f>
        <v>681.767622844559</v>
      </c>
      <c r="Q353" s="24" t="n">
        <f aca="false">O353+P353/(1+H353)^5</f>
        <v>590.900026665275</v>
      </c>
      <c r="R353" s="24" t="n">
        <f aca="false">Q353-'DCF Base Case'!$B$5</f>
        <v>405.900026665275</v>
      </c>
      <c r="S353" s="32" t="n">
        <f aca="false">R353/'DCF Base Case'!$B$6</f>
        <v>16.236001066611</v>
      </c>
    </row>
    <row r="354" customFormat="false" ht="15" hidden="false" customHeight="true" outlineLevel="0" collapsed="false">
      <c r="A354" s="6" t="n">
        <v>353</v>
      </c>
      <c r="B354" s="30" t="n">
        <v>0.109909720734551</v>
      </c>
      <c r="C354" s="30" t="n">
        <v>0.424968793764941</v>
      </c>
      <c r="D354" s="30" t="n">
        <v>0.0903832233283225</v>
      </c>
      <c r="E354" s="30" t="n">
        <v>0.272783390693062</v>
      </c>
      <c r="F354" s="30" t="n">
        <v>0.0195851139534785</v>
      </c>
      <c r="G354" s="30" t="n">
        <v>0.1676254295265</v>
      </c>
      <c r="H354" s="31" t="n">
        <f aca="false">MAX(D354,F354+0.015)</f>
        <v>0.0903832233283225</v>
      </c>
      <c r="I354" s="25" t="n">
        <f aca="false">(C354-'DCF Base Case'!$B$3)*(1-E354)+'DCF Base Case'!$B$3-G354</f>
        <v>0.176880776526598</v>
      </c>
      <c r="J354" s="24" t="n">
        <f aca="false">'DCF Base Case'!$B$2*(1+B354)^1*$I354-'DCF Base Case'!$B$2*(1+B354)^0*B354*'DCF Base Case'!$B$4</f>
        <v>27.988538240107</v>
      </c>
      <c r="K354" s="24" t="n">
        <f aca="false">'DCF Base Case'!$B$2*(1+B354)^2*$I354-'DCF Base Case'!$B$2*(1+B354)^1*B354*'DCF Base Case'!$B$4</f>
        <v>31.0647506618454</v>
      </c>
      <c r="L354" s="24" t="n">
        <f aca="false">'DCF Base Case'!$B$2*(1+B354)^3*$I354-'DCF Base Case'!$B$2*(1+B354)^2*B354*'DCF Base Case'!$B$4</f>
        <v>34.4790687317773</v>
      </c>
      <c r="M354" s="24" t="n">
        <f aca="false">'DCF Base Case'!$B$2*(1+B354)^4*$I354-'DCF Base Case'!$B$2*(1+B354)^3*B354*'DCF Base Case'!$B$4</f>
        <v>38.2686535472744</v>
      </c>
      <c r="N354" s="24" t="n">
        <f aca="false">'DCF Base Case'!$B$2*(1+B354)^5*$I354-'DCF Base Case'!$B$2*(1+B354)^4*B354*'DCF Base Case'!$B$4</f>
        <v>42.4747505715426</v>
      </c>
      <c r="O354" s="24" t="n">
        <f aca="false">J354/(1+H354)^1+K354/(1+H354)^2+L354/(1+H354)^3+M354/(1+H354)^4+N354/(1+H354)^5</f>
        <v>133.022425186406</v>
      </c>
      <c r="P354" s="24" t="n">
        <f aca="false">N354*(1+F354)/(H354-F354)</f>
        <v>611.691806236559</v>
      </c>
      <c r="Q354" s="24" t="n">
        <f aca="false">O354+P354/(1+H354)^5</f>
        <v>529.88199657892</v>
      </c>
      <c r="R354" s="24" t="n">
        <f aca="false">Q354-'DCF Base Case'!$B$5</f>
        <v>344.88199657892</v>
      </c>
      <c r="S354" s="32" t="n">
        <f aca="false">R354/'DCF Base Case'!$B$6</f>
        <v>13.7952798631568</v>
      </c>
    </row>
    <row r="355" customFormat="false" ht="15" hidden="false" customHeight="true" outlineLevel="0" collapsed="false">
      <c r="A355" s="6" t="n">
        <v>354</v>
      </c>
      <c r="B355" s="30" t="n">
        <v>0.0944563174718045</v>
      </c>
      <c r="C355" s="30" t="n">
        <v>0.430868808684552</v>
      </c>
      <c r="D355" s="30" t="n">
        <v>0.0911066025013931</v>
      </c>
      <c r="E355" s="30" t="n">
        <v>0.280895582099825</v>
      </c>
      <c r="F355" s="30" t="n">
        <v>0.0160509284216815</v>
      </c>
      <c r="G355" s="30" t="n">
        <v>0.166725784953983</v>
      </c>
      <c r="H355" s="31" t="n">
        <f aca="false">MAX(D355,F355+0.015)</f>
        <v>0.0911066025013931</v>
      </c>
      <c r="I355" s="25" t="n">
        <f aca="false">(C355-'DCF Base Case'!$B$3)*(1-E355)+'DCF Base Case'!$B$3-G355</f>
        <v>0.179630304579441</v>
      </c>
      <c r="J355" s="24" t="n">
        <f aca="false">'DCF Base Case'!$B$2*(1+B355)^1*$I355-'DCF Base Case'!$B$2*(1+B355)^0*B355*'DCF Base Case'!$B$4</f>
        <v>28.0957556591689</v>
      </c>
      <c r="K355" s="24" t="n">
        <f aca="false">'DCF Base Case'!$B$2*(1+B355)^2*$I355-'DCF Base Case'!$B$2*(1+B355)^1*B355*'DCF Base Case'!$B$4</f>
        <v>30.7495772753216</v>
      </c>
      <c r="L355" s="24" t="n">
        <f aca="false">'DCF Base Case'!$B$2*(1+B355)^3*$I355-'DCF Base Case'!$B$2*(1+B355)^2*B355*'DCF Base Case'!$B$4</f>
        <v>33.6540691085632</v>
      </c>
      <c r="M355" s="24" t="n">
        <f aca="false">'DCF Base Case'!$B$2*(1+B355)^4*$I355-'DCF Base Case'!$B$2*(1+B355)^3*B355*'DCF Base Case'!$B$4</f>
        <v>36.8329085444997</v>
      </c>
      <c r="N355" s="24" t="n">
        <f aca="false">'DCF Base Case'!$B$2*(1+B355)^5*$I355-'DCF Base Case'!$B$2*(1+B355)^4*B355*'DCF Base Case'!$B$4</f>
        <v>40.3120094473889</v>
      </c>
      <c r="O355" s="24" t="n">
        <f aca="false">J355/(1+H355)^1+K355/(1+H355)^2+L355/(1+H355)^3+M355/(1+H355)^4+N355/(1+H355)^5</f>
        <v>129.541856240758</v>
      </c>
      <c r="P355" s="24" t="n">
        <f aca="false">N355*(1+F355)/(H355-F355)</f>
        <v>545.715632132798</v>
      </c>
      <c r="Q355" s="24" t="n">
        <f aca="false">O355+P355/(1+H355)^5</f>
        <v>482.424643838517</v>
      </c>
      <c r="R355" s="24" t="n">
        <f aca="false">Q355-'DCF Base Case'!$B$5</f>
        <v>297.424643838517</v>
      </c>
      <c r="S355" s="32" t="n">
        <f aca="false">R355/'DCF Base Case'!$B$6</f>
        <v>11.8969857535407</v>
      </c>
    </row>
    <row r="356" customFormat="false" ht="15" hidden="false" customHeight="true" outlineLevel="0" collapsed="false">
      <c r="A356" s="6" t="n">
        <v>355</v>
      </c>
      <c r="B356" s="30" t="n">
        <v>0.0894380411833643</v>
      </c>
      <c r="C356" s="30" t="n">
        <v>0.418375491558034</v>
      </c>
      <c r="D356" s="30" t="n">
        <v>0.109271778378544</v>
      </c>
      <c r="E356" s="30" t="n">
        <v>0.26676635965562</v>
      </c>
      <c r="F356" s="30" t="n">
        <v>0.0208551957523544</v>
      </c>
      <c r="G356" s="30" t="n">
        <v>0.190743609291643</v>
      </c>
      <c r="H356" s="31" t="n">
        <f aca="false">MAX(D356,F356+0.015)</f>
        <v>0.109271778378544</v>
      </c>
      <c r="I356" s="25" t="n">
        <f aca="false">(C356-'DCF Base Case'!$B$3)*(1-E356)+'DCF Base Case'!$B$3-G356</f>
        <v>0.150703002169554</v>
      </c>
      <c r="J356" s="24" t="n">
        <f aca="false">'DCF Base Case'!$B$2*(1+B356)^1*$I356-'DCF Base Case'!$B$2*(1+B356)^0*B356*'DCF Base Case'!$B$4</f>
        <v>23.4172741260398</v>
      </c>
      <c r="K356" s="24" t="n">
        <f aca="false">'DCF Base Case'!$B$2*(1+B356)^2*$I356-'DCF Base Case'!$B$2*(1+B356)^1*B356*'DCF Base Case'!$B$4</f>
        <v>25.5116692537267</v>
      </c>
      <c r="L356" s="24" t="n">
        <f aca="false">'DCF Base Case'!$B$2*(1+B356)^3*$I356-'DCF Base Case'!$B$2*(1+B356)^2*B356*'DCF Base Case'!$B$4</f>
        <v>27.7933829790979</v>
      </c>
      <c r="M356" s="24" t="n">
        <f aca="false">'DCF Base Case'!$B$2*(1+B356)^4*$I356-'DCF Base Case'!$B$2*(1+B356)^3*B356*'DCF Base Case'!$B$4</f>
        <v>30.2791687106075</v>
      </c>
      <c r="N356" s="24" t="n">
        <f aca="false">'DCF Base Case'!$B$2*(1+B356)^5*$I356-'DCF Base Case'!$B$2*(1+B356)^4*B356*'DCF Base Case'!$B$4</f>
        <v>32.9872782487448</v>
      </c>
      <c r="O356" s="24" t="n">
        <f aca="false">J356/(1+H356)^1+K356/(1+H356)^2+L356/(1+H356)^3+M356/(1+H356)^4+N356/(1+H356)^5</f>
        <v>101.844804527636</v>
      </c>
      <c r="P356" s="24" t="n">
        <f aca="false">N356*(1+F356)/(H356-F356)</f>
        <v>380.870119537791</v>
      </c>
      <c r="Q356" s="24" t="n">
        <f aca="false">O356+P356/(1+H356)^5</f>
        <v>328.615578468057</v>
      </c>
      <c r="R356" s="24" t="n">
        <f aca="false">Q356-'DCF Base Case'!$B$5</f>
        <v>143.615578468057</v>
      </c>
      <c r="S356" s="32" t="n">
        <f aca="false">R356/'DCF Base Case'!$B$6</f>
        <v>5.74462313872229</v>
      </c>
    </row>
    <row r="357" customFormat="false" ht="15" hidden="false" customHeight="true" outlineLevel="0" collapsed="false">
      <c r="A357" s="6" t="n">
        <v>356</v>
      </c>
      <c r="B357" s="30" t="n">
        <v>0.0919913868807187</v>
      </c>
      <c r="C357" s="30" t="n">
        <v>0.452770912278546</v>
      </c>
      <c r="D357" s="30" t="n">
        <v>0.0808415677909538</v>
      </c>
      <c r="E357" s="30" t="n">
        <v>0.289237685139655</v>
      </c>
      <c r="F357" s="30" t="n">
        <v>0.0160938713189359</v>
      </c>
      <c r="G357" s="30" t="n">
        <v>0.158083978759506</v>
      </c>
      <c r="H357" s="31" t="n">
        <f aca="false">MAX(D357,F357+0.015)</f>
        <v>0.0808415677909538</v>
      </c>
      <c r="I357" s="25" t="n">
        <f aca="false">(C357-'DCF Base Case'!$B$3)*(1-E357)+'DCF Base Case'!$B$3-G357</f>
        <v>0.201329422021179</v>
      </c>
      <c r="J357" s="24" t="n">
        <f aca="false">'DCF Base Case'!$B$2*(1+B357)^1*$I357-'DCF Base Case'!$B$2*(1+B357)^0*B357*'DCF Base Case'!$B$4</f>
        <v>31.4780867091249</v>
      </c>
      <c r="K357" s="24" t="n">
        <f aca="false">'DCF Base Case'!$B$2*(1+B357)^2*$I357-'DCF Base Case'!$B$2*(1+B357)^1*B357*'DCF Base Case'!$B$4</f>
        <v>34.3737995618489</v>
      </c>
      <c r="L357" s="24" t="n">
        <f aca="false">'DCF Base Case'!$B$2*(1+B357)^3*$I357-'DCF Base Case'!$B$2*(1+B357)^2*B357*'DCF Base Case'!$B$4</f>
        <v>37.5358930559032</v>
      </c>
      <c r="M357" s="24" t="n">
        <f aca="false">'DCF Base Case'!$B$2*(1+B357)^4*$I357-'DCF Base Case'!$B$2*(1+B357)^3*B357*'DCF Base Case'!$B$4</f>
        <v>40.9888719159221</v>
      </c>
      <c r="N357" s="24" t="n">
        <f aca="false">'DCF Base Case'!$B$2*(1+B357)^5*$I357-'DCF Base Case'!$B$2*(1+B357)^4*B357*'DCF Base Case'!$B$4</f>
        <v>44.7594950901439</v>
      </c>
      <c r="O357" s="24" t="n">
        <f aca="false">J357/(1+H357)^1+K357/(1+H357)^2+L357/(1+H357)^3+M357/(1+H357)^4+N357/(1+H357)^5</f>
        <v>148.653926223733</v>
      </c>
      <c r="P357" s="24" t="n">
        <f aca="false">N357*(1+F357)/(H357-F357)</f>
        <v>702.416473829</v>
      </c>
      <c r="Q357" s="24" t="n">
        <f aca="false">O357+P357/(1+H357)^5</f>
        <v>624.848557560569</v>
      </c>
      <c r="R357" s="24" t="n">
        <f aca="false">Q357-'DCF Base Case'!$B$5</f>
        <v>439.848557560568</v>
      </c>
      <c r="S357" s="32" t="n">
        <f aca="false">R357/'DCF Base Case'!$B$6</f>
        <v>17.5939423024227</v>
      </c>
    </row>
    <row r="358" customFormat="false" ht="15" hidden="false" customHeight="true" outlineLevel="0" collapsed="false">
      <c r="A358" s="6" t="n">
        <v>357</v>
      </c>
      <c r="B358" s="30" t="n">
        <v>0.0951833762964881</v>
      </c>
      <c r="C358" s="30" t="n">
        <v>0.432471381036206</v>
      </c>
      <c r="D358" s="30" t="n">
        <v>0.0885100431742593</v>
      </c>
      <c r="E358" s="30" t="n">
        <v>0.317913479222322</v>
      </c>
      <c r="F358" s="30" t="n">
        <v>0.0189933285436021</v>
      </c>
      <c r="G358" s="30" t="n">
        <v>0.158464581252501</v>
      </c>
      <c r="H358" s="31" t="n">
        <f aca="false">MAX(D358,F358+0.015)</f>
        <v>0.0885100431742593</v>
      </c>
      <c r="I358" s="25" t="n">
        <f aca="false">(C358-'DCF Base Case'!$B$3)*(1-E358)+'DCF Base Case'!$B$3-G358</f>
        <v>0.177847070673304</v>
      </c>
      <c r="J358" s="24" t="n">
        <f aca="false">'DCF Base Case'!$B$2*(1+B358)^1*$I358-'DCF Base Case'!$B$2*(1+B358)^0*B358*'DCF Base Case'!$B$4</f>
        <v>27.8283498351525</v>
      </c>
      <c r="K358" s="24" t="n">
        <f aca="false">'DCF Base Case'!$B$2*(1+B358)^2*$I358-'DCF Base Case'!$B$2*(1+B358)^1*B358*'DCF Base Case'!$B$4</f>
        <v>30.4771461292222</v>
      </c>
      <c r="L358" s="24" t="n">
        <f aca="false">'DCF Base Case'!$B$2*(1+B358)^3*$I358-'DCF Base Case'!$B$2*(1+B358)^2*B358*'DCF Base Case'!$B$4</f>
        <v>33.378063797683</v>
      </c>
      <c r="M358" s="24" t="n">
        <f aca="false">'DCF Base Case'!$B$2*(1+B358)^4*$I358-'DCF Base Case'!$B$2*(1+B358)^3*B358*'DCF Base Case'!$B$4</f>
        <v>36.555100604186</v>
      </c>
      <c r="N358" s="24" t="n">
        <f aca="false">'DCF Base Case'!$B$2*(1+B358)^5*$I358-'DCF Base Case'!$B$2*(1+B358)^4*B358*'DCF Base Case'!$B$4</f>
        <v>40.0345385005503</v>
      </c>
      <c r="O358" s="24" t="n">
        <f aca="false">J358/(1+H358)^1+K358/(1+H358)^2+L358/(1+H358)^3+M358/(1+H358)^4+N358/(1+H358)^5</f>
        <v>129.404699032111</v>
      </c>
      <c r="P358" s="24" t="n">
        <f aca="false">N358*(1+F358)/(H358-F358)</f>
        <v>586.836243055018</v>
      </c>
      <c r="Q358" s="24" t="n">
        <f aca="false">O358+P358/(1+H358)^5</f>
        <v>513.425479496752</v>
      </c>
      <c r="R358" s="24" t="n">
        <f aca="false">Q358-'DCF Base Case'!$B$5</f>
        <v>328.425479496752</v>
      </c>
      <c r="S358" s="32" t="n">
        <f aca="false">R358/'DCF Base Case'!$B$6</f>
        <v>13.1370191798701</v>
      </c>
    </row>
    <row r="359" customFormat="false" ht="15" hidden="false" customHeight="true" outlineLevel="0" collapsed="false">
      <c r="A359" s="6" t="n">
        <v>358</v>
      </c>
      <c r="B359" s="30" t="n">
        <v>0.135861360133497</v>
      </c>
      <c r="C359" s="30" t="n">
        <v>0.44059506078557</v>
      </c>
      <c r="D359" s="30" t="n">
        <v>0.077085702994236</v>
      </c>
      <c r="E359" s="30" t="n">
        <v>0.263473750920091</v>
      </c>
      <c r="F359" s="30" t="n">
        <v>0.0155010368910011</v>
      </c>
      <c r="G359" s="30" t="n">
        <v>0.187643542168179</v>
      </c>
      <c r="H359" s="31" t="n">
        <f aca="false">MAX(D359,F359+0.015)</f>
        <v>0.077085702994236</v>
      </c>
      <c r="I359" s="25" t="n">
        <f aca="false">(C359-'DCF Base Case'!$B$3)*(1-E359)+'DCF Base Case'!$B$3-G359</f>
        <v>0.171117872934963</v>
      </c>
      <c r="J359" s="24" t="n">
        <f aca="false">'DCF Base Case'!$B$2*(1+B359)^1*$I359-'DCF Base Case'!$B$2*(1+B359)^0*B359*'DCF Base Case'!$B$4</f>
        <v>27.5920991682027</v>
      </c>
      <c r="K359" s="24" t="n">
        <f aca="false">'DCF Base Case'!$B$2*(1+B359)^2*$I359-'DCF Base Case'!$B$2*(1+B359)^1*B359*'DCF Base Case'!$B$4</f>
        <v>31.3407992901331</v>
      </c>
      <c r="L359" s="24" t="n">
        <f aca="false">'DCF Base Case'!$B$2*(1+B359)^3*$I359-'DCF Base Case'!$B$2*(1+B359)^2*B359*'DCF Base Case'!$B$4</f>
        <v>35.5988029093615</v>
      </c>
      <c r="M359" s="24" t="n">
        <f aca="false">'DCF Base Case'!$B$2*(1+B359)^4*$I359-'DCF Base Case'!$B$2*(1+B359)^3*B359*'DCF Base Case'!$B$4</f>
        <v>40.4353046917517</v>
      </c>
      <c r="N359" s="24" t="n">
        <f aca="false">'DCF Base Case'!$B$2*(1+B359)^5*$I359-'DCF Base Case'!$B$2*(1+B359)^4*B359*'DCF Base Case'!$B$4</f>
        <v>45.9289001845854</v>
      </c>
      <c r="O359" s="24" t="n">
        <f aca="false">J359/(1+H359)^1+K359/(1+H359)^2+L359/(1+H359)^3+M359/(1+H359)^4+N359/(1+H359)^5</f>
        <v>142.849885632036</v>
      </c>
      <c r="P359" s="24" t="n">
        <f aca="false">N359*(1+F359)/(H359-F359)</f>
        <v>757.345110591739</v>
      </c>
      <c r="Q359" s="24" t="n">
        <f aca="false">O359+P359/(1+H359)^5</f>
        <v>665.297222788937</v>
      </c>
      <c r="R359" s="24" t="n">
        <f aca="false">Q359-'DCF Base Case'!$B$5</f>
        <v>480.297222788937</v>
      </c>
      <c r="S359" s="32" t="n">
        <f aca="false">R359/'DCF Base Case'!$B$6</f>
        <v>19.2118889115575</v>
      </c>
    </row>
    <row r="360" customFormat="false" ht="15" hidden="false" customHeight="true" outlineLevel="0" collapsed="false">
      <c r="A360" s="6" t="n">
        <v>359</v>
      </c>
      <c r="B360" s="30" t="n">
        <v>0.0822958712334551</v>
      </c>
      <c r="C360" s="30" t="n">
        <v>0.414592231336362</v>
      </c>
      <c r="D360" s="30" t="n">
        <v>0.0843014045811791</v>
      </c>
      <c r="E360" s="30" t="n">
        <v>0.302050356845159</v>
      </c>
      <c r="F360" s="30" t="n">
        <v>0.0158948753518216</v>
      </c>
      <c r="G360" s="30" t="n">
        <v>0.143753677081509</v>
      </c>
      <c r="H360" s="31" t="n">
        <f aca="false">MAX(D360,F360+0.015)</f>
        <v>0.0843014045811791</v>
      </c>
      <c r="I360" s="25" t="n">
        <f aca="false">(C360-'DCF Base Case'!$B$3)*(1-E360)+'DCF Base Case'!$B$3-G360</f>
        <v>0.184877369224345</v>
      </c>
      <c r="J360" s="24" t="n">
        <f aca="false">'DCF Base Case'!$B$2*(1+B360)^1*$I360-'DCF Base Case'!$B$2*(1+B360)^0*B360*'DCF Base Case'!$B$4</f>
        <v>28.6553549025561</v>
      </c>
      <c r="K360" s="24" t="n">
        <f aca="false">'DCF Base Case'!$B$2*(1+B360)^2*$I360-'DCF Base Case'!$B$2*(1+B360)^1*B360*'DCF Base Case'!$B$4</f>
        <v>31.0135722997658</v>
      </c>
      <c r="L360" s="24" t="n">
        <f aca="false">'DCF Base Case'!$B$2*(1+B360)^3*$I360-'DCF Base Case'!$B$2*(1+B360)^2*B360*'DCF Base Case'!$B$4</f>
        <v>33.5658612522368</v>
      </c>
      <c r="M360" s="24" t="n">
        <f aca="false">'DCF Base Case'!$B$2*(1+B360)^4*$I360-'DCF Base Case'!$B$2*(1+B360)^3*B360*'DCF Base Case'!$B$4</f>
        <v>36.3281930476909</v>
      </c>
      <c r="N360" s="24" t="n">
        <f aca="false">'DCF Base Case'!$B$2*(1+B360)^5*$I360-'DCF Base Case'!$B$2*(1+B360)^4*B360*'DCF Base Case'!$B$4</f>
        <v>39.3178533448878</v>
      </c>
      <c r="O360" s="24" t="n">
        <f aca="false">J360/(1+H360)^1+K360/(1+H360)^2+L360/(1+H360)^3+M360/(1+H360)^4+N360/(1+H360)^5</f>
        <v>131.649503884457</v>
      </c>
      <c r="P360" s="24" t="n">
        <f aca="false">N360*(1+F360)/(H360-F360)</f>
        <v>583.903410579177</v>
      </c>
      <c r="Q360" s="24" t="n">
        <f aca="false">O360+P360/(1+H360)^5</f>
        <v>521.224352182031</v>
      </c>
      <c r="R360" s="24" t="n">
        <f aca="false">Q360-'DCF Base Case'!$B$5</f>
        <v>336.224352182031</v>
      </c>
      <c r="S360" s="32" t="n">
        <f aca="false">R360/'DCF Base Case'!$B$6</f>
        <v>13.4489740872812</v>
      </c>
    </row>
    <row r="361" customFormat="false" ht="15" hidden="false" customHeight="true" outlineLevel="0" collapsed="false">
      <c r="A361" s="6" t="n">
        <v>360</v>
      </c>
      <c r="B361" s="30" t="n">
        <v>0.0946533912129839</v>
      </c>
      <c r="C361" s="30" t="n">
        <v>0.427712889846073</v>
      </c>
      <c r="D361" s="30" t="n">
        <v>0.0886578554440741</v>
      </c>
      <c r="E361" s="30" t="n">
        <v>0.26151473754503</v>
      </c>
      <c r="F361" s="30" t="n">
        <v>0.0217826836310128</v>
      </c>
      <c r="G361" s="30" t="n">
        <v>0.150231130174959</v>
      </c>
      <c r="H361" s="31" t="n">
        <f aca="false">MAX(D361,F361+0.015)</f>
        <v>0.0886578554440741</v>
      </c>
      <c r="I361" s="25" t="n">
        <f aca="false">(C361-'DCF Base Case'!$B$3)*(1-E361)+'DCF Base Case'!$B$3-G361</f>
        <v>0.199625451419246</v>
      </c>
      <c r="J361" s="24" t="n">
        <f aca="false">'DCF Base Case'!$B$2*(1+B361)^1*$I361-'DCF Base Case'!$B$2*(1+B361)^0*B361*'DCF Base Case'!$B$4</f>
        <v>31.273755966656</v>
      </c>
      <c r="K361" s="24" t="n">
        <f aca="false">'DCF Base Case'!$B$2*(1+B361)^2*$I361-'DCF Base Case'!$B$2*(1+B361)^1*B361*'DCF Base Case'!$B$4</f>
        <v>34.2339230248673</v>
      </c>
      <c r="L361" s="24" t="n">
        <f aca="false">'DCF Base Case'!$B$2*(1+B361)^3*$I361-'DCF Base Case'!$B$2*(1+B361)^2*B361*'DCF Base Case'!$B$4</f>
        <v>37.4742799336953</v>
      </c>
      <c r="M361" s="24" t="n">
        <f aca="false">'DCF Base Case'!$B$2*(1+B361)^4*$I361-'DCF Base Case'!$B$2*(1+B361)^3*B361*'DCF Base Case'!$B$4</f>
        <v>41.0213476126842</v>
      </c>
      <c r="N361" s="24" t="n">
        <f aca="false">'DCF Base Case'!$B$2*(1+B361)^5*$I361-'DCF Base Case'!$B$2*(1+B361)^4*B361*'DCF Base Case'!$B$4</f>
        <v>44.9041572763514</v>
      </c>
      <c r="O361" s="24" t="n">
        <f aca="false">J361/(1+H361)^1+K361/(1+H361)^2+L361/(1+H361)^3+M361/(1+H361)^4+N361/(1+H361)^5</f>
        <v>145.225262083663</v>
      </c>
      <c r="P361" s="24" t="n">
        <f aca="false">N361*(1+F361)/(H361-F361)</f>
        <v>686.088559985699</v>
      </c>
      <c r="Q361" s="24" t="n">
        <f aca="false">O361+P361/(1+H361)^5</f>
        <v>593.891225584097</v>
      </c>
      <c r="R361" s="24" t="n">
        <f aca="false">Q361-'DCF Base Case'!$B$5</f>
        <v>408.891225584097</v>
      </c>
      <c r="S361" s="32" t="n">
        <f aca="false">R361/'DCF Base Case'!$B$6</f>
        <v>16.3556490233639</v>
      </c>
    </row>
    <row r="362" customFormat="false" ht="15" hidden="false" customHeight="true" outlineLevel="0" collapsed="false">
      <c r="A362" s="6" t="n">
        <v>361</v>
      </c>
      <c r="B362" s="30" t="n">
        <v>0.0787940585670915</v>
      </c>
      <c r="C362" s="30" t="n">
        <v>0.389295127381677</v>
      </c>
      <c r="D362" s="30" t="n">
        <v>0.0993127418351723</v>
      </c>
      <c r="E362" s="30" t="n">
        <v>0.298951306688358</v>
      </c>
      <c r="F362" s="30" t="n">
        <v>0.0215185569879015</v>
      </c>
      <c r="G362" s="30" t="n">
        <v>0.194761934332117</v>
      </c>
      <c r="H362" s="31" t="n">
        <f aca="false">MAX(D362,F362+0.015)</f>
        <v>0.0993127418351723</v>
      </c>
      <c r="I362" s="25" t="n">
        <f aca="false">(C362-'DCF Base Case'!$B$3)*(1-E362)+'DCF Base Case'!$B$3-G362</f>
        <v>0.117016575900883</v>
      </c>
      <c r="J362" s="24" t="n">
        <f aca="false">'DCF Base Case'!$B$2*(1+B362)^1*$I362-'DCF Base Case'!$B$2*(1+B362)^0*B362*'DCF Base Case'!$B$4</f>
        <v>17.9615799364152</v>
      </c>
      <c r="K362" s="24" t="n">
        <f aca="false">'DCF Base Case'!$B$2*(1+B362)^2*$I362-'DCF Base Case'!$B$2*(1+B362)^1*B362*'DCF Base Case'!$B$4</f>
        <v>19.3768457178826</v>
      </c>
      <c r="L362" s="24" t="n">
        <f aca="false">'DCF Base Case'!$B$2*(1+B362)^3*$I362-'DCF Base Case'!$B$2*(1+B362)^2*B362*'DCF Base Case'!$B$4</f>
        <v>20.9036260342229</v>
      </c>
      <c r="M362" s="24" t="n">
        <f aca="false">'DCF Base Case'!$B$2*(1+B362)^4*$I362-'DCF Base Case'!$B$2*(1+B362)^3*B362*'DCF Base Case'!$B$4</f>
        <v>22.550707568228</v>
      </c>
      <c r="N362" s="24" t="n">
        <f aca="false">'DCF Base Case'!$B$2*(1+B362)^5*$I362-'DCF Base Case'!$B$2*(1+B362)^4*B362*'DCF Base Case'!$B$4</f>
        <v>24.3275693410884</v>
      </c>
      <c r="O362" s="24" t="n">
        <f aca="false">J362/(1+H362)^1+K362/(1+H362)^2+L362/(1+H362)^3+M362/(1+H362)^4+N362/(1+H362)^5</f>
        <v>78.7013184907245</v>
      </c>
      <c r="P362" s="24" t="n">
        <f aca="false">N362*(1+F362)/(H362-F362)</f>
        <v>319.446287368657</v>
      </c>
      <c r="Q362" s="24" t="n">
        <f aca="false">O362+P362/(1+H362)^5</f>
        <v>277.673121853809</v>
      </c>
      <c r="R362" s="24" t="n">
        <f aca="false">Q362-'DCF Base Case'!$B$5</f>
        <v>92.6731218538089</v>
      </c>
      <c r="S362" s="32" t="n">
        <f aca="false">R362/'DCF Base Case'!$B$6</f>
        <v>3.70692487415236</v>
      </c>
    </row>
    <row r="363" customFormat="false" ht="15" hidden="false" customHeight="true" outlineLevel="0" collapsed="false">
      <c r="A363" s="6" t="n">
        <v>362</v>
      </c>
      <c r="B363" s="30" t="n">
        <v>0.136495174206106</v>
      </c>
      <c r="C363" s="30" t="n">
        <v>0.40015368034777</v>
      </c>
      <c r="D363" s="30" t="n">
        <v>0.0768778576103518</v>
      </c>
      <c r="E363" s="30" t="n">
        <v>0.264923598489757</v>
      </c>
      <c r="F363" s="30" t="n">
        <v>0.0158780172231617</v>
      </c>
      <c r="G363" s="30" t="n">
        <v>0.14371580829702</v>
      </c>
      <c r="H363" s="31" t="n">
        <f aca="false">MAX(D363,F363+0.015)</f>
        <v>0.0768778576103518</v>
      </c>
      <c r="I363" s="25" t="n">
        <f aca="false">(C363-'DCF Base Case'!$B$3)*(1-E363)+'DCF Base Case'!$B$3-G363</f>
        <v>0.184867786907767</v>
      </c>
      <c r="J363" s="24" t="n">
        <f aca="false">'DCF Base Case'!$B$2*(1+B363)^1*$I363-'DCF Base Case'!$B$2*(1+B363)^0*B363*'DCF Base Case'!$B$4</f>
        <v>29.8709414067953</v>
      </c>
      <c r="K363" s="24" t="n">
        <f aca="false">'DCF Base Case'!$B$2*(1+B363)^2*$I363-'DCF Base Case'!$B$2*(1+B363)^1*B363*'DCF Base Case'!$B$4</f>
        <v>33.9481807578162</v>
      </c>
      <c r="L363" s="24" t="n">
        <f aca="false">'DCF Base Case'!$B$2*(1+B363)^3*$I363-'DCF Base Case'!$B$2*(1+B363)^2*B363*'DCF Base Case'!$B$4</f>
        <v>38.5819436043347</v>
      </c>
      <c r="M363" s="24" t="n">
        <f aca="false">'DCF Base Case'!$B$2*(1+B363)^4*$I363-'DCF Base Case'!$B$2*(1+B363)^3*B363*'DCF Base Case'!$B$4</f>
        <v>43.8481927178185</v>
      </c>
      <c r="N363" s="24" t="n">
        <f aca="false">'DCF Base Case'!$B$2*(1+B363)^5*$I363-'DCF Base Case'!$B$2*(1+B363)^4*B363*'DCF Base Case'!$B$4</f>
        <v>49.83325942146</v>
      </c>
      <c r="O363" s="24" t="n">
        <f aca="false">J363/(1+H363)^1+K363/(1+H363)^2+L363/(1+H363)^3+M363/(1+H363)^4+N363/(1+H363)^5</f>
        <v>154.922643709333</v>
      </c>
      <c r="P363" s="24" t="n">
        <f aca="false">N363*(1+F363)/(H363-F363)</f>
        <v>829.91221700756</v>
      </c>
      <c r="Q363" s="24" t="n">
        <f aca="false">O363+P363/(1+H363)^5</f>
        <v>727.982414330394</v>
      </c>
      <c r="R363" s="24" t="n">
        <f aca="false">Q363-'DCF Base Case'!$B$5</f>
        <v>542.982414330394</v>
      </c>
      <c r="S363" s="32" t="n">
        <f aca="false">R363/'DCF Base Case'!$B$6</f>
        <v>21.7192965732157</v>
      </c>
    </row>
    <row r="364" customFormat="false" ht="15" hidden="false" customHeight="true" outlineLevel="0" collapsed="false">
      <c r="A364" s="6" t="n">
        <v>363</v>
      </c>
      <c r="B364" s="30" t="n">
        <v>0.083716181319764</v>
      </c>
      <c r="C364" s="30" t="n">
        <v>0.385296477590399</v>
      </c>
      <c r="D364" s="30" t="n">
        <v>0.0886854660429116</v>
      </c>
      <c r="E364" s="30" t="n">
        <v>0.281109456962103</v>
      </c>
      <c r="F364" s="30" t="n">
        <v>0.0210675581403258</v>
      </c>
      <c r="G364" s="30" t="n">
        <v>0.177163901001031</v>
      </c>
      <c r="H364" s="31" t="n">
        <f aca="false">MAX(D364,F364+0.015)</f>
        <v>0.0886854660429116</v>
      </c>
      <c r="I364" s="25" t="n">
        <f aca="false">(C364-'DCF Base Case'!$B$3)*(1-E364)+'DCF Base Case'!$B$3-G364</f>
        <v>0.136366322409593</v>
      </c>
      <c r="J364" s="24" t="n">
        <f aca="false">'DCF Base Case'!$B$2*(1+B364)^1*$I364-'DCF Base Case'!$B$2*(1+B364)^0*B364*'DCF Base Case'!$B$4</f>
        <v>21.0642811876989</v>
      </c>
      <c r="K364" s="24" t="n">
        <f aca="false">'DCF Base Case'!$B$2*(1+B364)^2*$I364-'DCF Base Case'!$B$2*(1+B364)^1*B364*'DCF Base Case'!$B$4</f>
        <v>22.8277023709788</v>
      </c>
      <c r="L364" s="24" t="n">
        <f aca="false">'DCF Base Case'!$B$2*(1+B364)^3*$I364-'DCF Base Case'!$B$2*(1+B364)^2*B364*'DCF Base Case'!$B$4</f>
        <v>24.7387504417813</v>
      </c>
      <c r="M364" s="24" t="n">
        <f aca="false">'DCF Base Case'!$B$2*(1+B364)^4*$I364-'DCF Base Case'!$B$2*(1+B364)^3*B364*'DCF Base Case'!$B$4</f>
        <v>26.8097841593898</v>
      </c>
      <c r="N364" s="24" t="n">
        <f aca="false">'DCF Base Case'!$B$2*(1+B364)^5*$I364-'DCF Base Case'!$B$2*(1+B364)^4*B364*'DCF Base Case'!$B$4</f>
        <v>29.0541969112211</v>
      </c>
      <c r="O364" s="24" t="n">
        <f aca="false">J364/(1+H364)^1+K364/(1+H364)^2+L364/(1+H364)^3+M364/(1+H364)^4+N364/(1+H364)^5</f>
        <v>95.8626826521424</v>
      </c>
      <c r="P364" s="24" t="n">
        <f aca="false">N364*(1+F364)/(H364-F364)</f>
        <v>438.734335534422</v>
      </c>
      <c r="Q364" s="24" t="n">
        <f aca="false">O364+P364/(1+H364)^5</f>
        <v>382.735565780589</v>
      </c>
      <c r="R364" s="24" t="n">
        <f aca="false">Q364-'DCF Base Case'!$B$5</f>
        <v>197.735565780589</v>
      </c>
      <c r="S364" s="32" t="n">
        <f aca="false">R364/'DCF Base Case'!$B$6</f>
        <v>7.90942263122356</v>
      </c>
    </row>
    <row r="365" customFormat="false" ht="15" hidden="false" customHeight="true" outlineLevel="0" collapsed="false">
      <c r="A365" s="6" t="n">
        <v>364</v>
      </c>
      <c r="B365" s="30" t="n">
        <v>0.103037041176515</v>
      </c>
      <c r="C365" s="30" t="n">
        <v>0.411662083094851</v>
      </c>
      <c r="D365" s="30" t="n">
        <v>0.10833257742897</v>
      </c>
      <c r="E365" s="30" t="n">
        <v>0.286497881881877</v>
      </c>
      <c r="F365" s="30" t="n">
        <v>0.0123391866874613</v>
      </c>
      <c r="G365" s="30" t="n">
        <v>0.145146059402475</v>
      </c>
      <c r="H365" s="31" t="n">
        <f aca="false">MAX(D365,F365+0.015)</f>
        <v>0.10833257742897</v>
      </c>
      <c r="I365" s="25" t="n">
        <f aca="false">(C365-'DCF Base Case'!$B$3)*(1-E365)+'DCF Base Case'!$B$3-G365</f>
        <v>0.185820433479264</v>
      </c>
      <c r="J365" s="24" t="n">
        <f aca="false">'DCF Base Case'!$B$2*(1+B365)^1*$I365-'DCF Base Case'!$B$2*(1+B365)^0*B365*'DCF Base Case'!$B$4</f>
        <v>29.2719779354723</v>
      </c>
      <c r="K365" s="24" t="n">
        <f aca="false">'DCF Base Case'!$B$2*(1+B365)^2*$I365-'DCF Base Case'!$B$2*(1+B365)^1*B365*'DCF Base Case'!$B$4</f>
        <v>32.2880759313276</v>
      </c>
      <c r="L365" s="24" t="n">
        <f aca="false">'DCF Base Case'!$B$2*(1+B365)^3*$I365-'DCF Base Case'!$B$2*(1+B365)^2*B365*'DCF Base Case'!$B$4</f>
        <v>35.6149437405743</v>
      </c>
      <c r="M365" s="24" t="n">
        <f aca="false">'DCF Base Case'!$B$2*(1+B365)^4*$I365-'DCF Base Case'!$B$2*(1+B365)^3*B365*'DCF Base Case'!$B$4</f>
        <v>39.2846021652711</v>
      </c>
      <c r="N365" s="24" t="n">
        <f aca="false">'DCF Base Case'!$B$2*(1+B365)^5*$I365-'DCF Base Case'!$B$2*(1+B365)^4*B365*'DCF Base Case'!$B$4</f>
        <v>43.3323713361772</v>
      </c>
      <c r="O365" s="24" t="n">
        <f aca="false">J365/(1+H365)^1+K365/(1+H365)^2+L365/(1+H365)^3+M365/(1+H365)^4+N365/(1+H365)^5</f>
        <v>130.798249774869</v>
      </c>
      <c r="P365" s="24" t="n">
        <f aca="false">N365*(1+F365)/(H365-F365)</f>
        <v>456.979977651065</v>
      </c>
      <c r="Q365" s="24" t="n">
        <f aca="false">O365+P365/(1+H365)^5</f>
        <v>404.039760902409</v>
      </c>
      <c r="R365" s="24" t="n">
        <f aca="false">Q365-'DCF Base Case'!$B$5</f>
        <v>219.039760902409</v>
      </c>
      <c r="S365" s="32" t="n">
        <f aca="false">R365/'DCF Base Case'!$B$6</f>
        <v>8.76159043609636</v>
      </c>
    </row>
    <row r="366" customFormat="false" ht="15" hidden="false" customHeight="true" outlineLevel="0" collapsed="false">
      <c r="A366" s="6" t="n">
        <v>365</v>
      </c>
      <c r="B366" s="30" t="n">
        <v>0.0542977914097714</v>
      </c>
      <c r="C366" s="30" t="n">
        <v>0.400739026295843</v>
      </c>
      <c r="D366" s="30" t="n">
        <v>0.0836601425354133</v>
      </c>
      <c r="E366" s="30" t="n">
        <v>0.267935555583907</v>
      </c>
      <c r="F366" s="30" t="n">
        <v>0.025794312366905</v>
      </c>
      <c r="G366" s="30" t="n">
        <v>0.178178335657295</v>
      </c>
      <c r="H366" s="31" t="n">
        <f aca="false">MAX(D366,F366+0.015)</f>
        <v>0.0836601425354133</v>
      </c>
      <c r="I366" s="25" t="n">
        <f aca="false">(C366-'DCF Base Case'!$B$3)*(1-E366)+'DCF Base Case'!$B$3-G366</f>
        <v>0.150020079209725</v>
      </c>
      <c r="J366" s="24" t="n">
        <f aca="false">'DCF Base Case'!$B$2*(1+B366)^1*$I366-'DCF Base Case'!$B$2*(1+B366)^0*B366*'DCF Base Case'!$B$4</f>
        <v>22.6978511431677</v>
      </c>
      <c r="K366" s="24" t="n">
        <f aca="false">'DCF Base Case'!$B$2*(1+B366)^2*$I366-'DCF Base Case'!$B$2*(1+B366)^1*B366*'DCF Base Case'!$B$4</f>
        <v>23.9302943299894</v>
      </c>
      <c r="L366" s="24" t="n">
        <f aca="false">'DCF Base Case'!$B$2*(1+B366)^3*$I366-'DCF Base Case'!$B$2*(1+B366)^2*B366*'DCF Base Case'!$B$4</f>
        <v>25.2296564598936</v>
      </c>
      <c r="M366" s="24" t="n">
        <f aca="false">'DCF Base Case'!$B$2*(1+B366)^4*$I366-'DCF Base Case'!$B$2*(1+B366)^3*B366*'DCF Base Case'!$B$4</f>
        <v>26.5995710836931</v>
      </c>
      <c r="N366" s="24" t="n">
        <f aca="false">'DCF Base Case'!$B$2*(1+B366)^5*$I366-'DCF Base Case'!$B$2*(1+B366)^4*B366*'DCF Base Case'!$B$4</f>
        <v>28.0438690459849</v>
      </c>
      <c r="O366" s="24" t="n">
        <f aca="false">J366/(1+H366)^1+K366/(1+H366)^2+L366/(1+H366)^3+M366/(1+H366)^4+N366/(1+H366)^5</f>
        <v>99.204116057159</v>
      </c>
      <c r="P366" s="24" t="n">
        <f aca="false">N366*(1+F366)/(H366-F366)</f>
        <v>497.136933495327</v>
      </c>
      <c r="Q366" s="24" t="n">
        <f aca="false">O366+P366/(1+H366)^5</f>
        <v>431.871734002501</v>
      </c>
      <c r="R366" s="24" t="n">
        <f aca="false">Q366-'DCF Base Case'!$B$5</f>
        <v>246.871734002501</v>
      </c>
      <c r="S366" s="32" t="n">
        <f aca="false">R366/'DCF Base Case'!$B$6</f>
        <v>9.87486936010006</v>
      </c>
    </row>
    <row r="367" customFormat="false" ht="15" hidden="false" customHeight="true" outlineLevel="0" collapsed="false">
      <c r="A367" s="6" t="n">
        <v>366</v>
      </c>
      <c r="B367" s="30" t="n">
        <v>0.105802833689697</v>
      </c>
      <c r="C367" s="30" t="n">
        <v>0.400120198602663</v>
      </c>
      <c r="D367" s="30" t="n">
        <v>0.0740094061953589</v>
      </c>
      <c r="E367" s="30" t="n">
        <v>0.280684284304281</v>
      </c>
      <c r="F367" s="30" t="n">
        <v>0.0199758955053287</v>
      </c>
      <c r="G367" s="30" t="n">
        <v>0.131261364154118</v>
      </c>
      <c r="H367" s="31" t="n">
        <f aca="false">MAX(D367,F367+0.015)</f>
        <v>0.0740094061953589</v>
      </c>
      <c r="I367" s="25" t="n">
        <f aca="false">(C367-'DCF Base Case'!$B$3)*(1-E367)+'DCF Base Case'!$B$3-G367</f>
        <v>0.193040339827626</v>
      </c>
      <c r="J367" s="24" t="n">
        <f aca="false">'DCF Base Case'!$B$2*(1+B367)^1*$I367-'DCF Base Case'!$B$2*(1+B367)^0*B367*'DCF Base Case'!$B$4</f>
        <v>30.4921181191325</v>
      </c>
      <c r="K367" s="24" t="n">
        <f aca="false">'DCF Base Case'!$B$2*(1+B367)^2*$I367-'DCF Base Case'!$B$2*(1+B367)^1*B367*'DCF Base Case'!$B$4</f>
        <v>33.7182706213376</v>
      </c>
      <c r="L367" s="24" t="n">
        <f aca="false">'DCF Base Case'!$B$2*(1+B367)^3*$I367-'DCF Base Case'!$B$2*(1+B367)^2*B367*'DCF Base Case'!$B$4</f>
        <v>37.2857592001912</v>
      </c>
      <c r="M367" s="24" t="n">
        <f aca="false">'DCF Base Case'!$B$2*(1+B367)^4*$I367-'DCF Base Case'!$B$2*(1+B367)^3*B367*'DCF Base Case'!$B$4</f>
        <v>41.2306981798431</v>
      </c>
      <c r="N367" s="24" t="n">
        <f aca="false">'DCF Base Case'!$B$2*(1+B367)^5*$I367-'DCF Base Case'!$B$2*(1+B367)^4*B367*'DCF Base Case'!$B$4</f>
        <v>45.5930228822752</v>
      </c>
      <c r="O367" s="24" t="n">
        <f aca="false">J367/(1+H367)^1+K367/(1+H367)^2+L367/(1+H367)^3+M367/(1+H367)^4+N367/(1+H367)^5</f>
        <v>150.611550948201</v>
      </c>
      <c r="P367" s="24" t="n">
        <f aca="false">N367*(1+F367)/(H367-F367)</f>
        <v>860.647101202033</v>
      </c>
      <c r="Q367" s="24" t="n">
        <f aca="false">O367+P367/(1+H367)^5</f>
        <v>752.872474262958</v>
      </c>
      <c r="R367" s="24" t="n">
        <f aca="false">Q367-'DCF Base Case'!$B$5</f>
        <v>567.872474262958</v>
      </c>
      <c r="S367" s="32" t="n">
        <f aca="false">R367/'DCF Base Case'!$B$6</f>
        <v>22.7148989705183</v>
      </c>
    </row>
    <row r="368" customFormat="false" ht="15" hidden="false" customHeight="true" outlineLevel="0" collapsed="false">
      <c r="A368" s="6" t="n">
        <v>367</v>
      </c>
      <c r="B368" s="30" t="n">
        <v>0.0862847583604236</v>
      </c>
      <c r="C368" s="30" t="n">
        <v>0.413670712838015</v>
      </c>
      <c r="D368" s="30" t="n">
        <v>0.0826333591765176</v>
      </c>
      <c r="E368" s="30" t="n">
        <v>0.261451547501263</v>
      </c>
      <c r="F368" s="30" t="n">
        <v>0.0171821161536365</v>
      </c>
      <c r="G368" s="30" t="n">
        <v>0.161509462100572</v>
      </c>
      <c r="H368" s="31" t="n">
        <f aca="false">MAX(D368,F368+0.015)</f>
        <v>0.0826333591765176</v>
      </c>
      <c r="I368" s="25" t="n">
        <f aca="false">(C368-'DCF Base Case'!$B$3)*(1-E368)+'DCF Base Case'!$B$3-G368</f>
        <v>0.177995103885158</v>
      </c>
      <c r="J368" s="24" t="n">
        <f aca="false">'DCF Base Case'!$B$2*(1+B368)^1*$I368-'DCF Base Case'!$B$2*(1+B368)^0*B368*'DCF Base Case'!$B$4</f>
        <v>27.6608997210501</v>
      </c>
      <c r="K368" s="24" t="n">
        <f aca="false">'DCF Base Case'!$B$2*(1+B368)^2*$I368-'DCF Base Case'!$B$2*(1+B368)^1*B368*'DCF Base Case'!$B$4</f>
        <v>30.0476137695128</v>
      </c>
      <c r="L368" s="24" t="n">
        <f aca="false">'DCF Base Case'!$B$2*(1+B368)^3*$I368-'DCF Base Case'!$B$2*(1+B368)^2*B368*'DCF Base Case'!$B$4</f>
        <v>32.6402648629225</v>
      </c>
      <c r="M368" s="24" t="n">
        <f aca="false">'DCF Base Case'!$B$2*(1+B368)^4*$I368-'DCF Base Case'!$B$2*(1+B368)^3*B368*'DCF Base Case'!$B$4</f>
        <v>35.45662222944</v>
      </c>
      <c r="N368" s="24" t="n">
        <f aca="false">'DCF Base Case'!$B$2*(1+B368)^5*$I368-'DCF Base Case'!$B$2*(1+B368)^4*B368*'DCF Base Case'!$B$4</f>
        <v>38.5159883107841</v>
      </c>
      <c r="O368" s="24" t="n">
        <f aca="false">J368/(1+H368)^1+K368/(1+H368)^2+L368/(1+H368)^3+M368/(1+H368)^4+N368/(1+H368)^5</f>
        <v>128.612857512005</v>
      </c>
      <c r="P368" s="24" t="n">
        <f aca="false">N368*(1+F368)/(H368-F368)</f>
        <v>598.579533195663</v>
      </c>
      <c r="Q368" s="24" t="n">
        <f aca="false">O368+P368/(1+H368)^5</f>
        <v>531.065551489548</v>
      </c>
      <c r="R368" s="24" t="n">
        <f aca="false">Q368-'DCF Base Case'!$B$5</f>
        <v>346.065551489548</v>
      </c>
      <c r="S368" s="32" t="n">
        <f aca="false">R368/'DCF Base Case'!$B$6</f>
        <v>13.8426220595819</v>
      </c>
    </row>
    <row r="369" customFormat="false" ht="15" hidden="false" customHeight="true" outlineLevel="0" collapsed="false">
      <c r="A369" s="6" t="n">
        <v>368</v>
      </c>
      <c r="B369" s="30" t="n">
        <v>0.0918426669319202</v>
      </c>
      <c r="C369" s="30" t="n">
        <v>0.426844984076193</v>
      </c>
      <c r="D369" s="30" t="n">
        <v>0.0968894182544596</v>
      </c>
      <c r="E369" s="30" t="n">
        <v>0.271923348136805</v>
      </c>
      <c r="F369" s="30" t="n">
        <v>0.0175315533214155</v>
      </c>
      <c r="G369" s="30" t="n">
        <v>0.175447696808638</v>
      </c>
      <c r="H369" s="31" t="n">
        <f aca="false">MAX(D369,F369+0.015)</f>
        <v>0.0968894182544596</v>
      </c>
      <c r="I369" s="25" t="n">
        <f aca="false">(C369-'DCF Base Case'!$B$3)*(1-E369)+'DCF Base Case'!$B$3-G369</f>
        <v>0.17067820531994</v>
      </c>
      <c r="J369" s="24" t="n">
        <f aca="false">'DCF Base Case'!$B$2*(1+B369)^1*$I369-'DCF Base Case'!$B$2*(1+B369)^0*B369*'DCF Base Case'!$B$4</f>
        <v>26.6217776969793</v>
      </c>
      <c r="K369" s="24" t="n">
        <f aca="false">'DCF Base Case'!$B$2*(1+B369)^2*$I369-'DCF Base Case'!$B$2*(1+B369)^1*B369*'DCF Base Case'!$B$4</f>
        <v>29.0667927591386</v>
      </c>
      <c r="L369" s="24" t="n">
        <f aca="false">'DCF Base Case'!$B$2*(1+B369)^3*$I369-'DCF Base Case'!$B$2*(1+B369)^2*B369*'DCF Base Case'!$B$4</f>
        <v>31.7363645252953</v>
      </c>
      <c r="M369" s="24" t="n">
        <f aca="false">'DCF Base Case'!$B$2*(1+B369)^4*$I369-'DCF Base Case'!$B$2*(1+B369)^3*B369*'DCF Base Case'!$B$4</f>
        <v>34.651116882022</v>
      </c>
      <c r="N369" s="24" t="n">
        <f aca="false">'DCF Base Case'!$B$2*(1+B369)^5*$I369-'DCF Base Case'!$B$2*(1+B369)^4*B369*'DCF Base Case'!$B$4</f>
        <v>37.8335678686366</v>
      </c>
      <c r="O369" s="24" t="n">
        <f aca="false">J369/(1+H369)^1+K369/(1+H369)^2+L369/(1+H369)^3+M369/(1+H369)^4+N369/(1+H369)^5</f>
        <v>120.239697670854</v>
      </c>
      <c r="P369" s="24" t="n">
        <f aca="false">N369*(1+F369)/(H369-F369)</f>
        <v>485.104395305312</v>
      </c>
      <c r="Q369" s="24" t="n">
        <f aca="false">O369+P369/(1+H369)^5</f>
        <v>425.746563875828</v>
      </c>
      <c r="R369" s="24" t="n">
        <f aca="false">Q369-'DCF Base Case'!$B$5</f>
        <v>240.746563875828</v>
      </c>
      <c r="S369" s="32" t="n">
        <f aca="false">R369/'DCF Base Case'!$B$6</f>
        <v>9.6298625550331</v>
      </c>
    </row>
    <row r="370" customFormat="false" ht="15" hidden="false" customHeight="true" outlineLevel="0" collapsed="false">
      <c r="A370" s="6" t="n">
        <v>369</v>
      </c>
      <c r="B370" s="30" t="n">
        <v>0.103213376942021</v>
      </c>
      <c r="C370" s="30" t="n">
        <v>0.41040847720128</v>
      </c>
      <c r="D370" s="30" t="n">
        <v>0.0936943282466279</v>
      </c>
      <c r="E370" s="30" t="n">
        <v>0.309749662406246</v>
      </c>
      <c r="F370" s="30" t="n">
        <v>0.0239093086170491</v>
      </c>
      <c r="G370" s="30" t="n">
        <v>0.204964924553237</v>
      </c>
      <c r="H370" s="31" t="n">
        <f aca="false">MAX(D370,F370+0.015)</f>
        <v>0.0936943282466279</v>
      </c>
      <c r="I370" s="25" t="n">
        <f aca="false">(C370-'DCF Base Case'!$B$3)*(1-E370)+'DCF Base Case'!$B$3-G370</f>
        <v>0.118587121499097</v>
      </c>
      <c r="J370" s="24" t="n">
        <f aca="false">'DCF Base Case'!$B$2*(1+B370)^1*$I370-'DCF Base Case'!$B$2*(1+B370)^0*B370*'DCF Base Case'!$B$4</f>
        <v>18.5209221320758</v>
      </c>
      <c r="K370" s="24" t="n">
        <f aca="false">'DCF Base Case'!$B$2*(1+B370)^2*$I370-'DCF Base Case'!$B$2*(1+B370)^1*B370*'DCF Base Case'!$B$4</f>
        <v>20.4325290494076</v>
      </c>
      <c r="L370" s="24" t="n">
        <f aca="false">'DCF Base Case'!$B$2*(1+B370)^3*$I370-'DCF Base Case'!$B$2*(1+B370)^2*B370*'DCF Base Case'!$B$4</f>
        <v>22.5414393720629</v>
      </c>
      <c r="M370" s="24" t="n">
        <f aca="false">'DCF Base Case'!$B$2*(1+B370)^4*$I370-'DCF Base Case'!$B$2*(1+B370)^3*B370*'DCF Base Case'!$B$4</f>
        <v>24.8680174507873</v>
      </c>
      <c r="N370" s="24" t="n">
        <f aca="false">'DCF Base Case'!$B$2*(1+B370)^5*$I370-'DCF Base Case'!$B$2*(1+B370)^4*B370*'DCF Base Case'!$B$4</f>
        <v>27.4347295097362</v>
      </c>
      <c r="O370" s="24" t="n">
        <f aca="false">J370/(1+H370)^1+K370/(1+H370)^2+L370/(1+H370)^3+M370/(1+H370)^4+N370/(1+H370)^5</f>
        <v>86.1581535314844</v>
      </c>
      <c r="P370" s="24" t="n">
        <f aca="false">N370*(1+F370)/(H370-F370)</f>
        <v>402.531590211137</v>
      </c>
      <c r="Q370" s="24" t="n">
        <f aca="false">O370+P370/(1+H370)^5</f>
        <v>343.387295655495</v>
      </c>
      <c r="R370" s="24" t="n">
        <f aca="false">Q370-'DCF Base Case'!$B$5</f>
        <v>158.387295655495</v>
      </c>
      <c r="S370" s="32" t="n">
        <f aca="false">R370/'DCF Base Case'!$B$6</f>
        <v>6.33549182621982</v>
      </c>
    </row>
    <row r="371" customFormat="false" ht="15" hidden="false" customHeight="true" outlineLevel="0" collapsed="false">
      <c r="A371" s="6" t="n">
        <v>370</v>
      </c>
      <c r="B371" s="30" t="n">
        <v>0.0710749898153658</v>
      </c>
      <c r="C371" s="30" t="n">
        <v>0.408113707826894</v>
      </c>
      <c r="D371" s="30" t="n">
        <v>0.0851240546628053</v>
      </c>
      <c r="E371" s="30" t="n">
        <v>0.276947112884746</v>
      </c>
      <c r="F371" s="30" t="n">
        <v>0.0167204716554912</v>
      </c>
      <c r="G371" s="30" t="n">
        <v>0.136576791710655</v>
      </c>
      <c r="H371" s="31" t="n">
        <f aca="false">MAX(D371,F371+0.015)</f>
        <v>0.0851240546628053</v>
      </c>
      <c r="I371" s="25" t="n">
        <f aca="false">(C371-'DCF Base Case'!$B$3)*(1-E371)+'DCF Base Case'!$B$3-G371</f>
        <v>0.194514127679909</v>
      </c>
      <c r="J371" s="24" t="n">
        <f aca="false">'DCF Base Case'!$B$2*(1+B371)^1*$I371-'DCF Base Case'!$B$2*(1+B371)^0*B371*'DCF Base Case'!$B$4</f>
        <v>29.9000103062401</v>
      </c>
      <c r="K371" s="24" t="n">
        <f aca="false">'DCF Base Case'!$B$2*(1+B371)^2*$I371-'DCF Base Case'!$B$2*(1+B371)^1*B371*'DCF Base Case'!$B$4</f>
        <v>32.0251532342355</v>
      </c>
      <c r="L371" s="24" t="n">
        <f aca="false">'DCF Base Case'!$B$2*(1+B371)^3*$I371-'DCF Base Case'!$B$2*(1+B371)^2*B371*'DCF Base Case'!$B$4</f>
        <v>34.3013406741943</v>
      </c>
      <c r="M371" s="24" t="n">
        <f aca="false">'DCF Base Case'!$B$2*(1+B371)^4*$I371-'DCF Base Case'!$B$2*(1+B371)^3*B371*'DCF Base Case'!$B$4</f>
        <v>36.739308113266</v>
      </c>
      <c r="N371" s="24" t="n">
        <f aca="false">'DCF Base Case'!$B$2*(1+B371)^5*$I371-'DCF Base Case'!$B$2*(1+B371)^4*B371*'DCF Base Case'!$B$4</f>
        <v>39.35055406324</v>
      </c>
      <c r="O371" s="24" t="n">
        <f aca="false">J371/(1+H371)^1+K371/(1+H371)^2+L371/(1+H371)^3+M371/(1+H371)^4+N371/(1+H371)^5</f>
        <v>134.250736160575</v>
      </c>
      <c r="P371" s="24" t="n">
        <f aca="false">N371*(1+F371)/(H371-F371)</f>
        <v>584.889155335684</v>
      </c>
      <c r="Q371" s="24" t="n">
        <f aca="false">O371+P371/(1+H371)^5</f>
        <v>523.006297257442</v>
      </c>
      <c r="R371" s="24" t="n">
        <f aca="false">Q371-'DCF Base Case'!$B$5</f>
        <v>338.006297257442</v>
      </c>
      <c r="S371" s="32" t="n">
        <f aca="false">R371/'DCF Base Case'!$B$6</f>
        <v>13.5202518902977</v>
      </c>
    </row>
    <row r="372" customFormat="false" ht="15" hidden="false" customHeight="true" outlineLevel="0" collapsed="false">
      <c r="A372" s="6" t="n">
        <v>371</v>
      </c>
      <c r="B372" s="30" t="n">
        <v>0.0918814426023679</v>
      </c>
      <c r="C372" s="30" t="n">
        <v>0.398414124280708</v>
      </c>
      <c r="D372" s="30" t="n">
        <v>0.0859459282882239</v>
      </c>
      <c r="E372" s="30" t="n">
        <v>0.261764473784674</v>
      </c>
      <c r="F372" s="30" t="n">
        <v>0.01487386790763</v>
      </c>
      <c r="G372" s="30" t="n">
        <v>0.170560541303558</v>
      </c>
      <c r="H372" s="31" t="n">
        <f aca="false">MAX(D372,F372+0.015)</f>
        <v>0.0859459282882239</v>
      </c>
      <c r="I372" s="25" t="n">
        <f aca="false">(C372-'DCF Base Case'!$B$3)*(1-E372)+'DCF Base Case'!$B$3-G372</f>
        <v>0.157592300978436</v>
      </c>
      <c r="J372" s="24" t="n">
        <f aca="false">'DCF Base Case'!$B$2*(1+B372)^1*$I372-'DCF Base Case'!$B$2*(1+B372)^0*B372*'DCF Base Case'!$B$4</f>
        <v>24.5507715203071</v>
      </c>
      <c r="K372" s="24" t="n">
        <f aca="false">'DCF Base Case'!$B$2*(1+B372)^2*$I372-'DCF Base Case'!$B$2*(1+B372)^1*B372*'DCF Base Case'!$B$4</f>
        <v>26.8065318245941</v>
      </c>
      <c r="L372" s="24" t="n">
        <f aca="false">'DCF Base Case'!$B$2*(1+B372)^3*$I372-'DCF Base Case'!$B$2*(1+B372)^2*B372*'DCF Base Case'!$B$4</f>
        <v>29.2695546398041</v>
      </c>
      <c r="M372" s="24" t="n">
        <f aca="false">'DCF Base Case'!$B$2*(1+B372)^4*$I372-'DCF Base Case'!$B$2*(1+B372)^3*B372*'DCF Base Case'!$B$4</f>
        <v>31.9588835444381</v>
      </c>
      <c r="N372" s="24" t="n">
        <f aca="false">'DCF Base Case'!$B$2*(1+B372)^5*$I372-'DCF Base Case'!$B$2*(1+B372)^4*B372*'DCF Base Case'!$B$4</f>
        <v>34.8953118684622</v>
      </c>
      <c r="O372" s="24" t="n">
        <f aca="false">J372/(1+H372)^1+K372/(1+H372)^2+L372/(1+H372)^3+M372/(1+H372)^4+N372/(1+H372)^5</f>
        <v>114.281101714789</v>
      </c>
      <c r="P372" s="24" t="n">
        <f aca="false">N372*(1+F372)/(H372-F372)</f>
        <v>498.287793236103</v>
      </c>
      <c r="Q372" s="24" t="n">
        <f aca="false">O372+P372/(1+H372)^5</f>
        <v>444.224347024169</v>
      </c>
      <c r="R372" s="24" t="n">
        <f aca="false">Q372-'DCF Base Case'!$B$5</f>
        <v>259.224347024169</v>
      </c>
      <c r="S372" s="32" t="n">
        <f aca="false">R372/'DCF Base Case'!$B$6</f>
        <v>10.3689738809668</v>
      </c>
    </row>
    <row r="373" customFormat="false" ht="15" hidden="false" customHeight="true" outlineLevel="0" collapsed="false">
      <c r="A373" s="6" t="n">
        <v>372</v>
      </c>
      <c r="B373" s="30" t="n">
        <v>0.0930948398613362</v>
      </c>
      <c r="C373" s="30" t="n">
        <v>0.42678756687896</v>
      </c>
      <c r="D373" s="30" t="n">
        <v>0.109044501430594</v>
      </c>
      <c r="E373" s="30" t="n">
        <v>0.287801036205106</v>
      </c>
      <c r="F373" s="30" t="n">
        <v>0.0210822547655319</v>
      </c>
      <c r="G373" s="30" t="n">
        <v>0.143716220936458</v>
      </c>
      <c r="H373" s="31" t="n">
        <f aca="false">MAX(D373,F373+0.015)</f>
        <v>0.109044501430594</v>
      </c>
      <c r="I373" s="25" t="n">
        <f aca="false">(C373-'DCF Base Case'!$B$3)*(1-E373)+'DCF Base Case'!$B$3-G373</f>
        <v>0.197655576661945</v>
      </c>
      <c r="J373" s="24" t="n">
        <f aca="false">'DCF Base Case'!$B$2*(1+B373)^1*$I373-'DCF Base Case'!$B$2*(1+B373)^0*B373*'DCF Base Case'!$B$4</f>
        <v>30.9231996298566</v>
      </c>
      <c r="K373" s="24" t="n">
        <f aca="false">'DCF Base Case'!$B$2*(1+B373)^2*$I373-'DCF Base Case'!$B$2*(1+B373)^1*B373*'DCF Base Case'!$B$4</f>
        <v>33.8019899473982</v>
      </c>
      <c r="L373" s="24" t="n">
        <f aca="false">'DCF Base Case'!$B$2*(1+B373)^3*$I373-'DCF Base Case'!$B$2*(1+B373)^2*B373*'DCF Base Case'!$B$4</f>
        <v>36.9487807885458</v>
      </c>
      <c r="M373" s="24" t="n">
        <f aca="false">'DCF Base Case'!$B$2*(1+B373)^4*$I373-'DCF Base Case'!$B$2*(1+B373)^3*B373*'DCF Base Case'!$B$4</f>
        <v>40.3885216191271</v>
      </c>
      <c r="N373" s="24" t="n">
        <f aca="false">'DCF Base Case'!$B$2*(1+B373)^5*$I373-'DCF Base Case'!$B$2*(1+B373)^4*B373*'DCF Base Case'!$B$4</f>
        <v>44.1484845714958</v>
      </c>
      <c r="O373" s="24" t="n">
        <f aca="false">J373/(1+H373)^1+K373/(1+H373)^2+L373/(1+H373)^3+M373/(1+H373)^4+N373/(1+H373)^5</f>
        <v>135.461015215766</v>
      </c>
      <c r="P373" s="24" t="n">
        <f aca="false">N373*(1+F373)/(H373-F373)</f>
        <v>512.483888029764</v>
      </c>
      <c r="Q373" s="24" t="n">
        <f aca="false">O373+P373/(1+H373)^5</f>
        <v>440.907654663267</v>
      </c>
      <c r="R373" s="24" t="n">
        <f aca="false">Q373-'DCF Base Case'!$B$5</f>
        <v>255.907654663267</v>
      </c>
      <c r="S373" s="32" t="n">
        <f aca="false">R373/'DCF Base Case'!$B$6</f>
        <v>10.2363061865307</v>
      </c>
    </row>
    <row r="374" customFormat="false" ht="15" hidden="false" customHeight="true" outlineLevel="0" collapsed="false">
      <c r="A374" s="6" t="n">
        <v>373</v>
      </c>
      <c r="B374" s="30" t="n">
        <v>0.0622557044141947</v>
      </c>
      <c r="C374" s="30" t="n">
        <v>0.435426322357443</v>
      </c>
      <c r="D374" s="30" t="n">
        <v>0.0748417224207337</v>
      </c>
      <c r="E374" s="30" t="n">
        <v>0.258059966583828</v>
      </c>
      <c r="F374" s="30" t="n">
        <v>0.019207117252025</v>
      </c>
      <c r="G374" s="30" t="n">
        <v>0.163293765237097</v>
      </c>
      <c r="H374" s="31" t="n">
        <f aca="false">MAX(D374,F374+0.015)</f>
        <v>0.0748417224207337</v>
      </c>
      <c r="I374" s="25" t="n">
        <f aca="false">(C374-'DCF Base Case'!$B$3)*(1-E374)+'DCF Base Case'!$B$3-G374</f>
        <v>0.193314250578963</v>
      </c>
      <c r="J374" s="24" t="n">
        <f aca="false">'DCF Base Case'!$B$2*(1+B374)^1*$I374-'DCF Base Case'!$B$2*(1+B374)^0*B374*'DCF Base Case'!$B$4</f>
        <v>29.5048166719967</v>
      </c>
      <c r="K374" s="24" t="n">
        <f aca="false">'DCF Base Case'!$B$2*(1+B374)^2*$I374-'DCF Base Case'!$B$2*(1+B374)^1*B374*'DCF Base Case'!$B$4</f>
        <v>31.3416598175235</v>
      </c>
      <c r="L374" s="24" t="n">
        <f aca="false">'DCF Base Case'!$B$2*(1+B374)^3*$I374-'DCF Base Case'!$B$2*(1+B374)^2*B374*'DCF Base Case'!$B$4</f>
        <v>33.2928569269735</v>
      </c>
      <c r="M374" s="24" t="n">
        <f aca="false">'DCF Base Case'!$B$2*(1+B374)^4*$I374-'DCF Base Case'!$B$2*(1+B374)^3*B374*'DCF Base Case'!$B$4</f>
        <v>35.3655271869233</v>
      </c>
      <c r="N374" s="24" t="n">
        <f aca="false">'DCF Base Case'!$B$2*(1+B374)^5*$I374-'DCF Base Case'!$B$2*(1+B374)^4*B374*'DCF Base Case'!$B$4</f>
        <v>37.5672329939245</v>
      </c>
      <c r="O374" s="24" t="n">
        <f aca="false">J374/(1+H374)^1+K374/(1+H374)^2+L374/(1+H374)^3+M374/(1+H374)^4+N374/(1+H374)^5</f>
        <v>134.074989565894</v>
      </c>
      <c r="P374" s="24" t="n">
        <f aca="false">N374*(1+F374)/(H374-F374)</f>
        <v>688.218980376772</v>
      </c>
      <c r="Q374" s="24" t="n">
        <f aca="false">O374+P374/(1+H374)^5</f>
        <v>613.812928286604</v>
      </c>
      <c r="R374" s="24" t="n">
        <f aca="false">Q374-'DCF Base Case'!$B$5</f>
        <v>428.812928286604</v>
      </c>
      <c r="S374" s="32" t="n">
        <f aca="false">R374/'DCF Base Case'!$B$6</f>
        <v>17.1525171314642</v>
      </c>
    </row>
    <row r="375" customFormat="false" ht="15" hidden="false" customHeight="true" outlineLevel="0" collapsed="false">
      <c r="A375" s="6" t="n">
        <v>374</v>
      </c>
      <c r="B375" s="30" t="n">
        <v>0.0702815070092653</v>
      </c>
      <c r="C375" s="30" t="n">
        <v>0.400526528227987</v>
      </c>
      <c r="D375" s="30" t="n">
        <v>0.0985231328941512</v>
      </c>
      <c r="E375" s="30" t="n">
        <v>0.261570481990011</v>
      </c>
      <c r="F375" s="30" t="n">
        <v>0.013781394753384</v>
      </c>
      <c r="G375" s="30" t="n">
        <v>0.187787170073212</v>
      </c>
      <c r="H375" s="31" t="n">
        <f aca="false">MAX(D375,F375+0.015)</f>
        <v>0.0985231328941512</v>
      </c>
      <c r="I375" s="25" t="n">
        <f aca="false">(C375-'DCF Base Case'!$B$3)*(1-E375)+'DCF Base Case'!$B$3-G375</f>
        <v>0.141977603775096</v>
      </c>
      <c r="J375" s="24" t="n">
        <f aca="false">'DCF Base Case'!$B$2*(1+B375)^1*$I375-'DCF Base Case'!$B$2*(1+B375)^0*B375*'DCF Base Case'!$B$4</f>
        <v>21.727895985356</v>
      </c>
      <c r="K375" s="24" t="n">
        <f aca="false">'DCF Base Case'!$B$2*(1+B375)^2*$I375-'DCF Base Case'!$B$2*(1+B375)^1*B375*'DCF Base Case'!$B$4</f>
        <v>23.2549652593473</v>
      </c>
      <c r="L375" s="24" t="n">
        <f aca="false">'DCF Base Case'!$B$2*(1+B375)^3*$I375-'DCF Base Case'!$B$2*(1+B375)^2*B375*'DCF Base Case'!$B$4</f>
        <v>24.8893592632224</v>
      </c>
      <c r="M375" s="24" t="n">
        <f aca="false">'DCF Base Case'!$B$2*(1+B375)^4*$I375-'DCF Base Case'!$B$2*(1+B375)^3*B375*'DCF Base Case'!$B$4</f>
        <v>26.6386209407367</v>
      </c>
      <c r="N375" s="24" t="n">
        <f aca="false">'DCF Base Case'!$B$2*(1+B375)^5*$I375-'DCF Base Case'!$B$2*(1+B375)^4*B375*'DCF Base Case'!$B$4</f>
        <v>28.5108233651002</v>
      </c>
      <c r="O375" s="24" t="n">
        <f aca="false">J375/(1+H375)^1+K375/(1+H375)^2+L375/(1+H375)^3+M375/(1+H375)^4+N375/(1+H375)^5</f>
        <v>93.9400217979376</v>
      </c>
      <c r="P375" s="24" t="n">
        <f aca="false">N375*(1+F375)/(H375-F375)</f>
        <v>341.080356749654</v>
      </c>
      <c r="Q375" s="24" t="n">
        <f aca="false">O375+P375/(1+H375)^5</f>
        <v>307.151545850493</v>
      </c>
      <c r="R375" s="24" t="n">
        <f aca="false">Q375-'DCF Base Case'!$B$5</f>
        <v>122.151545850493</v>
      </c>
      <c r="S375" s="32" t="n">
        <f aca="false">R375/'DCF Base Case'!$B$6</f>
        <v>4.8860618340197</v>
      </c>
    </row>
    <row r="376" customFormat="false" ht="15" hidden="false" customHeight="true" outlineLevel="0" collapsed="false">
      <c r="A376" s="6" t="n">
        <v>375</v>
      </c>
      <c r="B376" s="30" t="n">
        <v>0.100550365563784</v>
      </c>
      <c r="C376" s="30" t="n">
        <v>0.405251433895671</v>
      </c>
      <c r="D376" s="30" t="n">
        <v>0.0675961628226039</v>
      </c>
      <c r="E376" s="30" t="n">
        <v>0.262591031631377</v>
      </c>
      <c r="F376" s="30" t="n">
        <v>0.0191478259315697</v>
      </c>
      <c r="G376" s="30" t="n">
        <v>0.192958529143505</v>
      </c>
      <c r="H376" s="31" t="n">
        <f aca="false">MAX(D376,F376+0.015)</f>
        <v>0.0675961628226039</v>
      </c>
      <c r="I376" s="25" t="n">
        <f aca="false">(C376-'DCF Base Case'!$B$3)*(1-E376)+'DCF Base Case'!$B$3-G376</f>
        <v>0.140014346767486</v>
      </c>
      <c r="J376" s="24" t="n">
        <f aca="false">'DCF Base Case'!$B$2*(1+B376)^1*$I376-'DCF Base Case'!$B$2*(1+B376)^0*B376*'DCF Base Case'!$B$4</f>
        <v>21.9060677850716</v>
      </c>
      <c r="K376" s="24" t="n">
        <f aca="false">'DCF Base Case'!$B$2*(1+B376)^2*$I376-'DCF Base Case'!$B$2*(1+B376)^1*B376*'DCF Base Case'!$B$4</f>
        <v>24.1087309089255</v>
      </c>
      <c r="L376" s="24" t="n">
        <f aca="false">'DCF Base Case'!$B$2*(1+B376)^3*$I376-'DCF Base Case'!$B$2*(1+B376)^2*B376*'DCF Base Case'!$B$4</f>
        <v>26.5328726150969</v>
      </c>
      <c r="M376" s="24" t="n">
        <f aca="false">'DCF Base Case'!$B$2*(1+B376)^4*$I376-'DCF Base Case'!$B$2*(1+B376)^3*B376*'DCF Base Case'!$B$4</f>
        <v>29.2007626560022</v>
      </c>
      <c r="N376" s="24" t="n">
        <f aca="false">'DCF Base Case'!$B$2*(1+B376)^5*$I376-'DCF Base Case'!$B$2*(1+B376)^4*B376*'DCF Base Case'!$B$4</f>
        <v>32.1369100158045</v>
      </c>
      <c r="O376" s="24" t="n">
        <f aca="false">J376/(1+H376)^1+K376/(1+H376)^2+L376/(1+H376)^3+M376/(1+H376)^4+N376/(1+H376)^5</f>
        <v>109.127589762157</v>
      </c>
      <c r="P376" s="24" t="n">
        <f aca="false">N376*(1+F376)/(H376-F376)</f>
        <v>676.024484564438</v>
      </c>
      <c r="Q376" s="24" t="n">
        <f aca="false">O376+P376/(1+H376)^5</f>
        <v>596.574593132112</v>
      </c>
      <c r="R376" s="24" t="n">
        <f aca="false">Q376-'DCF Base Case'!$B$5</f>
        <v>411.574593132112</v>
      </c>
      <c r="S376" s="32" t="n">
        <f aca="false">R376/'DCF Base Case'!$B$6</f>
        <v>16.4629837252845</v>
      </c>
    </row>
    <row r="377" customFormat="false" ht="15" hidden="false" customHeight="true" outlineLevel="0" collapsed="false">
      <c r="A377" s="6" t="n">
        <v>376</v>
      </c>
      <c r="B377" s="30" t="n">
        <v>0.0673829653875634</v>
      </c>
      <c r="C377" s="30" t="n">
        <v>0.40444677834548</v>
      </c>
      <c r="D377" s="30" t="n">
        <v>0.0924265912588439</v>
      </c>
      <c r="E377" s="30" t="n">
        <v>0.244356432508552</v>
      </c>
      <c r="F377" s="30" t="n">
        <v>0.0230538081856275</v>
      </c>
      <c r="G377" s="30" t="n">
        <v>0.141772779650541</v>
      </c>
      <c r="H377" s="31" t="n">
        <f aca="false">MAX(D377,F377+0.015)</f>
        <v>0.0924265912588439</v>
      </c>
      <c r="I377" s="25" t="n">
        <f aca="false">(C377-'DCF Base Case'!$B$3)*(1-E377)+'DCF Base Case'!$B$3-G377</f>
        <v>0.195611163024972</v>
      </c>
      <c r="J377" s="24" t="n">
        <f aca="false">'DCF Base Case'!$B$2*(1+B377)^1*$I377-'DCF Base Case'!$B$2*(1+B377)^0*B377*'DCF Base Case'!$B$4</f>
        <v>29.9817274721773</v>
      </c>
      <c r="K377" s="24" t="n">
        <f aca="false">'DCF Base Case'!$B$2*(1+B377)^2*$I377-'DCF Base Case'!$B$2*(1+B377)^1*B377*'DCF Base Case'!$B$4</f>
        <v>32.0019851766944</v>
      </c>
      <c r="L377" s="24" t="n">
        <f aca="false">'DCF Base Case'!$B$2*(1+B377)^3*$I377-'DCF Base Case'!$B$2*(1+B377)^2*B377*'DCF Base Case'!$B$4</f>
        <v>34.1583738361889</v>
      </c>
      <c r="M377" s="24" t="n">
        <f aca="false">'DCF Base Case'!$B$2*(1+B377)^4*$I377-'DCF Base Case'!$B$2*(1+B377)^3*B377*'DCF Base Case'!$B$4</f>
        <v>36.4600663580883</v>
      </c>
      <c r="N377" s="24" t="n">
        <f aca="false">'DCF Base Case'!$B$2*(1+B377)^5*$I377-'DCF Base Case'!$B$2*(1+B377)^4*B377*'DCF Base Case'!$B$4</f>
        <v>38.9168537475236</v>
      </c>
      <c r="O377" s="24" t="n">
        <f aca="false">J377/(1+H377)^1+K377/(1+H377)^2+L377/(1+H377)^3+M377/(1+H377)^4+N377/(1+H377)^5</f>
        <v>131.076235936981</v>
      </c>
      <c r="P377" s="24" t="n">
        <f aca="false">N377*(1+F377)/(H377-F377)</f>
        <v>573.914346019349</v>
      </c>
      <c r="Q377" s="24" t="n">
        <f aca="false">O377+P377/(1+H377)^5</f>
        <v>499.956793850709</v>
      </c>
      <c r="R377" s="24" t="n">
        <f aca="false">Q377-'DCF Base Case'!$B$5</f>
        <v>314.956793850709</v>
      </c>
      <c r="S377" s="32" t="n">
        <f aca="false">R377/'DCF Base Case'!$B$6</f>
        <v>12.5982717540284</v>
      </c>
    </row>
    <row r="378" customFormat="false" ht="15" hidden="false" customHeight="true" outlineLevel="0" collapsed="false">
      <c r="A378" s="6" t="n">
        <v>377</v>
      </c>
      <c r="B378" s="30" t="n">
        <v>0.0969914932279131</v>
      </c>
      <c r="C378" s="30" t="n">
        <v>0.421832425168745</v>
      </c>
      <c r="D378" s="30" t="n">
        <v>0.0969304503061023</v>
      </c>
      <c r="E378" s="30" t="n">
        <v>0.296340487414463</v>
      </c>
      <c r="F378" s="30" t="n">
        <v>0.0112353260240601</v>
      </c>
      <c r="G378" s="30" t="n">
        <v>0.149413704621054</v>
      </c>
      <c r="H378" s="31" t="n">
        <f aca="false">MAX(D378,F378+0.015)</f>
        <v>0.0969304503061023</v>
      </c>
      <c r="I378" s="25" t="n">
        <f aca="false">(C378-'DCF Base Case'!$B$3)*(1-E378)+'DCF Base Case'!$B$3-G378</f>
        <v>0.18593695742984</v>
      </c>
      <c r="J378" s="24" t="n">
        <f aca="false">'DCF Base Case'!$B$2*(1+B378)^1*$I378-'DCF Base Case'!$B$2*(1+B378)^0*B378*'DCF Base Case'!$B$4</f>
        <v>29.1539197881548</v>
      </c>
      <c r="K378" s="24" t="n">
        <f aca="false">'DCF Base Case'!$B$2*(1+B378)^2*$I378-'DCF Base Case'!$B$2*(1+B378)^1*B378*'DCF Base Case'!$B$4</f>
        <v>31.9816020018547</v>
      </c>
      <c r="L378" s="24" t="n">
        <f aca="false">'DCF Base Case'!$B$2*(1+B378)^3*$I378-'DCF Base Case'!$B$2*(1+B378)^2*B378*'DCF Base Case'!$B$4</f>
        <v>35.0835453358354</v>
      </c>
      <c r="M378" s="24" t="n">
        <f aca="false">'DCF Base Case'!$B$2*(1+B378)^4*$I378-'DCF Base Case'!$B$2*(1+B378)^3*B378*'DCF Base Case'!$B$4</f>
        <v>38.4863507856873</v>
      </c>
      <c r="N378" s="24" t="n">
        <f aca="false">'DCF Base Case'!$B$2*(1+B378)^5*$I378-'DCF Base Case'!$B$2*(1+B378)^4*B378*'DCF Base Case'!$B$4</f>
        <v>42.2191994172844</v>
      </c>
      <c r="O378" s="24" t="n">
        <f aca="false">J378/(1+H378)^1+K378/(1+H378)^2+L378/(1+H378)^3+M378/(1+H378)^4+N378/(1+H378)^5</f>
        <v>132.903433964328</v>
      </c>
      <c r="P378" s="24" t="n">
        <f aca="false">N378*(1+F378)/(H378-F378)</f>
        <v>498.202741928446</v>
      </c>
      <c r="Q378" s="24" t="n">
        <f aca="false">O378+P378/(1+H378)^5</f>
        <v>446.600640285854</v>
      </c>
      <c r="R378" s="24" t="n">
        <f aca="false">Q378-'DCF Base Case'!$B$5</f>
        <v>261.600640285854</v>
      </c>
      <c r="S378" s="32" t="n">
        <f aca="false">R378/'DCF Base Case'!$B$6</f>
        <v>10.4640256114342</v>
      </c>
    </row>
    <row r="379" customFormat="false" ht="15" hidden="false" customHeight="true" outlineLevel="0" collapsed="false">
      <c r="A379" s="6" t="n">
        <v>378</v>
      </c>
      <c r="B379" s="30" t="n">
        <v>0.0928280194033499</v>
      </c>
      <c r="C379" s="30" t="n">
        <v>0.411764409091025</v>
      </c>
      <c r="D379" s="30" t="n">
        <v>0.0902537180273245</v>
      </c>
      <c r="E379" s="30" t="n">
        <v>0.303869813614864</v>
      </c>
      <c r="F379" s="30" t="n">
        <v>0.0215311626853765</v>
      </c>
      <c r="G379" s="30" t="n">
        <v>0.160763170000073</v>
      </c>
      <c r="H379" s="31" t="n">
        <f aca="false">MAX(D379,F379+0.015)</f>
        <v>0.0902537180273245</v>
      </c>
      <c r="I379" s="25" t="n">
        <f aca="false">(C379-'DCF Base Case'!$B$3)*(1-E379)+'DCF Base Case'!$B$3-G379</f>
        <v>0.16538154061716</v>
      </c>
      <c r="J379" s="24" t="n">
        <f aca="false">'DCF Base Case'!$B$2*(1+B379)^1*$I379-'DCF Base Case'!$B$2*(1+B379)^0*B379*'DCF Base Case'!$B$4</f>
        <v>25.8025674299816</v>
      </c>
      <c r="K379" s="24" t="n">
        <f aca="false">'DCF Base Case'!$B$2*(1+B379)^2*$I379-'DCF Base Case'!$B$2*(1+B379)^1*B379*'DCF Base Case'!$B$4</f>
        <v>28.1977686600282</v>
      </c>
      <c r="L379" s="24" t="n">
        <f aca="false">'DCF Base Case'!$B$2*(1+B379)^3*$I379-'DCF Base Case'!$B$2*(1+B379)^2*B379*'DCF Base Case'!$B$4</f>
        <v>30.8153116763325</v>
      </c>
      <c r="M379" s="24" t="n">
        <f aca="false">'DCF Base Case'!$B$2*(1+B379)^4*$I379-'DCF Base Case'!$B$2*(1+B379)^3*B379*'DCF Base Case'!$B$4</f>
        <v>33.6758360265434</v>
      </c>
      <c r="N379" s="24" t="n">
        <f aca="false">'DCF Base Case'!$B$2*(1+B379)^5*$I379-'DCF Base Case'!$B$2*(1+B379)^4*B379*'DCF Base Case'!$B$4</f>
        <v>36.8018971866394</v>
      </c>
      <c r="O379" s="24" t="n">
        <f aca="false">J379/(1+H379)^1+K379/(1+H379)^2+L379/(1+H379)^3+M379/(1+H379)^4+N379/(1+H379)^5</f>
        <v>118.8929917261</v>
      </c>
      <c r="P379" s="24" t="n">
        <f aca="false">N379*(1+F379)/(H379-F379)</f>
        <v>547.044338427677</v>
      </c>
      <c r="Q379" s="24" t="n">
        <f aca="false">O379+P379/(1+H379)^5</f>
        <v>474.020771116496</v>
      </c>
      <c r="R379" s="24" t="n">
        <f aca="false">Q379-'DCF Base Case'!$B$5</f>
        <v>289.020771116496</v>
      </c>
      <c r="S379" s="32" t="n">
        <f aca="false">R379/'DCF Base Case'!$B$6</f>
        <v>11.5608308446598</v>
      </c>
    </row>
    <row r="380" customFormat="false" ht="15" hidden="false" customHeight="true" outlineLevel="0" collapsed="false">
      <c r="A380" s="6" t="n">
        <v>379</v>
      </c>
      <c r="B380" s="30" t="n">
        <v>0.0527321725304817</v>
      </c>
      <c r="C380" s="30" t="n">
        <v>0.389154100664409</v>
      </c>
      <c r="D380" s="30" t="n">
        <v>0.0895800496295285</v>
      </c>
      <c r="E380" s="30" t="n">
        <v>0.257408842417483</v>
      </c>
      <c r="F380" s="30" t="n">
        <v>0.0216143503328297</v>
      </c>
      <c r="G380" s="30" t="n">
        <v>0.186969538342848</v>
      </c>
      <c r="H380" s="31" t="n">
        <f aca="false">MAX(D380,F380+0.015)</f>
        <v>0.0895800496295285</v>
      </c>
      <c r="I380" s="25" t="n">
        <f aca="false">(C380-'DCF Base Case'!$B$3)*(1-E380)+'DCF Base Case'!$B$3-G380</f>
        <v>0.135476005261792</v>
      </c>
      <c r="J380" s="24" t="n">
        <f aca="false">'DCF Base Case'!$B$2*(1+B380)^1*$I380-'DCF Base Case'!$B$2*(1+B380)^0*B380*'DCF Base Case'!$B$4</f>
        <v>20.450507704517</v>
      </c>
      <c r="K380" s="24" t="n">
        <f aca="false">'DCF Base Case'!$B$2*(1+B380)^2*$I380-'DCF Base Case'!$B$2*(1+B380)^1*B380*'DCF Base Case'!$B$4</f>
        <v>21.5289074051275</v>
      </c>
      <c r="L380" s="24" t="n">
        <f aca="false">'DCF Base Case'!$B$2*(1+B380)^3*$I380-'DCF Base Case'!$B$2*(1+B380)^2*B380*'DCF Base Case'!$B$4</f>
        <v>22.6641734648074</v>
      </c>
      <c r="M380" s="24" t="n">
        <f aca="false">'DCF Base Case'!$B$2*(1+B380)^4*$I380-'DCF Base Case'!$B$2*(1+B380)^3*B380*'DCF Base Case'!$B$4</f>
        <v>23.8593045702144</v>
      </c>
      <c r="N380" s="24" t="n">
        <f aca="false">'DCF Base Case'!$B$2*(1+B380)^5*$I380-'DCF Base Case'!$B$2*(1+B380)^4*B380*'DCF Base Case'!$B$4</f>
        <v>25.1174575352683</v>
      </c>
      <c r="O380" s="24" t="n">
        <f aca="false">J380/(1+H380)^1+K380/(1+H380)^2+L380/(1+H380)^3+M380/(1+H380)^4+N380/(1+H380)^5</f>
        <v>87.70944465272</v>
      </c>
      <c r="P380" s="24" t="n">
        <f aca="false">N380*(1+F380)/(H380-F380)</f>
        <v>377.548606538827</v>
      </c>
      <c r="Q380" s="24" t="n">
        <f aca="false">O380+P380/(1+H380)^5</f>
        <v>333.563376665262</v>
      </c>
      <c r="R380" s="24" t="n">
        <f aca="false">Q380-'DCF Base Case'!$B$5</f>
        <v>148.563376665262</v>
      </c>
      <c r="S380" s="32" t="n">
        <f aca="false">R380/'DCF Base Case'!$B$6</f>
        <v>5.9425350666105</v>
      </c>
    </row>
    <row r="381" customFormat="false" ht="15" hidden="false" customHeight="true" outlineLevel="0" collapsed="false">
      <c r="A381" s="6" t="n">
        <v>380</v>
      </c>
      <c r="B381" s="30" t="n">
        <v>0.0925909901892504</v>
      </c>
      <c r="C381" s="30" t="n">
        <v>0.363762715147984</v>
      </c>
      <c r="D381" s="30" t="n">
        <v>0.0709410280101702</v>
      </c>
      <c r="E381" s="30" t="n">
        <v>0.332871547901182</v>
      </c>
      <c r="F381" s="30" t="n">
        <v>0.0171526867460682</v>
      </c>
      <c r="G381" s="30" t="n">
        <v>0.129720069529955</v>
      </c>
      <c r="H381" s="31" t="n">
        <f aca="false">MAX(D381,F381+0.015)</f>
        <v>0.0709410280101702</v>
      </c>
      <c r="I381" s="25" t="n">
        <f aca="false">(C381-'DCF Base Case'!$B$3)*(1-E381)+'DCF Base Case'!$B$3-G381</f>
        <v>0.156229688785136</v>
      </c>
      <c r="J381" s="24" t="n">
        <f aca="false">'DCF Base Case'!$B$2*(1+B381)^1*$I381-'DCF Base Case'!$B$2*(1+B381)^0*B381*'DCF Base Case'!$B$4</f>
        <v>24.3480259958498</v>
      </c>
      <c r="K381" s="24" t="n">
        <f aca="false">'DCF Base Case'!$B$2*(1+B381)^2*$I381-'DCF Base Case'!$B$2*(1+B381)^1*B381*'DCF Base Case'!$B$4</f>
        <v>26.6024338319592</v>
      </c>
      <c r="L381" s="24" t="n">
        <f aca="false">'DCF Base Case'!$B$2*(1+B381)^3*$I381-'DCF Base Case'!$B$2*(1+B381)^2*B381*'DCF Base Case'!$B$4</f>
        <v>29.0655795219043</v>
      </c>
      <c r="M381" s="24" t="n">
        <f aca="false">'DCF Base Case'!$B$2*(1+B381)^4*$I381-'DCF Base Case'!$B$2*(1+B381)^3*B381*'DCF Base Case'!$B$4</f>
        <v>31.7567903102618</v>
      </c>
      <c r="N381" s="24" t="n">
        <f aca="false">'DCF Base Case'!$B$2*(1+B381)^5*$I381-'DCF Base Case'!$B$2*(1+B381)^4*B381*'DCF Base Case'!$B$4</f>
        <v>34.6971829703213</v>
      </c>
      <c r="O381" s="24" t="n">
        <f aca="false">J381/(1+H381)^1+K381/(1+H381)^2+L381/(1+H381)^3+M381/(1+H381)^4+N381/(1+H381)^5</f>
        <v>118.365808784191</v>
      </c>
      <c r="P381" s="24" t="n">
        <f aca="false">N381*(1+F381)/(H381-F381)</f>
        <v>656.133504981982</v>
      </c>
      <c r="Q381" s="24" t="n">
        <f aca="false">O381+P381/(1+H381)^5</f>
        <v>584.128214407713</v>
      </c>
      <c r="R381" s="24" t="n">
        <f aca="false">Q381-'DCF Base Case'!$B$5</f>
        <v>399.128214407713</v>
      </c>
      <c r="S381" s="32" t="n">
        <f aca="false">R381/'DCF Base Case'!$B$6</f>
        <v>15.9651285763085</v>
      </c>
    </row>
    <row r="382" customFormat="false" ht="15" hidden="false" customHeight="true" outlineLevel="0" collapsed="false">
      <c r="A382" s="6" t="n">
        <v>381</v>
      </c>
      <c r="B382" s="30" t="n">
        <v>0.116722411656632</v>
      </c>
      <c r="C382" s="30" t="n">
        <v>0.423766589621045</v>
      </c>
      <c r="D382" s="30" t="n">
        <v>0.097154345378535</v>
      </c>
      <c r="E382" s="30" t="n">
        <v>0.287790928340717</v>
      </c>
      <c r="F382" s="30" t="n">
        <v>0.0209861765914828</v>
      </c>
      <c r="G382" s="30" t="n">
        <v>0.173634129700854</v>
      </c>
      <c r="H382" s="31" t="n">
        <f aca="false">MAX(D382,F382+0.015)</f>
        <v>0.097154345378535</v>
      </c>
      <c r="I382" s="25" t="n">
        <f aca="false">(C382-'DCF Base Case'!$B$3)*(1-E382)+'DCF Base Case'!$B$3-G382</f>
        <v>0.165589100377664</v>
      </c>
      <c r="J382" s="24" t="n">
        <f aca="false">'DCF Base Case'!$B$2*(1+B382)^1*$I382-'DCF Base Case'!$B$2*(1+B382)^0*B382*'DCF Base Case'!$B$4</f>
        <v>26.3052311393742</v>
      </c>
      <c r="K382" s="24" t="n">
        <f aca="false">'DCF Base Case'!$B$2*(1+B382)^2*$I382-'DCF Base Case'!$B$2*(1+B382)^1*B382*'DCF Base Case'!$B$4</f>
        <v>29.3756411571471</v>
      </c>
      <c r="L382" s="24" t="n">
        <f aca="false">'DCF Base Case'!$B$2*(1+B382)^3*$I382-'DCF Base Case'!$B$2*(1+B382)^2*B382*'DCF Base Case'!$B$4</f>
        <v>32.8044368369692</v>
      </c>
      <c r="M382" s="24" t="n">
        <f aca="false">'DCF Base Case'!$B$2*(1+B382)^4*$I382-'DCF Base Case'!$B$2*(1+B382)^3*B382*'DCF Base Case'!$B$4</f>
        <v>36.6334498176179</v>
      </c>
      <c r="N382" s="24" t="n">
        <f aca="false">'DCF Base Case'!$B$2*(1+B382)^5*$I382-'DCF Base Case'!$B$2*(1+B382)^4*B382*'DCF Base Case'!$B$4</f>
        <v>40.9093944276324</v>
      </c>
      <c r="O382" s="24" t="n">
        <f aca="false">J382/(1+H382)^1+K382/(1+H382)^2+L382/(1+H382)^3+M382/(1+H382)^4+N382/(1+H382)^5</f>
        <v>124.232470824046</v>
      </c>
      <c r="P382" s="24" t="n">
        <f aca="false">N382*(1+F382)/(H382-F382)</f>
        <v>548.364584162636</v>
      </c>
      <c r="Q382" s="24" t="n">
        <f aca="false">O382+P382/(1+H382)^5</f>
        <v>469.162305919721</v>
      </c>
      <c r="R382" s="24" t="n">
        <f aca="false">Q382-'DCF Base Case'!$B$5</f>
        <v>284.162305919721</v>
      </c>
      <c r="S382" s="32" t="n">
        <f aca="false">R382/'DCF Base Case'!$B$6</f>
        <v>11.3664922367888</v>
      </c>
    </row>
    <row r="383" customFormat="false" ht="15" hidden="false" customHeight="true" outlineLevel="0" collapsed="false">
      <c r="A383" s="6" t="n">
        <v>382</v>
      </c>
      <c r="B383" s="30" t="n">
        <v>0.105161183592079</v>
      </c>
      <c r="C383" s="30" t="n">
        <v>0.454095714805392</v>
      </c>
      <c r="D383" s="30" t="n">
        <v>0.0956810696955511</v>
      </c>
      <c r="E383" s="30" t="n">
        <v>0.251199647239319</v>
      </c>
      <c r="F383" s="30" t="n">
        <v>0.0209431550729238</v>
      </c>
      <c r="G383" s="30" t="n">
        <v>0.192413595158565</v>
      </c>
      <c r="H383" s="31" t="n">
        <f aca="false">MAX(D383,F383+0.015)</f>
        <v>0.0956810696955511</v>
      </c>
      <c r="I383" s="25" t="n">
        <f aca="false">(C383-'DCF Base Case'!$B$3)*(1-E383)+'DCF Base Case'!$B$3-G383</f>
        <v>0.180269390415938</v>
      </c>
      <c r="J383" s="24" t="n">
        <f aca="false">'DCF Base Case'!$B$2*(1+B383)^1*$I383-'DCF Base Case'!$B$2*(1+B383)^0*B383*'DCF Base Case'!$B$4</f>
        <v>28.430425118612</v>
      </c>
      <c r="K383" s="24" t="n">
        <f aca="false">'DCF Base Case'!$B$2*(1+B383)^2*$I383-'DCF Base Case'!$B$2*(1+B383)^1*B383*'DCF Base Case'!$B$4</f>
        <v>31.4202022741112</v>
      </c>
      <c r="L383" s="24" t="n">
        <f aca="false">'DCF Base Case'!$B$2*(1+B383)^3*$I383-'DCF Base Case'!$B$2*(1+B383)^2*B383*'DCF Base Case'!$B$4</f>
        <v>34.7243879339593</v>
      </c>
      <c r="M383" s="24" t="n">
        <f aca="false">'DCF Base Case'!$B$2*(1+B383)^4*$I383-'DCF Base Case'!$B$2*(1+B383)^3*B383*'DCF Base Case'!$B$4</f>
        <v>38.3760456686049</v>
      </c>
      <c r="N383" s="24" t="n">
        <f aca="false">'DCF Base Case'!$B$2*(1+B383)^5*$I383-'DCF Base Case'!$B$2*(1+B383)^4*B383*'DCF Base Case'!$B$4</f>
        <v>42.4117160526991</v>
      </c>
      <c r="O383" s="24" t="n">
        <f aca="false">J383/(1+H383)^1+K383/(1+H383)^2+L383/(1+H383)^3+M383/(1+H383)^4+N383/(1+H383)^5</f>
        <v>132.003170129437</v>
      </c>
      <c r="P383" s="24" t="n">
        <f aca="false">N383*(1+F383)/(H383-F383)</f>
        <v>579.357230095771</v>
      </c>
      <c r="Q383" s="24" t="n">
        <f aca="false">O383+P383/(1+H383)^5</f>
        <v>498.884523569625</v>
      </c>
      <c r="R383" s="24" t="n">
        <f aca="false">Q383-'DCF Base Case'!$B$5</f>
        <v>313.884523569625</v>
      </c>
      <c r="S383" s="32" t="n">
        <f aca="false">R383/'DCF Base Case'!$B$6</f>
        <v>12.555380942785</v>
      </c>
    </row>
    <row r="384" customFormat="false" ht="15" hidden="false" customHeight="true" outlineLevel="0" collapsed="false">
      <c r="A384" s="6" t="n">
        <v>383</v>
      </c>
      <c r="B384" s="30" t="n">
        <v>0.116068215606525</v>
      </c>
      <c r="C384" s="30" t="n">
        <v>0.415236188053361</v>
      </c>
      <c r="D384" s="30" t="n">
        <v>0.0978143888970694</v>
      </c>
      <c r="E384" s="30" t="n">
        <v>0.308166652235846</v>
      </c>
      <c r="F384" s="30" t="n">
        <v>0.0266860207179175</v>
      </c>
      <c r="G384" s="30" t="n">
        <v>0.150108259964853</v>
      </c>
      <c r="H384" s="31" t="n">
        <f aca="false">MAX(D384,F384+0.015)</f>
        <v>0.0978143888970694</v>
      </c>
      <c r="I384" s="25" t="n">
        <f aca="false">(C384-'DCF Base Case'!$B$3)*(1-E384)+'DCF Base Case'!$B$3-G384</f>
        <v>0.17722764691959</v>
      </c>
      <c r="J384" s="24" t="n">
        <f aca="false">'DCF Base Case'!$B$2*(1+B384)^1*$I384-'DCF Base Case'!$B$2*(1+B384)^0*B384*'DCF Base Case'!$B$4</f>
        <v>28.1758340918966</v>
      </c>
      <c r="K384" s="24" t="n">
        <f aca="false">'DCF Base Case'!$B$2*(1+B384)^2*$I384-'DCF Base Case'!$B$2*(1+B384)^1*B384*'DCF Base Case'!$B$4</f>
        <v>31.4461528781685</v>
      </c>
      <c r="L384" s="24" t="n">
        <f aca="false">'DCF Base Case'!$B$2*(1+B384)^3*$I384-'DCF Base Case'!$B$2*(1+B384)^2*B384*'DCF Base Case'!$B$4</f>
        <v>35.0960517304275</v>
      </c>
      <c r="M384" s="24" t="n">
        <f aca="false">'DCF Base Case'!$B$2*(1+B384)^4*$I384-'DCF Base Case'!$B$2*(1+B384)^3*B384*'DCF Base Case'!$B$4</f>
        <v>39.1695878296126</v>
      </c>
      <c r="N384" s="24" t="n">
        <f aca="false">'DCF Base Case'!$B$2*(1+B384)^5*$I384-'DCF Base Case'!$B$2*(1+B384)^4*B384*'DCF Base Case'!$B$4</f>
        <v>43.7159319950387</v>
      </c>
      <c r="O384" s="24" t="n">
        <f aca="false">J384/(1+H384)^1+K384/(1+H384)^2+L384/(1+H384)^3+M384/(1+H384)^4+N384/(1+H384)^5</f>
        <v>132.665991220664</v>
      </c>
      <c r="P384" s="24" t="n">
        <f aca="false">N384*(1+F384)/(H384-F384)</f>
        <v>631.007534840603</v>
      </c>
      <c r="Q384" s="24" t="n">
        <f aca="false">O384+P384/(1+H384)^5</f>
        <v>528.387769091154</v>
      </c>
      <c r="R384" s="24" t="n">
        <f aca="false">Q384-'DCF Base Case'!$B$5</f>
        <v>343.387769091154</v>
      </c>
      <c r="S384" s="32" t="n">
        <f aca="false">R384/'DCF Base Case'!$B$6</f>
        <v>13.7355107636462</v>
      </c>
    </row>
    <row r="385" customFormat="false" ht="15" hidden="false" customHeight="true" outlineLevel="0" collapsed="false">
      <c r="A385" s="6" t="n">
        <v>384</v>
      </c>
      <c r="B385" s="30" t="n">
        <v>0.0791111806699345</v>
      </c>
      <c r="C385" s="30" t="n">
        <v>0.403899854109479</v>
      </c>
      <c r="D385" s="30" t="n">
        <v>0.0796075563495735</v>
      </c>
      <c r="E385" s="30" t="n">
        <v>0.2602704117096</v>
      </c>
      <c r="F385" s="30" t="n">
        <v>0.0107082620592392</v>
      </c>
      <c r="G385" s="30" t="n">
        <v>0.156435712712852</v>
      </c>
      <c r="H385" s="31" t="n">
        <f aca="false">MAX(D385,F385+0.015)</f>
        <v>0.0796075563495735</v>
      </c>
      <c r="I385" s="25" t="n">
        <f aca="false">(C385-'DCF Base Case'!$B$3)*(1-E385)+'DCF Base Case'!$B$3-G385</f>
        <v>0.176176113600354</v>
      </c>
      <c r="J385" s="24" t="n">
        <f aca="false">'DCF Base Case'!$B$2*(1+B385)^1*$I385-'DCF Base Case'!$B$2*(1+B385)^0*B385*'DCF Base Case'!$B$4</f>
        <v>27.2223403872879</v>
      </c>
      <c r="K385" s="24" t="n">
        <f aca="false">'DCF Base Case'!$B$2*(1+B385)^2*$I385-'DCF Base Case'!$B$2*(1+B385)^1*B385*'DCF Base Case'!$B$4</f>
        <v>29.3759318759251</v>
      </c>
      <c r="L385" s="24" t="n">
        <f aca="false">'DCF Base Case'!$B$2*(1+B385)^3*$I385-'DCF Base Case'!$B$2*(1+B385)^2*B385*'DCF Base Case'!$B$4</f>
        <v>31.6998965299091</v>
      </c>
      <c r="M385" s="24" t="n">
        <f aca="false">'DCF Base Case'!$B$2*(1+B385)^4*$I385-'DCF Base Case'!$B$2*(1+B385)^3*B385*'DCF Base Case'!$B$4</f>
        <v>34.2077127715049</v>
      </c>
      <c r="N385" s="24" t="n">
        <f aca="false">'DCF Base Case'!$B$2*(1+B385)^5*$I385-'DCF Base Case'!$B$2*(1+B385)^4*B385*'DCF Base Case'!$B$4</f>
        <v>36.9139253168767</v>
      </c>
      <c r="O385" s="24" t="n">
        <f aca="false">J385/(1+H385)^1+K385/(1+H385)^2+L385/(1+H385)^3+M385/(1+H385)^4+N385/(1+H385)^5</f>
        <v>125.959287128815</v>
      </c>
      <c r="P385" s="24" t="n">
        <f aca="false">N385*(1+F385)/(H385-F385)</f>
        <v>541.503504311495</v>
      </c>
      <c r="Q385" s="24" t="n">
        <f aca="false">O385+P385/(1+H385)^5</f>
        <v>495.167789361209</v>
      </c>
      <c r="R385" s="24" t="n">
        <f aca="false">Q385-'DCF Base Case'!$B$5</f>
        <v>310.167789361209</v>
      </c>
      <c r="S385" s="32" t="n">
        <f aca="false">R385/'DCF Base Case'!$B$6</f>
        <v>12.4067115744483</v>
      </c>
    </row>
    <row r="386" customFormat="false" ht="15" hidden="false" customHeight="true" outlineLevel="0" collapsed="false">
      <c r="A386" s="6" t="n">
        <v>385</v>
      </c>
      <c r="B386" s="30" t="n">
        <v>0.0978140765558671</v>
      </c>
      <c r="C386" s="30" t="n">
        <v>0.407095316073301</v>
      </c>
      <c r="D386" s="30" t="n">
        <v>0.10628919301882</v>
      </c>
      <c r="E386" s="30" t="n">
        <v>0.280020192764785</v>
      </c>
      <c r="F386" s="30" t="n">
        <v>0.0239072270219076</v>
      </c>
      <c r="G386" s="30" t="n">
        <v>0.171201383714617</v>
      </c>
      <c r="H386" s="31" t="n">
        <f aca="false">MAX(D386,F386+0.015)</f>
        <v>0.10628919301882</v>
      </c>
      <c r="I386" s="25" t="n">
        <f aca="false">(C386-'DCF Base Case'!$B$3)*(1-E386)+'DCF Base Case'!$B$3-G386</f>
        <v>0.158301648537619</v>
      </c>
      <c r="J386" s="24" t="n">
        <f aca="false">'DCF Base Case'!$B$2*(1+B386)^1*$I386-'DCF Base Case'!$B$2*(1+B386)^0*B386*'DCF Base Case'!$B$4</f>
        <v>24.7734465924387</v>
      </c>
      <c r="K386" s="24" t="n">
        <f aca="false">'DCF Base Case'!$B$2*(1+B386)^2*$I386-'DCF Base Case'!$B$2*(1+B386)^1*B386*'DCF Base Case'!$B$4</f>
        <v>27.1966383939842</v>
      </c>
      <c r="L386" s="24" t="n">
        <f aca="false">'DCF Base Case'!$B$2*(1+B386)^3*$I386-'DCF Base Case'!$B$2*(1+B386)^2*B386*'DCF Base Case'!$B$4</f>
        <v>29.8568524639156</v>
      </c>
      <c r="M386" s="24" t="n">
        <f aca="false">'DCF Base Case'!$B$2*(1+B386)^4*$I386-'DCF Base Case'!$B$2*(1+B386)^3*B386*'DCF Base Case'!$B$4</f>
        <v>32.7772729165382</v>
      </c>
      <c r="N386" s="24" t="n">
        <f aca="false">'DCF Base Case'!$B$2*(1+B386)^5*$I386-'DCF Base Case'!$B$2*(1+B386)^4*B386*'DCF Base Case'!$B$4</f>
        <v>35.983351598889</v>
      </c>
      <c r="O386" s="24" t="n">
        <f aca="false">J386/(1+H386)^1+K386/(1+H386)^2+L386/(1+H386)^3+M386/(1+H386)^4+N386/(1+H386)^5</f>
        <v>110.263989325002</v>
      </c>
      <c r="P386" s="24" t="n">
        <f aca="false">N386*(1+F386)/(H386-F386)</f>
        <v>447.229115119123</v>
      </c>
      <c r="Q386" s="24" t="n">
        <f aca="false">O386+P386/(1+H386)^5</f>
        <v>380.153943270541</v>
      </c>
      <c r="R386" s="24" t="n">
        <f aca="false">Q386-'DCF Base Case'!$B$5</f>
        <v>195.15394327054</v>
      </c>
      <c r="S386" s="32" t="n">
        <f aca="false">R386/'DCF Base Case'!$B$6</f>
        <v>7.80615773082162</v>
      </c>
    </row>
    <row r="387" customFormat="false" ht="15" hidden="false" customHeight="true" outlineLevel="0" collapsed="false">
      <c r="A387" s="6" t="n">
        <v>386</v>
      </c>
      <c r="B387" s="30" t="n">
        <v>0.108040139308097</v>
      </c>
      <c r="C387" s="30" t="n">
        <v>0.425889717058198</v>
      </c>
      <c r="D387" s="30" t="n">
        <v>0.100056630950939</v>
      </c>
      <c r="E387" s="30" t="n">
        <v>0.281230958208325</v>
      </c>
      <c r="F387" s="30" t="n">
        <v>0.021122305901426</v>
      </c>
      <c r="G387" s="30" t="n">
        <v>0.173714473400087</v>
      </c>
      <c r="H387" s="31" t="n">
        <f aca="false">MAX(D387,F387+0.015)</f>
        <v>0.100056630950939</v>
      </c>
      <c r="I387" s="25" t="n">
        <f aca="false">(C387-'DCF Base Case'!$B$3)*(1-E387)+'DCF Base Case'!$B$3-G387</f>
        <v>0.168961895005844</v>
      </c>
      <c r="J387" s="24" t="n">
        <f aca="false">'DCF Base Case'!$B$2*(1+B387)^1*$I387-'DCF Base Case'!$B$2*(1+B387)^0*B387*'DCF Base Case'!$B$4</f>
        <v>26.6764268376149</v>
      </c>
      <c r="K387" s="24" t="n">
        <f aca="false">'DCF Base Case'!$B$2*(1+B387)^2*$I387-'DCF Base Case'!$B$2*(1+B387)^1*B387*'DCF Base Case'!$B$4</f>
        <v>29.5585517093931</v>
      </c>
      <c r="L387" s="24" t="n">
        <f aca="false">'DCF Base Case'!$B$2*(1+B387)^3*$I387-'DCF Base Case'!$B$2*(1+B387)^2*B387*'DCF Base Case'!$B$4</f>
        <v>32.7520617538215</v>
      </c>
      <c r="M387" s="24" t="n">
        <f aca="false">'DCF Base Case'!$B$2*(1+B387)^4*$I387-'DCF Base Case'!$B$2*(1+B387)^3*B387*'DCF Base Case'!$B$4</f>
        <v>36.2905990683317</v>
      </c>
      <c r="N387" s="24" t="n">
        <f aca="false">'DCF Base Case'!$B$2*(1+B387)^5*$I387-'DCF Base Case'!$B$2*(1+B387)^4*B387*'DCF Base Case'!$B$4</f>
        <v>40.2114404472486</v>
      </c>
      <c r="O387" s="24" t="n">
        <f aca="false">J387/(1+H387)^1+K387/(1+H387)^2+L387/(1+H387)^3+M387/(1+H387)^4+N387/(1+H387)^5</f>
        <v>123.02297571378</v>
      </c>
      <c r="P387" s="24" t="n">
        <f aca="false">N387*(1+F387)/(H387-F387)</f>
        <v>520.189395011058</v>
      </c>
      <c r="Q387" s="24" t="n">
        <f aca="false">O387+P387/(1+H387)^5</f>
        <v>445.936532265419</v>
      </c>
      <c r="R387" s="24" t="n">
        <f aca="false">Q387-'DCF Base Case'!$B$5</f>
        <v>260.936532265419</v>
      </c>
      <c r="S387" s="32" t="n">
        <f aca="false">R387/'DCF Base Case'!$B$6</f>
        <v>10.4374612906168</v>
      </c>
    </row>
    <row r="388" customFormat="false" ht="15" hidden="false" customHeight="true" outlineLevel="0" collapsed="false">
      <c r="A388" s="6" t="n">
        <v>387</v>
      </c>
      <c r="B388" s="30" t="n">
        <v>0.083963855540761</v>
      </c>
      <c r="C388" s="30" t="n">
        <v>0.420486615569748</v>
      </c>
      <c r="D388" s="30" t="n">
        <v>0.109578248708175</v>
      </c>
      <c r="E388" s="30" t="n">
        <v>0.272507624357178</v>
      </c>
      <c r="F388" s="30" t="n">
        <v>0.0208450195939019</v>
      </c>
      <c r="G388" s="30" t="n">
        <v>0.194991698767145</v>
      </c>
      <c r="H388" s="31" t="n">
        <f aca="false">MAX(D388,F388+0.015)</f>
        <v>0.109578248708175</v>
      </c>
      <c r="I388" s="25" t="n">
        <f aca="false">(C388-'DCF Base Case'!$B$3)*(1-E388)+'DCF Base Case'!$B$3-G388</f>
        <v>0.146335099286134</v>
      </c>
      <c r="J388" s="24" t="n">
        <f aca="false">'DCF Base Case'!$B$2*(1+B388)^1*$I388-'DCF Base Case'!$B$2*(1+B388)^0*B388*'DCF Base Case'!$B$4</f>
        <v>22.6349411997527</v>
      </c>
      <c r="K388" s="24" t="n">
        <f aca="false">'DCF Base Case'!$B$2*(1+B388)^2*$I388-'DCF Base Case'!$B$2*(1+B388)^1*B388*'DCF Base Case'!$B$4</f>
        <v>24.5354581328224</v>
      </c>
      <c r="L388" s="24" t="n">
        <f aca="false">'DCF Base Case'!$B$2*(1+B388)^3*$I388-'DCF Base Case'!$B$2*(1+B388)^2*B388*'DCF Base Case'!$B$4</f>
        <v>26.595549795113</v>
      </c>
      <c r="M388" s="24" t="n">
        <f aca="false">'DCF Base Case'!$B$2*(1+B388)^4*$I388-'DCF Base Case'!$B$2*(1+B388)^3*B388*'DCF Base Case'!$B$4</f>
        <v>28.828614696137</v>
      </c>
      <c r="N388" s="24" t="n">
        <f aca="false">'DCF Base Case'!$B$2*(1+B388)^5*$I388-'DCF Base Case'!$B$2*(1+B388)^4*B388*'DCF Base Case'!$B$4</f>
        <v>31.2491763359237</v>
      </c>
      <c r="O388" s="24" t="n">
        <f aca="false">J388/(1+H388)^1+K388/(1+H388)^2+L388/(1+H388)^3+M388/(1+H388)^4+N388/(1+H388)^5</f>
        <v>97.3962066554879</v>
      </c>
      <c r="P388" s="24" t="n">
        <f aca="false">N388*(1+F388)/(H388-F388)</f>
        <v>359.510933472926</v>
      </c>
      <c r="Q388" s="24" t="n">
        <f aca="false">O388+P388/(1+H388)^5</f>
        <v>311.154232447663</v>
      </c>
      <c r="R388" s="24" t="n">
        <f aca="false">Q388-'DCF Base Case'!$B$5</f>
        <v>126.154232447663</v>
      </c>
      <c r="S388" s="32" t="n">
        <f aca="false">R388/'DCF Base Case'!$B$6</f>
        <v>5.04616929790654</v>
      </c>
    </row>
    <row r="389" customFormat="false" ht="15" hidden="false" customHeight="true" outlineLevel="0" collapsed="false">
      <c r="A389" s="6" t="n">
        <v>388</v>
      </c>
      <c r="B389" s="30" t="n">
        <v>0.114791826941854</v>
      </c>
      <c r="C389" s="30" t="n">
        <v>0.423074155371619</v>
      </c>
      <c r="D389" s="30" t="n">
        <v>0.058782724267469</v>
      </c>
      <c r="E389" s="30" t="n">
        <v>0.295259247727509</v>
      </c>
      <c r="F389" s="30" t="n">
        <v>0.0115214357364968</v>
      </c>
      <c r="G389" s="30" t="n">
        <v>0.199390869385424</v>
      </c>
      <c r="H389" s="31" t="n">
        <f aca="false">MAX(D389,F389+0.015)</f>
        <v>0.058782724267469</v>
      </c>
      <c r="I389" s="25" t="n">
        <f aca="false">(C389-'DCF Base Case'!$B$3)*(1-E389)+'DCF Base Case'!$B$3-G389</f>
        <v>0.137150431342796</v>
      </c>
      <c r="J389" s="24" t="n">
        <f aca="false">'DCF Base Case'!$B$2*(1+B389)^1*$I389-'DCF Base Case'!$B$2*(1+B389)^0*B389*'DCF Base Case'!$B$4</f>
        <v>21.6703116415652</v>
      </c>
      <c r="K389" s="24" t="n">
        <f aca="false">'DCF Base Case'!$B$2*(1+B389)^2*$I389-'DCF Base Case'!$B$2*(1+B389)^1*B389*'DCF Base Case'!$B$4</f>
        <v>24.1578863052998</v>
      </c>
      <c r="L389" s="24" t="n">
        <f aca="false">'DCF Base Case'!$B$2*(1+B389)^3*$I389-'DCF Base Case'!$B$2*(1+B389)^2*B389*'DCF Base Case'!$B$4</f>
        <v>26.9310142093388</v>
      </c>
      <c r="M389" s="24" t="n">
        <f aca="false">'DCF Base Case'!$B$2*(1+B389)^4*$I389-'DCF Base Case'!$B$2*(1+B389)^3*B389*'DCF Base Case'!$B$4</f>
        <v>30.0224745318258</v>
      </c>
      <c r="N389" s="24" t="n">
        <f aca="false">'DCF Base Case'!$B$2*(1+B389)^5*$I389-'DCF Base Case'!$B$2*(1+B389)^4*B389*'DCF Base Case'!$B$4</f>
        <v>33.4688092326494</v>
      </c>
      <c r="O389" s="24" t="n">
        <f aca="false">J389/(1+H389)^1+K389/(1+H389)^2+L389/(1+H389)^3+M389/(1+H389)^4+N389/(1+H389)^5</f>
        <v>113.751074432229</v>
      </c>
      <c r="P389" s="24" t="n">
        <f aca="false">N389*(1+F389)/(H389-F389)</f>
        <v>716.324480768532</v>
      </c>
      <c r="Q389" s="24" t="n">
        <f aca="false">O389+P389/(1+H389)^5</f>
        <v>652.114516631498</v>
      </c>
      <c r="R389" s="24" t="n">
        <f aca="false">Q389-'DCF Base Case'!$B$5</f>
        <v>467.114516631498</v>
      </c>
      <c r="S389" s="32" t="n">
        <f aca="false">R389/'DCF Base Case'!$B$6</f>
        <v>18.6845806652599</v>
      </c>
    </row>
    <row r="390" customFormat="false" ht="15" hidden="false" customHeight="true" outlineLevel="0" collapsed="false">
      <c r="A390" s="6" t="n">
        <v>389</v>
      </c>
      <c r="B390" s="30" t="n">
        <v>0.09348591818499</v>
      </c>
      <c r="C390" s="30" t="n">
        <v>0.434726825450559</v>
      </c>
      <c r="D390" s="30" t="n">
        <v>0.0750767774800085</v>
      </c>
      <c r="E390" s="30" t="n">
        <v>0.251514987213681</v>
      </c>
      <c r="F390" s="30" t="n">
        <v>0.0202802526876148</v>
      </c>
      <c r="G390" s="30" t="n">
        <v>0.164498469727331</v>
      </c>
      <c r="H390" s="31" t="n">
        <f aca="false">MAX(D390,F390+0.015)</f>
        <v>0.0750767774800085</v>
      </c>
      <c r="I390" s="25" t="n">
        <f aca="false">(C390-'DCF Base Case'!$B$3)*(1-E390)+'DCF Base Case'!$B$3-G390</f>
        <v>0.193584992116365</v>
      </c>
      <c r="J390" s="24" t="n">
        <f aca="false">'DCF Base Case'!$B$2*(1+B390)^1*$I390-'DCF Base Case'!$B$2*(1+B390)^0*B390*'DCF Base Case'!$B$4</f>
        <v>30.2872933693189</v>
      </c>
      <c r="K390" s="24" t="n">
        <f aca="false">'DCF Base Case'!$B$2*(1+B390)^2*$I390-'DCF Base Case'!$B$2*(1+B390)^1*B390*'DCF Base Case'!$B$4</f>
        <v>33.1187287992879</v>
      </c>
      <c r="L390" s="24" t="n">
        <f aca="false">'DCF Base Case'!$B$2*(1+B390)^3*$I390-'DCF Base Case'!$B$2*(1+B390)^2*B390*'DCF Base Case'!$B$4</f>
        <v>36.214863570209</v>
      </c>
      <c r="M390" s="24" t="n">
        <f aca="false">'DCF Base Case'!$B$2*(1+B390)^4*$I390-'DCF Base Case'!$B$2*(1+B390)^3*B390*'DCF Base Case'!$B$4</f>
        <v>39.6004433430141</v>
      </c>
      <c r="N390" s="24" t="n">
        <f aca="false">'DCF Base Case'!$B$2*(1+B390)^5*$I390-'DCF Base Case'!$B$2*(1+B390)^4*B390*'DCF Base Case'!$B$4</f>
        <v>43.3025271494685</v>
      </c>
      <c r="O390" s="24" t="n">
        <f aca="false">J390/(1+H390)^1+K390/(1+H390)^2+L390/(1+H390)^3+M390/(1+H390)^4+N390/(1+H390)^5</f>
        <v>145.768472472059</v>
      </c>
      <c r="P390" s="24" t="n">
        <f aca="false">N390*(1+F390)/(H390-F390)</f>
        <v>806.268527237054</v>
      </c>
      <c r="Q390" s="24" t="n">
        <f aca="false">O390+P390/(1+H390)^5</f>
        <v>707.181263405169</v>
      </c>
      <c r="R390" s="24" t="n">
        <f aca="false">Q390-'DCF Base Case'!$B$5</f>
        <v>522.181263405169</v>
      </c>
      <c r="S390" s="32" t="n">
        <f aca="false">R390/'DCF Base Case'!$B$6</f>
        <v>20.8872505362068</v>
      </c>
    </row>
    <row r="391" customFormat="false" ht="15" hidden="false" customHeight="true" outlineLevel="0" collapsed="false">
      <c r="A391" s="6" t="n">
        <v>390</v>
      </c>
      <c r="B391" s="30" t="n">
        <v>0.0794665676254275</v>
      </c>
      <c r="C391" s="30" t="n">
        <v>0.412710031049985</v>
      </c>
      <c r="D391" s="30" t="n">
        <v>0.115441794812355</v>
      </c>
      <c r="E391" s="30" t="n">
        <v>0.305281712447144</v>
      </c>
      <c r="F391" s="30" t="n">
        <v>0.0231079181233711</v>
      </c>
      <c r="G391" s="30" t="n">
        <v>0.185415118692053</v>
      </c>
      <c r="H391" s="31" t="n">
        <f aca="false">MAX(D391,F391+0.015)</f>
        <v>0.115441794812355</v>
      </c>
      <c r="I391" s="25" t="n">
        <f aca="false">(C391-'DCF Base Case'!$B$3)*(1-E391)+'DCF Base Case'!$B$3-G391</f>
        <v>0.140988709953007</v>
      </c>
      <c r="J391" s="24" t="n">
        <f aca="false">'DCF Base Case'!$B$2*(1+B391)^1*$I391-'DCF Base Case'!$B$2*(1+B391)^0*B391*'DCF Base Case'!$B$4</f>
        <v>21.7222472578313</v>
      </c>
      <c r="K391" s="24" t="n">
        <f aca="false">'DCF Base Case'!$B$2*(1+B391)^2*$I391-'DCF Base Case'!$B$2*(1+B391)^1*B391*'DCF Base Case'!$B$4</f>
        <v>23.448439688522</v>
      </c>
      <c r="L391" s="24" t="n">
        <f aca="false">'DCF Base Case'!$B$2*(1+B391)^3*$I391-'DCF Base Case'!$B$2*(1+B391)^2*B391*'DCF Base Case'!$B$4</f>
        <v>25.3118067067407</v>
      </c>
      <c r="M391" s="24" t="n">
        <f aca="false">'DCF Base Case'!$B$2*(1+B391)^4*$I391-'DCF Base Case'!$B$2*(1+B391)^3*B391*'DCF Base Case'!$B$4</f>
        <v>27.3232491061237</v>
      </c>
      <c r="N391" s="24" t="n">
        <f aca="false">'DCF Base Case'!$B$2*(1+B391)^5*$I391-'DCF Base Case'!$B$2*(1+B391)^4*B391*'DCF Base Case'!$B$4</f>
        <v>29.4945339289619</v>
      </c>
      <c r="O391" s="24" t="n">
        <f aca="false">J391/(1+H391)^1+K391/(1+H391)^2+L391/(1+H391)^3+M391/(1+H391)^4+N391/(1+H391)^5</f>
        <v>91.2891292236204</v>
      </c>
      <c r="P391" s="24" t="n">
        <f aca="false">N391*(1+F391)/(H391-F391)</f>
        <v>326.814949032455</v>
      </c>
      <c r="Q391" s="24" t="n">
        <f aca="false">O391+P391/(1+H391)^5</f>
        <v>280.552838700175</v>
      </c>
      <c r="R391" s="24" t="n">
        <f aca="false">Q391-'DCF Base Case'!$B$5</f>
        <v>95.552838700175</v>
      </c>
      <c r="S391" s="32" t="n">
        <f aca="false">R391/'DCF Base Case'!$B$6</f>
        <v>3.822113548007</v>
      </c>
    </row>
    <row r="392" customFormat="false" ht="15" hidden="false" customHeight="true" outlineLevel="0" collapsed="false">
      <c r="A392" s="6" t="n">
        <v>391</v>
      </c>
      <c r="B392" s="30" t="n">
        <v>0.121357518821111</v>
      </c>
      <c r="C392" s="30" t="n">
        <v>0.421684581681214</v>
      </c>
      <c r="D392" s="30" t="n">
        <v>0.0623976256155718</v>
      </c>
      <c r="E392" s="30" t="n">
        <v>0.274565028999434</v>
      </c>
      <c r="F392" s="30" t="n">
        <v>0.0222691392678119</v>
      </c>
      <c r="G392" s="30" t="n">
        <v>0.145773862569381</v>
      </c>
      <c r="H392" s="31" t="n">
        <f aca="false">MAX(D392,F392+0.015)</f>
        <v>0.0623976256155718</v>
      </c>
      <c r="I392" s="25" t="n">
        <f aca="false">(C392-'DCF Base Case'!$B$3)*(1-E392)+'DCF Base Case'!$B$3-G392</f>
        <v>0.195824333483843</v>
      </c>
      <c r="J392" s="24" t="n">
        <f aca="false">'DCF Base Case'!$B$2*(1+B392)^1*$I392-'DCF Base Case'!$B$2*(1+B392)^0*B392*'DCF Base Case'!$B$4</f>
        <v>31.3125126575629</v>
      </c>
      <c r="K392" s="24" t="n">
        <f aca="false">'DCF Base Case'!$B$2*(1+B392)^2*$I392-'DCF Base Case'!$B$2*(1+B392)^1*B392*'DCF Base Case'!$B$4</f>
        <v>35.1125215017394</v>
      </c>
      <c r="L392" s="24" t="n">
        <f aca="false">'DCF Base Case'!$B$2*(1+B392)^3*$I392-'DCF Base Case'!$B$2*(1+B392)^2*B392*'DCF Base Case'!$B$4</f>
        <v>39.3736899907434</v>
      </c>
      <c r="M392" s="24" t="n">
        <f aca="false">'DCF Base Case'!$B$2*(1+B392)^4*$I392-'DCF Base Case'!$B$2*(1+B392)^3*B392*'DCF Base Case'!$B$4</f>
        <v>44.1519833148516</v>
      </c>
      <c r="N392" s="24" t="n">
        <f aca="false">'DCF Base Case'!$B$2*(1+B392)^5*$I392-'DCF Base Case'!$B$2*(1+B392)^4*B392*'DCF Base Case'!$B$4</f>
        <v>49.5101584609731</v>
      </c>
      <c r="O392" s="24" t="n">
        <f aca="false">J392/(1+H392)^1+K392/(1+H392)^2+L392/(1+H392)^3+M392/(1+H392)^4+N392/(1+H392)^5</f>
        <v>164.657304657703</v>
      </c>
      <c r="P392" s="24" t="n">
        <f aca="false">N392*(1+F392)/(H392-F392)</f>
        <v>1261.26628939587</v>
      </c>
      <c r="Q392" s="24" t="n">
        <f aca="false">O392+P392/(1+H392)^5</f>
        <v>1096.56163801193</v>
      </c>
      <c r="R392" s="24" t="n">
        <f aca="false">Q392-'DCF Base Case'!$B$5</f>
        <v>911.561638011933</v>
      </c>
      <c r="S392" s="32" t="n">
        <f aca="false">R392/'DCF Base Case'!$B$6</f>
        <v>36.4624655204773</v>
      </c>
    </row>
    <row r="393" customFormat="false" ht="15" hidden="false" customHeight="true" outlineLevel="0" collapsed="false">
      <c r="A393" s="6" t="n">
        <v>392</v>
      </c>
      <c r="B393" s="30" t="n">
        <v>0.0863682664359062</v>
      </c>
      <c r="C393" s="30" t="n">
        <v>0.397862781553513</v>
      </c>
      <c r="D393" s="30" t="n">
        <v>0.101522321770274</v>
      </c>
      <c r="E393" s="30" t="n">
        <v>0.302616143079381</v>
      </c>
      <c r="F393" s="30" t="n">
        <v>0.0216881992755965</v>
      </c>
      <c r="G393" s="30" t="n">
        <v>0.179967361165073</v>
      </c>
      <c r="H393" s="31" t="n">
        <f aca="false">MAX(D393,F393+0.015)</f>
        <v>0.101522321770274</v>
      </c>
      <c r="I393" s="25" t="n">
        <f aca="false">(C393-'DCF Base Case'!$B$3)*(1-E393)+'DCF Base Case'!$B$3-G393</f>
        <v>0.136835818560201</v>
      </c>
      <c r="J393" s="24" t="n">
        <f aca="false">'DCF Base Case'!$B$2*(1+B393)^1*$I393-'DCF Base Case'!$B$2*(1+B393)^0*B393*'DCF Base Case'!$B$4</f>
        <v>21.1791412353635</v>
      </c>
      <c r="K393" s="24" t="n">
        <f aca="false">'DCF Base Case'!$B$2*(1+B393)^2*$I393-'DCF Base Case'!$B$2*(1+B393)^1*B393*'DCF Base Case'!$B$4</f>
        <v>23.008346948463</v>
      </c>
      <c r="L393" s="24" t="n">
        <f aca="false">'DCF Base Case'!$B$2*(1+B393)^3*$I393-'DCF Base Case'!$B$2*(1+B393)^2*B393*'DCF Base Case'!$B$4</f>
        <v>24.9955379879577</v>
      </c>
      <c r="M393" s="24" t="n">
        <f aca="false">'DCF Base Case'!$B$2*(1+B393)^4*$I393-'DCF Base Case'!$B$2*(1+B393)^3*B393*'DCF Base Case'!$B$4</f>
        <v>27.1543592726104</v>
      </c>
      <c r="N393" s="24" t="n">
        <f aca="false">'DCF Base Case'!$B$2*(1+B393)^5*$I393-'DCF Base Case'!$B$2*(1+B393)^4*B393*'DCF Base Case'!$B$4</f>
        <v>29.4996342091635</v>
      </c>
      <c r="O393" s="24" t="n">
        <f aca="false">J393/(1+H393)^1+K393/(1+H393)^2+L393/(1+H393)^3+M393/(1+H393)^4+N393/(1+H393)^5</f>
        <v>93.5267675705271</v>
      </c>
      <c r="P393" s="24" t="n">
        <f aca="false">N393*(1+F393)/(H393-F393)</f>
        <v>377.525639571706</v>
      </c>
      <c r="Q393" s="24" t="n">
        <f aca="false">O393+P393/(1+H393)^5</f>
        <v>326.325140356242</v>
      </c>
      <c r="R393" s="24" t="n">
        <f aca="false">Q393-'DCF Base Case'!$B$5</f>
        <v>141.325140356242</v>
      </c>
      <c r="S393" s="32" t="n">
        <f aca="false">R393/'DCF Base Case'!$B$6</f>
        <v>5.65300561424967</v>
      </c>
    </row>
    <row r="394" customFormat="false" ht="15" hidden="false" customHeight="true" outlineLevel="0" collapsed="false">
      <c r="A394" s="6" t="n">
        <v>393</v>
      </c>
      <c r="B394" s="30" t="n">
        <v>0.0892515550003332</v>
      </c>
      <c r="C394" s="30" t="n">
        <v>0.418393004338041</v>
      </c>
      <c r="D394" s="30" t="n">
        <v>0.0719629696141445</v>
      </c>
      <c r="E394" s="30" t="n">
        <v>0.245626865357302</v>
      </c>
      <c r="F394" s="30" t="n">
        <v>0.0198963981767836</v>
      </c>
      <c r="G394" s="30" t="n">
        <v>0.172694226216804</v>
      </c>
      <c r="H394" s="31" t="n">
        <f aca="false">MAX(D394,F394+0.015)</f>
        <v>0.0719629696141445</v>
      </c>
      <c r="I394" s="25" t="n">
        <f aca="false">(C394-'DCF Base Case'!$B$3)*(1-E394)+'DCF Base Case'!$B$3-G394</f>
        <v>0.174861708474709</v>
      </c>
      <c r="J394" s="24" t="n">
        <f aca="false">'DCF Base Case'!$B$2*(1+B394)^1*$I394-'DCF Base Case'!$B$2*(1+B394)^0*B394*'DCF Base Case'!$B$4</f>
        <v>27.2296719763319</v>
      </c>
      <c r="K394" s="24" t="n">
        <f aca="false">'DCF Base Case'!$B$2*(1+B394)^2*$I394-'DCF Base Case'!$B$2*(1+B394)^1*B394*'DCF Base Case'!$B$4</f>
        <v>29.6599625423685</v>
      </c>
      <c r="L394" s="24" t="n">
        <f aca="false">'DCF Base Case'!$B$2*(1+B394)^3*$I394-'DCF Base Case'!$B$2*(1+B394)^2*B394*'DCF Base Case'!$B$4</f>
        <v>32.3071603205265</v>
      </c>
      <c r="M394" s="24" t="n">
        <f aca="false">'DCF Base Case'!$B$2*(1+B394)^4*$I394-'DCF Base Case'!$B$2*(1+B394)^3*B394*'DCF Base Case'!$B$4</f>
        <v>35.1906246167786</v>
      </c>
      <c r="N394" s="24" t="n">
        <f aca="false">'DCF Base Case'!$B$2*(1+B394)^5*$I394-'DCF Base Case'!$B$2*(1+B394)^4*B394*'DCF Base Case'!$B$4</f>
        <v>38.3314425852591</v>
      </c>
      <c r="O394" s="24" t="n">
        <f aca="false">J394/(1+H394)^1+K394/(1+H394)^2+L394/(1+H394)^3+M394/(1+H394)^4+N394/(1+H394)^5</f>
        <v>131.171838348943</v>
      </c>
      <c r="P394" s="24" t="n">
        <f aca="false">N394*(1+F394)/(H394-F394)</f>
        <v>750.848368739977</v>
      </c>
      <c r="Q394" s="24" t="n">
        <f aca="false">O394+P394/(1+H394)^5</f>
        <v>661.632674895139</v>
      </c>
      <c r="R394" s="24" t="n">
        <f aca="false">Q394-'DCF Base Case'!$B$5</f>
        <v>476.632674895139</v>
      </c>
      <c r="S394" s="32" t="n">
        <f aca="false">R394/'DCF Base Case'!$B$6</f>
        <v>19.0653069958056</v>
      </c>
    </row>
    <row r="395" customFormat="false" ht="15" hidden="false" customHeight="true" outlineLevel="0" collapsed="false">
      <c r="A395" s="6" t="n">
        <v>394</v>
      </c>
      <c r="B395" s="30" t="n">
        <v>0.116200776352362</v>
      </c>
      <c r="C395" s="30" t="n">
        <v>0.449223441336889</v>
      </c>
      <c r="D395" s="30" t="n">
        <v>0.102269983334988</v>
      </c>
      <c r="E395" s="30" t="n">
        <v>0.258710817993518</v>
      </c>
      <c r="F395" s="30" t="n">
        <v>0.0179627857515599</v>
      </c>
      <c r="G395" s="30" t="n">
        <v>0.176491735061463</v>
      </c>
      <c r="H395" s="31" t="n">
        <f aca="false">MAX(D395,F395+0.015)</f>
        <v>0.102269983334988</v>
      </c>
      <c r="I395" s="25" t="n">
        <f aca="false">(C395-'DCF Base Case'!$B$3)*(1-E395)+'DCF Base Case'!$B$3-G395</f>
        <v>0.190145148644454</v>
      </c>
      <c r="J395" s="24" t="n">
        <f aca="false">'DCF Base Case'!$B$2*(1+B395)^1*$I395-'DCF Base Case'!$B$2*(1+B395)^0*B395*'DCF Base Case'!$B$4</f>
        <v>30.2693501906705</v>
      </c>
      <c r="K395" s="24" t="n">
        <f aca="false">'DCF Base Case'!$B$2*(1+B395)^2*$I395-'DCF Base Case'!$B$2*(1+B395)^1*B395*'DCF Base Case'!$B$4</f>
        <v>33.7866721825079</v>
      </c>
      <c r="L395" s="24" t="n">
        <f aca="false">'DCF Base Case'!$B$2*(1+B395)^3*$I395-'DCF Base Case'!$B$2*(1+B395)^2*B395*'DCF Base Case'!$B$4</f>
        <v>37.7127097204781</v>
      </c>
      <c r="M395" s="24" t="n">
        <f aca="false">'DCF Base Case'!$B$2*(1+B395)^4*$I395-'DCF Base Case'!$B$2*(1+B395)^3*B395*'DCF Base Case'!$B$4</f>
        <v>42.094955868349</v>
      </c>
      <c r="N395" s="24" t="n">
        <f aca="false">'DCF Base Case'!$B$2*(1+B395)^5*$I395-'DCF Base Case'!$B$2*(1+B395)^4*B395*'DCF Base Case'!$B$4</f>
        <v>46.9864224207695</v>
      </c>
      <c r="O395" s="24" t="n">
        <f aca="false">J395/(1+H395)^1+K395/(1+H395)^2+L395/(1+H395)^3+M395/(1+H395)^4+N395/(1+H395)^5</f>
        <v>140.819338136705</v>
      </c>
      <c r="P395" s="24" t="n">
        <f aca="false">N395*(1+F395)/(H395-F395)</f>
        <v>567.335065462405</v>
      </c>
      <c r="Q395" s="24" t="n">
        <f aca="false">O395+P395/(1+H395)^5</f>
        <v>489.477408263429</v>
      </c>
      <c r="R395" s="24" t="n">
        <f aca="false">Q395-'DCF Base Case'!$B$5</f>
        <v>304.477408263429</v>
      </c>
      <c r="S395" s="32" t="n">
        <f aca="false">R395/'DCF Base Case'!$B$6</f>
        <v>12.1790963305371</v>
      </c>
    </row>
    <row r="396" customFormat="false" ht="15" hidden="false" customHeight="true" outlineLevel="0" collapsed="false">
      <c r="A396" s="6" t="n">
        <v>395</v>
      </c>
      <c r="B396" s="30" t="n">
        <v>0.134674475924261</v>
      </c>
      <c r="C396" s="30" t="n">
        <v>0.453210694742374</v>
      </c>
      <c r="D396" s="30" t="n">
        <v>0.0973133687819822</v>
      </c>
      <c r="E396" s="30" t="n">
        <v>0.269725197910724</v>
      </c>
      <c r="F396" s="30" t="n">
        <v>0.0157444527002122</v>
      </c>
      <c r="G396" s="30" t="n">
        <v>0.184076504299594</v>
      </c>
      <c r="H396" s="31" t="n">
        <f aca="false">MAX(D396,F396+0.015)</f>
        <v>0.0973133687819822</v>
      </c>
      <c r="I396" s="25" t="n">
        <f aca="false">(C396-'DCF Base Case'!$B$3)*(1-E396)+'DCF Base Case'!$B$3-G396</f>
        <v>0.181956121836531</v>
      </c>
      <c r="J396" s="24" t="n">
        <f aca="false">'DCF Base Case'!$B$2*(1+B396)^1*$I396-'DCF Base Case'!$B$2*(1+B396)^0*B396*'DCF Base Case'!$B$4</f>
        <v>29.3510062717105</v>
      </c>
      <c r="K396" s="24" t="n">
        <f aca="false">'DCF Base Case'!$B$2*(1+B396)^2*$I396-'DCF Base Case'!$B$2*(1+B396)^1*B396*'DCF Base Case'!$B$4</f>
        <v>33.3038376592029</v>
      </c>
      <c r="L396" s="24" t="n">
        <f aca="false">'DCF Base Case'!$B$2*(1+B396)^3*$I396-'DCF Base Case'!$B$2*(1+B396)^2*B396*'DCF Base Case'!$B$4</f>
        <v>37.7890145422227</v>
      </c>
      <c r="M396" s="24" t="n">
        <f aca="false">'DCF Base Case'!$B$2*(1+B396)^4*$I396-'DCF Base Case'!$B$2*(1+B396)^3*B396*'DCF Base Case'!$B$4</f>
        <v>42.8782302713908</v>
      </c>
      <c r="N396" s="24" t="n">
        <f aca="false">'DCF Base Case'!$B$2*(1+B396)^5*$I396-'DCF Base Case'!$B$2*(1+B396)^4*B396*'DCF Base Case'!$B$4</f>
        <v>48.6528334617501</v>
      </c>
      <c r="O396" s="24" t="n">
        <f aca="false">J396/(1+H396)^1+K396/(1+H396)^2+L396/(1+H396)^3+M396/(1+H396)^4+N396/(1+H396)^5</f>
        <v>143.162830443973</v>
      </c>
      <c r="P396" s="24" t="n">
        <f aca="false">N396*(1+F396)/(H396-F396)</f>
        <v>605.853897180383</v>
      </c>
      <c r="Q396" s="24" t="n">
        <f aca="false">O396+P396/(1+H396)^5</f>
        <v>523.978275588943</v>
      </c>
      <c r="R396" s="24" t="n">
        <f aca="false">Q396-'DCF Base Case'!$B$5</f>
        <v>338.978275588943</v>
      </c>
      <c r="S396" s="32" t="n">
        <f aca="false">R396/'DCF Base Case'!$B$6</f>
        <v>13.5591310235577</v>
      </c>
    </row>
    <row r="397" customFormat="false" ht="15" hidden="false" customHeight="true" outlineLevel="0" collapsed="false">
      <c r="A397" s="6" t="n">
        <v>396</v>
      </c>
      <c r="B397" s="30" t="n">
        <v>0.066030948454128</v>
      </c>
      <c r="C397" s="30" t="n">
        <v>0.400353381776943</v>
      </c>
      <c r="D397" s="30" t="n">
        <v>0.0837374425609789</v>
      </c>
      <c r="E397" s="30" t="n">
        <v>0.3265406612674</v>
      </c>
      <c r="F397" s="30" t="n">
        <v>0.0179527625716387</v>
      </c>
      <c r="G397" s="30" t="n">
        <v>0.125425457967859</v>
      </c>
      <c r="H397" s="31" t="n">
        <f aca="false">MAX(D397,F397+0.015)</f>
        <v>0.0837374425609789</v>
      </c>
      <c r="I397" s="25" t="n">
        <f aca="false">(C397-'DCF Base Case'!$B$3)*(1-E397)+'DCF Base Case'!$B$3-G397</f>
        <v>0.186646551747763</v>
      </c>
      <c r="J397" s="24" t="n">
        <f aca="false">'DCF Base Case'!$B$2*(1+B397)^1*$I397-'DCF Base Case'!$B$2*(1+B397)^0*B397*'DCF Base Case'!$B$4</f>
        <v>28.5635604591018</v>
      </c>
      <c r="K397" s="24" t="n">
        <f aca="false">'DCF Base Case'!$B$2*(1+B397)^2*$I397-'DCF Base Case'!$B$2*(1+B397)^1*B397*'DCF Base Case'!$B$4</f>
        <v>30.4496394474431</v>
      </c>
      <c r="L397" s="24" t="n">
        <f aca="false">'DCF Base Case'!$B$2*(1+B397)^3*$I397-'DCF Base Case'!$B$2*(1+B397)^2*B397*'DCF Base Case'!$B$4</f>
        <v>32.460258020244</v>
      </c>
      <c r="M397" s="24" t="n">
        <f aca="false">'DCF Base Case'!$B$2*(1+B397)^4*$I397-'DCF Base Case'!$B$2*(1+B397)^3*B397*'DCF Base Case'!$B$4</f>
        <v>34.6036396443865</v>
      </c>
      <c r="N397" s="24" t="n">
        <f aca="false">'DCF Base Case'!$B$2*(1+B397)^5*$I397-'DCF Base Case'!$B$2*(1+B397)^4*B397*'DCF Base Case'!$B$4</f>
        <v>36.8885507900702</v>
      </c>
      <c r="O397" s="24" t="n">
        <f aca="false">J397/(1+H397)^1+K397/(1+H397)^2+L397/(1+H397)^3+M397/(1+H397)^4+N397/(1+H397)^5</f>
        <v>127.546217753729</v>
      </c>
      <c r="P397" s="24" t="n">
        <f aca="false">N397*(1+F397)/(H397-F397)</f>
        <v>570.813785065168</v>
      </c>
      <c r="Q397" s="24" t="n">
        <f aca="false">O397+P397/(1+H397)^5</f>
        <v>509.379746744562</v>
      </c>
      <c r="R397" s="24" t="n">
        <f aca="false">Q397-'DCF Base Case'!$B$5</f>
        <v>324.379746744562</v>
      </c>
      <c r="S397" s="32" t="n">
        <f aca="false">R397/'DCF Base Case'!$B$6</f>
        <v>12.9751898697825</v>
      </c>
    </row>
    <row r="398" customFormat="false" ht="15" hidden="false" customHeight="true" outlineLevel="0" collapsed="false">
      <c r="A398" s="6" t="n">
        <v>397</v>
      </c>
      <c r="B398" s="30" t="n">
        <v>0.100822552724575</v>
      </c>
      <c r="C398" s="30" t="n">
        <v>0.403559277761037</v>
      </c>
      <c r="D398" s="30" t="n">
        <v>0.0854689412688152</v>
      </c>
      <c r="E398" s="30" t="n">
        <v>0.277253769079188</v>
      </c>
      <c r="F398" s="30" t="n">
        <v>0.0182841601470418</v>
      </c>
      <c r="G398" s="30" t="n">
        <v>0.184111468708642</v>
      </c>
      <c r="H398" s="31" t="n">
        <f aca="false">MAX(D398,F398+0.015)</f>
        <v>0.0854689412688152</v>
      </c>
      <c r="I398" s="25" t="n">
        <f aca="false">(C398-'DCF Base Case'!$B$3)*(1-E398)+'DCF Base Case'!$B$3-G398</f>
        <v>0.143602468226567</v>
      </c>
      <c r="J398" s="24" t="n">
        <f aca="false">'DCF Base Case'!$B$2*(1+B398)^1*$I398-'DCF Base Case'!$B$2*(1+B398)^0*B398*'DCF Base Case'!$B$4</f>
        <v>22.4831430650024</v>
      </c>
      <c r="K398" s="24" t="n">
        <f aca="false">'DCF Base Case'!$B$2*(1+B398)^2*$I398-'DCF Base Case'!$B$2*(1+B398)^1*B398*'DCF Base Case'!$B$4</f>
        <v>24.7499509420877</v>
      </c>
      <c r="L398" s="24" t="n">
        <f aca="false">'DCF Base Case'!$B$2*(1+B398)^3*$I398-'DCF Base Case'!$B$2*(1+B398)^2*B398*'DCF Base Case'!$B$4</f>
        <v>27.245304175877</v>
      </c>
      <c r="M398" s="24" t="n">
        <f aca="false">'DCF Base Case'!$B$2*(1+B398)^4*$I398-'DCF Base Case'!$B$2*(1+B398)^3*B398*'DCF Base Case'!$B$4</f>
        <v>29.9922452926465</v>
      </c>
      <c r="N398" s="24" t="n">
        <f aca="false">'DCF Base Case'!$B$2*(1+B398)^5*$I398-'DCF Base Case'!$B$2*(1+B398)^4*B398*'DCF Base Case'!$B$4</f>
        <v>33.0161400249927</v>
      </c>
      <c r="O398" s="24" t="n">
        <f aca="false">J398/(1+H398)^1+K398/(1+H398)^2+L398/(1+H398)^3+M398/(1+H398)^4+N398/(1+H398)^5</f>
        <v>106.535692733803</v>
      </c>
      <c r="P398" s="24" t="n">
        <f aca="false">N398*(1+F398)/(H398-F398)</f>
        <v>500.408155765372</v>
      </c>
      <c r="Q398" s="24" t="n">
        <f aca="false">O398+P398/(1+H398)^5</f>
        <v>438.611603339604</v>
      </c>
      <c r="R398" s="24" t="n">
        <f aca="false">Q398-'DCF Base Case'!$B$5</f>
        <v>253.611603339604</v>
      </c>
      <c r="S398" s="32" t="n">
        <f aca="false">R398/'DCF Base Case'!$B$6</f>
        <v>10.1444641335842</v>
      </c>
    </row>
    <row r="399" customFormat="false" ht="15" hidden="false" customHeight="true" outlineLevel="0" collapsed="false">
      <c r="A399" s="6" t="n">
        <v>398</v>
      </c>
      <c r="B399" s="30" t="n">
        <v>0.057699516314495</v>
      </c>
      <c r="C399" s="30" t="n">
        <v>0.390364871101591</v>
      </c>
      <c r="D399" s="30" t="n">
        <v>0.0925244170442912</v>
      </c>
      <c r="E399" s="30" t="n">
        <v>0.264963764053462</v>
      </c>
      <c r="F399" s="30" t="n">
        <v>0.0130692228121388</v>
      </c>
      <c r="G399" s="30" t="n">
        <v>0.181124075552313</v>
      </c>
      <c r="H399" s="31" t="n">
        <f aca="false">MAX(D399,F399+0.015)</f>
        <v>0.0925244170442912</v>
      </c>
      <c r="I399" s="25" t="n">
        <f aca="false">(C399-'DCF Base Case'!$B$3)*(1-E399)+'DCF Base Case'!$B$3-G399</f>
        <v>0.140253539274906</v>
      </c>
      <c r="J399" s="24" t="n">
        <f aca="false">'DCF Base Case'!$B$2*(1+B399)^1*$I399-'DCF Base Case'!$B$2*(1+B399)^0*B399*'DCF Base Case'!$B$4</f>
        <v>21.2591916986392</v>
      </c>
      <c r="K399" s="24" t="n">
        <f aca="false">'DCF Base Case'!$B$2*(1+B399)^2*$I399-'DCF Base Case'!$B$2*(1+B399)^1*B399*'DCF Base Case'!$B$4</f>
        <v>22.4858367768879</v>
      </c>
      <c r="L399" s="24" t="n">
        <f aca="false">'DCF Base Case'!$B$2*(1+B399)^3*$I399-'DCF Base Case'!$B$2*(1+B399)^2*B399*'DCF Base Case'!$B$4</f>
        <v>23.783258682841</v>
      </c>
      <c r="M399" s="24" t="n">
        <f aca="false">'DCF Base Case'!$B$2*(1+B399)^4*$I399-'DCF Base Case'!$B$2*(1+B399)^3*B399*'DCF Base Case'!$B$4</f>
        <v>25.1555412052234</v>
      </c>
      <c r="N399" s="24" t="n">
        <f aca="false">'DCF Base Case'!$B$2*(1+B399)^5*$I399-'DCF Base Case'!$B$2*(1+B399)^4*B399*'DCF Base Case'!$B$4</f>
        <v>26.6070037653942</v>
      </c>
      <c r="O399" s="24" t="n">
        <f aca="false">J399/(1+H399)^1+K399/(1+H399)^2+L399/(1+H399)^3+M399/(1+H399)^4+N399/(1+H399)^5</f>
        <v>91.2858704170113</v>
      </c>
      <c r="P399" s="24" t="n">
        <f aca="false">N399*(1+F399)/(H399-F399)</f>
        <v>339.24448724159</v>
      </c>
      <c r="Q399" s="24" t="n">
        <f aca="false">O399+P399/(1+H399)^5</f>
        <v>309.235953866212</v>
      </c>
      <c r="R399" s="24" t="n">
        <f aca="false">Q399-'DCF Base Case'!$B$5</f>
        <v>124.235953866212</v>
      </c>
      <c r="S399" s="32" t="n">
        <f aca="false">R399/'DCF Base Case'!$B$6</f>
        <v>4.96943815464848</v>
      </c>
    </row>
    <row r="400" customFormat="false" ht="15" hidden="false" customHeight="true" outlineLevel="0" collapsed="false">
      <c r="A400" s="6" t="n">
        <v>399</v>
      </c>
      <c r="B400" s="30" t="n">
        <v>0.114436485649492</v>
      </c>
      <c r="C400" s="30" t="n">
        <v>0.421904384548435</v>
      </c>
      <c r="D400" s="30" t="n">
        <v>0.0634306984168352</v>
      </c>
      <c r="E400" s="30" t="n">
        <v>0.301245262689821</v>
      </c>
      <c r="F400" s="30" t="n">
        <v>0.0129123853385991</v>
      </c>
      <c r="G400" s="30" t="n">
        <v>0.172330065473002</v>
      </c>
      <c r="H400" s="31" t="n">
        <f aca="false">MAX(D400,F400+0.015)</f>
        <v>0.0634306984168352</v>
      </c>
      <c r="I400" s="25" t="n">
        <f aca="false">(C400-'DCF Base Case'!$B$3)*(1-E400)+'DCF Base Case'!$B$3-G400</f>
        <v>0.161639506071829</v>
      </c>
      <c r="J400" s="24" t="n">
        <f aca="false">'DCF Base Case'!$B$2*(1+B400)^1*$I400-'DCF Base Case'!$B$2*(1+B400)^0*B400*'DCF Base Case'!$B$4</f>
        <v>25.622060935302</v>
      </c>
      <c r="K400" s="24" t="n">
        <f aca="false">'DCF Base Case'!$B$2*(1+B400)^2*$I400-'DCF Base Case'!$B$2*(1+B400)^1*B400*'DCF Base Case'!$B$4</f>
        <v>28.5541595438351</v>
      </c>
      <c r="L400" s="24" t="n">
        <f aca="false">'DCF Base Case'!$B$2*(1+B400)^3*$I400-'DCF Base Case'!$B$2*(1+B400)^2*B400*'DCF Base Case'!$B$4</f>
        <v>31.8217972127065</v>
      </c>
      <c r="M400" s="24" t="n">
        <f aca="false">'DCF Base Case'!$B$2*(1+B400)^4*$I400-'DCF Base Case'!$B$2*(1+B400)^3*B400*'DCF Base Case'!$B$4</f>
        <v>35.4633718527794</v>
      </c>
      <c r="N400" s="24" t="n">
        <f aca="false">'DCF Base Case'!$B$2*(1+B400)^5*$I400-'DCF Base Case'!$B$2*(1+B400)^4*B400*'DCF Base Case'!$B$4</f>
        <v>39.5216754968926</v>
      </c>
      <c r="O400" s="24" t="n">
        <f aca="false">J400/(1+H400)^1+K400/(1+H400)^2+L400/(1+H400)^3+M400/(1+H400)^4+N400/(1+H400)^5</f>
        <v>132.59277672096</v>
      </c>
      <c r="P400" s="24" t="n">
        <f aca="false">N400*(1+F400)/(H400-F400)</f>
        <v>792.425403004635</v>
      </c>
      <c r="Q400" s="24" t="n">
        <f aca="false">O400+P400/(1+H400)^5</f>
        <v>715.249046284883</v>
      </c>
      <c r="R400" s="24" t="n">
        <f aca="false">Q400-'DCF Base Case'!$B$5</f>
        <v>530.249046284883</v>
      </c>
      <c r="S400" s="32" t="n">
        <f aca="false">R400/'DCF Base Case'!$B$6</f>
        <v>21.2099618513953</v>
      </c>
    </row>
    <row r="401" customFormat="false" ht="15" hidden="false" customHeight="true" outlineLevel="0" collapsed="false">
      <c r="A401" s="6" t="n">
        <v>400</v>
      </c>
      <c r="B401" s="30" t="n">
        <v>0.0706116495061183</v>
      </c>
      <c r="C401" s="30" t="n">
        <v>0.382071661141474</v>
      </c>
      <c r="D401" s="30" t="n">
        <v>0.0801389898121234</v>
      </c>
      <c r="E401" s="30" t="n">
        <v>0.274701225311787</v>
      </c>
      <c r="F401" s="30" t="n">
        <v>0.0167417382876939</v>
      </c>
      <c r="G401" s="30" t="n">
        <v>0.179156628257862</v>
      </c>
      <c r="H401" s="31" t="n">
        <f aca="false">MAX(D401,F401+0.015)</f>
        <v>0.0801389898121234</v>
      </c>
      <c r="I401" s="25" t="n">
        <f aca="false">(C401-'DCF Base Case'!$B$3)*(1-E401)+'DCF Base Case'!$B$3-G401</f>
        <v>0.133670638701672</v>
      </c>
      <c r="J401" s="24" t="n">
        <f aca="false">'DCF Base Case'!$B$2*(1+B401)^1*$I401-'DCF Base Case'!$B$2*(1+B401)^0*B401*'DCF Base Case'!$B$4</f>
        <v>20.4436940583337</v>
      </c>
      <c r="K401" s="24" t="n">
        <f aca="false">'DCF Base Case'!$B$2*(1+B401)^2*$I401-'DCF Base Case'!$B$2*(1+B401)^1*B401*'DCF Base Case'!$B$4</f>
        <v>21.887257017791</v>
      </c>
      <c r="L401" s="24" t="n">
        <f aca="false">'DCF Base Case'!$B$2*(1+B401)^3*$I401-'DCF Base Case'!$B$2*(1+B401)^2*B401*'DCF Base Case'!$B$4</f>
        <v>23.4327523389816</v>
      </c>
      <c r="M401" s="24" t="n">
        <f aca="false">'DCF Base Case'!$B$2*(1+B401)^4*$I401-'DCF Base Case'!$B$2*(1+B401)^3*B401*'DCF Base Case'!$B$4</f>
        <v>25.0873776341055</v>
      </c>
      <c r="N401" s="24" t="n">
        <f aca="false">'DCF Base Case'!$B$2*(1+B401)^5*$I401-'DCF Base Case'!$B$2*(1+B401)^4*B401*'DCF Base Case'!$B$4</f>
        <v>26.8588387506325</v>
      </c>
      <c r="O401" s="24" t="n">
        <f aca="false">J401/(1+H401)^1+K401/(1+H401)^2+L401/(1+H401)^3+M401/(1+H401)^4+N401/(1+H401)^5</f>
        <v>92.9797696362005</v>
      </c>
      <c r="P401" s="24" t="n">
        <f aca="false">N401*(1+F401)/(H401-F401)</f>
        <v>430.752150023159</v>
      </c>
      <c r="Q401" s="24" t="n">
        <f aca="false">O401+P401/(1+H401)^5</f>
        <v>385.953876054396</v>
      </c>
      <c r="R401" s="24" t="n">
        <f aca="false">Q401-'DCF Base Case'!$B$5</f>
        <v>200.953876054396</v>
      </c>
      <c r="S401" s="32" t="n">
        <f aca="false">R401/'DCF Base Case'!$B$6</f>
        <v>8.03815504217584</v>
      </c>
    </row>
    <row r="402" customFormat="false" ht="15" hidden="false" customHeight="true" outlineLevel="0" collapsed="false">
      <c r="A402" s="6" t="n">
        <v>401</v>
      </c>
      <c r="B402" s="30" t="n">
        <v>0.0804829325569832</v>
      </c>
      <c r="C402" s="30" t="n">
        <v>0.430133005142258</v>
      </c>
      <c r="D402" s="30" t="n">
        <v>0.0880929048220783</v>
      </c>
      <c r="E402" s="30" t="n">
        <v>0.263414770605987</v>
      </c>
      <c r="F402" s="30" t="n">
        <v>0.0158155630725673</v>
      </c>
      <c r="G402" s="30" t="n">
        <v>0.134103621967321</v>
      </c>
      <c r="H402" s="31" t="n">
        <f aca="false">MAX(D402,F402+0.015)</f>
        <v>0.0880929048220783</v>
      </c>
      <c r="I402" s="25" t="n">
        <f aca="false">(C402-'DCF Base Case'!$B$3)*(1-E402)+'DCF Base Case'!$B$3-G402</f>
        <v>0.216969916474104</v>
      </c>
      <c r="J402" s="24" t="n">
        <f aca="false">'DCF Base Case'!$B$2*(1+B402)^1*$I402-'DCF Base Case'!$B$2*(1+B402)^0*B402*'DCF Base Case'!$B$4</f>
        <v>33.6425815295217</v>
      </c>
      <c r="K402" s="24" t="n">
        <f aca="false">'DCF Base Case'!$B$2*(1+B402)^2*$I402-'DCF Base Case'!$B$2*(1+B402)^1*B402*'DCF Base Case'!$B$4</f>
        <v>36.350235149805</v>
      </c>
      <c r="L402" s="24" t="n">
        <f aca="false">'DCF Base Case'!$B$2*(1+B402)^3*$I402-'DCF Base Case'!$B$2*(1+B402)^2*B402*'DCF Base Case'!$B$4</f>
        <v>39.2758086737972</v>
      </c>
      <c r="M402" s="24" t="n">
        <f aca="false">'DCF Base Case'!$B$2*(1+B402)^4*$I402-'DCF Base Case'!$B$2*(1+B402)^3*B402*'DCF Base Case'!$B$4</f>
        <v>42.4368409344114</v>
      </c>
      <c r="N402" s="24" t="n">
        <f aca="false">'DCF Base Case'!$B$2*(1+B402)^5*$I402-'DCF Base Case'!$B$2*(1+B402)^4*B402*'DCF Base Case'!$B$4</f>
        <v>45.8522823412671</v>
      </c>
      <c r="O402" s="24" t="n">
        <f aca="false">J402/(1+H402)^1+K402/(1+H402)^2+L402/(1+H402)^3+M402/(1+H402)^4+N402/(1+H402)^5</f>
        <v>152.446899978158</v>
      </c>
      <c r="P402" s="24" t="n">
        <f aca="false">N402*(1+F402)/(H402-F402)</f>
        <v>644.426882301211</v>
      </c>
      <c r="Q402" s="24" t="n">
        <f aca="false">O402+P402/(1+H402)^5</f>
        <v>574.963480969497</v>
      </c>
      <c r="R402" s="24" t="n">
        <f aca="false">Q402-'DCF Base Case'!$B$5</f>
        <v>389.963480969497</v>
      </c>
      <c r="S402" s="32" t="n">
        <f aca="false">R402/'DCF Base Case'!$B$6</f>
        <v>15.5985392387799</v>
      </c>
    </row>
    <row r="403" customFormat="false" ht="15" hidden="false" customHeight="true" outlineLevel="0" collapsed="false">
      <c r="A403" s="6" t="n">
        <v>402</v>
      </c>
      <c r="B403" s="30" t="n">
        <v>0.0960894262493545</v>
      </c>
      <c r="C403" s="30" t="n">
        <v>0.409531156893925</v>
      </c>
      <c r="D403" s="30" t="n">
        <v>0.0589058491913014</v>
      </c>
      <c r="E403" s="30" t="n">
        <v>0.266520483557017</v>
      </c>
      <c r="F403" s="30" t="n">
        <v>0.015671189897515</v>
      </c>
      <c r="G403" s="30" t="n">
        <v>0.201417740387942</v>
      </c>
      <c r="H403" s="31" t="n">
        <f aca="false">MAX(D403,F403+0.015)</f>
        <v>0.0589058491913014</v>
      </c>
      <c r="I403" s="25" t="n">
        <f aca="false">(C403-'DCF Base Case'!$B$3)*(1-E403)+'DCF Base Case'!$B$3-G403</f>
        <v>0.133612637401362</v>
      </c>
      <c r="J403" s="24" t="n">
        <f aca="false">'DCF Base Case'!$B$2*(1+B403)^1*$I403-'DCF Base Case'!$B$2*(1+B403)^0*B403*'DCF Base Case'!$B$4</f>
        <v>20.8174638608089</v>
      </c>
      <c r="K403" s="24" t="n">
        <f aca="false">'DCF Base Case'!$B$2*(1+B403)^2*$I403-'DCF Base Case'!$B$2*(1+B403)^1*B403*'DCF Base Case'!$B$4</f>
        <v>22.8178020191607</v>
      </c>
      <c r="L403" s="24" t="n">
        <f aca="false">'DCF Base Case'!$B$2*(1+B403)^3*$I403-'DCF Base Case'!$B$2*(1+B403)^2*B403*'DCF Base Case'!$B$4</f>
        <v>25.0103515234533</v>
      </c>
      <c r="M403" s="24" t="n">
        <f aca="false">'DCF Base Case'!$B$2*(1+B403)^4*$I403-'DCF Base Case'!$B$2*(1+B403)^3*B403*'DCF Base Case'!$B$4</f>
        <v>27.4135818516366</v>
      </c>
      <c r="N403" s="24" t="n">
        <f aca="false">'DCF Base Case'!$B$2*(1+B403)^5*$I403-'DCF Base Case'!$B$2*(1+B403)^4*B403*'DCF Base Case'!$B$4</f>
        <v>30.0477372032</v>
      </c>
      <c r="O403" s="24" t="n">
        <f aca="false">J403/(1+H403)^1+K403/(1+H403)^2+L403/(1+H403)^3+M403/(1+H403)^4+N403/(1+H403)^5</f>
        <v>105.447168447763</v>
      </c>
      <c r="P403" s="24" t="n">
        <f aca="false">N403*(1+F403)/(H403-F403)</f>
        <v>705.88323112536</v>
      </c>
      <c r="Q403" s="24" t="n">
        <f aca="false">O403+P403/(1+H403)^5</f>
        <v>635.65498819776</v>
      </c>
      <c r="R403" s="24" t="n">
        <f aca="false">Q403-'DCF Base Case'!$B$5</f>
        <v>450.65498819776</v>
      </c>
      <c r="S403" s="32" t="n">
        <f aca="false">R403/'DCF Base Case'!$B$6</f>
        <v>18.0261995279104</v>
      </c>
    </row>
    <row r="404" customFormat="false" ht="15" hidden="false" customHeight="true" outlineLevel="0" collapsed="false">
      <c r="A404" s="6" t="n">
        <v>403</v>
      </c>
      <c r="B404" s="30" t="n">
        <v>0.0548836745198771</v>
      </c>
      <c r="C404" s="30" t="n">
        <v>0.372446183772986</v>
      </c>
      <c r="D404" s="30" t="n">
        <v>0.0972096660741627</v>
      </c>
      <c r="E404" s="30" t="n">
        <v>0.320579946241227</v>
      </c>
      <c r="F404" s="30" t="n">
        <v>0.016318597785527</v>
      </c>
      <c r="G404" s="30" t="n">
        <v>0.152475553840407</v>
      </c>
      <c r="H404" s="31" t="n">
        <f aca="false">MAX(D404,F404+0.015)</f>
        <v>0.0972096660741627</v>
      </c>
      <c r="I404" s="25" t="n">
        <f aca="false">(C404-'DCF Base Case'!$B$3)*(1-E404)+'DCF Base Case'!$B$3-G404</f>
        <v>0.142247245372245</v>
      </c>
      <c r="J404" s="24" t="n">
        <f aca="false">'DCF Base Case'!$B$2*(1+B404)^1*$I404-'DCF Base Case'!$B$2*(1+B404)^0*B404*'DCF Base Case'!$B$4</f>
        <v>21.5191290646861</v>
      </c>
      <c r="K404" s="24" t="n">
        <f aca="false">'DCF Base Case'!$B$2*(1+B404)^2*$I404-'DCF Base Case'!$B$2*(1+B404)^1*B404*'DCF Base Case'!$B$4</f>
        <v>22.7001779402236</v>
      </c>
      <c r="L404" s="24" t="n">
        <f aca="false">'DCF Base Case'!$B$2*(1+B404)^3*$I404-'DCF Base Case'!$B$2*(1+B404)^2*B404*'DCF Base Case'!$B$4</f>
        <v>23.9460471178381</v>
      </c>
      <c r="M404" s="24" t="n">
        <f aca="false">'DCF Base Case'!$B$2*(1+B404)^4*$I404-'DCF Base Case'!$B$2*(1+B404)^3*B404*'DCF Base Case'!$B$4</f>
        <v>25.2602941738911</v>
      </c>
      <c r="N404" s="24" t="n">
        <f aca="false">'DCF Base Case'!$B$2*(1+B404)^5*$I404-'DCF Base Case'!$B$2*(1+B404)^4*B404*'DCF Base Case'!$B$4</f>
        <v>26.6466719376073</v>
      </c>
      <c r="O404" s="24" t="n">
        <f aca="false">J404/(1+H404)^1+K404/(1+H404)^2+L404/(1+H404)^3+M404/(1+H404)^4+N404/(1+H404)^5</f>
        <v>90.7834868727545</v>
      </c>
      <c r="P404" s="24" t="n">
        <f aca="false">N404*(1+F404)/(H404-F404)</f>
        <v>334.789845556839</v>
      </c>
      <c r="Q404" s="24" t="n">
        <f aca="false">O404+P404/(1+H404)^5</f>
        <v>301.318413007607</v>
      </c>
      <c r="R404" s="24" t="n">
        <f aca="false">Q404-'DCF Base Case'!$B$5</f>
        <v>116.318413007607</v>
      </c>
      <c r="S404" s="32" t="n">
        <f aca="false">R404/'DCF Base Case'!$B$6</f>
        <v>4.65273652030429</v>
      </c>
    </row>
    <row r="405" customFormat="false" ht="15" hidden="false" customHeight="true" outlineLevel="0" collapsed="false">
      <c r="A405" s="6" t="n">
        <v>404</v>
      </c>
      <c r="B405" s="30" t="n">
        <v>0.103334649533193</v>
      </c>
      <c r="C405" s="30" t="n">
        <v>0.37218651278638</v>
      </c>
      <c r="D405" s="30" t="n">
        <v>0.0645268694704389</v>
      </c>
      <c r="E405" s="30" t="n">
        <v>0.272254445125867</v>
      </c>
      <c r="F405" s="30" t="n">
        <v>0.0246801354914269</v>
      </c>
      <c r="G405" s="30" t="n">
        <v>0.156415177409111</v>
      </c>
      <c r="H405" s="31" t="n">
        <f aca="false">MAX(D405,F405+0.015)</f>
        <v>0.0645268694704389</v>
      </c>
      <c r="I405" s="25" t="n">
        <f aca="false">(C405-'DCF Base Case'!$B$3)*(1-E405)+'DCF Base Case'!$B$3-G405</f>
        <v>0.149834980721644</v>
      </c>
      <c r="J405" s="24" t="n">
        <f aca="false">'DCF Base Case'!$B$2*(1+B405)^1*$I405-'DCF Base Case'!$B$2*(1+B405)^0*B405*'DCF Base Case'!$B$4</f>
        <v>23.5216225361682</v>
      </c>
      <c r="K405" s="24" t="n">
        <f aca="false">'DCF Base Case'!$B$2*(1+B405)^2*$I405-'DCF Base Case'!$B$2*(1+B405)^1*B405*'DCF Base Case'!$B$4</f>
        <v>25.9522211573952</v>
      </c>
      <c r="L405" s="24" t="n">
        <f aca="false">'DCF Base Case'!$B$2*(1+B405)^3*$I405-'DCF Base Case'!$B$2*(1+B405)^2*B405*'DCF Base Case'!$B$4</f>
        <v>28.6339848353026</v>
      </c>
      <c r="M405" s="24" t="n">
        <f aca="false">'DCF Base Case'!$B$2*(1+B405)^4*$I405-'DCF Base Case'!$B$2*(1+B405)^3*B405*'DCF Base Case'!$B$4</f>
        <v>31.5928676229973</v>
      </c>
      <c r="N405" s="24" t="n">
        <f aca="false">'DCF Base Case'!$B$2*(1+B405)^5*$I405-'DCF Base Case'!$B$2*(1+B405)^4*B405*'DCF Base Case'!$B$4</f>
        <v>34.8575055265683</v>
      </c>
      <c r="O405" s="24" t="n">
        <f aca="false">J405/(1+H405)^1+K405/(1+H405)^2+L405/(1+H405)^3+M405/(1+H405)^4+N405/(1+H405)^5</f>
        <v>118.833413580014</v>
      </c>
      <c r="P405" s="24" t="n">
        <f aca="false">N405*(1+F405)/(H405-F405)</f>
        <v>896.379449936107</v>
      </c>
      <c r="Q405" s="24" t="n">
        <f aca="false">O405+P405/(1+H405)^5</f>
        <v>774.5388015709</v>
      </c>
      <c r="R405" s="24" t="n">
        <f aca="false">Q405-'DCF Base Case'!$B$5</f>
        <v>589.5388015709</v>
      </c>
      <c r="S405" s="32" t="n">
        <f aca="false">R405/'DCF Base Case'!$B$6</f>
        <v>23.581552062836</v>
      </c>
    </row>
    <row r="406" customFormat="false" ht="15" hidden="false" customHeight="true" outlineLevel="0" collapsed="false">
      <c r="A406" s="6" t="n">
        <v>405</v>
      </c>
      <c r="B406" s="30" t="n">
        <v>0.0920520950234036</v>
      </c>
      <c r="C406" s="30" t="n">
        <v>0.436656283631119</v>
      </c>
      <c r="D406" s="30" t="n">
        <v>0.10817573206606</v>
      </c>
      <c r="E406" s="30" t="n">
        <v>0.265691085966836</v>
      </c>
      <c r="F406" s="30" t="n">
        <v>0.0192911033448606</v>
      </c>
      <c r="G406" s="30" t="n">
        <v>0.205670316768052</v>
      </c>
      <c r="H406" s="31" t="n">
        <f aca="false">MAX(D406,F406+0.015)</f>
        <v>0.10817573206606</v>
      </c>
      <c r="I406" s="25" t="n">
        <f aca="false">(C406-'DCF Base Case'!$B$3)*(1-E406)+'DCF Base Case'!$B$3-G406</f>
        <v>0.149510125846561</v>
      </c>
      <c r="J406" s="24" t="n">
        <f aca="false">'DCF Base Case'!$B$2*(1+B406)^1*$I406-'DCF Base Case'!$B$2*(1+B406)^0*B406*'DCF Base Case'!$B$4</f>
        <v>23.2741360795509</v>
      </c>
      <c r="K406" s="24" t="n">
        <f aca="false">'DCF Base Case'!$B$2*(1+B406)^2*$I406-'DCF Base Case'!$B$2*(1+B406)^1*B406*'DCF Base Case'!$B$4</f>
        <v>25.4165690655333</v>
      </c>
      <c r="L406" s="24" t="n">
        <f aca="false">'DCF Base Case'!$B$2*(1+B406)^3*$I406-'DCF Base Case'!$B$2*(1+B406)^2*B406*'DCF Base Case'!$B$4</f>
        <v>27.7562174963227</v>
      </c>
      <c r="M406" s="24" t="n">
        <f aca="false">'DCF Base Case'!$B$2*(1+B406)^4*$I406-'DCF Base Case'!$B$2*(1+B406)^3*B406*'DCF Base Case'!$B$4</f>
        <v>30.3112354667845</v>
      </c>
      <c r="N406" s="24" t="n">
        <f aca="false">'DCF Base Case'!$B$2*(1+B406)^5*$I406-'DCF Base Case'!$B$2*(1+B406)^4*B406*'DCF Base Case'!$B$4</f>
        <v>33.1014481942497</v>
      </c>
      <c r="O406" s="24" t="n">
        <f aca="false">J406/(1+H406)^1+K406/(1+H406)^2+L406/(1+H406)^3+M406/(1+H406)^4+N406/(1+H406)^5</f>
        <v>101.999412267434</v>
      </c>
      <c r="P406" s="24" t="n">
        <f aca="false">N406*(1+F406)/(H406-F406)</f>
        <v>379.593323813731</v>
      </c>
      <c r="Q406" s="24" t="n">
        <f aca="false">O406+P406/(1+H406)^5</f>
        <v>329.129876723789</v>
      </c>
      <c r="R406" s="24" t="n">
        <f aca="false">Q406-'DCF Base Case'!$B$5</f>
        <v>144.129876723789</v>
      </c>
      <c r="S406" s="32" t="n">
        <f aca="false">R406/'DCF Base Case'!$B$6</f>
        <v>5.76519506895158</v>
      </c>
    </row>
    <row r="407" customFormat="false" ht="15" hidden="false" customHeight="true" outlineLevel="0" collapsed="false">
      <c r="A407" s="6" t="n">
        <v>406</v>
      </c>
      <c r="B407" s="30" t="n">
        <v>0.0578856895798009</v>
      </c>
      <c r="C407" s="30" t="n">
        <v>0.423467025308954</v>
      </c>
      <c r="D407" s="30" t="n">
        <v>0.0737985291440262</v>
      </c>
      <c r="E407" s="30" t="n">
        <v>0.282576045511467</v>
      </c>
      <c r="F407" s="30" t="n">
        <v>0.018409892738853</v>
      </c>
      <c r="G407" s="30" t="n">
        <v>0.146002188710989</v>
      </c>
      <c r="H407" s="31" t="n">
        <f aca="false">MAX(D407,F407+0.015)</f>
        <v>0.0737985291440262</v>
      </c>
      <c r="I407" s="25" t="n">
        <f aca="false">(C407-'DCF Base Case'!$B$3)*(1-E407)+'DCF Base Case'!$B$3-G407</f>
        <v>0.194538085098147</v>
      </c>
      <c r="J407" s="24" t="n">
        <f aca="false">'DCF Base Case'!$B$2*(1+B407)^1*$I407-'DCF Base Case'!$B$2*(1+B407)^0*B407*'DCF Base Case'!$B$4</f>
        <v>29.5890604143481</v>
      </c>
      <c r="K407" s="24" t="n">
        <f aca="false">'DCF Base Case'!$B$2*(1+B407)^2*$I407-'DCF Base Case'!$B$2*(1+B407)^1*B407*'DCF Base Case'!$B$4</f>
        <v>31.301843580451</v>
      </c>
      <c r="L407" s="24" t="n">
        <f aca="false">'DCF Base Case'!$B$2*(1+B407)^3*$I407-'DCF Base Case'!$B$2*(1+B407)^2*B407*'DCF Base Case'!$B$4</f>
        <v>33.1137723812245</v>
      </c>
      <c r="M407" s="24" t="n">
        <f aca="false">'DCF Base Case'!$B$2*(1+B407)^4*$I407-'DCF Base Case'!$B$2*(1+B407)^3*B407*'DCF Base Case'!$B$4</f>
        <v>35.0305859301002</v>
      </c>
      <c r="N407" s="24" t="n">
        <f aca="false">'DCF Base Case'!$B$2*(1+B407)^5*$I407-'DCF Base Case'!$B$2*(1+B407)^4*B407*'DCF Base Case'!$B$4</f>
        <v>37.0583555530485</v>
      </c>
      <c r="O407" s="24" t="n">
        <f aca="false">J407/(1+H407)^1+K407/(1+H407)^2+L407/(1+H407)^3+M407/(1+H407)^4+N407/(1+H407)^5</f>
        <v>133.754084265486</v>
      </c>
      <c r="P407" s="24" t="n">
        <f aca="false">N407*(1+F407)/(H407-F407)</f>
        <v>681.37795680295</v>
      </c>
      <c r="Q407" s="24" t="n">
        <f aca="false">O407+P407/(1+H407)^5</f>
        <v>611.034985314843</v>
      </c>
      <c r="R407" s="24" t="n">
        <f aca="false">Q407-'DCF Base Case'!$B$5</f>
        <v>426.034985314843</v>
      </c>
      <c r="S407" s="32" t="n">
        <f aca="false">R407/'DCF Base Case'!$B$6</f>
        <v>17.0413994125937</v>
      </c>
    </row>
    <row r="408" customFormat="false" ht="15" hidden="false" customHeight="true" outlineLevel="0" collapsed="false">
      <c r="A408" s="6" t="n">
        <v>407</v>
      </c>
      <c r="B408" s="30" t="n">
        <v>0.0685288133153419</v>
      </c>
      <c r="C408" s="30" t="n">
        <v>0.412881144517275</v>
      </c>
      <c r="D408" s="30" t="n">
        <v>0.0959509326097895</v>
      </c>
      <c r="E408" s="30" t="n">
        <v>0.27610167076403</v>
      </c>
      <c r="F408" s="30" t="n">
        <v>0.0196120203695262</v>
      </c>
      <c r="G408" s="30" t="n">
        <v>0.178724765688653</v>
      </c>
      <c r="H408" s="31" t="n">
        <f aca="false">MAX(D408,F408+0.015)</f>
        <v>0.0959509326097895</v>
      </c>
      <c r="I408" s="25" t="n">
        <f aca="false">(C408-'DCF Base Case'!$B$3)*(1-E408)+'DCF Base Case'!$B$3-G408</f>
        <v>0.156052422199761</v>
      </c>
      <c r="J408" s="24" t="n">
        <f aca="false">'DCF Base Case'!$B$2*(1+B408)^1*$I408-'DCF Base Case'!$B$2*(1+B408)^0*B408*'DCF Base Case'!$B$4</f>
        <v>23.8801435407521</v>
      </c>
      <c r="K408" s="24" t="n">
        <f aca="false">'DCF Base Case'!$B$2*(1+B408)^2*$I408-'DCF Base Case'!$B$2*(1+B408)^1*B408*'DCF Base Case'!$B$4</f>
        <v>25.5166214393999</v>
      </c>
      <c r="L408" s="24" t="n">
        <f aca="false">'DCF Base Case'!$B$2*(1+B408)^3*$I408-'DCF Base Case'!$B$2*(1+B408)^2*B408*'DCF Base Case'!$B$4</f>
        <v>27.2652452264588</v>
      </c>
      <c r="M408" s="24" t="n">
        <f aca="false">'DCF Base Case'!$B$2*(1+B408)^4*$I408-'DCF Base Case'!$B$2*(1+B408)^3*B408*'DCF Base Case'!$B$4</f>
        <v>29.1337001265798</v>
      </c>
      <c r="N408" s="24" t="n">
        <f aca="false">'DCF Base Case'!$B$2*(1+B408)^5*$I408-'DCF Base Case'!$B$2*(1+B408)^4*B408*'DCF Base Case'!$B$4</f>
        <v>31.1301980237393</v>
      </c>
      <c r="O408" s="24" t="n">
        <f aca="false">J408/(1+H408)^1+K408/(1+H408)^2+L408/(1+H408)^3+M408/(1+H408)^4+N408/(1+H408)^5</f>
        <v>103.629857676973</v>
      </c>
      <c r="P408" s="24" t="n">
        <f aca="false">N408*(1+F408)/(H408-F408)</f>
        <v>415.786958053449</v>
      </c>
      <c r="Q408" s="24" t="n">
        <f aca="false">O408+P408/(1+H408)^5</f>
        <v>366.605370047105</v>
      </c>
      <c r="R408" s="24" t="n">
        <f aca="false">Q408-'DCF Base Case'!$B$5</f>
        <v>181.605370047105</v>
      </c>
      <c r="S408" s="32" t="n">
        <f aca="false">R408/'DCF Base Case'!$B$6</f>
        <v>7.2642148018842</v>
      </c>
    </row>
    <row r="409" customFormat="false" ht="15" hidden="false" customHeight="true" outlineLevel="0" collapsed="false">
      <c r="A409" s="6" t="n">
        <v>408</v>
      </c>
      <c r="B409" s="30" t="n">
        <v>0.068776737117067</v>
      </c>
      <c r="C409" s="30" t="n">
        <v>0.421941931975963</v>
      </c>
      <c r="D409" s="30" t="n">
        <v>0.0940127740676572</v>
      </c>
      <c r="E409" s="30" t="n">
        <v>0.34324275051288</v>
      </c>
      <c r="F409" s="30" t="n">
        <v>0.017864378609693</v>
      </c>
      <c r="G409" s="30" t="n">
        <v>0.155969255560662</v>
      </c>
      <c r="H409" s="31" t="n">
        <f aca="false">MAX(D409,F409+0.015)</f>
        <v>0.0940127740676572</v>
      </c>
      <c r="I409" s="25" t="n">
        <f aca="false">(C409-'DCF Base Case'!$B$3)*(1-E409)+'DCF Base Case'!$B$3-G409</f>
        <v>0.165765724693827</v>
      </c>
      <c r="J409" s="24" t="n">
        <f aca="false">'DCF Base Case'!$B$2*(1+B409)^1*$I409-'DCF Base Case'!$B$2*(1+B409)^0*B409*'DCF Base Case'!$B$4</f>
        <v>25.3899709963374</v>
      </c>
      <c r="K409" s="24" t="n">
        <f aca="false">'DCF Base Case'!$B$2*(1+B409)^2*$I409-'DCF Base Case'!$B$2*(1+B409)^1*B409*'DCF Base Case'!$B$4</f>
        <v>27.1362103569625</v>
      </c>
      <c r="L409" s="24" t="n">
        <f aca="false">'DCF Base Case'!$B$2*(1+B409)^3*$I409-'DCF Base Case'!$B$2*(1+B409)^2*B409*'DCF Base Case'!$B$4</f>
        <v>29.0025503630367</v>
      </c>
      <c r="M409" s="24" t="n">
        <f aca="false">'DCF Base Case'!$B$2*(1+B409)^4*$I409-'DCF Base Case'!$B$2*(1+B409)^3*B409*'DCF Base Case'!$B$4</f>
        <v>30.9972511450798</v>
      </c>
      <c r="N409" s="24" t="n">
        <f aca="false">'DCF Base Case'!$B$2*(1+B409)^5*$I409-'DCF Base Case'!$B$2*(1+B409)^4*B409*'DCF Base Case'!$B$4</f>
        <v>33.1291409384367</v>
      </c>
      <c r="O409" s="24" t="n">
        <f aca="false">J409/(1+H409)^1+K409/(1+H409)^2+L409/(1+H409)^3+M409/(1+H409)^4+N409/(1+H409)^5</f>
        <v>110.809124414224</v>
      </c>
      <c r="P409" s="24" t="n">
        <f aca="false">N409*(1+F409)/(H409-F409)</f>
        <v>442.832344035267</v>
      </c>
      <c r="Q409" s="24" t="n">
        <f aca="false">O409+P409/(1+H409)^5</f>
        <v>393.379981437914</v>
      </c>
      <c r="R409" s="24" t="n">
        <f aca="false">Q409-'DCF Base Case'!$B$5</f>
        <v>208.379981437914</v>
      </c>
      <c r="S409" s="32" t="n">
        <f aca="false">R409/'DCF Base Case'!$B$6</f>
        <v>8.33519925751654</v>
      </c>
    </row>
    <row r="410" customFormat="false" ht="15" hidden="false" customHeight="true" outlineLevel="0" collapsed="false">
      <c r="A410" s="6" t="n">
        <v>409</v>
      </c>
      <c r="B410" s="30" t="n">
        <v>0.106761709918849</v>
      </c>
      <c r="C410" s="30" t="n">
        <v>0.435505107328788</v>
      </c>
      <c r="D410" s="30" t="n">
        <v>0.0791140413128562</v>
      </c>
      <c r="E410" s="30" t="n">
        <v>0.269376190520156</v>
      </c>
      <c r="F410" s="30" t="n">
        <v>0.0212859118020519</v>
      </c>
      <c r="G410" s="30" t="n">
        <v>0.148562422732775</v>
      </c>
      <c r="H410" s="31" t="n">
        <f aca="false">MAX(D410,F410+0.015)</f>
        <v>0.0791140413128562</v>
      </c>
      <c r="I410" s="25" t="n">
        <f aca="false">(C410-'DCF Base Case'!$B$3)*(1-E410)+'DCF Base Case'!$B$3-G410</f>
        <v>0.204646882599333</v>
      </c>
      <c r="J410" s="24" t="n">
        <f aca="false">'DCF Base Case'!$B$2*(1+B410)^1*$I410-'DCF Base Case'!$B$2*(1+B410)^0*B410*'DCF Base Case'!$B$4</f>
        <v>32.3774099505569</v>
      </c>
      <c r="K410" s="24" t="n">
        <f aca="false">'DCF Base Case'!$B$2*(1+B410)^2*$I410-'DCF Base Case'!$B$2*(1+B410)^1*B410*'DCF Base Case'!$B$4</f>
        <v>35.8340775996219</v>
      </c>
      <c r="L410" s="24" t="n">
        <f aca="false">'DCF Base Case'!$B$2*(1+B410)^3*$I410-'DCF Base Case'!$B$2*(1+B410)^2*B410*'DCF Base Case'!$B$4</f>
        <v>39.6597849975223</v>
      </c>
      <c r="M410" s="24" t="n">
        <f aca="false">'DCF Base Case'!$B$2*(1+B410)^4*$I410-'DCF Base Case'!$B$2*(1+B410)^3*B410*'DCF Base Case'!$B$4</f>
        <v>43.8939314588717</v>
      </c>
      <c r="N410" s="24" t="n">
        <f aca="false">'DCF Base Case'!$B$2*(1+B410)^5*$I410-'DCF Base Case'!$B$2*(1+B410)^4*B410*'DCF Base Case'!$B$4</f>
        <v>48.5801226364816</v>
      </c>
      <c r="O410" s="24" t="n">
        <f aca="false">J410/(1+H410)^1+K410/(1+H410)^2+L410/(1+H410)^3+M410/(1+H410)^4+N410/(1+H410)^5</f>
        <v>157.905128065606</v>
      </c>
      <c r="P410" s="24" t="n">
        <f aca="false">N410*(1+F410)/(H410-F410)</f>
        <v>857.95953045628</v>
      </c>
      <c r="Q410" s="24" t="n">
        <f aca="false">O410+P410/(1+H410)^5</f>
        <v>744.218885929822</v>
      </c>
      <c r="R410" s="24" t="n">
        <f aca="false">Q410-'DCF Base Case'!$B$5</f>
        <v>559.218885929822</v>
      </c>
      <c r="S410" s="32" t="n">
        <f aca="false">R410/'DCF Base Case'!$B$6</f>
        <v>22.3687554371929</v>
      </c>
    </row>
    <row r="411" customFormat="false" ht="15" hidden="false" customHeight="true" outlineLevel="0" collapsed="false">
      <c r="A411" s="6" t="n">
        <v>410</v>
      </c>
      <c r="B411" s="30" t="n">
        <v>0.0812739105372984</v>
      </c>
      <c r="C411" s="30" t="n">
        <v>0.413451269457266</v>
      </c>
      <c r="D411" s="30" t="n">
        <v>0.0959553255330448</v>
      </c>
      <c r="E411" s="30" t="n">
        <v>0.265146929021512</v>
      </c>
      <c r="F411" s="30" t="n">
        <v>0.0123925209789094</v>
      </c>
      <c r="G411" s="30" t="n">
        <v>0.13051561600681</v>
      </c>
      <c r="H411" s="31" t="n">
        <f aca="false">MAX(D411,F411+0.015)</f>
        <v>0.0959553255330448</v>
      </c>
      <c r="I411" s="25" t="n">
        <f aca="false">(C411-'DCF Base Case'!$B$3)*(1-E411)+'DCF Base Case'!$B$3-G411</f>
        <v>0.207779419826613</v>
      </c>
      <c r="J411" s="24" t="n">
        <f aca="false">'DCF Base Case'!$B$2*(1+B411)^1*$I411-'DCF Base Case'!$B$2*(1+B411)^0*B411*'DCF Base Case'!$B$4</f>
        <v>32.2230960309012</v>
      </c>
      <c r="K411" s="24" t="n">
        <f aca="false">'DCF Base Case'!$B$2*(1+B411)^2*$I411-'DCF Base Case'!$B$2*(1+B411)^1*B411*'DCF Base Case'!$B$4</f>
        <v>34.8419930549514</v>
      </c>
      <c r="L411" s="24" t="n">
        <f aca="false">'DCF Base Case'!$B$2*(1+B411)^3*$I411-'DCF Base Case'!$B$2*(1+B411)^2*B411*'DCF Base Case'!$B$4</f>
        <v>37.6737380814407</v>
      </c>
      <c r="M411" s="24" t="n">
        <f aca="false">'DCF Base Case'!$B$2*(1+B411)^4*$I411-'DCF Base Case'!$B$2*(1+B411)^3*B411*'DCF Base Case'!$B$4</f>
        <v>40.7356300998774</v>
      </c>
      <c r="N411" s="24" t="n">
        <f aca="false">'DCF Base Case'!$B$2*(1+B411)^5*$I411-'DCF Base Case'!$B$2*(1+B411)^4*B411*'DCF Base Case'!$B$4</f>
        <v>44.0463740562953</v>
      </c>
      <c r="O411" s="24" t="n">
        <f aca="false">J411/(1+H411)^1+K411/(1+H411)^2+L411/(1+H411)^3+M411/(1+H411)^4+N411/(1+H411)^5</f>
        <v>143.122908627454</v>
      </c>
      <c r="P411" s="24" t="n">
        <f aca="false">N411*(1+F411)/(H411-F411)</f>
        <v>533.63718353833</v>
      </c>
      <c r="Q411" s="24" t="n">
        <f aca="false">O411+P411/(1+H411)^5</f>
        <v>480.629164096971</v>
      </c>
      <c r="R411" s="24" t="n">
        <f aca="false">Q411-'DCF Base Case'!$B$5</f>
        <v>295.629164096971</v>
      </c>
      <c r="S411" s="32" t="n">
        <f aca="false">R411/'DCF Base Case'!$B$6</f>
        <v>11.8251665638788</v>
      </c>
    </row>
    <row r="412" customFormat="false" ht="15" hidden="false" customHeight="true" outlineLevel="0" collapsed="false">
      <c r="A412" s="6" t="n">
        <v>411</v>
      </c>
      <c r="B412" s="30" t="n">
        <v>0.0627969938930136</v>
      </c>
      <c r="C412" s="30" t="n">
        <v>0.376858881955324</v>
      </c>
      <c r="D412" s="30" t="n">
        <v>0.083299281655181</v>
      </c>
      <c r="E412" s="30" t="n">
        <v>0.256060370917104</v>
      </c>
      <c r="F412" s="30" t="n">
        <v>0.0164956324682856</v>
      </c>
      <c r="G412" s="30" t="n">
        <v>0.149627014832865</v>
      </c>
      <c r="H412" s="31" t="n">
        <f aca="false">MAX(D412,F412+0.015)</f>
        <v>0.083299281655181</v>
      </c>
      <c r="I412" s="25" t="n">
        <f aca="false">(C412-'DCF Base Case'!$B$3)*(1-E412)+'DCF Base Case'!$B$3-G412</f>
        <v>0.164021090244797</v>
      </c>
      <c r="J412" s="24" t="n">
        <f aca="false">'DCF Base Case'!$B$2*(1+B412)^1*$I412-'DCF Base Case'!$B$2*(1+B412)^0*B412*'DCF Base Case'!$B$4</f>
        <v>25.003395715413</v>
      </c>
      <c r="K412" s="24" t="n">
        <f aca="false">'DCF Base Case'!$B$2*(1+B412)^2*$I412-'DCF Base Case'!$B$2*(1+B412)^1*B412*'DCF Base Case'!$B$4</f>
        <v>26.5735338034584</v>
      </c>
      <c r="L412" s="24" t="n">
        <f aca="false">'DCF Base Case'!$B$2*(1+B412)^3*$I412-'DCF Base Case'!$B$2*(1+B412)^2*B412*'DCF Base Case'!$B$4</f>
        <v>28.24227184343</v>
      </c>
      <c r="M412" s="24" t="n">
        <f aca="false">'DCF Base Case'!$B$2*(1+B412)^4*$I412-'DCF Base Case'!$B$2*(1+B412)^3*B412*'DCF Base Case'!$B$4</f>
        <v>30.0158016159067</v>
      </c>
      <c r="N412" s="24" t="n">
        <f aca="false">'DCF Base Case'!$B$2*(1+B412)^5*$I412-'DCF Base Case'!$B$2*(1+B412)^4*B412*'DCF Base Case'!$B$4</f>
        <v>31.9007037266747</v>
      </c>
      <c r="O412" s="24" t="n">
        <f aca="false">J412/(1+H412)^1+K412/(1+H412)^2+L412/(1+H412)^3+M412/(1+H412)^4+N412/(1+H412)^5</f>
        <v>111.117588890887</v>
      </c>
      <c r="P412" s="24" t="n">
        <f aca="false">N412*(1+F412)/(H412-F412)</f>
        <v>485.406507062351</v>
      </c>
      <c r="Q412" s="24" t="n">
        <f aca="false">O412+P412/(1+H412)^5</f>
        <v>436.476958625177</v>
      </c>
      <c r="R412" s="24" t="n">
        <f aca="false">Q412-'DCF Base Case'!$B$5</f>
        <v>251.476958625177</v>
      </c>
      <c r="S412" s="32" t="n">
        <f aca="false">R412/'DCF Base Case'!$B$6</f>
        <v>10.0590783450071</v>
      </c>
    </row>
    <row r="413" customFormat="false" ht="15" hidden="false" customHeight="true" outlineLevel="0" collapsed="false">
      <c r="A413" s="6" t="n">
        <v>412</v>
      </c>
      <c r="B413" s="30" t="n">
        <v>0.0806069366049146</v>
      </c>
      <c r="C413" s="30" t="n">
        <v>0.436417617140945</v>
      </c>
      <c r="D413" s="30" t="n">
        <v>0.0922814234837357</v>
      </c>
      <c r="E413" s="30" t="n">
        <v>0.280097931536237</v>
      </c>
      <c r="F413" s="30" t="n">
        <v>0.0175112068366836</v>
      </c>
      <c r="G413" s="30" t="n">
        <v>0.156464935390723</v>
      </c>
      <c r="H413" s="31" t="n">
        <f aca="false">MAX(D413,F413+0.015)</f>
        <v>0.0922814234837357</v>
      </c>
      <c r="I413" s="25" t="n">
        <f aca="false">(C413-'DCF Base Case'!$B$3)*(1-E413)+'DCF Base Case'!$B$3-G413</f>
        <v>0.194125741002781</v>
      </c>
      <c r="J413" s="24" t="n">
        <f aca="false">'DCF Base Case'!$B$2*(1+B413)^1*$I413-'DCF Base Case'!$B$2*(1+B413)^0*B413*'DCF Base Case'!$B$4</f>
        <v>30.0665350594388</v>
      </c>
      <c r="K413" s="24" t="n">
        <f aca="false">'DCF Base Case'!$B$2*(1+B413)^2*$I413-'DCF Base Case'!$B$2*(1+B413)^1*B413*'DCF Base Case'!$B$4</f>
        <v>32.4901063449045</v>
      </c>
      <c r="L413" s="24" t="n">
        <f aca="false">'DCF Base Case'!$B$2*(1+B413)^3*$I413-'DCF Base Case'!$B$2*(1+B413)^2*B413*'DCF Base Case'!$B$4</f>
        <v>35.1090342873351</v>
      </c>
      <c r="M413" s="24" t="n">
        <f aca="false">'DCF Base Case'!$B$2*(1+B413)^4*$I413-'DCF Base Case'!$B$2*(1+B413)^3*B413*'DCF Base Case'!$B$4</f>
        <v>37.9390659883941</v>
      </c>
      <c r="N413" s="24" t="n">
        <f aca="false">'DCF Base Case'!$B$2*(1+B413)^5*$I413-'DCF Base Case'!$B$2*(1+B413)^4*B413*'DCF Base Case'!$B$4</f>
        <v>40.9972178753703</v>
      </c>
      <c r="O413" s="24" t="n">
        <f aca="false">J413/(1+H413)^1+K413/(1+H413)^2+L413/(1+H413)^3+M413/(1+H413)^4+N413/(1+H413)^5</f>
        <v>134.721029224053</v>
      </c>
      <c r="P413" s="24" t="n">
        <f aca="false">N413*(1+F413)/(H413-F413)</f>
        <v>557.911030728024</v>
      </c>
      <c r="Q413" s="24" t="n">
        <f aca="false">O413+P413/(1+H413)^5</f>
        <v>493.553892029256</v>
      </c>
      <c r="R413" s="24" t="n">
        <f aca="false">Q413-'DCF Base Case'!$B$5</f>
        <v>308.553892029256</v>
      </c>
      <c r="S413" s="32" t="n">
        <f aca="false">R413/'DCF Base Case'!$B$6</f>
        <v>12.3421556811702</v>
      </c>
    </row>
    <row r="414" customFormat="false" ht="15" hidden="false" customHeight="true" outlineLevel="0" collapsed="false">
      <c r="A414" s="6" t="n">
        <v>413</v>
      </c>
      <c r="B414" s="30" t="n">
        <v>0.0968982783310109</v>
      </c>
      <c r="C414" s="30" t="n">
        <v>0.428124770021045</v>
      </c>
      <c r="D414" s="30" t="n">
        <v>0.0750162074328934</v>
      </c>
      <c r="E414" s="30" t="n">
        <v>0.280675039377701</v>
      </c>
      <c r="F414" s="30" t="n">
        <v>0.0119214099269921</v>
      </c>
      <c r="G414" s="30" t="n">
        <v>0.17003009905003</v>
      </c>
      <c r="H414" s="31" t="n">
        <f aca="false">MAX(D414,F414+0.015)</f>
        <v>0.0750162074328934</v>
      </c>
      <c r="I414" s="25" t="n">
        <f aca="false">(C414-'DCF Base Case'!$B$3)*(1-E414)+'DCF Base Case'!$B$3-G414</f>
        <v>0.17441848940589</v>
      </c>
      <c r="J414" s="24" t="n">
        <f aca="false">'DCF Base Case'!$B$2*(1+B414)^1*$I414-'DCF Base Case'!$B$2*(1+B414)^0*B414*'DCF Base Case'!$B$4</f>
        <v>27.3197968963305</v>
      </c>
      <c r="K414" s="24" t="n">
        <f aca="false">'DCF Base Case'!$B$2*(1+B414)^2*$I414-'DCF Base Case'!$B$2*(1+B414)^1*B414*'DCF Base Case'!$B$4</f>
        <v>29.9670381799378</v>
      </c>
      <c r="L414" s="24" t="n">
        <f aca="false">'DCF Base Case'!$B$2*(1+B414)^3*$I414-'DCF Base Case'!$B$2*(1+B414)^2*B414*'DCF Base Case'!$B$4</f>
        <v>32.8707925862535</v>
      </c>
      <c r="M414" s="24" t="n">
        <f aca="false">'DCF Base Case'!$B$2*(1+B414)^4*$I414-'DCF Base Case'!$B$2*(1+B414)^3*B414*'DCF Base Case'!$B$4</f>
        <v>36.0559157952372</v>
      </c>
      <c r="N414" s="24" t="n">
        <f aca="false">'DCF Base Case'!$B$2*(1+B414)^5*$I414-'DCF Base Case'!$B$2*(1+B414)^4*B414*'DCF Base Case'!$B$4</f>
        <v>39.5496719594436</v>
      </c>
      <c r="O414" s="24" t="n">
        <f aca="false">J414/(1+H414)^1+K414/(1+H414)^2+L414/(1+H414)^3+M414/(1+H414)^4+N414/(1+H414)^5</f>
        <v>132.346199614094</v>
      </c>
      <c r="P414" s="24" t="n">
        <f aca="false">N414*(1+F414)/(H414-F414)</f>
        <v>634.302056482659</v>
      </c>
      <c r="Q414" s="24" t="n">
        <f aca="false">O414+P414/(1+H414)^5</f>
        <v>574.141467536987</v>
      </c>
      <c r="R414" s="24" t="n">
        <f aca="false">Q414-'DCF Base Case'!$B$5</f>
        <v>389.141467536987</v>
      </c>
      <c r="S414" s="32" t="n">
        <f aca="false">R414/'DCF Base Case'!$B$6</f>
        <v>15.5656587014795</v>
      </c>
    </row>
    <row r="415" customFormat="false" ht="15" hidden="false" customHeight="true" outlineLevel="0" collapsed="false">
      <c r="A415" s="6" t="n">
        <v>414</v>
      </c>
      <c r="B415" s="30" t="n">
        <v>0.106609472290378</v>
      </c>
      <c r="C415" s="30" t="n">
        <v>0.414868272552118</v>
      </c>
      <c r="D415" s="30" t="n">
        <v>0.104981796957541</v>
      </c>
      <c r="E415" s="30" t="n">
        <v>0.260401084991471</v>
      </c>
      <c r="F415" s="30" t="n">
        <v>0.0201292029154872</v>
      </c>
      <c r="G415" s="30" t="n">
        <v>0.16445061928545</v>
      </c>
      <c r="H415" s="31" t="n">
        <f aca="false">MAX(D415,F415+0.015)</f>
        <v>0.104981796957541</v>
      </c>
      <c r="I415" s="25" t="n">
        <f aca="false">(C415-'DCF Base Case'!$B$3)*(1-E415)+'DCF Base Case'!$B$3-G415</f>
        <v>0.17623764601445</v>
      </c>
      <c r="J415" s="24" t="n">
        <f aca="false">'DCF Base Case'!$B$2*(1+B415)^1*$I415-'DCF Base Case'!$B$2*(1+B415)^0*B415*'DCF Base Case'!$B$4</f>
        <v>27.8150548213305</v>
      </c>
      <c r="K415" s="24" t="n">
        <f aca="false">'DCF Base Case'!$B$2*(1+B415)^2*$I415-'DCF Base Case'!$B$2*(1+B415)^1*B415*'DCF Base Case'!$B$4</f>
        <v>30.7804031375605</v>
      </c>
      <c r="L415" s="24" t="n">
        <f aca="false">'DCF Base Case'!$B$2*(1+B415)^3*$I415-'DCF Base Case'!$B$2*(1+B415)^2*B415*'DCF Base Case'!$B$4</f>
        <v>34.0618856729409</v>
      </c>
      <c r="M415" s="24" t="n">
        <f aca="false">'DCF Base Case'!$B$2*(1+B415)^4*$I415-'DCF Base Case'!$B$2*(1+B415)^3*B415*'DCF Base Case'!$B$4</f>
        <v>37.6932053297483</v>
      </c>
      <c r="N415" s="24" t="n">
        <f aca="false">'DCF Base Case'!$B$2*(1+B415)^5*$I415-'DCF Base Case'!$B$2*(1+B415)^4*B415*'DCF Base Case'!$B$4</f>
        <v>41.7116580588857</v>
      </c>
      <c r="O415" s="24" t="n">
        <f aca="false">J415/(1+H415)^1+K415/(1+H415)^2+L415/(1+H415)^3+M415/(1+H415)^4+N415/(1+H415)^5</f>
        <v>126.233394597322</v>
      </c>
      <c r="P415" s="24" t="n">
        <f aca="false">N415*(1+F415)/(H415-F415)</f>
        <v>501.472948096384</v>
      </c>
      <c r="Q415" s="24" t="n">
        <f aca="false">O415+P415/(1+H415)^5</f>
        <v>430.652490365349</v>
      </c>
      <c r="R415" s="24" t="n">
        <f aca="false">Q415-'DCF Base Case'!$B$5</f>
        <v>245.652490365349</v>
      </c>
      <c r="S415" s="32" t="n">
        <f aca="false">R415/'DCF Base Case'!$B$6</f>
        <v>9.82609961461396</v>
      </c>
    </row>
    <row r="416" customFormat="false" ht="15" hidden="false" customHeight="true" outlineLevel="0" collapsed="false">
      <c r="A416" s="6" t="n">
        <v>415</v>
      </c>
      <c r="B416" s="30" t="n">
        <v>0.0879611303366254</v>
      </c>
      <c r="C416" s="30" t="n">
        <v>0.41158271900798</v>
      </c>
      <c r="D416" s="30" t="n">
        <v>0.0861781553301042</v>
      </c>
      <c r="E416" s="30" t="n">
        <v>0.305700093790909</v>
      </c>
      <c r="F416" s="30" t="n">
        <v>0.0241767958219782</v>
      </c>
      <c r="G416" s="30" t="n">
        <v>0.165178596319521</v>
      </c>
      <c r="H416" s="31" t="n">
        <f aca="false">MAX(D416,F416+0.015)</f>
        <v>0.0861781553301042</v>
      </c>
      <c r="I416" s="25" t="n">
        <f aca="false">(C416-'DCF Base Case'!$B$3)*(1-E416)+'DCF Base Case'!$B$3-G416</f>
        <v>0.16032425907782</v>
      </c>
      <c r="J416" s="24" t="n">
        <f aca="false">'DCF Base Case'!$B$2*(1+B416)^1*$I416-'DCF Base Case'!$B$2*(1+B416)^0*B416*'DCF Base Case'!$B$4</f>
        <v>24.9092205914054</v>
      </c>
      <c r="K416" s="24" t="n">
        <f aca="false">'DCF Base Case'!$B$2*(1+B416)^2*$I416-'DCF Base Case'!$B$2*(1+B416)^1*B416*'DCF Base Case'!$B$4</f>
        <v>27.1002637904297</v>
      </c>
      <c r="L416" s="24" t="n">
        <f aca="false">'DCF Base Case'!$B$2*(1+B416)^3*$I416-'DCF Base Case'!$B$2*(1+B416)^2*B416*'DCF Base Case'!$B$4</f>
        <v>29.4840336258566</v>
      </c>
      <c r="M416" s="24" t="n">
        <f aca="false">'DCF Base Case'!$B$2*(1+B416)^4*$I416-'DCF Base Case'!$B$2*(1+B416)^3*B416*'DCF Base Case'!$B$4</f>
        <v>32.0774825504701</v>
      </c>
      <c r="N416" s="24" t="n">
        <f aca="false">'DCF Base Case'!$B$2*(1+B416)^5*$I416-'DCF Base Case'!$B$2*(1+B416)^4*B416*'DCF Base Case'!$B$4</f>
        <v>34.8990541739628</v>
      </c>
      <c r="O416" s="24" t="n">
        <f aca="false">J416/(1+H416)^1+K416/(1+H416)^2+L416/(1+H416)^3+M416/(1+H416)^4+N416/(1+H416)^5</f>
        <v>115.041590604974</v>
      </c>
      <c r="P416" s="24" t="n">
        <f aca="false">N416*(1+F416)/(H416-F416)</f>
        <v>576.484157196946</v>
      </c>
      <c r="Q416" s="24" t="n">
        <f aca="false">O416+P416/(1+H416)^5</f>
        <v>496.354980129639</v>
      </c>
      <c r="R416" s="24" t="n">
        <f aca="false">Q416-'DCF Base Case'!$B$5</f>
        <v>311.354980129639</v>
      </c>
      <c r="S416" s="32" t="n">
        <f aca="false">R416/'DCF Base Case'!$B$6</f>
        <v>12.4541992051856</v>
      </c>
    </row>
    <row r="417" customFormat="false" ht="15" hidden="false" customHeight="true" outlineLevel="0" collapsed="false">
      <c r="A417" s="6" t="n">
        <v>416</v>
      </c>
      <c r="B417" s="30" t="n">
        <v>0.107793967519464</v>
      </c>
      <c r="C417" s="30" t="n">
        <v>0.406147972060433</v>
      </c>
      <c r="D417" s="30" t="n">
        <v>0.0934255099799886</v>
      </c>
      <c r="E417" s="30" t="n">
        <v>0.262296077979056</v>
      </c>
      <c r="F417" s="30" t="n">
        <v>0.0232485761719977</v>
      </c>
      <c r="G417" s="30" t="n">
        <v>0.210989886401752</v>
      </c>
      <c r="H417" s="31" t="n">
        <f aca="false">MAX(D417,F417+0.015)</f>
        <v>0.0934255099799886</v>
      </c>
      <c r="I417" s="25" t="n">
        <f aca="false">(C417-'DCF Base Case'!$B$3)*(1-E417)+'DCF Base Case'!$B$3-G417</f>
        <v>0.12272555564536</v>
      </c>
      <c r="J417" s="24" t="n">
        <f aca="false">'DCF Base Case'!$B$2*(1+B417)^1*$I417-'DCF Base Case'!$B$2*(1+B417)^0*B417*'DCF Base Case'!$B$4</f>
        <v>19.2445176209288</v>
      </c>
      <c r="K417" s="24" t="n">
        <f aca="false">'DCF Base Case'!$B$2*(1+B417)^2*$I417-'DCF Base Case'!$B$2*(1+B417)^1*B417*'DCF Base Case'!$B$4</f>
        <v>21.318960528287</v>
      </c>
      <c r="L417" s="24" t="n">
        <f aca="false">'DCF Base Case'!$B$2*(1+B417)^3*$I417-'DCF Base Case'!$B$2*(1+B417)^2*B417*'DCF Base Case'!$B$4</f>
        <v>23.6170158670219</v>
      </c>
      <c r="M417" s="24" t="n">
        <f aca="false">'DCF Base Case'!$B$2*(1+B417)^4*$I417-'DCF Base Case'!$B$2*(1+B417)^3*B417*'DCF Base Case'!$B$4</f>
        <v>26.1627877082983</v>
      </c>
      <c r="N417" s="24" t="n">
        <f aca="false">'DCF Base Case'!$B$2*(1+B417)^5*$I417-'DCF Base Case'!$B$2*(1+B417)^4*B417*'DCF Base Case'!$B$4</f>
        <v>28.9829783967453</v>
      </c>
      <c r="O417" s="24" t="n">
        <f aca="false">J417/(1+H417)^1+K417/(1+H417)^2+L417/(1+H417)^3+M417/(1+H417)^4+N417/(1+H417)^5</f>
        <v>90.3444414957558</v>
      </c>
      <c r="P417" s="24" t="n">
        <f aca="false">N417*(1+F417)/(H417-F417)</f>
        <v>422.600272887904</v>
      </c>
      <c r="Q417" s="24" t="n">
        <f aca="false">O417+P417/(1+H417)^5</f>
        <v>360.730169169375</v>
      </c>
      <c r="R417" s="24" t="n">
        <f aca="false">Q417-'DCF Base Case'!$B$5</f>
        <v>175.730169169375</v>
      </c>
      <c r="S417" s="32" t="n">
        <f aca="false">R417/'DCF Base Case'!$B$6</f>
        <v>7.02920676677501</v>
      </c>
    </row>
    <row r="418" customFormat="false" ht="15" hidden="false" customHeight="true" outlineLevel="0" collapsed="false">
      <c r="A418" s="6" t="n">
        <v>417</v>
      </c>
      <c r="B418" s="30" t="n">
        <v>0.0875087513506639</v>
      </c>
      <c r="C418" s="30" t="n">
        <v>0.370396568719129</v>
      </c>
      <c r="D418" s="30" t="n">
        <v>0.078971197734307</v>
      </c>
      <c r="E418" s="30" t="n">
        <v>0.317150664087053</v>
      </c>
      <c r="F418" s="30" t="n">
        <v>0.0213293974533115</v>
      </c>
      <c r="G418" s="30" t="n">
        <v>0.170905368437649</v>
      </c>
      <c r="H418" s="31" t="n">
        <f aca="false">MAX(D418,F418+0.015)</f>
        <v>0.078971197734307</v>
      </c>
      <c r="I418" s="25" t="n">
        <f aca="false">(C418-'DCF Base Case'!$B$3)*(1-E418)+'DCF Base Case'!$B$3-G418</f>
        <v>0.123249268867959</v>
      </c>
      <c r="J418" s="24" t="n">
        <f aca="false">'DCF Base Case'!$B$2*(1+B418)^1*$I418-'DCF Base Case'!$B$2*(1+B418)^0*B418*'DCF Base Case'!$B$4</f>
        <v>19.0543624128887</v>
      </c>
      <c r="K418" s="24" t="n">
        <f aca="false">'DCF Base Case'!$B$2*(1+B418)^2*$I418-'DCF Base Case'!$B$2*(1+B418)^1*B418*'DCF Base Case'!$B$4</f>
        <v>20.7217858754237</v>
      </c>
      <c r="L418" s="24" t="n">
        <f aca="false">'DCF Base Case'!$B$2*(1+B418)^3*$I418-'DCF Base Case'!$B$2*(1+B418)^2*B418*'DCF Base Case'!$B$4</f>
        <v>22.5351234831378</v>
      </c>
      <c r="M418" s="24" t="n">
        <f aca="false">'DCF Base Case'!$B$2*(1+B418)^4*$I418-'DCF Base Case'!$B$2*(1+B418)^3*B418*'DCF Base Case'!$B$4</f>
        <v>24.5071440006802</v>
      </c>
      <c r="N418" s="24" t="n">
        <f aca="false">'DCF Base Case'!$B$2*(1+B418)^5*$I418-'DCF Base Case'!$B$2*(1+B418)^4*B418*'DCF Base Case'!$B$4</f>
        <v>26.6517335713507</v>
      </c>
      <c r="O418" s="24" t="n">
        <f aca="false">J418/(1+H418)^1+K418/(1+H418)^2+L418/(1+H418)^3+M418/(1+H418)^4+N418/(1+H418)^5</f>
        <v>89.7072139292845</v>
      </c>
      <c r="P418" s="24" t="n">
        <f aca="false">N418*(1+F418)/(H418-F418)</f>
        <v>472.230201985698</v>
      </c>
      <c r="Q418" s="24" t="n">
        <f aca="false">O418+P418/(1+H418)^5</f>
        <v>412.634320198004</v>
      </c>
      <c r="R418" s="24" t="n">
        <f aca="false">Q418-'DCF Base Case'!$B$5</f>
        <v>227.634320198004</v>
      </c>
      <c r="S418" s="32" t="n">
        <f aca="false">R418/'DCF Base Case'!$B$6</f>
        <v>9.10537280792018</v>
      </c>
    </row>
    <row r="419" customFormat="false" ht="15" hidden="false" customHeight="true" outlineLevel="0" collapsed="false">
      <c r="A419" s="6" t="n">
        <v>418</v>
      </c>
      <c r="B419" s="30" t="n">
        <v>0.112020824142326</v>
      </c>
      <c r="C419" s="30" t="n">
        <v>0.431025684503968</v>
      </c>
      <c r="D419" s="30" t="n">
        <v>0.0983949770619625</v>
      </c>
      <c r="E419" s="30" t="n">
        <v>0.307911089954418</v>
      </c>
      <c r="F419" s="30" t="n">
        <v>0.0246007720657372</v>
      </c>
      <c r="G419" s="30" t="n">
        <v>0.173532345363642</v>
      </c>
      <c r="H419" s="31" t="n">
        <f aca="false">MAX(D419,F419+0.015)</f>
        <v>0.0983949770619625</v>
      </c>
      <c r="I419" s="25" t="n">
        <f aca="false">(C419-'DCF Base Case'!$B$3)*(1-E419)+'DCF Base Case'!$B$3-G419</f>
        <v>0.164804192520434</v>
      </c>
      <c r="J419" s="24" t="n">
        <f aca="false">'DCF Base Case'!$B$2*(1+B419)^1*$I419-'DCF Base Case'!$B$2*(1+B419)^0*B419*'DCF Base Case'!$B$4</f>
        <v>26.0862350433401</v>
      </c>
      <c r="K419" s="24" t="n">
        <f aca="false">'DCF Base Case'!$B$2*(1+B419)^2*$I419-'DCF Base Case'!$B$2*(1+B419)^1*B419*'DCF Base Case'!$B$4</f>
        <v>29.0084365916655</v>
      </c>
      <c r="L419" s="24" t="n">
        <f aca="false">'DCF Base Case'!$B$2*(1+B419)^3*$I419-'DCF Base Case'!$B$2*(1+B419)^2*B419*'DCF Base Case'!$B$4</f>
        <v>32.2579855657442</v>
      </c>
      <c r="M419" s="24" t="n">
        <f aca="false">'DCF Base Case'!$B$2*(1+B419)^4*$I419-'DCF Base Case'!$B$2*(1+B419)^3*B419*'DCF Base Case'!$B$4</f>
        <v>35.8715516939902</v>
      </c>
      <c r="N419" s="24" t="n">
        <f aca="false">'DCF Base Case'!$B$2*(1+B419)^5*$I419-'DCF Base Case'!$B$2*(1+B419)^4*B419*'DCF Base Case'!$B$4</f>
        <v>39.889912478015</v>
      </c>
      <c r="O419" s="24" t="n">
        <f aca="false">J419/(1+H419)^1+K419/(1+H419)^2+L419/(1+H419)^3+M419/(1+H419)^4+N419/(1+H419)^5</f>
        <v>121.730006305362</v>
      </c>
      <c r="P419" s="24" t="n">
        <f aca="false">N419*(1+F419)/(H419-F419)</f>
        <v>553.854264365332</v>
      </c>
      <c r="Q419" s="24" t="n">
        <f aca="false">O419+P419/(1+H419)^5</f>
        <v>468.149891008072</v>
      </c>
      <c r="R419" s="24" t="n">
        <f aca="false">Q419-'DCF Base Case'!$B$5</f>
        <v>283.149891008072</v>
      </c>
      <c r="S419" s="32" t="n">
        <f aca="false">R419/'DCF Base Case'!$B$6</f>
        <v>11.3259956403229</v>
      </c>
    </row>
    <row r="420" customFormat="false" ht="15" hidden="false" customHeight="true" outlineLevel="0" collapsed="false">
      <c r="A420" s="6" t="n">
        <v>419</v>
      </c>
      <c r="B420" s="30" t="n">
        <v>0.109778816244702</v>
      </c>
      <c r="C420" s="30" t="n">
        <v>0.415405236521311</v>
      </c>
      <c r="D420" s="30" t="n">
        <v>0.0783839310728509</v>
      </c>
      <c r="E420" s="30" t="n">
        <v>0.329144953033511</v>
      </c>
      <c r="F420" s="30" t="n">
        <v>0.0201249168691038</v>
      </c>
      <c r="G420" s="30" t="n">
        <v>0.184465990764312</v>
      </c>
      <c r="H420" s="31" t="n">
        <f aca="false">MAX(D420,F420+0.015)</f>
        <v>0.0783839310728509</v>
      </c>
      <c r="I420" s="25" t="n">
        <f aca="false">(C420-'DCF Base Case'!$B$3)*(1-E420)+'DCF Base Case'!$B$3-G420</f>
        <v>0.136999552586674</v>
      </c>
      <c r="J420" s="24" t="n">
        <f aca="false">'DCF Base Case'!$B$2*(1+B420)^1*$I420-'DCF Base Case'!$B$2*(1+B420)^0*B420*'DCF Base Case'!$B$4</f>
        <v>21.568146337211</v>
      </c>
      <c r="K420" s="24" t="n">
        <f aca="false">'DCF Base Case'!$B$2*(1+B420)^2*$I420-'DCF Base Case'!$B$2*(1+B420)^1*B420*'DCF Base Case'!$B$4</f>
        <v>23.9358719107025</v>
      </c>
      <c r="L420" s="24" t="n">
        <f aca="false">'DCF Base Case'!$B$2*(1+B420)^3*$I420-'DCF Base Case'!$B$2*(1+B420)^2*B420*'DCF Base Case'!$B$4</f>
        <v>26.5635235948443</v>
      </c>
      <c r="M420" s="24" t="n">
        <f aca="false">'DCF Base Case'!$B$2*(1+B420)^4*$I420-'DCF Base Case'!$B$2*(1+B420)^3*B420*'DCF Base Case'!$B$4</f>
        <v>29.4796357703745</v>
      </c>
      <c r="N420" s="24" t="n">
        <f aca="false">'DCF Base Case'!$B$2*(1+B420)^5*$I420-'DCF Base Case'!$B$2*(1+B420)^4*B420*'DCF Base Case'!$B$4</f>
        <v>32.7158752885712</v>
      </c>
      <c r="O420" s="24" t="n">
        <f aca="false">J420/(1+H420)^1+K420/(1+H420)^2+L420/(1+H420)^3+M420/(1+H420)^4+N420/(1+H420)^5</f>
        <v>105.996872965272</v>
      </c>
      <c r="P420" s="24" t="n">
        <f aca="false">N420*(1+F420)/(H420-F420)</f>
        <v>572.860355005922</v>
      </c>
      <c r="Q420" s="24" t="n">
        <f aca="false">O420+P420/(1+H420)^5</f>
        <v>498.806143242637</v>
      </c>
      <c r="R420" s="24" t="n">
        <f aca="false">Q420-'DCF Base Case'!$B$5</f>
        <v>313.806143242637</v>
      </c>
      <c r="S420" s="32" t="n">
        <f aca="false">R420/'DCF Base Case'!$B$6</f>
        <v>12.5522457297055</v>
      </c>
    </row>
    <row r="421" customFormat="false" ht="15" hidden="false" customHeight="true" outlineLevel="0" collapsed="false">
      <c r="A421" s="6" t="n">
        <v>420</v>
      </c>
      <c r="B421" s="30" t="n">
        <v>0.0925257667730672</v>
      </c>
      <c r="C421" s="30" t="n">
        <v>0.402875863270041</v>
      </c>
      <c r="D421" s="30" t="n">
        <v>0.0851208118184064</v>
      </c>
      <c r="E421" s="30" t="n">
        <v>0.322660102131501</v>
      </c>
      <c r="F421" s="30" t="n">
        <v>0.0213372744223504</v>
      </c>
      <c r="G421" s="30" t="n">
        <v>0.133190436068157</v>
      </c>
      <c r="H421" s="31" t="n">
        <f aca="false">MAX(D421,F421+0.015)</f>
        <v>0.0851208118184064</v>
      </c>
      <c r="I421" s="25" t="n">
        <f aca="false">(C421-'DCF Base Case'!$B$3)*(1-E421)+'DCF Base Case'!$B$3-G421</f>
        <v>0.181639273289951</v>
      </c>
      <c r="J421" s="24" t="n">
        <f aca="false">'DCF Base Case'!$B$2*(1+B421)^1*$I421-'DCF Base Case'!$B$2*(1+B421)^0*B421*'DCF Base Case'!$B$4</f>
        <v>28.3721229319821</v>
      </c>
      <c r="K421" s="24" t="n">
        <f aca="false">'DCF Base Case'!$B$2*(1+B421)^2*$I421-'DCF Base Case'!$B$2*(1+B421)^1*B421*'DCF Base Case'!$B$4</f>
        <v>30.9972753612435</v>
      </c>
      <c r="L421" s="24" t="n">
        <f aca="false">'DCF Base Case'!$B$2*(1+B421)^3*$I421-'DCF Base Case'!$B$2*(1+B421)^2*B421*'DCF Base Case'!$B$4</f>
        <v>33.8653220319184</v>
      </c>
      <c r="M421" s="24" t="n">
        <f aca="false">'DCF Base Case'!$B$2*(1+B421)^4*$I421-'DCF Base Case'!$B$2*(1+B421)^3*B421*'DCF Base Case'!$B$4</f>
        <v>36.9987369199385</v>
      </c>
      <c r="N421" s="24" t="n">
        <f aca="false">'DCF Base Case'!$B$2*(1+B421)^5*$I421-'DCF Base Case'!$B$2*(1+B421)^4*B421*'DCF Base Case'!$B$4</f>
        <v>40.4220734230908</v>
      </c>
      <c r="O421" s="24" t="n">
        <f aca="false">J421/(1+H421)^1+K421/(1+H421)^2+L421/(1+H421)^3+M421/(1+H421)^4+N421/(1+H421)^5</f>
        <v>132.529030813538</v>
      </c>
      <c r="P421" s="24" t="n">
        <f aca="false">N421*(1+F421)/(H421-F421)</f>
        <v>647.260593906673</v>
      </c>
      <c r="Q421" s="24" t="n">
        <f aca="false">O421+P421/(1+H421)^5</f>
        <v>562.747154992253</v>
      </c>
      <c r="R421" s="24" t="n">
        <f aca="false">Q421-'DCF Base Case'!$B$5</f>
        <v>377.747154992253</v>
      </c>
      <c r="S421" s="32" t="n">
        <f aca="false">R421/'DCF Base Case'!$B$6</f>
        <v>15.1098861996901</v>
      </c>
    </row>
    <row r="422" customFormat="false" ht="15" hidden="false" customHeight="true" outlineLevel="0" collapsed="false">
      <c r="A422" s="6" t="n">
        <v>421</v>
      </c>
      <c r="B422" s="30" t="n">
        <v>0.0855405514842225</v>
      </c>
      <c r="C422" s="30" t="n">
        <v>0.445108051611108</v>
      </c>
      <c r="D422" s="30" t="n">
        <v>0.0826482345196505</v>
      </c>
      <c r="E422" s="30" t="n">
        <v>0.248886146168485</v>
      </c>
      <c r="F422" s="30" t="n">
        <v>0.025543138080441</v>
      </c>
      <c r="G422" s="30" t="n">
        <v>0.181464660736837</v>
      </c>
      <c r="H422" s="31" t="n">
        <f aca="false">MAX(D422,F422+0.015)</f>
        <v>0.0826482345196505</v>
      </c>
      <c r="I422" s="25" t="n">
        <f aca="false">(C422-'DCF Base Case'!$B$3)*(1-E422)+'DCF Base Case'!$B$3-G422</f>
        <v>0.185217362282122</v>
      </c>
      <c r="J422" s="24" t="n">
        <f aca="false">'DCF Base Case'!$B$2*(1+B422)^1*$I422-'DCF Base Case'!$B$2*(1+B422)^0*B422*'DCF Base Case'!$B$4</f>
        <v>28.7817374524909</v>
      </c>
      <c r="K422" s="24" t="n">
        <f aca="false">'DCF Base Case'!$B$2*(1+B422)^2*$I422-'DCF Base Case'!$B$2*(1+B422)^1*B422*'DCF Base Case'!$B$4</f>
        <v>31.2437431468511</v>
      </c>
      <c r="L422" s="24" t="n">
        <f aca="false">'DCF Base Case'!$B$2*(1+B422)^3*$I422-'DCF Base Case'!$B$2*(1+B422)^2*B422*'DCF Base Case'!$B$4</f>
        <v>33.9163501660641</v>
      </c>
      <c r="M422" s="24" t="n">
        <f aca="false">'DCF Base Case'!$B$2*(1+B422)^4*$I422-'DCF Base Case'!$B$2*(1+B422)^3*B422*'DCF Base Case'!$B$4</f>
        <v>36.8175734636012</v>
      </c>
      <c r="N422" s="24" t="n">
        <f aca="false">'DCF Base Case'!$B$2*(1+B422)^5*$I422-'DCF Base Case'!$B$2*(1+B422)^4*B422*'DCF Base Case'!$B$4</f>
        <v>39.9669690019885</v>
      </c>
      <c r="O422" s="24" t="n">
        <f aca="false">J422/(1+H422)^1+K422/(1+H422)^2+L422/(1+H422)^3+M422/(1+H422)^4+N422/(1+H422)^5</f>
        <v>133.634960620696</v>
      </c>
      <c r="P422" s="24" t="n">
        <f aca="false">N422*(1+F422)/(H422-F422)</f>
        <v>717.761694939017</v>
      </c>
      <c r="Q422" s="24" t="n">
        <f aca="false">O422+P422/(1+H422)^5</f>
        <v>616.18617993161</v>
      </c>
      <c r="R422" s="24" t="n">
        <f aca="false">Q422-'DCF Base Case'!$B$5</f>
        <v>431.18617993161</v>
      </c>
      <c r="S422" s="32" t="n">
        <f aca="false">R422/'DCF Base Case'!$B$6</f>
        <v>17.2474471972644</v>
      </c>
    </row>
    <row r="423" customFormat="false" ht="15" hidden="false" customHeight="true" outlineLevel="0" collapsed="false">
      <c r="A423" s="6" t="n">
        <v>422</v>
      </c>
      <c r="B423" s="30" t="n">
        <v>0.0885845506540202</v>
      </c>
      <c r="C423" s="30" t="n">
        <v>0.406138034931606</v>
      </c>
      <c r="D423" s="30" t="n">
        <v>0.0969058712277091</v>
      </c>
      <c r="E423" s="30" t="n">
        <v>0.266392334141627</v>
      </c>
      <c r="F423" s="30" t="n">
        <v>0.0234425542338243</v>
      </c>
      <c r="G423" s="30" t="n">
        <v>0.178011287853356</v>
      </c>
      <c r="H423" s="31" t="n">
        <f aca="false">MAX(D423,F423+0.015)</f>
        <v>0.0969058712277091</v>
      </c>
      <c r="I423" s="25" t="n">
        <f aca="false">(C423-'DCF Base Case'!$B$3)*(1-E423)+'DCF Base Case'!$B$3-G423</f>
        <v>0.154565691407537</v>
      </c>
      <c r="J423" s="24" t="n">
        <f aca="false">'DCF Base Case'!$B$2*(1+B423)^1*$I423-'DCF Base Case'!$B$2*(1+B423)^0*B423*'DCF Base Case'!$B$4</f>
        <v>24.0120416451283</v>
      </c>
      <c r="K423" s="24" t="n">
        <f aca="false">'DCF Base Case'!$B$2*(1+B423)^2*$I423-'DCF Base Case'!$B$2*(1+B423)^1*B423*'DCF Base Case'!$B$4</f>
        <v>26.1391375645476</v>
      </c>
      <c r="L423" s="24" t="n">
        <f aca="false">'DCF Base Case'!$B$2*(1+B423)^3*$I423-'DCF Base Case'!$B$2*(1+B423)^2*B423*'DCF Base Case'!$B$4</f>
        <v>28.4546613201867</v>
      </c>
      <c r="M423" s="24" t="n">
        <f aca="false">'DCF Base Case'!$B$2*(1+B423)^4*$I423-'DCF Base Case'!$B$2*(1+B423)^3*B423*'DCF Base Case'!$B$4</f>
        <v>30.9753047072477</v>
      </c>
      <c r="N423" s="24" t="n">
        <f aca="false">'DCF Base Case'!$B$2*(1+B423)^5*$I423-'DCF Base Case'!$B$2*(1+B423)^4*B423*'DCF Base Case'!$B$4</f>
        <v>33.7192381561106</v>
      </c>
      <c r="O423" s="24" t="n">
        <f aca="false">J423/(1+H423)^1+K423/(1+H423)^2+L423/(1+H423)^3+M423/(1+H423)^4+N423/(1+H423)^5</f>
        <v>107.805402712063</v>
      </c>
      <c r="P423" s="24" t="n">
        <f aca="false">N423*(1+F423)/(H423-F423)</f>
        <v>469.754220711013</v>
      </c>
      <c r="Q423" s="24" t="n">
        <f aca="false">O423+P423/(1+H423)^5</f>
        <v>403.622918455758</v>
      </c>
      <c r="R423" s="24" t="n">
        <f aca="false">Q423-'DCF Base Case'!$B$5</f>
        <v>218.622918455758</v>
      </c>
      <c r="S423" s="32" t="n">
        <f aca="false">R423/'DCF Base Case'!$B$6</f>
        <v>8.74491673823034</v>
      </c>
    </row>
    <row r="424" customFormat="false" ht="15" hidden="false" customHeight="true" outlineLevel="0" collapsed="false">
      <c r="A424" s="6" t="n">
        <v>423</v>
      </c>
      <c r="B424" s="30" t="n">
        <v>0.0950916843979941</v>
      </c>
      <c r="C424" s="30" t="n">
        <v>0.419388051845799</v>
      </c>
      <c r="D424" s="30" t="n">
        <v>0.083075351596144</v>
      </c>
      <c r="E424" s="30" t="n">
        <v>0.311739710768562</v>
      </c>
      <c r="F424" s="30" t="n">
        <v>0.0158180264463729</v>
      </c>
      <c r="G424" s="30" t="n">
        <v>0.13447890746675</v>
      </c>
      <c r="H424" s="31" t="n">
        <f aca="false">MAX(D424,F424+0.015)</f>
        <v>0.083075351596144</v>
      </c>
      <c r="I424" s="25" t="n">
        <f aca="false">(C424-'DCF Base Case'!$B$3)*(1-E424)+'DCF Base Case'!$B$3-G424</f>
        <v>0.194695396796762</v>
      </c>
      <c r="J424" s="24" t="n">
        <f aca="false">'DCF Base Case'!$B$2*(1+B424)^1*$I424-'DCF Base Case'!$B$2*(1+B424)^0*B424*'DCF Base Case'!$B$4</f>
        <v>30.5017011261605</v>
      </c>
      <c r="K424" s="24" t="n">
        <f aca="false">'DCF Base Case'!$B$2*(1+B424)^2*$I424-'DCF Base Case'!$B$2*(1+B424)^1*B424*'DCF Base Case'!$B$4</f>
        <v>33.4021592632513</v>
      </c>
      <c r="L424" s="24" t="n">
        <f aca="false">'DCF Base Case'!$B$2*(1+B424)^3*$I424-'DCF Base Case'!$B$2*(1+B424)^2*B424*'DCF Base Case'!$B$4</f>
        <v>36.5784268501239</v>
      </c>
      <c r="M424" s="24" t="n">
        <f aca="false">'DCF Base Case'!$B$2*(1+B424)^4*$I424-'DCF Base Case'!$B$2*(1+B424)^3*B424*'DCF Base Case'!$B$4</f>
        <v>40.056731071931</v>
      </c>
      <c r="N424" s="24" t="n">
        <f aca="false">'DCF Base Case'!$B$2*(1+B424)^5*$I424-'DCF Base Case'!$B$2*(1+B424)^4*B424*'DCF Base Case'!$B$4</f>
        <v>43.8657931010384</v>
      </c>
      <c r="O424" s="24" t="n">
        <f aca="false">J424/(1+H424)^1+K424/(1+H424)^2+L424/(1+H424)^3+M424/(1+H424)^4+N424/(1+H424)^5</f>
        <v>143.96995870605</v>
      </c>
      <c r="P424" s="24" t="n">
        <f aca="false">N424*(1+F424)/(H424-F424)</f>
        <v>662.525059942165</v>
      </c>
      <c r="Q424" s="24" t="n">
        <f aca="false">O424+P424/(1+H424)^5</f>
        <v>588.508017041776</v>
      </c>
      <c r="R424" s="24" t="n">
        <f aca="false">Q424-'DCF Base Case'!$B$5</f>
        <v>403.508017041776</v>
      </c>
      <c r="S424" s="32" t="n">
        <f aca="false">R424/'DCF Base Case'!$B$6</f>
        <v>16.140320681671</v>
      </c>
    </row>
    <row r="425" customFormat="false" ht="15" hidden="false" customHeight="true" outlineLevel="0" collapsed="false">
      <c r="A425" s="6" t="n">
        <v>424</v>
      </c>
      <c r="B425" s="30" t="n">
        <v>0.103294260359433</v>
      </c>
      <c r="C425" s="30" t="n">
        <v>0.431016154869616</v>
      </c>
      <c r="D425" s="30" t="n">
        <v>0.0902826526776294</v>
      </c>
      <c r="E425" s="30" t="n">
        <v>0.291834788059122</v>
      </c>
      <c r="F425" s="30" t="n">
        <v>0.0180931383618502</v>
      </c>
      <c r="G425" s="30" t="n">
        <v>0.184041717955564</v>
      </c>
      <c r="H425" s="31" t="n">
        <f aca="false">MAX(D425,F425+0.015)</f>
        <v>0.0902826526776294</v>
      </c>
      <c r="I425" s="25" t="n">
        <f aca="false">(C425-'DCF Base Case'!$B$3)*(1-E425)+'DCF Base Case'!$B$3-G425</f>
        <v>0.159127451155306</v>
      </c>
      <c r="J425" s="24" t="n">
        <f aca="false">'DCF Base Case'!$B$2*(1+B425)^1*$I425-'DCF Base Case'!$B$2*(1+B425)^0*B425*'DCF Base Case'!$B$4</f>
        <v>25.0075084786013</v>
      </c>
      <c r="K425" s="24" t="n">
        <f aca="false">'DCF Base Case'!$B$2*(1+B425)^2*$I425-'DCF Base Case'!$B$2*(1+B425)^1*B425*'DCF Base Case'!$B$4</f>
        <v>27.5906405703307</v>
      </c>
      <c r="L425" s="24" t="n">
        <f aca="false">'DCF Base Case'!$B$2*(1+B425)^3*$I425-'DCF Base Case'!$B$2*(1+B425)^2*B425*'DCF Base Case'!$B$4</f>
        <v>30.440595380886</v>
      </c>
      <c r="M425" s="24" t="n">
        <f aca="false">'DCF Base Case'!$B$2*(1+B425)^4*$I425-'DCF Base Case'!$B$2*(1+B425)^3*B425*'DCF Base Case'!$B$4</f>
        <v>33.5849341656554</v>
      </c>
      <c r="N425" s="24" t="n">
        <f aca="false">'DCF Base Case'!$B$2*(1+B425)^5*$I425-'DCF Base Case'!$B$2*(1+B425)^4*B425*'DCF Base Case'!$B$4</f>
        <v>37.054065099517</v>
      </c>
      <c r="O425" s="24" t="n">
        <f aca="false">J425/(1+H425)^1+K425/(1+H425)^2+L425/(1+H425)^3+M425/(1+H425)^4+N425/(1+H425)^5</f>
        <v>117.453770303643</v>
      </c>
      <c r="P425" s="24" t="n">
        <f aca="false">N425*(1+F425)/(H425-F425)</f>
        <v>522.575747790918</v>
      </c>
      <c r="Q425" s="24" t="n">
        <f aca="false">O425+P425/(1+H425)^5</f>
        <v>456.652127298221</v>
      </c>
      <c r="R425" s="24" t="n">
        <f aca="false">Q425-'DCF Base Case'!$B$5</f>
        <v>271.652127298221</v>
      </c>
      <c r="S425" s="32" t="n">
        <f aca="false">R425/'DCF Base Case'!$B$6</f>
        <v>10.8660850919288</v>
      </c>
    </row>
    <row r="426" customFormat="false" ht="15" hidden="false" customHeight="true" outlineLevel="0" collapsed="false">
      <c r="A426" s="6" t="n">
        <v>425</v>
      </c>
      <c r="B426" s="30" t="n">
        <v>0.0890831550662753</v>
      </c>
      <c r="C426" s="30" t="n">
        <v>0.403706379134842</v>
      </c>
      <c r="D426" s="30" t="n">
        <v>0.0815691955651906</v>
      </c>
      <c r="E426" s="30" t="n">
        <v>0.33535692902823</v>
      </c>
      <c r="F426" s="30" t="n">
        <v>0.0126907603298942</v>
      </c>
      <c r="G426" s="30" t="n">
        <v>0.176968931423367</v>
      </c>
      <c r="H426" s="31" t="n">
        <f aca="false">MAX(D426,F426+0.015)</f>
        <v>0.0815691955651906</v>
      </c>
      <c r="I426" s="25" t="n">
        <f aca="false">(C426-'DCF Base Case'!$B$3)*(1-E426)+'DCF Base Case'!$B$3-G426</f>
        <v>0.134948116949378</v>
      </c>
      <c r="J426" s="24" t="n">
        <f aca="false">'DCF Base Case'!$B$2*(1+B426)^1*$I426-'DCF Base Case'!$B$2*(1+B426)^0*B426*'DCF Base Case'!$B$4</f>
        <v>20.9230978171965</v>
      </c>
      <c r="K426" s="24" t="n">
        <f aca="false">'DCF Base Case'!$B$2*(1+B426)^2*$I426-'DCF Base Case'!$B$2*(1+B426)^1*B426*'DCF Base Case'!$B$4</f>
        <v>22.7869933845127</v>
      </c>
      <c r="L426" s="24" t="n">
        <f aca="false">'DCF Base Case'!$B$2*(1+B426)^3*$I426-'DCF Base Case'!$B$2*(1+B426)^2*B426*'DCF Base Case'!$B$4</f>
        <v>24.8169306496794</v>
      </c>
      <c r="M426" s="24" t="n">
        <f aca="false">'DCF Base Case'!$B$2*(1+B426)^4*$I426-'DCF Base Case'!$B$2*(1+B426)^3*B426*'DCF Base Case'!$B$4</f>
        <v>27.0277011310138</v>
      </c>
      <c r="N426" s="24" t="n">
        <f aca="false">'DCF Base Case'!$B$2*(1+B426)^5*$I426-'DCF Base Case'!$B$2*(1+B426)^4*B426*'DCF Base Case'!$B$4</f>
        <v>29.4354140219528</v>
      </c>
      <c r="O426" s="24" t="n">
        <f aca="false">J426/(1+H426)^1+K426/(1+H426)^2+L426/(1+H426)^3+M426/(1+H426)^4+N426/(1+H426)^5</f>
        <v>98.0789841444473</v>
      </c>
      <c r="P426" s="24" t="n">
        <f aca="false">N426*(1+F426)/(H426-F426)</f>
        <v>432.776553426132</v>
      </c>
      <c r="Q426" s="24" t="n">
        <f aca="false">O426+P426/(1+H426)^5</f>
        <v>390.488954186036</v>
      </c>
      <c r="R426" s="24" t="n">
        <f aca="false">Q426-'DCF Base Case'!$B$5</f>
        <v>205.488954186036</v>
      </c>
      <c r="S426" s="32" t="n">
        <f aca="false">R426/'DCF Base Case'!$B$6</f>
        <v>8.21955816744145</v>
      </c>
    </row>
    <row r="427" customFormat="false" ht="15" hidden="false" customHeight="true" outlineLevel="0" collapsed="false">
      <c r="A427" s="6" t="n">
        <v>426</v>
      </c>
      <c r="B427" s="30" t="n">
        <v>0.0552586470845146</v>
      </c>
      <c r="C427" s="30" t="n">
        <v>0.398370899847639</v>
      </c>
      <c r="D427" s="30" t="n">
        <v>0.0802300976633039</v>
      </c>
      <c r="E427" s="30" t="n">
        <v>0.246385405646288</v>
      </c>
      <c r="F427" s="30" t="n">
        <v>0.0207356136813937</v>
      </c>
      <c r="G427" s="30" t="n">
        <v>0.157521118360076</v>
      </c>
      <c r="H427" s="31" t="n">
        <f aca="false">MAX(D427,F427+0.015)</f>
        <v>0.0802300976633039</v>
      </c>
      <c r="I427" s="25" t="n">
        <f aca="false">(C427-'DCF Base Case'!$B$3)*(1-E427)+'DCF Base Case'!$B$3-G427</f>
        <v>0.174727108464943</v>
      </c>
      <c r="J427" s="24" t="n">
        <f aca="false">'DCF Base Case'!$B$2*(1+B427)^1*$I427-'DCF Base Case'!$B$2*(1+B427)^0*B427*'DCF Base Case'!$B$4</f>
        <v>26.4950572378996</v>
      </c>
      <c r="K427" s="24" t="n">
        <f aca="false">'DCF Base Case'!$B$2*(1+B427)^2*$I427-'DCF Base Case'!$B$2*(1+B427)^1*B427*'DCF Base Case'!$B$4</f>
        <v>27.9591382552927</v>
      </c>
      <c r="L427" s="24" t="n">
        <f aca="false">'DCF Base Case'!$B$2*(1+B427)^3*$I427-'DCF Base Case'!$B$2*(1+B427)^2*B427*'DCF Base Case'!$B$4</f>
        <v>29.5041224089291</v>
      </c>
      <c r="M427" s="24" t="n">
        <f aca="false">'DCF Base Case'!$B$2*(1+B427)^4*$I427-'DCF Base Case'!$B$2*(1+B427)^3*B427*'DCF Base Case'!$B$4</f>
        <v>31.1344802966624</v>
      </c>
      <c r="N427" s="24" t="n">
        <f aca="false">'DCF Base Case'!$B$2*(1+B427)^5*$I427-'DCF Base Case'!$B$2*(1+B427)^4*B427*'DCF Base Case'!$B$4</f>
        <v>32.8549295555355</v>
      </c>
      <c r="O427" s="24" t="n">
        <f aca="false">J427/(1+H427)^1+K427/(1+H427)^2+L427/(1+H427)^3+M427/(1+H427)^4+N427/(1+H427)^5</f>
        <v>117.095827139549</v>
      </c>
      <c r="P427" s="24" t="n">
        <f aca="false">N427*(1+F427)/(H427-F427)</f>
        <v>563.685814848406</v>
      </c>
      <c r="Q427" s="24" t="n">
        <f aca="false">O427+P427/(1+H427)^5</f>
        <v>500.322508419641</v>
      </c>
      <c r="R427" s="24" t="n">
        <f aca="false">Q427-'DCF Base Case'!$B$5</f>
        <v>315.322508419641</v>
      </c>
      <c r="S427" s="32" t="n">
        <f aca="false">R427/'DCF Base Case'!$B$6</f>
        <v>12.6129003367856</v>
      </c>
    </row>
    <row r="428" customFormat="false" ht="15" hidden="false" customHeight="true" outlineLevel="0" collapsed="false">
      <c r="A428" s="6" t="n">
        <v>427</v>
      </c>
      <c r="B428" s="30" t="n">
        <v>0.0494602741962417</v>
      </c>
      <c r="C428" s="30" t="n">
        <v>0.415890960157798</v>
      </c>
      <c r="D428" s="30" t="n">
        <v>0.100785067957878</v>
      </c>
      <c r="E428" s="30" t="n">
        <v>0.324035636986334</v>
      </c>
      <c r="F428" s="30" t="n">
        <v>0.0206279139828279</v>
      </c>
      <c r="G428" s="30" t="n">
        <v>0.166243216860967</v>
      </c>
      <c r="H428" s="31" t="n">
        <f aca="false">MAX(D428,F428+0.015)</f>
        <v>0.100785067957878</v>
      </c>
      <c r="I428" s="25" t="n">
        <f aca="false">(C428-'DCF Base Case'!$B$3)*(1-E428)+'DCF Base Case'!$B$3-G428</f>
        <v>0.157008883913464</v>
      </c>
      <c r="J428" s="24" t="n">
        <f aca="false">'DCF Base Case'!$B$2*(1+B428)^1*$I428-'DCF Base Case'!$B$2*(1+B428)^0*B428*'DCF Base Case'!$B$4</f>
        <v>23.6771628298915</v>
      </c>
      <c r="K428" s="24" t="n">
        <f aca="false">'DCF Base Case'!$B$2*(1+B428)^2*$I428-'DCF Base Case'!$B$2*(1+B428)^1*B428*'DCF Base Case'!$B$4</f>
        <v>24.848241795647</v>
      </c>
      <c r="L428" s="24" t="n">
        <f aca="false">'DCF Base Case'!$B$2*(1+B428)^3*$I428-'DCF Base Case'!$B$2*(1+B428)^2*B428*'DCF Base Case'!$B$4</f>
        <v>26.0772426481542</v>
      </c>
      <c r="M428" s="24" t="n">
        <f aca="false">'DCF Base Case'!$B$2*(1+B428)^4*$I428-'DCF Base Case'!$B$2*(1+B428)^3*B428*'DCF Base Case'!$B$4</f>
        <v>27.3670302198139</v>
      </c>
      <c r="N428" s="24" t="n">
        <f aca="false">'DCF Base Case'!$B$2*(1+B428)^5*$I428-'DCF Base Case'!$B$2*(1+B428)^4*B428*'DCF Base Case'!$B$4</f>
        <v>28.7206110384227</v>
      </c>
      <c r="O428" s="24" t="n">
        <f aca="false">J428/(1+H428)^1+K428/(1+H428)^2+L428/(1+H428)^3+M428/(1+H428)^4+N428/(1+H428)^5</f>
        <v>97.9746485317845</v>
      </c>
      <c r="P428" s="24" t="n">
        <f aca="false">N428*(1+F428)/(H428-F428)</f>
        <v>365.694836690205</v>
      </c>
      <c r="Q428" s="24" t="n">
        <f aca="false">O428+P428/(1+H428)^5</f>
        <v>324.233813328109</v>
      </c>
      <c r="R428" s="24" t="n">
        <f aca="false">Q428-'DCF Base Case'!$B$5</f>
        <v>139.233813328109</v>
      </c>
      <c r="S428" s="32" t="n">
        <f aca="false">R428/'DCF Base Case'!$B$6</f>
        <v>5.56935253312435</v>
      </c>
    </row>
    <row r="429" customFormat="false" ht="15" hidden="false" customHeight="true" outlineLevel="0" collapsed="false">
      <c r="A429" s="6" t="n">
        <v>428</v>
      </c>
      <c r="B429" s="30" t="n">
        <v>0.118545025542566</v>
      </c>
      <c r="C429" s="30" t="n">
        <v>0.450915066060768</v>
      </c>
      <c r="D429" s="30" t="n">
        <v>0.0974692557316319</v>
      </c>
      <c r="E429" s="30" t="n">
        <v>0.259521075070807</v>
      </c>
      <c r="F429" s="30" t="n">
        <v>0.020073483406277</v>
      </c>
      <c r="G429" s="30" t="n">
        <v>0.17549311558845</v>
      </c>
      <c r="H429" s="31" t="n">
        <f aca="false">MAX(D429,F429+0.015)</f>
        <v>0.0974692557316319</v>
      </c>
      <c r="I429" s="25" t="n">
        <f aca="false">(C429-'DCF Base Case'!$B$3)*(1-E429)+'DCF Base Case'!$B$3-G429</f>
        <v>0.192137727521808</v>
      </c>
      <c r="J429" s="24" t="n">
        <f aca="false">'DCF Base Case'!$B$2*(1+B429)^1*$I429-'DCF Base Case'!$B$2*(1+B429)^0*B429*'DCF Base Case'!$B$4</f>
        <v>30.6469605429827</v>
      </c>
      <c r="K429" s="24" t="n">
        <f aca="false">'DCF Base Case'!$B$2*(1+B429)^2*$I429-'DCF Base Case'!$B$2*(1+B429)^1*B429*'DCF Base Case'!$B$4</f>
        <v>34.2800052633526</v>
      </c>
      <c r="L429" s="24" t="n">
        <f aca="false">'DCF Base Case'!$B$2*(1+B429)^3*$I429-'DCF Base Case'!$B$2*(1+B429)^2*B429*'DCF Base Case'!$B$4</f>
        <v>38.3437293628961</v>
      </c>
      <c r="M429" s="24" t="n">
        <f aca="false">'DCF Base Case'!$B$2*(1+B429)^4*$I429-'DCF Base Case'!$B$2*(1+B429)^3*B429*'DCF Base Case'!$B$4</f>
        <v>42.8891877396178</v>
      </c>
      <c r="N429" s="24" t="n">
        <f aca="false">'DCF Base Case'!$B$2*(1+B429)^5*$I429-'DCF Base Case'!$B$2*(1+B429)^4*B429*'DCF Base Case'!$B$4</f>
        <v>47.9734875957107</v>
      </c>
      <c r="O429" s="24" t="n">
        <f aca="false">J429/(1+H429)^1+K429/(1+H429)^2+L429/(1+H429)^3+M429/(1+H429)^4+N429/(1+H429)^5</f>
        <v>145.092310336689</v>
      </c>
      <c r="P429" s="24" t="n">
        <f aca="false">N429*(1+F429)/(H429-F429)</f>
        <v>632.288833519048</v>
      </c>
      <c r="Q429" s="24" t="n">
        <f aca="false">O429+P429/(1+H429)^5</f>
        <v>542.24151558465</v>
      </c>
      <c r="R429" s="24" t="n">
        <f aca="false">Q429-'DCF Base Case'!$B$5</f>
        <v>357.24151558465</v>
      </c>
      <c r="S429" s="32" t="n">
        <f aca="false">R429/'DCF Base Case'!$B$6</f>
        <v>14.289660623386</v>
      </c>
    </row>
    <row r="430" customFormat="false" ht="15" hidden="false" customHeight="true" outlineLevel="0" collapsed="false">
      <c r="A430" s="6" t="n">
        <v>429</v>
      </c>
      <c r="B430" s="30" t="n">
        <v>0.0532622779535639</v>
      </c>
      <c r="C430" s="30" t="n">
        <v>0.410390971773238</v>
      </c>
      <c r="D430" s="30" t="n">
        <v>0.110002910085773</v>
      </c>
      <c r="E430" s="30" t="n">
        <v>0.299157500090576</v>
      </c>
      <c r="F430" s="30" t="n">
        <v>0.0244619941847678</v>
      </c>
      <c r="G430" s="30" t="n">
        <v>0.169358171688298</v>
      </c>
      <c r="H430" s="31" t="n">
        <f aca="false">MAX(D430,F430+0.015)</f>
        <v>0.110002910085773</v>
      </c>
      <c r="I430" s="25" t="n">
        <f aca="false">(C430-'DCF Base Case'!$B$3)*(1-E430)+'DCF Base Case'!$B$3-G430</f>
        <v>0.157151737921291</v>
      </c>
      <c r="J430" s="24" t="n">
        <f aca="false">'DCF Base Case'!$B$2*(1+B430)^1*$I430-'DCF Base Case'!$B$2*(1+B430)^0*B430*'DCF Base Case'!$B$4</f>
        <v>23.7689987236663</v>
      </c>
      <c r="K430" s="24" t="n">
        <f aca="false">'DCF Base Case'!$B$2*(1+B430)^2*$I430-'DCF Base Case'!$B$2*(1+B430)^1*B430*'DCF Base Case'!$B$4</f>
        <v>25.0349897403642</v>
      </c>
      <c r="L430" s="24" t="n">
        <f aca="false">'DCF Base Case'!$B$2*(1+B430)^3*$I430-'DCF Base Case'!$B$2*(1+B430)^2*B430*'DCF Base Case'!$B$4</f>
        <v>26.3684103224801</v>
      </c>
      <c r="M430" s="24" t="n">
        <f aca="false">'DCF Base Case'!$B$2*(1+B430)^4*$I430-'DCF Base Case'!$B$2*(1+B430)^3*B430*'DCF Base Case'!$B$4</f>
        <v>27.7728519222696</v>
      </c>
      <c r="N430" s="24" t="n">
        <f aca="false">'DCF Base Case'!$B$2*(1+B430)^5*$I430-'DCF Base Case'!$B$2*(1+B430)^4*B430*'DCF Base Case'!$B$4</f>
        <v>29.2520972809167</v>
      </c>
      <c r="O430" s="24" t="n">
        <f aca="false">J430/(1+H430)^1+K430/(1+H430)^2+L430/(1+H430)^3+M430/(1+H430)^4+N430/(1+H430)^5</f>
        <v>96.6666260694683</v>
      </c>
      <c r="P430" s="24" t="n">
        <f aca="false">N430*(1+F430)/(H430-F430)</f>
        <v>350.331319215424</v>
      </c>
      <c r="Q430" s="24" t="n">
        <f aca="false">O430+P430/(1+H430)^5</f>
        <v>304.568487423678</v>
      </c>
      <c r="R430" s="24" t="n">
        <f aca="false">Q430-'DCF Base Case'!$B$5</f>
        <v>119.568487423678</v>
      </c>
      <c r="S430" s="32" t="n">
        <f aca="false">R430/'DCF Base Case'!$B$6</f>
        <v>4.78273949694713</v>
      </c>
    </row>
    <row r="431" customFormat="false" ht="15" hidden="false" customHeight="true" outlineLevel="0" collapsed="false">
      <c r="A431" s="6" t="n">
        <v>430</v>
      </c>
      <c r="B431" s="30" t="n">
        <v>0.0885188722326955</v>
      </c>
      <c r="C431" s="30" t="n">
        <v>0.421522874273299</v>
      </c>
      <c r="D431" s="30" t="n">
        <v>0.0760259068721712</v>
      </c>
      <c r="E431" s="30" t="n">
        <v>0.259200898785829</v>
      </c>
      <c r="F431" s="30" t="n">
        <v>0.0238285368266111</v>
      </c>
      <c r="G431" s="30" t="n">
        <v>0.197419684019739</v>
      </c>
      <c r="H431" s="31" t="n">
        <f aca="false">MAX(D431,F431+0.015)</f>
        <v>0.0760259068721712</v>
      </c>
      <c r="I431" s="25" t="n">
        <f aca="false">(C431-'DCF Base Case'!$B$3)*(1-E431)+'DCF Base Case'!$B$3-G431</f>
        <v>0.148540199225293</v>
      </c>
      <c r="J431" s="24" t="n">
        <f aca="false">'DCF Base Case'!$B$2*(1+B431)^1*$I431-'DCF Base Case'!$B$2*(1+B431)^0*B431*'DCF Base Case'!$B$4</f>
        <v>23.0598203763684</v>
      </c>
      <c r="K431" s="24" t="n">
        <f aca="false">'DCF Base Case'!$B$2*(1+B431)^2*$I431-'DCF Base Case'!$B$2*(1+B431)^1*B431*'DCF Base Case'!$B$4</f>
        <v>25.1010496699731</v>
      </c>
      <c r="L431" s="24" t="n">
        <f aca="false">'DCF Base Case'!$B$2*(1+B431)^3*$I431-'DCF Base Case'!$B$2*(1+B431)^2*B431*'DCF Base Case'!$B$4</f>
        <v>27.322966278616</v>
      </c>
      <c r="M431" s="24" t="n">
        <f aca="false">'DCF Base Case'!$B$2*(1+B431)^4*$I431-'DCF Base Case'!$B$2*(1+B431)^3*B431*'DCF Base Case'!$B$4</f>
        <v>29.741564439651</v>
      </c>
      <c r="N431" s="24" t="n">
        <f aca="false">'DCF Base Case'!$B$2*(1+B431)^5*$I431-'DCF Base Case'!$B$2*(1+B431)^4*B431*'DCF Base Case'!$B$4</f>
        <v>32.374254182285</v>
      </c>
      <c r="O431" s="24" t="n">
        <f aca="false">J431/(1+H431)^1+K431/(1+H431)^2+L431/(1+H431)^3+M431/(1+H431)^4+N431/(1+H431)^5</f>
        <v>109.669922208341</v>
      </c>
      <c r="P431" s="24" t="n">
        <f aca="false">N431*(1+F431)/(H431-F431)</f>
        <v>635.0068070742</v>
      </c>
      <c r="Q431" s="24" t="n">
        <f aca="false">O431+P431/(1+H431)^5</f>
        <v>549.8848264011</v>
      </c>
      <c r="R431" s="24" t="n">
        <f aca="false">Q431-'DCF Base Case'!$B$5</f>
        <v>364.8848264011</v>
      </c>
      <c r="S431" s="32" t="n">
        <f aca="false">R431/'DCF Base Case'!$B$6</f>
        <v>14.595393056044</v>
      </c>
    </row>
    <row r="432" customFormat="false" ht="15" hidden="false" customHeight="true" outlineLevel="0" collapsed="false">
      <c r="A432" s="6" t="n">
        <v>431</v>
      </c>
      <c r="B432" s="30" t="n">
        <v>0.0683563780057111</v>
      </c>
      <c r="C432" s="30" t="n">
        <v>0.426071910688265</v>
      </c>
      <c r="D432" s="30" t="n">
        <v>0.0840434402683338</v>
      </c>
      <c r="E432" s="30" t="n">
        <v>0.289723110425637</v>
      </c>
      <c r="F432" s="30" t="n">
        <v>0.020992181347049</v>
      </c>
      <c r="G432" s="30" t="n">
        <v>0.189013602654006</v>
      </c>
      <c r="H432" s="31" t="n">
        <f aca="false">MAX(D432,F432+0.015)</f>
        <v>0.0840434402683338</v>
      </c>
      <c r="I432" s="25" t="n">
        <f aca="false">(C432-'DCF Base Case'!$B$3)*(1-E432)+'DCF Base Case'!$B$3-G432</f>
        <v>0.151279433159993</v>
      </c>
      <c r="J432" s="24" t="n">
        <f aca="false">'DCF Base Case'!$B$2*(1+B432)^1*$I432-'DCF Base Case'!$B$2*(1+B432)^0*B432*'DCF Base Case'!$B$4</f>
        <v>23.1376001109225</v>
      </c>
      <c r="K432" s="24" t="n">
        <f aca="false">'DCF Base Case'!$B$2*(1+B432)^2*$I432-'DCF Base Case'!$B$2*(1+B432)^1*B432*'DCF Base Case'!$B$4</f>
        <v>24.7192026502497</v>
      </c>
      <c r="L432" s="24" t="n">
        <f aca="false">'DCF Base Case'!$B$2*(1+B432)^3*$I432-'DCF Base Case'!$B$2*(1+B432)^2*B432*'DCF Base Case'!$B$4</f>
        <v>26.4089178106099</v>
      </c>
      <c r="M432" s="24" t="n">
        <f aca="false">'DCF Base Case'!$B$2*(1+B432)^4*$I432-'DCF Base Case'!$B$2*(1+B432)^3*B432*'DCF Base Case'!$B$4</f>
        <v>28.2141357791937</v>
      </c>
      <c r="N432" s="24" t="n">
        <f aca="false">'DCF Base Case'!$B$2*(1+B432)^5*$I432-'DCF Base Case'!$B$2*(1+B432)^4*B432*'DCF Base Case'!$B$4</f>
        <v>30.1427519096207</v>
      </c>
      <c r="O432" s="24" t="n">
        <f aca="false">J432/(1+H432)^1+K432/(1+H432)^2+L432/(1+H432)^3+M432/(1+H432)^4+N432/(1+H432)^5</f>
        <v>103.674709097522</v>
      </c>
      <c r="P432" s="24" t="n">
        <f aca="false">N432*(1+F432)/(H432-F432)</f>
        <v>488.103085497908</v>
      </c>
      <c r="Q432" s="24" t="n">
        <f aca="false">O432+P432/(1+H432)^5</f>
        <v>429.720144157617</v>
      </c>
      <c r="R432" s="24" t="n">
        <f aca="false">Q432-'DCF Base Case'!$B$5</f>
        <v>244.720144157617</v>
      </c>
      <c r="S432" s="32" t="n">
        <f aca="false">R432/'DCF Base Case'!$B$6</f>
        <v>9.78880576630469</v>
      </c>
    </row>
    <row r="433" customFormat="false" ht="15" hidden="false" customHeight="true" outlineLevel="0" collapsed="false">
      <c r="A433" s="6" t="n">
        <v>432</v>
      </c>
      <c r="B433" s="30" t="n">
        <v>0.0916762063917278</v>
      </c>
      <c r="C433" s="30" t="n">
        <v>0.441182902317352</v>
      </c>
      <c r="D433" s="30" t="n">
        <v>0.0884035412373592</v>
      </c>
      <c r="E433" s="30" t="n">
        <v>0.298658909796036</v>
      </c>
      <c r="F433" s="30" t="n">
        <v>0.0159507106120344</v>
      </c>
      <c r="G433" s="30" t="n">
        <v>0.21037555752458</v>
      </c>
      <c r="H433" s="31" t="n">
        <f aca="false">MAX(D433,F433+0.015)</f>
        <v>0.0884035412373592</v>
      </c>
      <c r="I433" s="25" t="n">
        <f aca="false">(C433-'DCF Base Case'!$B$3)*(1-E433)+'DCF Base Case'!$B$3-G433</f>
        <v>0.137869798439505</v>
      </c>
      <c r="J433" s="24" t="n">
        <f aca="false">'DCF Base Case'!$B$2*(1+B433)^1*$I433-'DCF Base Case'!$B$2*(1+B433)^0*B433*'DCF Base Case'!$B$4</f>
        <v>21.4250393899785</v>
      </c>
      <c r="K433" s="24" t="n">
        <f aca="false">'DCF Base Case'!$B$2*(1+B433)^2*$I433-'DCF Base Case'!$B$2*(1+B433)^1*B433*'DCF Base Case'!$B$4</f>
        <v>23.3892057230451</v>
      </c>
      <c r="L433" s="24" t="n">
        <f aca="false">'DCF Base Case'!$B$2*(1+B433)^3*$I433-'DCF Base Case'!$B$2*(1+B433)^2*B433*'DCF Base Case'!$B$4</f>
        <v>25.5334393742496</v>
      </c>
      <c r="M433" s="24" t="n">
        <f aca="false">'DCF Base Case'!$B$2*(1+B433)^4*$I433-'DCF Base Case'!$B$2*(1+B433)^3*B433*'DCF Base Case'!$B$4</f>
        <v>27.8742482322139</v>
      </c>
      <c r="N433" s="24" t="n">
        <f aca="false">'DCF Base Case'!$B$2*(1+B433)^5*$I433-'DCF Base Case'!$B$2*(1+B433)^4*B433*'DCF Base Case'!$B$4</f>
        <v>30.4296535661646</v>
      </c>
      <c r="O433" s="24" t="n">
        <f aca="false">J433/(1+H433)^1+K433/(1+H433)^2+L433/(1+H433)^3+M433/(1+H433)^4+N433/(1+H433)^5</f>
        <v>99.0178288127029</v>
      </c>
      <c r="P433" s="24" t="n">
        <f aca="false">N433*(1+F433)/(H433-F433)</f>
        <v>426.691792403444</v>
      </c>
      <c r="Q433" s="24" t="n">
        <f aca="false">O433+P433/(1+H433)^5</f>
        <v>378.378045207807</v>
      </c>
      <c r="R433" s="24" t="n">
        <f aca="false">Q433-'DCF Base Case'!$B$5</f>
        <v>193.378045207807</v>
      </c>
      <c r="S433" s="32" t="n">
        <f aca="false">R433/'DCF Base Case'!$B$6</f>
        <v>7.73512180831227</v>
      </c>
    </row>
    <row r="434" customFormat="false" ht="15" hidden="false" customHeight="true" outlineLevel="0" collapsed="false">
      <c r="A434" s="6" t="n">
        <v>433</v>
      </c>
      <c r="B434" s="30" t="n">
        <v>0.100047524906427</v>
      </c>
      <c r="C434" s="30" t="n">
        <v>0.431531852567495</v>
      </c>
      <c r="D434" s="30" t="n">
        <v>0.0673099560766731</v>
      </c>
      <c r="E434" s="30" t="n">
        <v>0.261303063467333</v>
      </c>
      <c r="F434" s="30" t="n">
        <v>0.0237371291617365</v>
      </c>
      <c r="G434" s="30" t="n">
        <v>0.171806773566997</v>
      </c>
      <c r="H434" s="31" t="n">
        <f aca="false">MAX(D434,F434+0.015)</f>
        <v>0.0673099560766731</v>
      </c>
      <c r="I434" s="25" t="n">
        <f aca="false">(C434-'DCF Base Case'!$B$3)*(1-E434)+'DCF Base Case'!$B$3-G434</f>
        <v>0.180933882191631</v>
      </c>
      <c r="J434" s="24" t="n">
        <f aca="false">'DCF Base Case'!$B$2*(1+B434)^1*$I434-'DCF Base Case'!$B$2*(1+B434)^0*B434*'DCF Base Case'!$B$4</f>
        <v>28.4249943117662</v>
      </c>
      <c r="K434" s="24" t="n">
        <f aca="false">'DCF Base Case'!$B$2*(1+B434)^2*$I434-'DCF Base Case'!$B$2*(1+B434)^1*B434*'DCF Base Case'!$B$4</f>
        <v>31.2688446381377</v>
      </c>
      <c r="L434" s="24" t="n">
        <f aca="false">'DCF Base Case'!$B$2*(1+B434)^3*$I434-'DCF Base Case'!$B$2*(1+B434)^2*B434*'DCF Base Case'!$B$4</f>
        <v>34.397215150867</v>
      </c>
      <c r="M434" s="24" t="n">
        <f aca="false">'DCF Base Case'!$B$2*(1+B434)^4*$I434-'DCF Base Case'!$B$2*(1+B434)^3*B434*'DCF Base Case'!$B$4</f>
        <v>37.8385713903851</v>
      </c>
      <c r="N434" s="24" t="n">
        <f aca="false">'DCF Base Case'!$B$2*(1+B434)^5*$I434-'DCF Base Case'!$B$2*(1+B434)^4*B434*'DCF Base Case'!$B$4</f>
        <v>41.6242268039883</v>
      </c>
      <c r="O434" s="24" t="n">
        <f aca="false">J434/(1+H434)^1+K434/(1+H434)^2+L434/(1+H434)^3+M434/(1+H434)^4+N434/(1+H434)^5</f>
        <v>141.58522479913</v>
      </c>
      <c r="P434" s="24" t="n">
        <f aca="false">N434*(1+F434)/(H434-F434)</f>
        <v>977.955057519681</v>
      </c>
      <c r="Q434" s="24" t="n">
        <f aca="false">O434+P434/(1+H434)^5</f>
        <v>847.685033525726</v>
      </c>
      <c r="R434" s="24" t="n">
        <f aca="false">Q434-'DCF Base Case'!$B$5</f>
        <v>662.685033525726</v>
      </c>
      <c r="S434" s="32" t="n">
        <f aca="false">R434/'DCF Base Case'!$B$6</f>
        <v>26.507401341029</v>
      </c>
    </row>
    <row r="435" customFormat="false" ht="15" hidden="false" customHeight="true" outlineLevel="0" collapsed="false">
      <c r="A435" s="6" t="n">
        <v>434</v>
      </c>
      <c r="B435" s="30" t="n">
        <v>0.0517949465796288</v>
      </c>
      <c r="C435" s="30" t="n">
        <v>0.420960374192444</v>
      </c>
      <c r="D435" s="30" t="n">
        <v>0.0790183891521201</v>
      </c>
      <c r="E435" s="30" t="n">
        <v>0.322020573940349</v>
      </c>
      <c r="F435" s="30" t="n">
        <v>0.0190208445831209</v>
      </c>
      <c r="G435" s="30" t="n">
        <v>0.16986614029393</v>
      </c>
      <c r="H435" s="31" t="n">
        <f aca="false">MAX(D435,F435+0.015)</f>
        <v>0.0790183891521201</v>
      </c>
      <c r="I435" s="25" t="n">
        <f aca="false">(C435-'DCF Base Case'!$B$3)*(1-E435)+'DCF Base Case'!$B$3-G435</f>
        <v>0.157399007207165</v>
      </c>
      <c r="J435" s="24" t="n">
        <f aca="false">'DCF Base Case'!$B$2*(1+B435)^1*$I435-'DCF Base Case'!$B$2*(1+B435)^0*B435*'DCF Base Case'!$B$4</f>
        <v>23.7796566370648</v>
      </c>
      <c r="K435" s="24" t="n">
        <f aca="false">'DCF Base Case'!$B$2*(1+B435)^2*$I435-'DCF Base Case'!$B$2*(1+B435)^1*B435*'DCF Base Case'!$B$4</f>
        <v>25.0113226822635</v>
      </c>
      <c r="L435" s="24" t="n">
        <f aca="false">'DCF Base Case'!$B$2*(1+B435)^3*$I435-'DCF Base Case'!$B$2*(1+B435)^2*B435*'DCF Base Case'!$B$4</f>
        <v>26.3067828044772</v>
      </c>
      <c r="M435" s="24" t="n">
        <f aca="false">'DCF Base Case'!$B$2*(1+B435)^4*$I435-'DCF Base Case'!$B$2*(1+B435)^3*B435*'DCF Base Case'!$B$4</f>
        <v>27.669341214517</v>
      </c>
      <c r="N435" s="24" t="n">
        <f aca="false">'DCF Base Case'!$B$2*(1+B435)^5*$I435-'DCF Base Case'!$B$2*(1+B435)^4*B435*'DCF Base Case'!$B$4</f>
        <v>29.1024732646164</v>
      </c>
      <c r="O435" s="24" t="n">
        <f aca="false">J435/(1+H435)^1+K435/(1+H435)^2+L435/(1+H435)^3+M435/(1+H435)^4+N435/(1+H435)^5</f>
        <v>104.769471250702</v>
      </c>
      <c r="P435" s="24" t="n">
        <f aca="false">N435*(1+F435)/(H435-F435)</f>
        <v>494.287342900536</v>
      </c>
      <c r="Q435" s="24" t="n">
        <f aca="false">O435+P435/(1+H435)^5</f>
        <v>442.706093362935</v>
      </c>
      <c r="R435" s="24" t="n">
        <f aca="false">Q435-'DCF Base Case'!$B$5</f>
        <v>257.706093362935</v>
      </c>
      <c r="S435" s="32" t="n">
        <f aca="false">R435/'DCF Base Case'!$B$6</f>
        <v>10.3082437345174</v>
      </c>
    </row>
    <row r="436" customFormat="false" ht="15" hidden="false" customHeight="true" outlineLevel="0" collapsed="false">
      <c r="A436" s="6" t="n">
        <v>435</v>
      </c>
      <c r="B436" s="30" t="n">
        <v>0.115586056088559</v>
      </c>
      <c r="C436" s="30" t="n">
        <v>0.404785623306078</v>
      </c>
      <c r="D436" s="30" t="n">
        <v>0.0740786851138267</v>
      </c>
      <c r="E436" s="30" t="n">
        <v>0.274361976103894</v>
      </c>
      <c r="F436" s="30" t="n">
        <v>0.0223246613476441</v>
      </c>
      <c r="G436" s="30" t="n">
        <v>0.139143113811318</v>
      </c>
      <c r="H436" s="31" t="n">
        <f aca="false">MAX(D436,F436+0.015)</f>
        <v>0.0740786851138267</v>
      </c>
      <c r="I436" s="25" t="n">
        <f aca="false">(C436-'DCF Base Case'!$B$3)*(1-E436)+'DCF Base Case'!$B$3-G436</f>
        <v>0.190251782879564</v>
      </c>
      <c r="J436" s="24" t="n">
        <f aca="false">'DCF Base Case'!$B$2*(1+B436)^1*$I436-'DCF Base Case'!$B$2*(1+B436)^0*B436*'DCF Base Case'!$B$4</f>
        <v>30.2723248943471</v>
      </c>
      <c r="K436" s="24" t="n">
        <f aca="false">'DCF Base Case'!$B$2*(1+B436)^2*$I436-'DCF Base Case'!$B$2*(1+B436)^1*B436*'DCF Base Case'!$B$4</f>
        <v>33.7713835375162</v>
      </c>
      <c r="L436" s="24" t="n">
        <f aca="false">'DCF Base Case'!$B$2*(1+B436)^3*$I436-'DCF Base Case'!$B$2*(1+B436)^2*B436*'DCF Base Case'!$B$4</f>
        <v>37.6748845692718</v>
      </c>
      <c r="M436" s="24" t="n">
        <f aca="false">'DCF Base Case'!$B$2*(1+B436)^4*$I436-'DCF Base Case'!$B$2*(1+B436)^3*B436*'DCF Base Case'!$B$4</f>
        <v>42.0295758902256</v>
      </c>
      <c r="N436" s="24" t="n">
        <f aca="false">'DCF Base Case'!$B$2*(1+B436)^5*$I436-'DCF Base Case'!$B$2*(1+B436)^4*B436*'DCF Base Case'!$B$4</f>
        <v>46.8876088064516</v>
      </c>
      <c r="O436" s="24" t="n">
        <f aca="false">J436/(1+H436)^1+K436/(1+H436)^2+L436/(1+H436)^3+M436/(1+H436)^4+N436/(1+H436)^5</f>
        <v>152.243169916438</v>
      </c>
      <c r="P436" s="24" t="n">
        <f aca="false">N436*(1+F436)/(H436-F436)</f>
        <v>926.195787423546</v>
      </c>
      <c r="Q436" s="24" t="n">
        <f aca="false">O436+P436/(1+H436)^5</f>
        <v>800.164549216207</v>
      </c>
      <c r="R436" s="24" t="n">
        <f aca="false">Q436-'DCF Base Case'!$B$5</f>
        <v>615.164549216207</v>
      </c>
      <c r="S436" s="32" t="n">
        <f aca="false">R436/'DCF Base Case'!$B$6</f>
        <v>24.6065819686483</v>
      </c>
    </row>
    <row r="437" customFormat="false" ht="15" hidden="false" customHeight="true" outlineLevel="0" collapsed="false">
      <c r="A437" s="6" t="n">
        <v>436</v>
      </c>
      <c r="B437" s="30" t="n">
        <v>0.0554360664088649</v>
      </c>
      <c r="C437" s="30" t="n">
        <v>0.418710467782583</v>
      </c>
      <c r="D437" s="30" t="n">
        <v>0.078367238561763</v>
      </c>
      <c r="E437" s="30" t="n">
        <v>0.26962408050672</v>
      </c>
      <c r="F437" s="30" t="n">
        <v>0.0123541636865479</v>
      </c>
      <c r="G437" s="30" t="n">
        <v>0.151532553616951</v>
      </c>
      <c r="H437" s="31" t="n">
        <f aca="false">MAX(D437,F437+0.015)</f>
        <v>0.078367238561763</v>
      </c>
      <c r="I437" s="25" t="n">
        <f aca="false">(C437-'DCF Base Case'!$B$3)*(1-E437)+'DCF Base Case'!$B$3-G437</f>
        <v>0.189334619757088</v>
      </c>
      <c r="J437" s="24" t="n">
        <f aca="false">'DCF Base Case'!$B$2*(1+B437)^1*$I437-'DCF Base Case'!$B$2*(1+B437)^0*B437*'DCF Base Case'!$B$4</f>
        <v>28.7342881262801</v>
      </c>
      <c r="K437" s="24" t="n">
        <f aca="false">'DCF Base Case'!$B$2*(1+B437)^2*$I437-'DCF Base Case'!$B$2*(1+B437)^1*B437*'DCF Base Case'!$B$4</f>
        <v>30.32720403106</v>
      </c>
      <c r="L437" s="24" t="n">
        <f aca="false">'DCF Base Case'!$B$2*(1+B437)^3*$I437-'DCF Base Case'!$B$2*(1+B437)^2*B437*'DCF Base Case'!$B$4</f>
        <v>32.0084249277211</v>
      </c>
      <c r="M437" s="24" t="n">
        <f aca="false">'DCF Base Case'!$B$2*(1+B437)^4*$I437-'DCF Base Case'!$B$2*(1+B437)^3*B437*'DCF Base Case'!$B$4</f>
        <v>33.7828460976574</v>
      </c>
      <c r="N437" s="24" t="n">
        <f aca="false">'DCF Base Case'!$B$2*(1+B437)^5*$I437-'DCF Base Case'!$B$2*(1+B437)^4*B437*'DCF Base Case'!$B$4</f>
        <v>35.6556341974076</v>
      </c>
      <c r="O437" s="24" t="n">
        <f aca="false">J437/(1+H437)^1+K437/(1+H437)^2+L437/(1+H437)^3+M437/(1+H437)^4+N437/(1+H437)^5</f>
        <v>127.683528025779</v>
      </c>
      <c r="P437" s="24" t="n">
        <f aca="false">N437*(1+F437)/(H437-F437)</f>
        <v>546.802732744426</v>
      </c>
      <c r="Q437" s="24" t="n">
        <f aca="false">O437+P437/(1+H437)^5</f>
        <v>502.654155935488</v>
      </c>
      <c r="R437" s="24" t="n">
        <f aca="false">Q437-'DCF Base Case'!$B$5</f>
        <v>317.654155935488</v>
      </c>
      <c r="S437" s="32" t="n">
        <f aca="false">R437/'DCF Base Case'!$B$6</f>
        <v>12.7061662374195</v>
      </c>
    </row>
    <row r="438" customFormat="false" ht="15" hidden="false" customHeight="true" outlineLevel="0" collapsed="false">
      <c r="A438" s="6" t="n">
        <v>437</v>
      </c>
      <c r="B438" s="30" t="n">
        <v>0.0898488271796718</v>
      </c>
      <c r="C438" s="30" t="n">
        <v>0.432254321634258</v>
      </c>
      <c r="D438" s="30" t="n">
        <v>0.076516468171419</v>
      </c>
      <c r="E438" s="30" t="n">
        <v>0.328037643378119</v>
      </c>
      <c r="F438" s="30" t="n">
        <v>0.0165720705218559</v>
      </c>
      <c r="G438" s="30" t="n">
        <v>0.151449923230903</v>
      </c>
      <c r="H438" s="31" t="n">
        <f aca="false">MAX(D438,F438+0.015)</f>
        <v>0.076516468171419</v>
      </c>
      <c r="I438" s="25" t="n">
        <f aca="false">(C438-'DCF Base Case'!$B$3)*(1-E438)+'DCF Base Case'!$B$3-G438</f>
        <v>0.181653603033601</v>
      </c>
      <c r="J438" s="24" t="n">
        <f aca="false">'DCF Base Case'!$B$2*(1+B438)^1*$I438-'DCF Base Case'!$B$2*(1+B438)^0*B438*'DCF Base Case'!$B$4</f>
        <v>28.3155277035425</v>
      </c>
      <c r="K438" s="24" t="n">
        <f aca="false">'DCF Base Case'!$B$2*(1+B438)^2*$I438-'DCF Base Case'!$B$2*(1+B438)^1*B438*'DCF Base Case'!$B$4</f>
        <v>30.8596446586793</v>
      </c>
      <c r="L438" s="24" t="n">
        <f aca="false">'DCF Base Case'!$B$2*(1+B438)^3*$I438-'DCF Base Case'!$B$2*(1+B438)^2*B438*'DCF Base Case'!$B$4</f>
        <v>33.6323475384431</v>
      </c>
      <c r="M438" s="24" t="n">
        <f aca="false">'DCF Base Case'!$B$2*(1+B438)^4*$I438-'DCF Base Case'!$B$2*(1+B438)^3*B438*'DCF Base Case'!$B$4</f>
        <v>36.6541745200713</v>
      </c>
      <c r="N438" s="24" t="n">
        <f aca="false">'DCF Base Case'!$B$2*(1+B438)^5*$I438-'DCF Base Case'!$B$2*(1+B438)^4*B438*'DCF Base Case'!$B$4</f>
        <v>39.9475091119387</v>
      </c>
      <c r="O438" s="24" t="n">
        <f aca="false">J438/(1+H438)^1+K438/(1+H438)^2+L438/(1+H438)^3+M438/(1+H438)^4+N438/(1+H438)^5</f>
        <v>134.812743723948</v>
      </c>
      <c r="P438" s="24" t="n">
        <f aca="false">N438*(1+F438)/(H438-F438)</f>
        <v>677.453167308793</v>
      </c>
      <c r="Q438" s="24" t="n">
        <f aca="false">O438+P438/(1+H438)^5</f>
        <v>603.384263364653</v>
      </c>
      <c r="R438" s="24" t="n">
        <f aca="false">Q438-'DCF Base Case'!$B$5</f>
        <v>418.384263364653</v>
      </c>
      <c r="S438" s="32" t="n">
        <f aca="false">R438/'DCF Base Case'!$B$6</f>
        <v>16.7353705345861</v>
      </c>
    </row>
    <row r="439" customFormat="false" ht="15" hidden="false" customHeight="true" outlineLevel="0" collapsed="false">
      <c r="A439" s="6" t="n">
        <v>438</v>
      </c>
      <c r="B439" s="30" t="n">
        <v>0.122378580140537</v>
      </c>
      <c r="C439" s="30" t="n">
        <v>0.429614704138846</v>
      </c>
      <c r="D439" s="30" t="n">
        <v>0.0789277279808727</v>
      </c>
      <c r="E439" s="30" t="n">
        <v>0.275432889281359</v>
      </c>
      <c r="F439" s="30" t="n">
        <v>0.0241011607485437</v>
      </c>
      <c r="G439" s="30" t="n">
        <v>0.199317178092276</v>
      </c>
      <c r="H439" s="31" t="n">
        <f aca="false">MAX(D439,F439+0.015)</f>
        <v>0.0789277279808727</v>
      </c>
      <c r="I439" s="25" t="n">
        <f aca="false">(C439-'DCF Base Case'!$B$3)*(1-E439)+'DCF Base Case'!$B$3-G439</f>
        <v>0.147773782414428</v>
      </c>
      <c r="J439" s="24" t="n">
        <f aca="false">'DCF Base Case'!$B$2*(1+B439)^1*$I439-'DCF Base Case'!$B$2*(1+B439)^0*B439*'DCF Base Case'!$B$4</f>
        <v>23.5170817491925</v>
      </c>
      <c r="K439" s="24" t="n">
        <f aca="false">'DCF Base Case'!$B$2*(1+B439)^2*$I439-'DCF Base Case'!$B$2*(1+B439)^1*B439*'DCF Base Case'!$B$4</f>
        <v>26.3950688227076</v>
      </c>
      <c r="L439" s="24" t="n">
        <f aca="false">'DCF Base Case'!$B$2*(1+B439)^3*$I439-'DCF Base Case'!$B$2*(1+B439)^2*B439*'DCF Base Case'!$B$4</f>
        <v>29.6252598679424</v>
      </c>
      <c r="M439" s="24" t="n">
        <f aca="false">'DCF Base Case'!$B$2*(1+B439)^4*$I439-'DCF Base Case'!$B$2*(1+B439)^3*B439*'DCF Base Case'!$B$4</f>
        <v>33.2507571068756</v>
      </c>
      <c r="N439" s="24" t="n">
        <f aca="false">'DCF Base Case'!$B$2*(1+B439)^5*$I439-'DCF Base Case'!$B$2*(1+B439)^4*B439*'DCF Base Case'!$B$4</f>
        <v>37.3199375502129</v>
      </c>
      <c r="O439" s="24" t="n">
        <f aca="false">J439/(1+H439)^1+K439/(1+H439)^2+L439/(1+H439)^3+M439/(1+H439)^4+N439/(1+H439)^5</f>
        <v>118.122298057388</v>
      </c>
      <c r="P439" s="24" t="n">
        <f aca="false">N439*(1+F439)/(H439-F439)</f>
        <v>697.096194300849</v>
      </c>
      <c r="Q439" s="24" t="n">
        <f aca="false">O439+P439/(1+H439)^5</f>
        <v>594.916471601193</v>
      </c>
      <c r="R439" s="24" t="n">
        <f aca="false">Q439-'DCF Base Case'!$B$5</f>
        <v>409.916471601193</v>
      </c>
      <c r="S439" s="32" t="n">
        <f aca="false">R439/'DCF Base Case'!$B$6</f>
        <v>16.3966588640477</v>
      </c>
    </row>
    <row r="440" customFormat="false" ht="15" hidden="false" customHeight="true" outlineLevel="0" collapsed="false">
      <c r="A440" s="6" t="n">
        <v>439</v>
      </c>
      <c r="B440" s="30" t="n">
        <v>0.0721732276416948</v>
      </c>
      <c r="C440" s="30" t="n">
        <v>0.407266464583843</v>
      </c>
      <c r="D440" s="30" t="n">
        <v>0.0859917251043433</v>
      </c>
      <c r="E440" s="30" t="n">
        <v>0.258879005025628</v>
      </c>
      <c r="F440" s="30" t="n">
        <v>0.0191440889041631</v>
      </c>
      <c r="G440" s="30" t="n">
        <v>0.165344177111274</v>
      </c>
      <c r="H440" s="31" t="n">
        <f aca="false">MAX(D440,F440+0.015)</f>
        <v>0.0859917251043433</v>
      </c>
      <c r="I440" s="25" t="n">
        <f aca="false">(C440-'DCF Base Case'!$B$3)*(1-E440)+'DCF Base Case'!$B$3-G440</f>
        <v>0.17014382099413</v>
      </c>
      <c r="J440" s="24" t="n">
        <f aca="false">'DCF Base Case'!$B$2*(1+B440)^1*$I440-'DCF Base Case'!$B$2*(1+B440)^0*B440*'DCF Base Case'!$B$4</f>
        <v>26.1374756689509</v>
      </c>
      <c r="K440" s="24" t="n">
        <f aca="false">'DCF Base Case'!$B$2*(1+B440)^2*$I440-'DCF Base Case'!$B$2*(1+B440)^1*B440*'DCF Base Case'!$B$4</f>
        <v>28.0239016503853</v>
      </c>
      <c r="L440" s="24" t="n">
        <f aca="false">'DCF Base Case'!$B$2*(1+B440)^3*$I440-'DCF Base Case'!$B$2*(1+B440)^2*B440*'DCF Base Case'!$B$4</f>
        <v>30.0464770836071</v>
      </c>
      <c r="M440" s="24" t="n">
        <f aca="false">'DCF Base Case'!$B$2*(1+B440)^4*$I440-'DCF Base Case'!$B$2*(1+B440)^3*B440*'DCF Base Case'!$B$4</f>
        <v>32.2150283139932</v>
      </c>
      <c r="N440" s="24" t="n">
        <f aca="false">'DCF Base Case'!$B$2*(1+B440)^5*$I440-'DCF Base Case'!$B$2*(1+B440)^4*B440*'DCF Base Case'!$B$4</f>
        <v>34.5400908859827</v>
      </c>
      <c r="O440" s="24" t="n">
        <f aca="false">J440/(1+H440)^1+K440/(1+H440)^2+L440/(1+H440)^3+M440/(1+H440)^4+N440/(1+H440)^5</f>
        <v>117.315456099785</v>
      </c>
      <c r="P440" s="24" t="n">
        <f aca="false">N440*(1+F440)/(H440-F440)</f>
        <v>526.590489321849</v>
      </c>
      <c r="Q440" s="24" t="n">
        <f aca="false">O440+P440/(1+H440)^5</f>
        <v>465.925929564186</v>
      </c>
      <c r="R440" s="24" t="n">
        <f aca="false">Q440-'DCF Base Case'!$B$5</f>
        <v>280.925929564186</v>
      </c>
      <c r="S440" s="32" t="n">
        <f aca="false">R440/'DCF Base Case'!$B$6</f>
        <v>11.2370371825675</v>
      </c>
    </row>
    <row r="441" customFormat="false" ht="15" hidden="false" customHeight="true" outlineLevel="0" collapsed="false">
      <c r="A441" s="6" t="n">
        <v>440</v>
      </c>
      <c r="B441" s="30" t="n">
        <v>0.114790922301817</v>
      </c>
      <c r="C441" s="30" t="n">
        <v>0.444126439464005</v>
      </c>
      <c r="D441" s="30" t="n">
        <v>0.0813786966180509</v>
      </c>
      <c r="E441" s="30" t="n">
        <v>0.273917076845456</v>
      </c>
      <c r="F441" s="30" t="n">
        <v>0.0217346487024643</v>
      </c>
      <c r="G441" s="30" t="n">
        <v>0.153419186433568</v>
      </c>
      <c r="H441" s="31" t="n">
        <f aca="false">MAX(D441,F441+0.015)</f>
        <v>0.0813786966180509</v>
      </c>
      <c r="I441" s="25" t="n">
        <f aca="false">(C441-'DCF Base Case'!$B$3)*(1-E441)+'DCF Base Case'!$B$3-G441</f>
        <v>0.204662656972586</v>
      </c>
      <c r="J441" s="24" t="n">
        <f aca="false">'DCF Base Case'!$B$2*(1+B441)^1*$I441-'DCF Base Case'!$B$2*(1+B441)^0*B441*'DCF Base Case'!$B$4</f>
        <v>32.5832899464324</v>
      </c>
      <c r="K441" s="24" t="n">
        <f aca="false">'DCF Base Case'!$B$2*(1+B441)^2*$I441-'DCF Base Case'!$B$2*(1+B441)^1*B441*'DCF Base Case'!$B$4</f>
        <v>36.3235558510109</v>
      </c>
      <c r="L441" s="24" t="n">
        <f aca="false">'DCF Base Case'!$B$2*(1+B441)^3*$I441-'DCF Base Case'!$B$2*(1+B441)^2*B441*'DCF Base Case'!$B$4</f>
        <v>40.49317032843</v>
      </c>
      <c r="M441" s="24" t="n">
        <f aca="false">'DCF Base Case'!$B$2*(1+B441)^4*$I441-'DCF Base Case'!$B$2*(1+B441)^3*B441*'DCF Base Case'!$B$4</f>
        <v>45.1414186973551</v>
      </c>
      <c r="N441" s="24" t="n">
        <f aca="false">'DCF Base Case'!$B$2*(1+B441)^5*$I441-'DCF Base Case'!$B$2*(1+B441)^4*B441*'DCF Base Case'!$B$4</f>
        <v>50.323243783637</v>
      </c>
      <c r="O441" s="24" t="n">
        <f aca="false">J441/(1+H441)^1+K441/(1+H441)^2+L441/(1+H441)^3+M441/(1+H441)^4+N441/(1+H441)^5</f>
        <v>160.258261515633</v>
      </c>
      <c r="P441" s="24" t="n">
        <f aca="false">N441*(1+F441)/(H441-F441)</f>
        <v>862.064256296162</v>
      </c>
      <c r="Q441" s="24" t="n">
        <f aca="false">O441+P441/(1+H441)^5</f>
        <v>743.23414623553</v>
      </c>
      <c r="R441" s="24" t="n">
        <f aca="false">Q441-'DCF Base Case'!$B$5</f>
        <v>558.23414623553</v>
      </c>
      <c r="S441" s="32" t="n">
        <f aca="false">R441/'DCF Base Case'!$B$6</f>
        <v>22.3293658494212</v>
      </c>
    </row>
    <row r="442" customFormat="false" ht="15" hidden="false" customHeight="true" outlineLevel="0" collapsed="false">
      <c r="A442" s="6" t="n">
        <v>441</v>
      </c>
      <c r="B442" s="30" t="n">
        <v>0.102713853335926</v>
      </c>
      <c r="C442" s="30" t="n">
        <v>0.417404603820182</v>
      </c>
      <c r="D442" s="30" t="n">
        <v>0.0743366156448752</v>
      </c>
      <c r="E442" s="30" t="n">
        <v>0.259300638500355</v>
      </c>
      <c r="F442" s="30" t="n">
        <v>0.0243847701811243</v>
      </c>
      <c r="G442" s="30" t="n">
        <v>0.16192334740158</v>
      </c>
      <c r="H442" s="31" t="n">
        <f aca="false">MAX(D442,F442+0.015)</f>
        <v>0.0743366156448752</v>
      </c>
      <c r="I442" s="25" t="n">
        <f aca="false">(C442-'DCF Base Case'!$B$3)*(1-E442)+'DCF Base Case'!$B$3-G442</f>
        <v>0.180957059140087</v>
      </c>
      <c r="J442" s="24" t="n">
        <f aca="false">'DCF Base Case'!$B$2*(1+B442)^1*$I442-'DCF Base Case'!$B$2*(1+B442)^0*B442*'DCF Base Case'!$B$4</f>
        <v>28.4870538540306</v>
      </c>
      <c r="K442" s="24" t="n">
        <f aca="false">'DCF Base Case'!$B$2*(1+B442)^2*$I442-'DCF Base Case'!$B$2*(1+B442)^1*B442*'DCF Base Case'!$B$4</f>
        <v>31.4130689255661</v>
      </c>
      <c r="L442" s="24" t="n">
        <f aca="false">'DCF Base Case'!$B$2*(1+B442)^3*$I442-'DCF Base Case'!$B$2*(1+B442)^2*B442*'DCF Base Case'!$B$4</f>
        <v>34.6396262800181</v>
      </c>
      <c r="M442" s="24" t="n">
        <f aca="false">'DCF Base Case'!$B$2*(1+B442)^4*$I442-'DCF Base Case'!$B$2*(1+B442)^3*B442*'DCF Base Case'!$B$4</f>
        <v>38.1975957733551</v>
      </c>
      <c r="N442" s="24" t="n">
        <f aca="false">'DCF Base Case'!$B$2*(1+B442)^5*$I442-'DCF Base Case'!$B$2*(1+B442)^4*B442*'DCF Base Case'!$B$4</f>
        <v>42.1210180234045</v>
      </c>
      <c r="O442" s="24" t="n">
        <f aca="false">J442/(1+H442)^1+K442/(1+H442)^2+L442/(1+H442)^3+M442/(1+H442)^4+N442/(1+H442)^5</f>
        <v>139.77104508372</v>
      </c>
      <c r="P442" s="24" t="n">
        <f aca="false">N442*(1+F442)/(H442-F442)</f>
        <v>863.794499825077</v>
      </c>
      <c r="Q442" s="24" t="n">
        <f aca="false">O442+P442/(1+H442)^5</f>
        <v>743.31450209436</v>
      </c>
      <c r="R442" s="24" t="n">
        <f aca="false">Q442-'DCF Base Case'!$B$5</f>
        <v>558.31450209436</v>
      </c>
      <c r="S442" s="32" t="n">
        <f aca="false">R442/'DCF Base Case'!$B$6</f>
        <v>22.3325800837744</v>
      </c>
    </row>
    <row r="443" customFormat="false" ht="15" hidden="false" customHeight="true" outlineLevel="0" collapsed="false">
      <c r="A443" s="6" t="n">
        <v>442</v>
      </c>
      <c r="B443" s="30" t="n">
        <v>0.124115135793482</v>
      </c>
      <c r="C443" s="30" t="n">
        <v>0.416764694092901</v>
      </c>
      <c r="D443" s="30" t="n">
        <v>0.0882032572124464</v>
      </c>
      <c r="E443" s="30" t="n">
        <v>0.34090090353602</v>
      </c>
      <c r="F443" s="30" t="n">
        <v>0.0150402701192693</v>
      </c>
      <c r="G443" s="30" t="n">
        <v>0.130744349439863</v>
      </c>
      <c r="H443" s="31" t="n">
        <f aca="false">MAX(D443,F443+0.015)</f>
        <v>0.0882032572124464</v>
      </c>
      <c r="I443" s="25" t="n">
        <f aca="false">(C443-'DCF Base Case'!$B$3)*(1-E443)+'DCF Base Case'!$B$3-G443</f>
        <v>0.188262001334538</v>
      </c>
      <c r="J443" s="24" t="n">
        <f aca="false">'DCF Base Case'!$B$2*(1+B443)^1*$I443-'DCF Base Case'!$B$2*(1+B443)^0*B443*'DCF Base Case'!$B$4</f>
        <v>30.1461831125627</v>
      </c>
      <c r="K443" s="24" t="n">
        <f aca="false">'DCF Base Case'!$B$2*(1+B443)^2*$I443-'DCF Base Case'!$B$2*(1+B443)^1*B443*'DCF Base Case'!$B$4</f>
        <v>33.8877807232336</v>
      </c>
      <c r="L443" s="24" t="n">
        <f aca="false">'DCF Base Case'!$B$2*(1+B443)^3*$I443-'DCF Base Case'!$B$2*(1+B443)^2*B443*'DCF Base Case'!$B$4</f>
        <v>38.0937672294375</v>
      </c>
      <c r="M443" s="24" t="n">
        <f aca="false">'DCF Base Case'!$B$2*(1+B443)^4*$I443-'DCF Base Case'!$B$2*(1+B443)^3*B443*'DCF Base Case'!$B$4</f>
        <v>42.8217803220044</v>
      </c>
      <c r="N443" s="24" t="n">
        <f aca="false">'DCF Base Case'!$B$2*(1+B443)^5*$I443-'DCF Base Case'!$B$2*(1+B443)^4*B443*'DCF Base Case'!$B$4</f>
        <v>48.1366114015886</v>
      </c>
      <c r="O443" s="24" t="n">
        <f aca="false">J443/(1+H443)^1+K443/(1+H443)^2+L443/(1+H443)^3+M443/(1+H443)^4+N443/(1+H443)^5</f>
        <v>147.962474653822</v>
      </c>
      <c r="P443" s="24" t="n">
        <f aca="false">N443*(1+F443)/(H443-F443)</f>
        <v>667.832205613313</v>
      </c>
      <c r="Q443" s="24" t="n">
        <f aca="false">O443+P443/(1+H443)^5</f>
        <v>585.602718327908</v>
      </c>
      <c r="R443" s="24" t="n">
        <f aca="false">Q443-'DCF Base Case'!$B$5</f>
        <v>400.602718327908</v>
      </c>
      <c r="S443" s="32" t="n">
        <f aca="false">R443/'DCF Base Case'!$B$6</f>
        <v>16.0241087331163</v>
      </c>
    </row>
    <row r="444" customFormat="false" ht="15" hidden="false" customHeight="true" outlineLevel="0" collapsed="false">
      <c r="A444" s="6" t="n">
        <v>443</v>
      </c>
      <c r="B444" s="30" t="n">
        <v>0.117738082672572</v>
      </c>
      <c r="C444" s="30" t="n">
        <v>0.407300579243778</v>
      </c>
      <c r="D444" s="30" t="n">
        <v>0.0847722299948314</v>
      </c>
      <c r="E444" s="30" t="n">
        <v>0.265511869897643</v>
      </c>
      <c r="F444" s="30" t="n">
        <v>0.0203062408831876</v>
      </c>
      <c r="G444" s="30" t="n">
        <v>0.146147270045996</v>
      </c>
      <c r="H444" s="31" t="n">
        <f aca="false">MAX(D444,F444+0.015)</f>
        <v>0.0847722299948314</v>
      </c>
      <c r="I444" s="25" t="n">
        <f aca="false">(C444-'DCF Base Case'!$B$3)*(1-E444)+'DCF Base Case'!$B$3-G444</f>
        <v>0.187526713879067</v>
      </c>
      <c r="J444" s="24" t="n">
        <f aca="false">'DCF Base Case'!$B$2*(1+B444)^1*$I444-'DCF Base Case'!$B$2*(1+B444)^0*B444*'DCF Base Case'!$B$4</f>
        <v>29.8806730354304</v>
      </c>
      <c r="K444" s="24" t="n">
        <f aca="false">'DCF Base Case'!$B$2*(1+B444)^2*$I444-'DCF Base Case'!$B$2*(1+B444)^1*B444*'DCF Base Case'!$B$4</f>
        <v>33.398766187588</v>
      </c>
      <c r="L444" s="24" t="n">
        <f aca="false">'DCF Base Case'!$B$2*(1+B444)^3*$I444-'DCF Base Case'!$B$2*(1+B444)^2*B444*'DCF Base Case'!$B$4</f>
        <v>37.3310728821441</v>
      </c>
      <c r="M444" s="24" t="n">
        <f aca="false">'DCF Base Case'!$B$2*(1+B444)^4*$I444-'DCF Base Case'!$B$2*(1+B444)^3*B444*'DCF Base Case'!$B$4</f>
        <v>41.7263618273978</v>
      </c>
      <c r="N444" s="24" t="n">
        <f aca="false">'DCF Base Case'!$B$2*(1+B444)^5*$I444-'DCF Base Case'!$B$2*(1+B444)^4*B444*'DCF Base Case'!$B$4</f>
        <v>46.6391436658576</v>
      </c>
      <c r="O444" s="24" t="n">
        <f aca="false">J444/(1+H444)^1+K444/(1+H444)^2+L444/(1+H444)^3+M444/(1+H444)^4+N444/(1+H444)^5</f>
        <v>146.357152060328</v>
      </c>
      <c r="P444" s="24" t="n">
        <f aca="false">N444*(1+F444)/(H444-F444)</f>
        <v>738.159919788264</v>
      </c>
      <c r="Q444" s="24" t="n">
        <f aca="false">O444+P444/(1+H444)^5</f>
        <v>637.782627439614</v>
      </c>
      <c r="R444" s="24" t="n">
        <f aca="false">Q444-'DCF Base Case'!$B$5</f>
        <v>452.782627439614</v>
      </c>
      <c r="S444" s="32" t="n">
        <f aca="false">R444/'DCF Base Case'!$B$6</f>
        <v>18.1113050975845</v>
      </c>
    </row>
    <row r="445" customFormat="false" ht="15" hidden="false" customHeight="true" outlineLevel="0" collapsed="false">
      <c r="A445" s="6" t="n">
        <v>444</v>
      </c>
      <c r="B445" s="30" t="n">
        <v>0.0862925372829097</v>
      </c>
      <c r="C445" s="30" t="n">
        <v>0.422051219781388</v>
      </c>
      <c r="D445" s="30" t="n">
        <v>0.0739086022509831</v>
      </c>
      <c r="E445" s="30" t="n">
        <v>0.263369638132076</v>
      </c>
      <c r="F445" s="30" t="n">
        <v>0.0179828927219575</v>
      </c>
      <c r="G445" s="30" t="n">
        <v>0.137496130330241</v>
      </c>
      <c r="H445" s="31" t="n">
        <f aca="false">MAX(D445,F445+0.015)</f>
        <v>0.0739086022509831</v>
      </c>
      <c r="I445" s="25" t="n">
        <f aca="false">(C445-'DCF Base Case'!$B$3)*(1-E445)+'DCF Base Case'!$B$3-G445</f>
        <v>0.207637665381291</v>
      </c>
      <c r="J445" s="24" t="n">
        <f aca="false">'DCF Base Case'!$B$2*(1+B445)^1*$I445-'DCF Base Case'!$B$2*(1+B445)^0*B445*'DCF Base Case'!$B$4</f>
        <v>32.3301381853881</v>
      </c>
      <c r="K445" s="24" t="n">
        <f aca="false">'DCF Base Case'!$B$2*(1+B445)^2*$I445-'DCF Base Case'!$B$2*(1+B445)^1*B445*'DCF Base Case'!$B$4</f>
        <v>35.1199878401123</v>
      </c>
      <c r="L445" s="24" t="n">
        <f aca="false">'DCF Base Case'!$B$2*(1+B445)^3*$I445-'DCF Base Case'!$B$2*(1+B445)^2*B445*'DCF Base Case'!$B$4</f>
        <v>38.1505807001805</v>
      </c>
      <c r="M445" s="24" t="n">
        <f aca="false">'DCF Base Case'!$B$2*(1+B445)^4*$I445-'DCF Base Case'!$B$2*(1+B445)^3*B445*'DCF Base Case'!$B$4</f>
        <v>41.4426911076155</v>
      </c>
      <c r="N445" s="24" t="n">
        <f aca="false">'DCF Base Case'!$B$2*(1+B445)^5*$I445-'DCF Base Case'!$B$2*(1+B445)^4*B445*'DCF Base Case'!$B$4</f>
        <v>45.0188860751235</v>
      </c>
      <c r="O445" s="24" t="n">
        <f aca="false">J445/(1+H445)^1+K445/(1+H445)^2+L445/(1+H445)^3+M445/(1+H445)^4+N445/(1+H445)^5</f>
        <v>154.037437395908</v>
      </c>
      <c r="P445" s="24" t="n">
        <f aca="false">N445*(1+F445)/(H445-F445)</f>
        <v>819.452381736693</v>
      </c>
      <c r="Q445" s="24" t="n">
        <f aca="false">O445+P445/(1+H445)^5</f>
        <v>727.74043079929</v>
      </c>
      <c r="R445" s="24" t="n">
        <f aca="false">Q445-'DCF Base Case'!$B$5</f>
        <v>542.74043079929</v>
      </c>
      <c r="S445" s="32" t="n">
        <f aca="false">R445/'DCF Base Case'!$B$6</f>
        <v>21.7096172319716</v>
      </c>
    </row>
    <row r="446" customFormat="false" ht="15" hidden="false" customHeight="true" outlineLevel="0" collapsed="false">
      <c r="A446" s="6" t="n">
        <v>445</v>
      </c>
      <c r="B446" s="30" t="n">
        <v>0.0810065726042185</v>
      </c>
      <c r="C446" s="30" t="n">
        <v>0.413966461895583</v>
      </c>
      <c r="D446" s="30" t="n">
        <v>0.0806049616425273</v>
      </c>
      <c r="E446" s="30" t="n">
        <v>0.272483565130732</v>
      </c>
      <c r="F446" s="30" t="n">
        <v>0.0192795828876724</v>
      </c>
      <c r="G446" s="30" t="n">
        <v>0.151999662473743</v>
      </c>
      <c r="H446" s="31" t="n">
        <f aca="false">MAX(D446,F446+0.015)</f>
        <v>0.0806049616425273</v>
      </c>
      <c r="I446" s="25" t="n">
        <f aca="false">(C446-'DCF Base Case'!$B$3)*(1-E446)+'DCF Base Case'!$B$3-G446</f>
        <v>0.184590605506971</v>
      </c>
      <c r="J446" s="24" t="n">
        <f aca="false">'DCF Base Case'!$B$2*(1+B446)^1*$I446-'DCF Base Case'!$B$2*(1+B446)^0*B446*'DCF Base Case'!$B$4</f>
        <v>28.5814517893058</v>
      </c>
      <c r="K446" s="24" t="n">
        <f aca="false">'DCF Base Case'!$B$2*(1+B446)^2*$I446-'DCF Base Case'!$B$2*(1+B446)^1*B446*'DCF Base Case'!$B$4</f>
        <v>30.8967372388101</v>
      </c>
      <c r="L446" s="24" t="n">
        <f aca="false">'DCF Base Case'!$B$2*(1+B446)^3*$I446-'DCF Base Case'!$B$2*(1+B446)^2*B446*'DCF Base Case'!$B$4</f>
        <v>33.3995760271793</v>
      </c>
      <c r="M446" s="24" t="n">
        <f aca="false">'DCF Base Case'!$B$2*(1+B446)^4*$I446-'DCF Base Case'!$B$2*(1+B446)^3*B446*'DCF Base Case'!$B$4</f>
        <v>36.1051612075751</v>
      </c>
      <c r="N446" s="24" t="n">
        <f aca="false">'DCF Base Case'!$B$2*(1+B446)^5*$I446-'DCF Base Case'!$B$2*(1+B446)^4*B446*'DCF Base Case'!$B$4</f>
        <v>39.0299165703235</v>
      </c>
      <c r="O446" s="24" t="n">
        <f aca="false">J446/(1+H446)^1+K446/(1+H446)^2+L446/(1+H446)^3+M446/(1+H446)^4+N446/(1+H446)^5</f>
        <v>132.345794778131</v>
      </c>
      <c r="P446" s="24" t="n">
        <f aca="false">N446*(1+F446)/(H446-F446)</f>
        <v>648.71017333571</v>
      </c>
      <c r="Q446" s="24" t="n">
        <f aca="false">O446+P446/(1+H446)^5</f>
        <v>572.612579836874</v>
      </c>
      <c r="R446" s="24" t="n">
        <f aca="false">Q446-'DCF Base Case'!$B$5</f>
        <v>387.612579836874</v>
      </c>
      <c r="S446" s="32" t="n">
        <f aca="false">R446/'DCF Base Case'!$B$6</f>
        <v>15.504503193475</v>
      </c>
    </row>
    <row r="447" customFormat="false" ht="15" hidden="false" customHeight="true" outlineLevel="0" collapsed="false">
      <c r="A447" s="6" t="n">
        <v>446</v>
      </c>
      <c r="B447" s="30" t="n">
        <v>0.105016924675015</v>
      </c>
      <c r="C447" s="30" t="n">
        <v>0.444999519029482</v>
      </c>
      <c r="D447" s="30" t="n">
        <v>0.0798918156858501</v>
      </c>
      <c r="E447" s="30" t="n">
        <v>0.294265792412653</v>
      </c>
      <c r="F447" s="30" t="n">
        <v>0.0184219871826906</v>
      </c>
      <c r="G447" s="30" t="n">
        <v>0.173694028950285</v>
      </c>
      <c r="H447" s="31" t="n">
        <f aca="false">MAX(D447,F447+0.015)</f>
        <v>0.0798918156858501</v>
      </c>
      <c r="I447" s="25" t="n">
        <f aca="false">(C447-'DCF Base Case'!$B$3)*(1-E447)+'DCF Base Case'!$B$3-G447</f>
        <v>0.178611907002382</v>
      </c>
      <c r="J447" s="24" t="n">
        <f aca="false">'DCF Base Case'!$B$2*(1+B447)^1*$I447-'DCF Base Case'!$B$2*(1+B447)^0*B447*'DCF Base Case'!$B$4</f>
        <v>28.1617075046499</v>
      </c>
      <c r="K447" s="24" t="n">
        <f aca="false">'DCF Base Case'!$B$2*(1+B447)^2*$I447-'DCF Base Case'!$B$2*(1+B447)^1*B447*'DCF Base Case'!$B$4</f>
        <v>31.1191634203855</v>
      </c>
      <c r="L447" s="24" t="n">
        <f aca="false">'DCF Base Case'!$B$2*(1+B447)^3*$I447-'DCF Base Case'!$B$2*(1+B447)^2*B447*'DCF Base Case'!$B$4</f>
        <v>34.3872022612536</v>
      </c>
      <c r="M447" s="24" t="n">
        <f aca="false">'DCF Base Case'!$B$2*(1+B447)^4*$I447-'DCF Base Case'!$B$2*(1+B447)^3*B447*'DCF Base Case'!$B$4</f>
        <v>37.9984404909082</v>
      </c>
      <c r="N447" s="24" t="n">
        <f aca="false">'DCF Base Case'!$B$2*(1+B447)^5*$I447-'DCF Base Case'!$B$2*(1+B447)^4*B447*'DCF Base Case'!$B$4</f>
        <v>41.98891985371</v>
      </c>
      <c r="O447" s="24" t="n">
        <f aca="false">J447/(1+H447)^1+K447/(1+H447)^2+L447/(1+H447)^3+M447/(1+H447)^4+N447/(1+H447)^5</f>
        <v>136.601607289796</v>
      </c>
      <c r="P447" s="24" t="n">
        <f aca="false">N447*(1+F447)/(H447-F447)</f>
        <v>695.66550352214</v>
      </c>
      <c r="Q447" s="24" t="n">
        <f aca="false">O447+P447/(1+H447)^5</f>
        <v>610.297064152108</v>
      </c>
      <c r="R447" s="24" t="n">
        <f aca="false">Q447-'DCF Base Case'!$B$5</f>
        <v>425.297064152108</v>
      </c>
      <c r="S447" s="32" t="n">
        <f aca="false">R447/'DCF Base Case'!$B$6</f>
        <v>17.0118825660843</v>
      </c>
    </row>
    <row r="448" customFormat="false" ht="15" hidden="false" customHeight="true" outlineLevel="0" collapsed="false">
      <c r="A448" s="6" t="n">
        <v>447</v>
      </c>
      <c r="B448" s="30" t="n">
        <v>0.122868140808039</v>
      </c>
      <c r="C448" s="30" t="n">
        <v>0.43527775571496</v>
      </c>
      <c r="D448" s="30" t="n">
        <v>0.0654924400730935</v>
      </c>
      <c r="E448" s="30" t="n">
        <v>0.293284320890996</v>
      </c>
      <c r="F448" s="30" t="n">
        <v>0.0237208802723034</v>
      </c>
      <c r="G448" s="30" t="n">
        <v>0.160618898568869</v>
      </c>
      <c r="H448" s="31" t="n">
        <f aca="false">MAX(D448,F448+0.015)</f>
        <v>0.0654924400730935</v>
      </c>
      <c r="I448" s="25" t="n">
        <f aca="false">(C448-'DCF Base Case'!$B$3)*(1-E448)+'DCF Base Case'!$B$3-G448</f>
        <v>0.185125677878102</v>
      </c>
      <c r="J448" s="24" t="n">
        <f aca="false">'DCF Base Case'!$B$2*(1+B448)^1*$I448-'DCF Base Case'!$B$2*(1+B448)^0*B448*'DCF Base Case'!$B$4</f>
        <v>29.6069238190328</v>
      </c>
      <c r="K448" s="24" t="n">
        <f aca="false">'DCF Base Case'!$B$2*(1+B448)^2*$I448-'DCF Base Case'!$B$2*(1+B448)^1*B448*'DCF Base Case'!$B$4</f>
        <v>33.2446715037226</v>
      </c>
      <c r="L448" s="24" t="n">
        <f aca="false">'DCF Base Case'!$B$2*(1+B448)^3*$I448-'DCF Base Case'!$B$2*(1+B448)^2*B448*'DCF Base Case'!$B$4</f>
        <v>37.3293824831589</v>
      </c>
      <c r="M448" s="24" t="n">
        <f aca="false">'DCF Base Case'!$B$2*(1+B448)^4*$I448-'DCF Base Case'!$B$2*(1+B448)^3*B448*'DCF Base Case'!$B$4</f>
        <v>41.9159743063768</v>
      </c>
      <c r="N448" s="24" t="n">
        <f aca="false">'DCF Base Case'!$B$2*(1+B448)^5*$I448-'DCF Base Case'!$B$2*(1+B448)^4*B448*'DCF Base Case'!$B$4</f>
        <v>47.0661121395589</v>
      </c>
      <c r="O448" s="24" t="n">
        <f aca="false">J448/(1+H448)^1+K448/(1+H448)^2+L448/(1+H448)^3+M448/(1+H448)^4+N448/(1+H448)^5</f>
        <v>154.726139019633</v>
      </c>
      <c r="P448" s="24" t="n">
        <f aca="false">N448*(1+F448)/(H448-F448)</f>
        <v>1153.47767668453</v>
      </c>
      <c r="Q448" s="24" t="n">
        <f aca="false">O448+P448/(1+H448)^5</f>
        <v>994.683674911382</v>
      </c>
      <c r="R448" s="24" t="n">
        <f aca="false">Q448-'DCF Base Case'!$B$5</f>
        <v>809.683674911382</v>
      </c>
      <c r="S448" s="32" t="n">
        <f aca="false">R448/'DCF Base Case'!$B$6</f>
        <v>32.3873469964553</v>
      </c>
    </row>
    <row r="449" customFormat="false" ht="15" hidden="false" customHeight="true" outlineLevel="0" collapsed="false">
      <c r="A449" s="6" t="n">
        <v>448</v>
      </c>
      <c r="B449" s="30" t="n">
        <v>0.111741036075559</v>
      </c>
      <c r="C449" s="30" t="n">
        <v>0.407928329112162</v>
      </c>
      <c r="D449" s="30" t="n">
        <v>0.068659069245255</v>
      </c>
      <c r="E449" s="30" t="n">
        <v>0.283710519080155</v>
      </c>
      <c r="F449" s="30" t="n">
        <v>0.0126292805587156</v>
      </c>
      <c r="G449" s="30" t="n">
        <v>0.160263272099028</v>
      </c>
      <c r="H449" s="31" t="n">
        <f aca="false">MAX(D449,F449+0.015)</f>
        <v>0.068659069245255</v>
      </c>
      <c r="I449" s="25" t="n">
        <f aca="false">(C449-'DCF Base Case'!$B$3)*(1-E449)+'DCF Base Case'!$B$3-G449</f>
        <v>0.168813866493642</v>
      </c>
      <c r="J449" s="24" t="n">
        <f aca="false">'DCF Base Case'!$B$2*(1+B449)^1*$I449-'DCF Base Case'!$B$2*(1+B449)^0*B449*'DCF Base Case'!$B$4</f>
        <v>26.727135404808</v>
      </c>
      <c r="K449" s="24" t="n">
        <f aca="false">'DCF Base Case'!$B$2*(1+B449)^2*$I449-'DCF Base Case'!$B$2*(1+B449)^1*B449*'DCF Base Case'!$B$4</f>
        <v>29.713653206273</v>
      </c>
      <c r="L449" s="24" t="n">
        <f aca="false">'DCF Base Case'!$B$2*(1+B449)^3*$I449-'DCF Base Case'!$B$2*(1+B449)^2*B449*'DCF Base Case'!$B$4</f>
        <v>33.0338876011318</v>
      </c>
      <c r="M449" s="24" t="n">
        <f aca="false">'DCF Base Case'!$B$2*(1+B449)^4*$I449-'DCF Base Case'!$B$2*(1+B449)^3*B449*'DCF Base Case'!$B$4</f>
        <v>36.7251284272858</v>
      </c>
      <c r="N449" s="24" t="n">
        <f aca="false">'DCF Base Case'!$B$2*(1+B449)^5*$I449-'DCF Base Case'!$B$2*(1+B449)^4*B449*'DCF Base Case'!$B$4</f>
        <v>40.8288323277587</v>
      </c>
      <c r="O449" s="24" t="n">
        <f aca="false">J449/(1+H449)^1+K449/(1+H449)^2+L449/(1+H449)^3+M449/(1+H449)^4+N449/(1+H449)^5</f>
        <v>135.547127642876</v>
      </c>
      <c r="P449" s="24" t="n">
        <f aca="false">N449*(1+F449)/(H449-F449)</f>
        <v>737.901606900818</v>
      </c>
      <c r="Q449" s="24" t="n">
        <f aca="false">O449+P449/(1+H449)^5</f>
        <v>664.96985036504</v>
      </c>
      <c r="R449" s="24" t="n">
        <f aca="false">Q449-'DCF Base Case'!$B$5</f>
        <v>479.96985036504</v>
      </c>
      <c r="S449" s="32" t="n">
        <f aca="false">R449/'DCF Base Case'!$B$6</f>
        <v>19.1987940146016</v>
      </c>
    </row>
    <row r="450" customFormat="false" ht="15" hidden="false" customHeight="true" outlineLevel="0" collapsed="false">
      <c r="A450" s="6" t="n">
        <v>449</v>
      </c>
      <c r="B450" s="30" t="n">
        <v>0.117743019468582</v>
      </c>
      <c r="C450" s="30" t="n">
        <v>0.383283624546654</v>
      </c>
      <c r="D450" s="30" t="n">
        <v>0.0709255352449471</v>
      </c>
      <c r="E450" s="30" t="n">
        <v>0.258228074867757</v>
      </c>
      <c r="F450" s="30" t="n">
        <v>0.0191149483076756</v>
      </c>
      <c r="G450" s="30" t="n">
        <v>0.157804137853904</v>
      </c>
      <c r="H450" s="31" t="n">
        <f aca="false">MAX(D450,F450+0.015)</f>
        <v>0.0709255352449471</v>
      </c>
      <c r="I450" s="25" t="n">
        <f aca="false">(C450-'DCF Base Case'!$B$3)*(1-E450)+'DCF Base Case'!$B$3-G450</f>
        <v>0.16007454393054</v>
      </c>
      <c r="J450" s="24" t="n">
        <f aca="false">'DCF Base Case'!$B$2*(1+B450)^1*$I450-'DCF Base Case'!$B$2*(1+B450)^0*B450*'DCF Base Case'!$B$4</f>
        <v>25.4315374558934</v>
      </c>
      <c r="K450" s="24" t="n">
        <f aca="false">'DCF Base Case'!$B$2*(1+B450)^2*$I450-'DCF Base Case'!$B$2*(1+B450)^1*B450*'DCF Base Case'!$B$4</f>
        <v>28.4259234656787</v>
      </c>
      <c r="L450" s="24" t="n">
        <f aca="false">'DCF Base Case'!$B$2*(1+B450)^3*$I450-'DCF Base Case'!$B$2*(1+B450)^2*B450*'DCF Base Case'!$B$4</f>
        <v>31.7728775257105</v>
      </c>
      <c r="M450" s="24" t="n">
        <f aca="false">'DCF Base Case'!$B$2*(1+B450)^4*$I450-'DCF Base Case'!$B$2*(1+B450)^3*B450*'DCF Base Case'!$B$4</f>
        <v>35.5139120627931</v>
      </c>
      <c r="N450" s="24" t="n">
        <f aca="false">'DCF Base Case'!$B$2*(1+B450)^5*$I450-'DCF Base Case'!$B$2*(1+B450)^4*B450*'DCF Base Case'!$B$4</f>
        <v>39.6954273022081</v>
      </c>
      <c r="O450" s="24" t="n">
        <f aca="false">J450/(1+H450)^1+K450/(1+H450)^2+L450/(1+H450)^3+M450/(1+H450)^4+N450/(1+H450)^5</f>
        <v>129.581659124909</v>
      </c>
      <c r="P450" s="24" t="n">
        <f aca="false">N450*(1+F450)/(H450-F450)</f>
        <v>780.809593840732</v>
      </c>
      <c r="Q450" s="24" t="n">
        <f aca="false">O450+P450/(1+H450)^5</f>
        <v>683.886626670628</v>
      </c>
      <c r="R450" s="24" t="n">
        <f aca="false">Q450-'DCF Base Case'!$B$5</f>
        <v>498.886626670628</v>
      </c>
      <c r="S450" s="32" t="n">
        <f aca="false">R450/'DCF Base Case'!$B$6</f>
        <v>19.9554650668251</v>
      </c>
    </row>
    <row r="451" customFormat="false" ht="15" hidden="false" customHeight="true" outlineLevel="0" collapsed="false">
      <c r="A451" s="6" t="n">
        <v>450</v>
      </c>
      <c r="B451" s="30" t="n">
        <v>0.119889549383508</v>
      </c>
      <c r="C451" s="30" t="n">
        <v>0.441754153002048</v>
      </c>
      <c r="D451" s="30" t="n">
        <v>0.0904480024067546</v>
      </c>
      <c r="E451" s="30" t="n">
        <v>0.283842192321775</v>
      </c>
      <c r="F451" s="30" t="n">
        <v>0.020750660830494</v>
      </c>
      <c r="G451" s="30" t="n">
        <v>0.147881794331321</v>
      </c>
      <c r="H451" s="31" t="n">
        <f aca="false">MAX(D451,F451+0.015)</f>
        <v>0.0904480024067546</v>
      </c>
      <c r="I451" s="25" t="n">
        <f aca="false">(C451-'DCF Base Case'!$B$3)*(1-E451)+'DCF Base Case'!$B$3-G451</f>
        <v>0.205383376417208</v>
      </c>
      <c r="J451" s="24" t="n">
        <f aca="false">'DCF Base Case'!$B$2*(1+B451)^1*$I451-'DCF Base Case'!$B$2*(1+B451)^0*B451*'DCF Base Case'!$B$4</f>
        <v>32.8294515058576</v>
      </c>
      <c r="K451" s="24" t="n">
        <f aca="false">'DCF Base Case'!$B$2*(1+B451)^2*$I451-'DCF Base Case'!$B$2*(1+B451)^1*B451*'DCF Base Case'!$B$4</f>
        <v>36.7653596534026</v>
      </c>
      <c r="L451" s="24" t="n">
        <f aca="false">'DCF Base Case'!$B$2*(1+B451)^3*$I451-'DCF Base Case'!$B$2*(1+B451)^2*B451*'DCF Base Case'!$B$4</f>
        <v>41.1731420551716</v>
      </c>
      <c r="M451" s="24" t="n">
        <f aca="false">'DCF Base Case'!$B$2*(1+B451)^4*$I451-'DCF Base Case'!$B$2*(1+B451)^3*B451*'DCF Base Case'!$B$4</f>
        <v>46.1093715028693</v>
      </c>
      <c r="N451" s="24" t="n">
        <f aca="false">'DCF Base Case'!$B$2*(1+B451)^5*$I451-'DCF Base Case'!$B$2*(1+B451)^4*B451*'DCF Base Case'!$B$4</f>
        <v>51.6374032747051</v>
      </c>
      <c r="O451" s="24" t="n">
        <f aca="false">J451/(1+H451)^1+K451/(1+H451)^2+L451/(1+H451)^3+M451/(1+H451)^4+N451/(1+H451)^5</f>
        <v>158.88296341774</v>
      </c>
      <c r="P451" s="24" t="n">
        <f aca="false">N451*(1+F451)/(H451-F451)</f>
        <v>756.254289247941</v>
      </c>
      <c r="Q451" s="24" t="n">
        <f aca="false">O451+P451/(1+H451)^5</f>
        <v>649.387518295263</v>
      </c>
      <c r="R451" s="24" t="n">
        <f aca="false">Q451-'DCF Base Case'!$B$5</f>
        <v>464.387518295262</v>
      </c>
      <c r="S451" s="32" t="n">
        <f aca="false">R451/'DCF Base Case'!$B$6</f>
        <v>18.5755007318105</v>
      </c>
    </row>
    <row r="452" customFormat="false" ht="15" hidden="false" customHeight="true" outlineLevel="0" collapsed="false">
      <c r="A452" s="6" t="n">
        <v>451</v>
      </c>
      <c r="B452" s="30" t="n">
        <v>0.108721867002722</v>
      </c>
      <c r="C452" s="30" t="n">
        <v>0.397078799355577</v>
      </c>
      <c r="D452" s="30" t="n">
        <v>0.0941891469329245</v>
      </c>
      <c r="E452" s="30" t="n">
        <v>0.315852498771336</v>
      </c>
      <c r="F452" s="30" t="n">
        <v>0.0201064108309255</v>
      </c>
      <c r="G452" s="30" t="n">
        <v>0.16152248026166</v>
      </c>
      <c r="H452" s="31" t="n">
        <f aca="false">MAX(D452,F452+0.015)</f>
        <v>0.0941891469329245</v>
      </c>
      <c r="I452" s="25" t="n">
        <f aca="false">(C452-'DCF Base Case'!$B$3)*(1-E452)+'DCF Base Case'!$B$3-G452</f>
        <v>0.15119881294861</v>
      </c>
      <c r="J452" s="24" t="n">
        <f aca="false">'DCF Base Case'!$B$2*(1+B452)^1*$I452-'DCF Base Case'!$B$2*(1+B452)^0*B452*'DCF Base Case'!$B$4</f>
        <v>23.83448725478</v>
      </c>
      <c r="K452" s="24" t="n">
        <f aca="false">'DCF Base Case'!$B$2*(1+B452)^2*$I452-'DCF Base Case'!$B$2*(1+B452)^1*B452*'DCF Base Case'!$B$4</f>
        <v>26.4258172081722</v>
      </c>
      <c r="L452" s="24" t="n">
        <f aca="false">'DCF Base Case'!$B$2*(1+B452)^3*$I452-'DCF Base Case'!$B$2*(1+B452)^2*B452*'DCF Base Case'!$B$4</f>
        <v>29.2988813921173</v>
      </c>
      <c r="M452" s="24" t="n">
        <f aca="false">'DCF Base Case'!$B$2*(1+B452)^4*$I452-'DCF Base Case'!$B$2*(1+B452)^3*B452*'DCF Base Case'!$B$4</f>
        <v>32.4843104781597</v>
      </c>
      <c r="N452" s="24" t="n">
        <f aca="false">'DCF Base Case'!$B$2*(1+B452)^5*$I452-'DCF Base Case'!$B$2*(1+B452)^4*B452*'DCF Base Case'!$B$4</f>
        <v>36.0160653616413</v>
      </c>
      <c r="O452" s="24" t="n">
        <f aca="false">J452/(1+H452)^1+K452/(1+H452)^2+L452/(1+H452)^3+M452/(1+H452)^4+N452/(1+H452)^5</f>
        <v>111.845737849753</v>
      </c>
      <c r="P452" s="24" t="n">
        <f aca="false">N452*(1+F452)/(H452-F452)</f>
        <v>495.93496543825</v>
      </c>
      <c r="Q452" s="24" t="n">
        <f aca="false">O452+P452/(1+H452)^5</f>
        <v>428.046356308936</v>
      </c>
      <c r="R452" s="24" t="n">
        <f aca="false">Q452-'DCF Base Case'!$B$5</f>
        <v>243.046356308936</v>
      </c>
      <c r="S452" s="32" t="n">
        <f aca="false">R452/'DCF Base Case'!$B$6</f>
        <v>9.72185425235744</v>
      </c>
    </row>
    <row r="453" customFormat="false" ht="15" hidden="false" customHeight="true" outlineLevel="0" collapsed="false">
      <c r="A453" s="6" t="n">
        <v>452</v>
      </c>
      <c r="B453" s="30" t="n">
        <v>0.0984991484732848</v>
      </c>
      <c r="C453" s="30" t="n">
        <v>0.365763333708902</v>
      </c>
      <c r="D453" s="30" t="n">
        <v>0.0883248404033401</v>
      </c>
      <c r="E453" s="30" t="n">
        <v>0.276537506504569</v>
      </c>
      <c r="F453" s="30" t="n">
        <v>0.019163346157356</v>
      </c>
      <c r="G453" s="30" t="n">
        <v>0.182058319449713</v>
      </c>
      <c r="H453" s="31" t="n">
        <f aca="false">MAX(D453,F453+0.015)</f>
        <v>0.0883248404033401</v>
      </c>
      <c r="I453" s="25" t="n">
        <f aca="false">(C453-'DCF Base Case'!$B$3)*(1-E453)+'DCF Base Case'!$B$3-G453</f>
        <v>0.118507609830125</v>
      </c>
      <c r="J453" s="24" t="n">
        <f aca="false">'DCF Base Case'!$B$2*(1+B453)^1*$I453-'DCF Base Case'!$B$2*(1+B453)^0*B453*'DCF Base Case'!$B$4</f>
        <v>18.4477024346107</v>
      </c>
      <c r="K453" s="24" t="n">
        <f aca="false">'DCF Base Case'!$B$2*(1+B453)^2*$I453-'DCF Base Case'!$B$2*(1+B453)^1*B453*'DCF Base Case'!$B$4</f>
        <v>20.2647854157084</v>
      </c>
      <c r="L453" s="24" t="n">
        <f aca="false">'DCF Base Case'!$B$2*(1+B453)^3*$I453-'DCF Base Case'!$B$2*(1+B453)^2*B453*'DCF Base Case'!$B$4</f>
        <v>22.2608495231495</v>
      </c>
      <c r="M453" s="24" t="n">
        <f aca="false">'DCF Base Case'!$B$2*(1+B453)^4*$I453-'DCF Base Case'!$B$2*(1+B453)^3*B453*'DCF Base Case'!$B$4</f>
        <v>24.4535242454716</v>
      </c>
      <c r="N453" s="24" t="n">
        <f aca="false">'DCF Base Case'!$B$2*(1+B453)^5*$I453-'DCF Base Case'!$B$2*(1+B453)^4*B453*'DCF Base Case'!$B$4</f>
        <v>26.8621755608214</v>
      </c>
      <c r="O453" s="24" t="n">
        <f aca="false">J453/(1+H453)^1+K453/(1+H453)^2+L453/(1+H453)^3+M453/(1+H453)^4+N453/(1+H453)^5</f>
        <v>86.3522615258292</v>
      </c>
      <c r="P453" s="24" t="n">
        <f aca="false">N453*(1+F453)/(H453-F453)</f>
        <v>395.840850868007</v>
      </c>
      <c r="Q453" s="24" t="n">
        <f aca="false">O453+P453/(1+H453)^5</f>
        <v>345.607716079592</v>
      </c>
      <c r="R453" s="24" t="n">
        <f aca="false">Q453-'DCF Base Case'!$B$5</f>
        <v>160.607716079592</v>
      </c>
      <c r="S453" s="32" t="n">
        <f aca="false">R453/'DCF Base Case'!$B$6</f>
        <v>6.42430864318367</v>
      </c>
    </row>
    <row r="454" customFormat="false" ht="15" hidden="false" customHeight="true" outlineLevel="0" collapsed="false">
      <c r="A454" s="6" t="n">
        <v>453</v>
      </c>
      <c r="B454" s="30" t="n">
        <v>0.0884870748132559</v>
      </c>
      <c r="C454" s="30" t="n">
        <v>0.388662276743163</v>
      </c>
      <c r="D454" s="30" t="n">
        <v>0.0834445706209209</v>
      </c>
      <c r="E454" s="30" t="n">
        <v>0.281564698509236</v>
      </c>
      <c r="F454" s="30" t="n">
        <v>0.0197727410820371</v>
      </c>
      <c r="G454" s="30" t="n">
        <v>0.168871651175132</v>
      </c>
      <c r="H454" s="31" t="n">
        <f aca="false">MAX(D454,F454+0.015)</f>
        <v>0.0834445706209209</v>
      </c>
      <c r="I454" s="25" t="n">
        <f aca="false">(C454-'DCF Base Case'!$B$3)*(1-E454)+'DCF Base Case'!$B$3-G454</f>
        <v>0.14696045960113</v>
      </c>
      <c r="J454" s="24" t="n">
        <f aca="false">'DCF Base Case'!$B$2*(1+B454)^1*$I454-'DCF Base Case'!$B$2*(1+B454)^0*B454*'DCF Base Case'!$B$4</f>
        <v>22.8099425383069</v>
      </c>
      <c r="K454" s="24" t="n">
        <f aca="false">'DCF Base Case'!$B$2*(1+B454)^2*$I454-'DCF Base Case'!$B$2*(1+B454)^1*B454*'DCF Base Case'!$B$4</f>
        <v>24.8283276301802</v>
      </c>
      <c r="L454" s="24" t="n">
        <f aca="false">'DCF Base Case'!$B$2*(1+B454)^3*$I454-'DCF Base Case'!$B$2*(1+B454)^2*B454*'DCF Base Case'!$B$4</f>
        <v>27.0253137146799</v>
      </c>
      <c r="M454" s="24" t="n">
        <f aca="false">'DCF Base Case'!$B$2*(1+B454)^4*$I454-'DCF Base Case'!$B$2*(1+B454)^3*B454*'DCF Base Case'!$B$4</f>
        <v>29.4167046712025</v>
      </c>
      <c r="N454" s="24" t="n">
        <f aca="false">'DCF Base Case'!$B$2*(1+B454)^5*$I454-'DCF Base Case'!$B$2*(1+B454)^4*B454*'DCF Base Case'!$B$4</f>
        <v>32.0197028182027</v>
      </c>
      <c r="O454" s="24" t="n">
        <f aca="false">J454/(1+H454)^1+K454/(1+H454)^2+L454/(1+H454)^3+M454/(1+H454)^4+N454/(1+H454)^5</f>
        <v>106.250264352554</v>
      </c>
      <c r="P454" s="24" t="n">
        <f aca="false">N454*(1+F454)/(H454-F454)</f>
        <v>512.829933551854</v>
      </c>
      <c r="Q454" s="24" t="n">
        <f aca="false">O454+P454/(1+H454)^5</f>
        <v>449.760655427462</v>
      </c>
      <c r="R454" s="24" t="n">
        <f aca="false">Q454-'DCF Base Case'!$B$5</f>
        <v>264.760655427462</v>
      </c>
      <c r="S454" s="32" t="n">
        <f aca="false">R454/'DCF Base Case'!$B$6</f>
        <v>10.5904262170985</v>
      </c>
    </row>
    <row r="455" customFormat="false" ht="15" hidden="false" customHeight="true" outlineLevel="0" collapsed="false">
      <c r="A455" s="6" t="n">
        <v>454</v>
      </c>
      <c r="B455" s="30" t="n">
        <v>0.112676331926688</v>
      </c>
      <c r="C455" s="30" t="n">
        <v>0.399245119937537</v>
      </c>
      <c r="D455" s="30" t="n">
        <v>0.0869327050178134</v>
      </c>
      <c r="E455" s="30" t="n">
        <v>0.318766659041948</v>
      </c>
      <c r="F455" s="30" t="n">
        <v>0.012691810478138</v>
      </c>
      <c r="G455" s="30" t="n">
        <v>0.169282252962665</v>
      </c>
      <c r="H455" s="31" t="n">
        <f aca="false">MAX(D455,F455+0.015)</f>
        <v>0.0869327050178134</v>
      </c>
      <c r="I455" s="25" t="n">
        <f aca="false">(C455-'DCF Base Case'!$B$3)*(1-E455)+'DCF Base Case'!$B$3-G455</f>
        <v>0.144136499629035</v>
      </c>
      <c r="J455" s="24" t="n">
        <f aca="false">'DCF Base Case'!$B$2*(1+B455)^1*$I455-'DCF Base Case'!$B$2*(1+B455)^0*B455*'DCF Base Case'!$B$4</f>
        <v>22.764562353197</v>
      </c>
      <c r="K455" s="24" t="n">
        <f aca="false">'DCF Base Case'!$B$2*(1+B455)^2*$I455-'DCF Base Case'!$B$2*(1+B455)^1*B455*'DCF Base Case'!$B$4</f>
        <v>25.3295897370716</v>
      </c>
      <c r="L455" s="24" t="n">
        <f aca="false">'DCF Base Case'!$B$2*(1+B455)^3*$I455-'DCF Base Case'!$B$2*(1+B455)^2*B455*'DCF Base Case'!$B$4</f>
        <v>28.1836349978527</v>
      </c>
      <c r="M455" s="24" t="n">
        <f aca="false">'DCF Base Case'!$B$2*(1+B455)^4*$I455-'DCF Base Case'!$B$2*(1+B455)^3*B455*'DCF Base Case'!$B$4</f>
        <v>31.3592636097714</v>
      </c>
      <c r="N455" s="24" t="n">
        <f aca="false">'DCF Base Case'!$B$2*(1+B455)^5*$I455-'DCF Base Case'!$B$2*(1+B455)^4*B455*'DCF Base Case'!$B$4</f>
        <v>34.8927104052425</v>
      </c>
      <c r="O455" s="24" t="n">
        <f aca="false">J455/(1+H455)^1+K455/(1+H455)^2+L455/(1+H455)^3+M455/(1+H455)^4+N455/(1+H455)^5</f>
        <v>109.798646802271</v>
      </c>
      <c r="P455" s="24" t="n">
        <f aca="false">N455*(1+F455)/(H455-F455)</f>
        <v>475.958193821204</v>
      </c>
      <c r="Q455" s="24" t="n">
        <f aca="false">O455+P455/(1+H455)^5</f>
        <v>423.528267909652</v>
      </c>
      <c r="R455" s="24" t="n">
        <f aca="false">Q455-'DCF Base Case'!$B$5</f>
        <v>238.528267909652</v>
      </c>
      <c r="S455" s="32" t="n">
        <f aca="false">R455/'DCF Base Case'!$B$6</f>
        <v>9.54113071638608</v>
      </c>
    </row>
    <row r="456" customFormat="false" ht="15" hidden="false" customHeight="true" outlineLevel="0" collapsed="false">
      <c r="A456" s="6" t="n">
        <v>455</v>
      </c>
      <c r="B456" s="30" t="n">
        <v>0.0773595115305531</v>
      </c>
      <c r="C456" s="30" t="n">
        <v>0.401743818555563</v>
      </c>
      <c r="D456" s="30" t="n">
        <v>0.0750471174646414</v>
      </c>
      <c r="E456" s="30" t="n">
        <v>0.275057016657566</v>
      </c>
      <c r="F456" s="30" t="n">
        <v>0.0254254019322451</v>
      </c>
      <c r="G456" s="30" t="n">
        <v>0.140301507392041</v>
      </c>
      <c r="H456" s="31" t="n">
        <f aca="false">MAX(D456,F456+0.015)</f>
        <v>0.0750471174646414</v>
      </c>
      <c r="I456" s="25" t="n">
        <f aca="false">(C456-'DCF Base Case'!$B$3)*(1-E456)+'DCF Base Case'!$B$3-G456</f>
        <v>0.186697267136494</v>
      </c>
      <c r="J456" s="24" t="n">
        <f aca="false">'DCF Base Case'!$B$2*(1+B456)^1*$I456-'DCF Base Case'!$B$2*(1+B456)^0*B456*'DCF Base Case'!$B$4</f>
        <v>28.8287972211501</v>
      </c>
      <c r="K456" s="24" t="n">
        <f aca="false">'DCF Base Case'!$B$2*(1+B456)^2*$I456-'DCF Base Case'!$B$2*(1+B456)^1*B456*'DCF Base Case'!$B$4</f>
        <v>31.0589788921917</v>
      </c>
      <c r="L456" s="24" t="n">
        <f aca="false">'DCF Base Case'!$B$2*(1+B456)^3*$I456-'DCF Base Case'!$B$2*(1+B456)^2*B456*'DCF Base Case'!$B$4</f>
        <v>33.4616863279294</v>
      </c>
      <c r="M456" s="24" t="n">
        <f aca="false">'DCF Base Case'!$B$2*(1+B456)^4*$I456-'DCF Base Case'!$B$2*(1+B456)^3*B456*'DCF Base Case'!$B$4</f>
        <v>36.0502660372466</v>
      </c>
      <c r="N456" s="24" t="n">
        <f aca="false">'DCF Base Case'!$B$2*(1+B456)^5*$I456-'DCF Base Case'!$B$2*(1+B456)^4*B456*'DCF Base Case'!$B$4</f>
        <v>38.8390970084344</v>
      </c>
      <c r="O456" s="24" t="n">
        <f aca="false">J456/(1+H456)^1+K456/(1+H456)^2+L456/(1+H456)^3+M456/(1+H456)^4+N456/(1+H456)^5</f>
        <v>134.659604936223</v>
      </c>
      <c r="P456" s="24" t="n">
        <f aca="false">N456*(1+F456)/(H456-F456)</f>
        <v>802.604187163943</v>
      </c>
      <c r="Q456" s="24" t="n">
        <f aca="false">O456+P456/(1+H456)^5</f>
        <v>693.597977225163</v>
      </c>
      <c r="R456" s="24" t="n">
        <f aca="false">Q456-'DCF Base Case'!$B$5</f>
        <v>508.597977225163</v>
      </c>
      <c r="S456" s="32" t="n">
        <f aca="false">R456/'DCF Base Case'!$B$6</f>
        <v>20.3439190890065</v>
      </c>
    </row>
    <row r="457" customFormat="false" ht="15" hidden="false" customHeight="true" outlineLevel="0" collapsed="false">
      <c r="A457" s="6" t="n">
        <v>456</v>
      </c>
      <c r="B457" s="30" t="n">
        <v>0.0646047734299766</v>
      </c>
      <c r="C457" s="30" t="n">
        <v>0.377605982220719</v>
      </c>
      <c r="D457" s="30" t="n">
        <v>0.104001601152909</v>
      </c>
      <c r="E457" s="30" t="n">
        <v>0.2680670808817</v>
      </c>
      <c r="F457" s="30" t="n">
        <v>0.0192579807561794</v>
      </c>
      <c r="G457" s="30" t="n">
        <v>0.157070417090779</v>
      </c>
      <c r="H457" s="31" t="n">
        <f aca="false">MAX(D457,F457+0.015)</f>
        <v>0.104001601152909</v>
      </c>
      <c r="I457" s="25" t="n">
        <f aca="false">(C457-'DCF Base Case'!$B$3)*(1-E457)+'DCF Base Case'!$B$3-G457</f>
        <v>0.154160552267186</v>
      </c>
      <c r="J457" s="24" t="n">
        <f aca="false">'DCF Base Case'!$B$2*(1+B457)^1*$I457-'DCF Base Case'!$B$2*(1+B457)^0*B457*'DCF Base Case'!$B$4</f>
        <v>23.5163779092255</v>
      </c>
      <c r="K457" s="24" t="n">
        <f aca="false">'DCF Base Case'!$B$2*(1+B457)^2*$I457-'DCF Base Case'!$B$2*(1+B457)^1*B457*'DCF Base Case'!$B$4</f>
        <v>25.0356481759447</v>
      </c>
      <c r="L457" s="24" t="n">
        <f aca="false">'DCF Base Case'!$B$2*(1+B457)^3*$I457-'DCF Base Case'!$B$2*(1+B457)^2*B457*'DCF Base Case'!$B$4</f>
        <v>26.6530705540242</v>
      </c>
      <c r="M457" s="24" t="n">
        <f aca="false">'DCF Base Case'!$B$2*(1+B457)^4*$I457-'DCF Base Case'!$B$2*(1+B457)^3*B457*'DCF Base Case'!$B$4</f>
        <v>28.3749861383801</v>
      </c>
      <c r="N457" s="24" t="n">
        <f aca="false">'DCF Base Case'!$B$2*(1+B457)^5*$I457-'DCF Base Case'!$B$2*(1+B457)^4*B457*'DCF Base Case'!$B$4</f>
        <v>30.2081456889289</v>
      </c>
      <c r="O457" s="24" t="n">
        <f aca="false">J457/(1+H457)^1+K457/(1+H457)^2+L457/(1+H457)^3+M457/(1+H457)^4+N457/(1+H457)^5</f>
        <v>99.1702565162735</v>
      </c>
      <c r="P457" s="24" t="n">
        <f aca="false">N457*(1+F457)/(H457-F457)</f>
        <v>363.329928945004</v>
      </c>
      <c r="Q457" s="24" t="n">
        <f aca="false">O457+P457/(1+H457)^5</f>
        <v>320.710514760879</v>
      </c>
      <c r="R457" s="24" t="n">
        <f aca="false">Q457-'DCF Base Case'!$B$5</f>
        <v>135.710514760879</v>
      </c>
      <c r="S457" s="32" t="n">
        <f aca="false">R457/'DCF Base Case'!$B$6</f>
        <v>5.42842059043515</v>
      </c>
    </row>
    <row r="458" customFormat="false" ht="15" hidden="false" customHeight="true" outlineLevel="0" collapsed="false">
      <c r="A458" s="6" t="n">
        <v>457</v>
      </c>
      <c r="B458" s="30" t="n">
        <v>0.0693663751105887</v>
      </c>
      <c r="C458" s="30" t="n">
        <v>0.401776312744213</v>
      </c>
      <c r="D458" s="30" t="n">
        <v>0.112040679663102</v>
      </c>
      <c r="E458" s="30" t="n">
        <v>0.321516503581916</v>
      </c>
      <c r="F458" s="30" t="n">
        <v>0.0158692594490509</v>
      </c>
      <c r="G458" s="30" t="n">
        <v>0.180607343902023</v>
      </c>
      <c r="H458" s="31" t="n">
        <f aca="false">MAX(D458,F458+0.015)</f>
        <v>0.112040679663102</v>
      </c>
      <c r="I458" s="25" t="n">
        <f aca="false">(C458-'DCF Base Case'!$B$3)*(1-E458)+'DCF Base Case'!$B$3-G458</f>
        <v>0.133788399012285</v>
      </c>
      <c r="J458" s="24" t="n">
        <f aca="false">'DCF Base Case'!$B$2*(1+B458)^1*$I458-'DCF Base Case'!$B$2*(1+B458)^0*B458*'DCF Base Case'!$B$4</f>
        <v>20.4432344843933</v>
      </c>
      <c r="K458" s="24" t="n">
        <f aca="false">'DCF Base Case'!$B$2*(1+B458)^2*$I458-'DCF Base Case'!$B$2*(1+B458)^1*B458*'DCF Base Case'!$B$4</f>
        <v>21.8613075561115</v>
      </c>
      <c r="L458" s="24" t="n">
        <f aca="false">'DCF Base Case'!$B$2*(1+B458)^3*$I458-'DCF Base Case'!$B$2*(1+B458)^2*B458*'DCF Base Case'!$B$4</f>
        <v>23.3777472164567</v>
      </c>
      <c r="M458" s="24" t="n">
        <f aca="false">'DCF Base Case'!$B$2*(1+B458)^4*$I458-'DCF Base Case'!$B$2*(1+B458)^3*B458*'DCF Base Case'!$B$4</f>
        <v>24.9993767991139</v>
      </c>
      <c r="N458" s="24" t="n">
        <f aca="false">'DCF Base Case'!$B$2*(1+B458)^5*$I458-'DCF Base Case'!$B$2*(1+B458)^4*B458*'DCF Base Case'!$B$4</f>
        <v>26.7334929476922</v>
      </c>
      <c r="O458" s="24" t="n">
        <f aca="false">J458/(1+H458)^1+K458/(1+H458)^2+L458/(1+H458)^3+M458/(1+H458)^4+N458/(1+H458)^5</f>
        <v>85.1285836690715</v>
      </c>
      <c r="P458" s="24" t="n">
        <f aca="false">N458*(1+F458)/(H458-F458)</f>
        <v>282.388818037759</v>
      </c>
      <c r="Q458" s="24" t="n">
        <f aca="false">O458+P458/(1+H458)^5</f>
        <v>251.180588382602</v>
      </c>
      <c r="R458" s="24" t="n">
        <f aca="false">Q458-'DCF Base Case'!$B$5</f>
        <v>66.1805883826017</v>
      </c>
      <c r="S458" s="32" t="n">
        <f aca="false">R458/'DCF Base Case'!$B$6</f>
        <v>2.64722353530407</v>
      </c>
    </row>
    <row r="459" customFormat="false" ht="15" hidden="false" customHeight="true" outlineLevel="0" collapsed="false">
      <c r="A459" s="6" t="n">
        <v>458</v>
      </c>
      <c r="B459" s="30" t="n">
        <v>0.07184644285405</v>
      </c>
      <c r="C459" s="30" t="n">
        <v>0.372318008767928</v>
      </c>
      <c r="D459" s="30" t="n">
        <v>0.0962146200943109</v>
      </c>
      <c r="E459" s="30" t="n">
        <v>0.315103660920155</v>
      </c>
      <c r="F459" s="30" t="n">
        <v>0.0230960688412527</v>
      </c>
      <c r="G459" s="30" t="n">
        <v>0.155733773755265</v>
      </c>
      <c r="H459" s="31" t="n">
        <f aca="false">MAX(D459,F459+0.015)</f>
        <v>0.0962146200943109</v>
      </c>
      <c r="I459" s="25" t="n">
        <f aca="false">(C459-'DCF Base Case'!$B$3)*(1-E459)+'DCF Base Case'!$B$3-G459</f>
        <v>0.140228943343007</v>
      </c>
      <c r="J459" s="24" t="n">
        <f aca="false">'DCF Base Case'!$B$2*(1+B459)^1*$I459-'DCF Base Case'!$B$2*(1+B459)^0*B459*'DCF Base Case'!$B$4</f>
        <v>21.4815326191555</v>
      </c>
      <c r="K459" s="24" t="n">
        <f aca="false">'DCF Base Case'!$B$2*(1+B459)^2*$I459-'DCF Base Case'!$B$2*(1+B459)^1*B459*'DCF Base Case'!$B$4</f>
        <v>23.0249043248951</v>
      </c>
      <c r="L459" s="24" t="n">
        <f aca="false">'DCF Base Case'!$B$2*(1+B459)^3*$I459-'DCF Base Case'!$B$2*(1+B459)^2*B459*'DCF Base Case'!$B$4</f>
        <v>24.6791617976936</v>
      </c>
      <c r="M459" s="24" t="n">
        <f aca="false">'DCF Base Case'!$B$2*(1+B459)^4*$I459-'DCF Base Case'!$B$2*(1+B459)^3*B459*'DCF Base Case'!$B$4</f>
        <v>26.4522717854775</v>
      </c>
      <c r="N459" s="24" t="n">
        <f aca="false">'DCF Base Case'!$B$2*(1+B459)^5*$I459-'DCF Base Case'!$B$2*(1+B459)^4*B459*'DCF Base Case'!$B$4</f>
        <v>28.3527734186726</v>
      </c>
      <c r="O459" s="24" t="n">
        <f aca="false">J459/(1+H459)^1+K459/(1+H459)^2+L459/(1+H459)^3+M459/(1+H459)^4+N459/(1+H459)^5</f>
        <v>93.7201748688429</v>
      </c>
      <c r="P459" s="24" t="n">
        <f aca="false">N459*(1+F459)/(H459-F459)</f>
        <v>396.720264943399</v>
      </c>
      <c r="Q459" s="24" t="n">
        <f aca="false">O459+P459/(1+H459)^5</f>
        <v>344.334813971871</v>
      </c>
      <c r="R459" s="24" t="n">
        <f aca="false">Q459-'DCF Base Case'!$B$5</f>
        <v>159.334813971871</v>
      </c>
      <c r="S459" s="32" t="n">
        <f aca="false">R459/'DCF Base Case'!$B$6</f>
        <v>6.37339255887483</v>
      </c>
    </row>
    <row r="460" customFormat="false" ht="15" hidden="false" customHeight="true" outlineLevel="0" collapsed="false">
      <c r="A460" s="6" t="n">
        <v>459</v>
      </c>
      <c r="B460" s="30" t="n">
        <v>0.0865710884754562</v>
      </c>
      <c r="C460" s="30" t="n">
        <v>0.427763556588534</v>
      </c>
      <c r="D460" s="30" t="n">
        <v>0.0893064564108292</v>
      </c>
      <c r="E460" s="30" t="n">
        <v>0.269591985007999</v>
      </c>
      <c r="F460" s="30" t="n">
        <v>0.0130373151758879</v>
      </c>
      <c r="G460" s="30" t="n">
        <v>0.167769643027126</v>
      </c>
      <c r="H460" s="31" t="n">
        <f aca="false">MAX(D460,F460+0.015)</f>
        <v>0.0893064564108292</v>
      </c>
      <c r="I460" s="25" t="n">
        <f aca="false">(C460-'DCF Base Case'!$B$3)*(1-E460)+'DCF Base Case'!$B$3-G460</f>
        <v>0.179719245277663</v>
      </c>
      <c r="J460" s="24" t="n">
        <f aca="false">'DCF Base Case'!$B$2*(1+B460)^1*$I460-'DCF Base Case'!$B$2*(1+B460)^0*B460*'DCF Base Case'!$B$4</f>
        <v>27.9386874795258</v>
      </c>
      <c r="K460" s="24" t="n">
        <f aca="false">'DCF Base Case'!$B$2*(1+B460)^2*$I460-'DCF Base Case'!$B$2*(1+B460)^1*B460*'DCF Base Case'!$B$4</f>
        <v>30.357370065204</v>
      </c>
      <c r="L460" s="24" t="n">
        <f aca="false">'DCF Base Case'!$B$2*(1+B460)^3*$I460-'DCF Base Case'!$B$2*(1+B460)^2*B460*'DCF Base Case'!$B$4</f>
        <v>32.9854406350009</v>
      </c>
      <c r="M460" s="24" t="n">
        <f aca="false">'DCF Base Case'!$B$2*(1+B460)^4*$I460-'DCF Base Case'!$B$2*(1+B460)^3*B460*'DCF Base Case'!$B$4</f>
        <v>35.8410261346155</v>
      </c>
      <c r="N460" s="24" t="n">
        <f aca="false">'DCF Base Case'!$B$2*(1+B460)^5*$I460-'DCF Base Case'!$B$2*(1+B460)^4*B460*'DCF Base Case'!$B$4</f>
        <v>38.9438227791664</v>
      </c>
      <c r="O460" s="24" t="n">
        <f aca="false">J460/(1+H460)^1+K460/(1+H460)^2+L460/(1+H460)^3+M460/(1+H460)^4+N460/(1+H460)^5</f>
        <v>127.598275965586</v>
      </c>
      <c r="P460" s="24" t="n">
        <f aca="false">N460*(1+F460)/(H460-F460)</f>
        <v>517.267469281775</v>
      </c>
      <c r="Q460" s="24" t="n">
        <f aca="false">O460+P460/(1+H460)^5</f>
        <v>464.858231162697</v>
      </c>
      <c r="R460" s="24" t="n">
        <f aca="false">Q460-'DCF Base Case'!$B$5</f>
        <v>279.858231162697</v>
      </c>
      <c r="S460" s="32" t="n">
        <f aca="false">R460/'DCF Base Case'!$B$6</f>
        <v>11.1943292465079</v>
      </c>
    </row>
    <row r="461" customFormat="false" ht="15" hidden="false" customHeight="true" outlineLevel="0" collapsed="false">
      <c r="A461" s="6" t="n">
        <v>460</v>
      </c>
      <c r="B461" s="30" t="n">
        <v>0.113514936727468</v>
      </c>
      <c r="C461" s="30" t="n">
        <v>0.397017426705934</v>
      </c>
      <c r="D461" s="30" t="n">
        <v>0.0920263531984358</v>
      </c>
      <c r="E461" s="30" t="n">
        <v>0.289467653340958</v>
      </c>
      <c r="F461" s="30" t="n">
        <v>0.0220466542080488</v>
      </c>
      <c r="G461" s="30" t="n">
        <v>0.186093286349714</v>
      </c>
      <c r="H461" s="31" t="n">
        <f aca="false">MAX(D461,F461+0.015)</f>
        <v>0.0920263531984358</v>
      </c>
      <c r="I461" s="25" t="n">
        <f aca="false">(C461-'DCF Base Case'!$B$3)*(1-E461)+'DCF Base Case'!$B$3-G461</f>
        <v>0.133631232446512</v>
      </c>
      <c r="J461" s="24" t="n">
        <f aca="false">'DCF Base Case'!$B$2*(1+B461)^1*$I461-'DCF Base Case'!$B$2*(1+B461)^0*B461*'DCF Base Case'!$B$4</f>
        <v>21.0822641598968</v>
      </c>
      <c r="K461" s="24" t="n">
        <f aca="false">'DCF Base Case'!$B$2*(1+B461)^2*$I461-'DCF Base Case'!$B$2*(1+B461)^1*B461*'DCF Base Case'!$B$4</f>
        <v>23.4754160420792</v>
      </c>
      <c r="L461" s="24" t="n">
        <f aca="false">'DCF Base Case'!$B$2*(1+B461)^3*$I461-'DCF Base Case'!$B$2*(1+B461)^2*B461*'DCF Base Case'!$B$4</f>
        <v>26.1402264087468</v>
      </c>
      <c r="M461" s="24" t="n">
        <f aca="false">'DCF Base Case'!$B$2*(1+B461)^4*$I461-'DCF Base Case'!$B$2*(1+B461)^3*B461*'DCF Base Case'!$B$4</f>
        <v>29.1075325555774</v>
      </c>
      <c r="N461" s="24" t="n">
        <f aca="false">'DCF Base Case'!$B$2*(1+B461)^5*$I461-'DCF Base Case'!$B$2*(1+B461)^4*B461*'DCF Base Case'!$B$4</f>
        <v>32.4116722719165</v>
      </c>
      <c r="O461" s="24" t="n">
        <f aca="false">J461/(1+H461)^1+K461/(1+H461)^2+L461/(1+H461)^3+M461/(1+H461)^4+N461/(1+H461)^5</f>
        <v>100.402584483685</v>
      </c>
      <c r="P461" s="24" t="n">
        <f aca="false">N461*(1+F461)/(H461-F461)</f>
        <v>473.369301107605</v>
      </c>
      <c r="Q461" s="24" t="n">
        <f aca="false">O461+P461/(1+H461)^5</f>
        <v>405.216292714022</v>
      </c>
      <c r="R461" s="24" t="n">
        <f aca="false">Q461-'DCF Base Case'!$B$5</f>
        <v>220.216292714022</v>
      </c>
      <c r="S461" s="32" t="n">
        <f aca="false">R461/'DCF Base Case'!$B$6</f>
        <v>8.80865170856086</v>
      </c>
    </row>
    <row r="462" customFormat="false" ht="15" hidden="false" customHeight="true" outlineLevel="0" collapsed="false">
      <c r="A462" s="6" t="n">
        <v>461</v>
      </c>
      <c r="B462" s="30" t="n">
        <v>0.0749066788442051</v>
      </c>
      <c r="C462" s="30" t="n">
        <v>0.37537435023038</v>
      </c>
      <c r="D462" s="30" t="n">
        <v>0.0791312852174883</v>
      </c>
      <c r="E462" s="30" t="n">
        <v>0.306977022854561</v>
      </c>
      <c r="F462" s="30" t="n">
        <v>0.0171717420456055</v>
      </c>
      <c r="G462" s="30" t="n">
        <v>0.151229954846381</v>
      </c>
      <c r="H462" s="31" t="n">
        <f aca="false">MAX(D462,F462+0.015)</f>
        <v>0.0791312852174883</v>
      </c>
      <c r="I462" s="25" t="n">
        <f aca="false">(C462-'DCF Base Case'!$B$3)*(1-E462)+'DCF Base Case'!$B$3-G462</f>
        <v>0.148820107865405</v>
      </c>
      <c r="J462" s="24" t="n">
        <f aca="false">'DCF Base Case'!$B$2*(1+B462)^1*$I462-'DCF Base Case'!$B$2*(1+B462)^0*B462*'DCF Base Case'!$B$4</f>
        <v>22.8694764911993</v>
      </c>
      <c r="K462" s="24" t="n">
        <f aca="false">'DCF Base Case'!$B$2*(1+B462)^2*$I462-'DCF Base Case'!$B$2*(1+B462)^1*B462*'DCF Base Case'!$B$4</f>
        <v>24.5825530220606</v>
      </c>
      <c r="L462" s="24" t="n">
        <f aca="false">'DCF Base Case'!$B$2*(1+B462)^3*$I462-'DCF Base Case'!$B$2*(1+B462)^2*B462*'DCF Base Case'!$B$4</f>
        <v>26.4239504264548</v>
      </c>
      <c r="M462" s="24" t="n">
        <f aca="false">'DCF Base Case'!$B$2*(1+B462)^4*$I462-'DCF Base Case'!$B$2*(1+B462)^3*B462*'DCF Base Case'!$B$4</f>
        <v>28.4032807948444</v>
      </c>
      <c r="N462" s="24" t="n">
        <f aca="false">'DCF Base Case'!$B$2*(1+B462)^5*$I462-'DCF Base Case'!$B$2*(1+B462)^4*B462*'DCF Base Case'!$B$4</f>
        <v>30.5308762274656</v>
      </c>
      <c r="O462" s="24" t="n">
        <f aca="false">J462/(1+H462)^1+K462/(1+H462)^2+L462/(1+H462)^3+M462/(1+H462)^4+N462/(1+H462)^5</f>
        <v>105.136032015129</v>
      </c>
      <c r="P462" s="24" t="n">
        <f aca="false">N462*(1+F462)/(H462-F462)</f>
        <v>501.21648689887</v>
      </c>
      <c r="Q462" s="24" t="n">
        <f aca="false">O462+P462/(1+H462)^5</f>
        <v>447.630791812953</v>
      </c>
      <c r="R462" s="24" t="n">
        <f aca="false">Q462-'DCF Base Case'!$B$5</f>
        <v>262.630791812953</v>
      </c>
      <c r="S462" s="32" t="n">
        <f aca="false">R462/'DCF Base Case'!$B$6</f>
        <v>10.5052316725181</v>
      </c>
    </row>
    <row r="463" customFormat="false" ht="15" hidden="false" customHeight="true" outlineLevel="0" collapsed="false">
      <c r="A463" s="6" t="n">
        <v>462</v>
      </c>
      <c r="B463" s="30" t="n">
        <v>0.05309137297318</v>
      </c>
      <c r="C463" s="30" t="n">
        <v>0.434891250084547</v>
      </c>
      <c r="D463" s="30" t="n">
        <v>0.0940828500556784</v>
      </c>
      <c r="E463" s="30" t="n">
        <v>0.303258798582343</v>
      </c>
      <c r="F463" s="30" t="n">
        <v>0.022823993339164</v>
      </c>
      <c r="G463" s="30" t="n">
        <v>0.17886109567615</v>
      </c>
      <c r="H463" s="31" t="n">
        <f aca="false">MAX(D463,F463+0.015)</f>
        <v>0.0940828500556784</v>
      </c>
      <c r="I463" s="25" t="n">
        <f aca="false">(C463-'DCF Base Case'!$B$3)*(1-E463)+'DCF Base Case'!$B$3-G463</f>
        <v>0.163569200209489</v>
      </c>
      <c r="J463" s="24" t="n">
        <f aca="false">'DCF Base Case'!$B$2*(1+B463)^1*$I463-'DCF Base Case'!$B$2*(1+B463)^0*B463*'DCF Base Case'!$B$4</f>
        <v>24.7457830031533</v>
      </c>
      <c r="K463" s="24" t="n">
        <f aca="false">'DCF Base Case'!$B$2*(1+B463)^2*$I463-'DCF Base Case'!$B$2*(1+B463)^1*B463*'DCF Base Case'!$B$4</f>
        <v>26.0595705980871</v>
      </c>
      <c r="L463" s="24" t="n">
        <f aca="false">'DCF Base Case'!$B$2*(1+B463)^3*$I463-'DCF Base Case'!$B$2*(1+B463)^2*B463*'DCF Base Case'!$B$4</f>
        <v>27.443108980231</v>
      </c>
      <c r="M463" s="24" t="n">
        <f aca="false">'DCF Base Case'!$B$2*(1+B463)^4*$I463-'DCF Base Case'!$B$2*(1+B463)^3*B463*'DCF Base Case'!$B$4</f>
        <v>28.9001013146441</v>
      </c>
      <c r="N463" s="24" t="n">
        <f aca="false">'DCF Base Case'!$B$2*(1+B463)^5*$I463-'DCF Base Case'!$B$2*(1+B463)^4*B463*'DCF Base Case'!$B$4</f>
        <v>30.4344473725026</v>
      </c>
      <c r="O463" s="24" t="n">
        <f aca="false">J463/(1+H463)^1+K463/(1+H463)^2+L463/(1+H463)^3+M463/(1+H463)^4+N463/(1+H463)^5</f>
        <v>104.926641698015</v>
      </c>
      <c r="P463" s="24" t="n">
        <f aca="false">N463*(1+F463)/(H463-F463)</f>
        <v>436.845108537918</v>
      </c>
      <c r="Q463" s="24" t="n">
        <f aca="false">O463+P463/(1+H463)^5</f>
        <v>383.587791633317</v>
      </c>
      <c r="R463" s="24" t="n">
        <f aca="false">Q463-'DCF Base Case'!$B$5</f>
        <v>198.587791633317</v>
      </c>
      <c r="S463" s="32" t="n">
        <f aca="false">R463/'DCF Base Case'!$B$6</f>
        <v>7.94351166533267</v>
      </c>
    </row>
    <row r="464" customFormat="false" ht="15" hidden="false" customHeight="true" outlineLevel="0" collapsed="false">
      <c r="A464" s="6" t="n">
        <v>463</v>
      </c>
      <c r="B464" s="30" t="n">
        <v>0.0849159252754457</v>
      </c>
      <c r="C464" s="30" t="n">
        <v>0.409330521490369</v>
      </c>
      <c r="D464" s="30" t="n">
        <v>0.0802967919894866</v>
      </c>
      <c r="E464" s="30" t="n">
        <v>0.343544012441559</v>
      </c>
      <c r="F464" s="30" t="n">
        <v>0.0213397212792369</v>
      </c>
      <c r="G464" s="30" t="n">
        <v>0.155855005985528</v>
      </c>
      <c r="H464" s="31" t="n">
        <f aca="false">MAX(D464,F464+0.015)</f>
        <v>0.0802967919894866</v>
      </c>
      <c r="I464" s="25" t="n">
        <f aca="false">(C464-'DCF Base Case'!$B$3)*(1-E464)+'DCF Base Case'!$B$3-G464</f>
        <v>0.157513187354647</v>
      </c>
      <c r="J464" s="24" t="n">
        <f aca="false">'DCF Base Case'!$B$2*(1+B464)^1*$I464-'DCF Base Case'!$B$2*(1+B464)^0*B464*'DCF Base Case'!$B$4</f>
        <v>24.4094577083347</v>
      </c>
      <c r="K464" s="24" t="n">
        <f aca="false">'DCF Base Case'!$B$2*(1+B464)^2*$I464-'DCF Base Case'!$B$2*(1+B464)^1*B464*'DCF Base Case'!$B$4</f>
        <v>26.4822093951098</v>
      </c>
      <c r="L464" s="24" t="n">
        <f aca="false">'DCF Base Case'!$B$2*(1+B464)^3*$I464-'DCF Base Case'!$B$2*(1+B464)^2*B464*'DCF Base Case'!$B$4</f>
        <v>28.7309707092337</v>
      </c>
      <c r="M464" s="24" t="n">
        <f aca="false">'DCF Base Case'!$B$2*(1+B464)^4*$I464-'DCF Base Case'!$B$2*(1+B464)^3*B464*'DCF Base Case'!$B$4</f>
        <v>31.17068767107</v>
      </c>
      <c r="N464" s="24" t="n">
        <f aca="false">'DCF Base Case'!$B$2*(1+B464)^5*$I464-'DCF Base Case'!$B$2*(1+B464)^4*B464*'DCF Base Case'!$B$4</f>
        <v>33.8175754561308</v>
      </c>
      <c r="O464" s="24" t="n">
        <f aca="false">J464/(1+H464)^1+K464/(1+H464)^2+L464/(1+H464)^3+M464/(1+H464)^4+N464/(1+H464)^5</f>
        <v>113.94596494833</v>
      </c>
      <c r="P464" s="24" t="n">
        <f aca="false">N464*(1+F464)/(H464-F464)</f>
        <v>585.836994182608</v>
      </c>
      <c r="Q464" s="24" t="n">
        <f aca="false">O464+P464/(1+H464)^5</f>
        <v>512.109387347884</v>
      </c>
      <c r="R464" s="24" t="n">
        <f aca="false">Q464-'DCF Base Case'!$B$5</f>
        <v>327.109387347884</v>
      </c>
      <c r="S464" s="32" t="n">
        <f aca="false">R464/'DCF Base Case'!$B$6</f>
        <v>13.0843754939154</v>
      </c>
    </row>
    <row r="465" customFormat="false" ht="15" hidden="false" customHeight="true" outlineLevel="0" collapsed="false">
      <c r="A465" s="6" t="n">
        <v>464</v>
      </c>
      <c r="B465" s="30" t="n">
        <v>0.0999507881952902</v>
      </c>
      <c r="C465" s="30" t="n">
        <v>0.39604313399556</v>
      </c>
      <c r="D465" s="30" t="n">
        <v>0.101549573904482</v>
      </c>
      <c r="E465" s="30" t="n">
        <v>0.264078009890836</v>
      </c>
      <c r="F465" s="30" t="n">
        <v>0.021140329467521</v>
      </c>
      <c r="G465" s="30" t="n">
        <v>0.190686159185523</v>
      </c>
      <c r="H465" s="31" t="n">
        <f aca="false">MAX(D465,F465+0.015)</f>
        <v>0.101549573904482</v>
      </c>
      <c r="I465" s="25" t="n">
        <f aca="false">(C465-'DCF Base Case'!$B$3)*(1-E465)+'DCF Base Case'!$B$3-G465</f>
        <v>0.135100833439369</v>
      </c>
      <c r="J465" s="24" t="n">
        <f aca="false">'DCF Base Case'!$B$2*(1+B465)^1*$I465-'DCF Base Case'!$B$2*(1+B465)^0*B465*'DCF Base Case'!$B$4</f>
        <v>21.1128329643342</v>
      </c>
      <c r="K465" s="24" t="n">
        <f aca="false">'DCF Base Case'!$B$2*(1+B465)^2*$I465-'DCF Base Case'!$B$2*(1+B465)^1*B465*'DCF Base Case'!$B$4</f>
        <v>23.2230772601549</v>
      </c>
      <c r="L465" s="24" t="n">
        <f aca="false">'DCF Base Case'!$B$2*(1+B465)^3*$I465-'DCF Base Case'!$B$2*(1+B465)^2*B465*'DCF Base Case'!$B$4</f>
        <v>25.5442421366275</v>
      </c>
      <c r="M465" s="24" t="n">
        <f aca="false">'DCF Base Case'!$B$2*(1+B465)^4*$I465-'DCF Base Case'!$B$2*(1+B465)^3*B465*'DCF Base Case'!$B$4</f>
        <v>28.0974092720348</v>
      </c>
      <c r="N465" s="24" t="n">
        <f aca="false">'DCF Base Case'!$B$2*(1+B465)^5*$I465-'DCF Base Case'!$B$2*(1+B465)^4*B465*'DCF Base Case'!$B$4</f>
        <v>30.9057674750203</v>
      </c>
      <c r="O465" s="24" t="n">
        <f aca="false">J465/(1+H465)^1+K465/(1+H465)^2+L465/(1+H465)^3+M465/(1+H465)^4+N465/(1+H465)^5</f>
        <v>95.5546447736675</v>
      </c>
      <c r="P465" s="24" t="n">
        <f aca="false">N465*(1+F465)/(H465-F465)</f>
        <v>392.481309865192</v>
      </c>
      <c r="Q465" s="24" t="n">
        <f aca="false">O465+P465/(1+H465)^5</f>
        <v>337.545383960522</v>
      </c>
      <c r="R465" s="24" t="n">
        <f aca="false">Q465-'DCF Base Case'!$B$5</f>
        <v>152.545383960522</v>
      </c>
      <c r="S465" s="32" t="n">
        <f aca="false">R465/'DCF Base Case'!$B$6</f>
        <v>6.10181535842089</v>
      </c>
    </row>
    <row r="466" customFormat="false" ht="15" hidden="false" customHeight="true" outlineLevel="0" collapsed="false">
      <c r="A466" s="6" t="n">
        <v>465</v>
      </c>
      <c r="B466" s="30" t="n">
        <v>0.0981547820436193</v>
      </c>
      <c r="C466" s="30" t="n">
        <v>0.41941191593213</v>
      </c>
      <c r="D466" s="30" t="n">
        <v>0.0851188229334162</v>
      </c>
      <c r="E466" s="30" t="n">
        <v>0.278077837711493</v>
      </c>
      <c r="F466" s="30" t="n">
        <v>0.0170258469896292</v>
      </c>
      <c r="G466" s="30" t="n">
        <v>0.156140917499334</v>
      </c>
      <c r="H466" s="31" t="n">
        <f aca="false">MAX(D466,F466+0.015)</f>
        <v>0.0851188229334162</v>
      </c>
      <c r="I466" s="25" t="n">
        <f aca="false">(C466-'DCF Base Case'!$B$3)*(1-E466)+'DCF Base Case'!$B$3-G466</f>
        <v>0.182791958642449</v>
      </c>
      <c r="J466" s="24" t="n">
        <f aca="false">'DCF Base Case'!$B$2*(1+B466)^1*$I466-'DCF Base Case'!$B$2*(1+B466)^0*B466*'DCF Base Case'!$B$4</f>
        <v>28.6794369059473</v>
      </c>
      <c r="K466" s="24" t="n">
        <f aca="false">'DCF Base Case'!$B$2*(1+B466)^2*$I466-'DCF Base Case'!$B$2*(1+B466)^1*B466*'DCF Base Case'!$B$4</f>
        <v>31.4944607845843</v>
      </c>
      <c r="L466" s="24" t="n">
        <f aca="false">'DCF Base Case'!$B$2*(1+B466)^3*$I466-'DCF Base Case'!$B$2*(1+B466)^2*B466*'DCF Base Case'!$B$4</f>
        <v>34.5857927184765</v>
      </c>
      <c r="M466" s="24" t="n">
        <f aca="false">'DCF Base Case'!$B$2*(1+B466)^4*$I466-'DCF Base Case'!$B$2*(1+B466)^3*B466*'DCF Base Case'!$B$4</f>
        <v>37.9805536645644</v>
      </c>
      <c r="N466" s="24" t="n">
        <f aca="false">'DCF Base Case'!$B$2*(1+B466)^5*$I466-'DCF Base Case'!$B$2*(1+B466)^4*B466*'DCF Base Case'!$B$4</f>
        <v>41.7085266314057</v>
      </c>
      <c r="O466" s="24" t="n">
        <f aca="false">J466/(1+H466)^1+K466/(1+H466)^2+L466/(1+H466)^3+M466/(1+H466)^4+N466/(1+H466)^5</f>
        <v>135.362316826013</v>
      </c>
      <c r="P466" s="24" t="n">
        <f aca="false">N466*(1+F466)/(H466-F466)</f>
        <v>622.951912969891</v>
      </c>
      <c r="Q466" s="24" t="n">
        <f aca="false">O466+P466/(1+H466)^5</f>
        <v>549.426856025504</v>
      </c>
      <c r="R466" s="24" t="n">
        <f aca="false">Q466-'DCF Base Case'!$B$5</f>
        <v>364.426856025504</v>
      </c>
      <c r="S466" s="32" t="n">
        <f aca="false">R466/'DCF Base Case'!$B$6</f>
        <v>14.5770742410202</v>
      </c>
    </row>
    <row r="467" customFormat="false" ht="15" hidden="false" customHeight="true" outlineLevel="0" collapsed="false">
      <c r="A467" s="6" t="n">
        <v>466</v>
      </c>
      <c r="B467" s="30" t="n">
        <v>0.121359815113597</v>
      </c>
      <c r="C467" s="30" t="n">
        <v>0.423195797656821</v>
      </c>
      <c r="D467" s="30" t="n">
        <v>0.0763562410367895</v>
      </c>
      <c r="E467" s="30" t="n">
        <v>0.266921426007029</v>
      </c>
      <c r="F467" s="30" t="n">
        <v>0.0232815199715516</v>
      </c>
      <c r="G467" s="30" t="n">
        <v>0.181297657862861</v>
      </c>
      <c r="H467" s="31" t="n">
        <f aca="false">MAX(D467,F467+0.015)</f>
        <v>0.0763562410367895</v>
      </c>
      <c r="I467" s="25" t="n">
        <f aca="false">(C467-'DCF Base Case'!$B$3)*(1-E467)+'DCF Base Case'!$B$3-G467</f>
        <v>0.163637899384133</v>
      </c>
      <c r="J467" s="24" t="n">
        <f aca="false">'DCF Base Case'!$B$2*(1+B467)^1*$I467-'DCF Base Case'!$B$2*(1+B467)^0*B467*'DCF Base Case'!$B$4</f>
        <v>26.0791446711063</v>
      </c>
      <c r="K467" s="24" t="n">
        <f aca="false">'DCF Base Case'!$B$2*(1+B467)^2*$I467-'DCF Base Case'!$B$2*(1+B467)^1*B467*'DCF Base Case'!$B$4</f>
        <v>29.2441048467125</v>
      </c>
      <c r="L467" s="24" t="n">
        <f aca="false">'DCF Base Case'!$B$2*(1+B467)^3*$I467-'DCF Base Case'!$B$2*(1+B467)^2*B467*'DCF Base Case'!$B$4</f>
        <v>32.7931640040722</v>
      </c>
      <c r="M467" s="24" t="n">
        <f aca="false">'DCF Base Case'!$B$2*(1+B467)^4*$I467-'DCF Base Case'!$B$2*(1+B467)^3*B467*'DCF Base Case'!$B$4</f>
        <v>36.7729363245963</v>
      </c>
      <c r="N467" s="24" t="n">
        <f aca="false">'DCF Base Case'!$B$2*(1+B467)^5*$I467-'DCF Base Case'!$B$2*(1+B467)^4*B467*'DCF Base Case'!$B$4</f>
        <v>41.2356930781334</v>
      </c>
      <c r="O467" s="24" t="n">
        <f aca="false">J467/(1+H467)^1+K467/(1+H467)^2+L467/(1+H467)^3+M467/(1+H467)^4+N467/(1+H467)^5</f>
        <v>131.708440242374</v>
      </c>
      <c r="P467" s="24" t="n">
        <f aca="false">N467*(1+F467)/(H467-F467)</f>
        <v>795.02486010632</v>
      </c>
      <c r="Q467" s="24" t="n">
        <f aca="false">O467+P467/(1+H467)^5</f>
        <v>682.009744893071</v>
      </c>
      <c r="R467" s="24" t="n">
        <f aca="false">Q467-'DCF Base Case'!$B$5</f>
        <v>497.009744893071</v>
      </c>
      <c r="S467" s="32" t="n">
        <f aca="false">R467/'DCF Base Case'!$B$6</f>
        <v>19.8803897957228</v>
      </c>
    </row>
    <row r="468" customFormat="false" ht="15" hidden="false" customHeight="true" outlineLevel="0" collapsed="false">
      <c r="A468" s="6" t="n">
        <v>467</v>
      </c>
      <c r="B468" s="30" t="n">
        <v>0.102077218960891</v>
      </c>
      <c r="C468" s="30" t="n">
        <v>0.413777695148796</v>
      </c>
      <c r="D468" s="30" t="n">
        <v>0.0913069871719024</v>
      </c>
      <c r="E468" s="30" t="n">
        <v>0.264403898021317</v>
      </c>
      <c r="F468" s="30" t="n">
        <v>0.018341260833479</v>
      </c>
      <c r="G468" s="30" t="n">
        <v>0.188433690950726</v>
      </c>
      <c r="H468" s="31" t="n">
        <f aca="false">MAX(D468,F468+0.015)</f>
        <v>0.0913069871719024</v>
      </c>
      <c r="I468" s="25" t="n">
        <f aca="false">(C468-'DCF Base Case'!$B$3)*(1-E468)+'DCF Base Case'!$B$3-G468</f>
        <v>0.150312075429223</v>
      </c>
      <c r="J468" s="24" t="n">
        <f aca="false">'DCF Base Case'!$B$2*(1+B468)^1*$I468-'DCF Base Case'!$B$2*(1+B468)^0*B468*'DCF Base Case'!$B$4</f>
        <v>23.5760136369855</v>
      </c>
      <c r="K468" s="24" t="n">
        <f aca="false">'DCF Base Case'!$B$2*(1+B468)^2*$I468-'DCF Base Case'!$B$2*(1+B468)^1*B468*'DCF Base Case'!$B$4</f>
        <v>25.982587543233</v>
      </c>
      <c r="L468" s="24" t="n">
        <f aca="false">'DCF Base Case'!$B$2*(1+B468)^3*$I468-'DCF Base Case'!$B$2*(1+B468)^2*B468*'DCF Base Case'!$B$4</f>
        <v>28.6348178210541</v>
      </c>
      <c r="M468" s="24" t="n">
        <f aca="false">'DCF Base Case'!$B$2*(1+B468)^4*$I468-'DCF Base Case'!$B$2*(1+B468)^3*B468*'DCF Base Case'!$B$4</f>
        <v>31.557780389679</v>
      </c>
      <c r="N468" s="24" t="n">
        <f aca="false">'DCF Base Case'!$B$2*(1+B468)^5*$I468-'DCF Base Case'!$B$2*(1+B468)^4*B468*'DCF Base Case'!$B$4</f>
        <v>34.779110848436</v>
      </c>
      <c r="O468" s="24" t="n">
        <f aca="false">J468/(1+H468)^1+K468/(1+H468)^2+L468/(1+H468)^3+M468/(1+H468)^4+N468/(1+H468)^5</f>
        <v>110.170547255086</v>
      </c>
      <c r="P468" s="24" t="n">
        <f aca="false">N468*(1+F468)/(H468-F468)</f>
        <v>485.392325539193</v>
      </c>
      <c r="Q468" s="24" t="n">
        <f aca="false">O468+P468/(1+H468)^5</f>
        <v>423.757674380986</v>
      </c>
      <c r="R468" s="24" t="n">
        <f aca="false">Q468-'DCF Base Case'!$B$5</f>
        <v>238.757674380986</v>
      </c>
      <c r="S468" s="32" t="n">
        <f aca="false">R468/'DCF Base Case'!$B$6</f>
        <v>9.55030697523945</v>
      </c>
    </row>
    <row r="469" customFormat="false" ht="15" hidden="false" customHeight="true" outlineLevel="0" collapsed="false">
      <c r="A469" s="6" t="n">
        <v>468</v>
      </c>
      <c r="B469" s="30" t="n">
        <v>0.109098258462545</v>
      </c>
      <c r="C469" s="30" t="n">
        <v>0.400224737091175</v>
      </c>
      <c r="D469" s="30" t="n">
        <v>0.0755892090180057</v>
      </c>
      <c r="E469" s="30" t="n">
        <v>0.28275773847739</v>
      </c>
      <c r="F469" s="30" t="n">
        <v>0.0251476105140121</v>
      </c>
      <c r="G469" s="30" t="n">
        <v>0.130528102126561</v>
      </c>
      <c r="H469" s="31" t="n">
        <f aca="false">MAX(D469,F469+0.015)</f>
        <v>0.0755892090180057</v>
      </c>
      <c r="I469" s="25" t="n">
        <f aca="false">(C469-'DCF Base Case'!$B$3)*(1-E469)+'DCF Base Case'!$B$3-G469</f>
        <v>0.193288499424066</v>
      </c>
      <c r="J469" s="24" t="n">
        <f aca="false">'DCF Base Case'!$B$2*(1+B469)^1*$I469-'DCF Base Case'!$B$2*(1+B469)^0*B469*'DCF Base Case'!$B$4</f>
        <v>30.6099335990381</v>
      </c>
      <c r="K469" s="24" t="n">
        <f aca="false">'DCF Base Case'!$B$2*(1+B469)^2*$I469-'DCF Base Case'!$B$2*(1+B469)^1*B469*'DCF Base Case'!$B$4</f>
        <v>33.9494240463473</v>
      </c>
      <c r="L469" s="24" t="n">
        <f aca="false">'DCF Base Case'!$B$2*(1+B469)^3*$I469-'DCF Base Case'!$B$2*(1+B469)^2*B469*'DCF Base Case'!$B$4</f>
        <v>37.6532470856103</v>
      </c>
      <c r="M469" s="24" t="n">
        <f aca="false">'DCF Base Case'!$B$2*(1+B469)^4*$I469-'DCF Base Case'!$B$2*(1+B469)^3*B469*'DCF Base Case'!$B$4</f>
        <v>41.7611507681103</v>
      </c>
      <c r="N469" s="24" t="n">
        <f aca="false">'DCF Base Case'!$B$2*(1+B469)^5*$I469-'DCF Base Case'!$B$2*(1+B469)^4*B469*'DCF Base Case'!$B$4</f>
        <v>46.3172195883029</v>
      </c>
      <c r="O469" s="24" t="n">
        <f aca="false">J469/(1+H469)^1+K469/(1+H469)^2+L469/(1+H469)^3+M469/(1+H469)^4+N469/(1+H469)^5</f>
        <v>151.440416738832</v>
      </c>
      <c r="P469" s="24" t="n">
        <f aca="false">N469*(1+F469)/(H469-F469)</f>
        <v>941.325976868917</v>
      </c>
      <c r="Q469" s="24" t="n">
        <f aca="false">O469+P469/(1+H469)^5</f>
        <v>805.335183082319</v>
      </c>
      <c r="R469" s="24" t="n">
        <f aca="false">Q469-'DCF Base Case'!$B$5</f>
        <v>620.335183082319</v>
      </c>
      <c r="S469" s="32" t="n">
        <f aca="false">R469/'DCF Base Case'!$B$6</f>
        <v>24.8134073232928</v>
      </c>
    </row>
    <row r="470" customFormat="false" ht="15" hidden="false" customHeight="true" outlineLevel="0" collapsed="false">
      <c r="A470" s="6" t="n">
        <v>469</v>
      </c>
      <c r="B470" s="30" t="n">
        <v>0.0958197783905513</v>
      </c>
      <c r="C470" s="30" t="n">
        <v>0.386462505614232</v>
      </c>
      <c r="D470" s="30" t="n">
        <v>0.078022359071219</v>
      </c>
      <c r="E470" s="30" t="n">
        <v>0.27026239082513</v>
      </c>
      <c r="F470" s="30" t="n">
        <v>0.0176801684137761</v>
      </c>
      <c r="G470" s="30" t="n">
        <v>0.154452364890464</v>
      </c>
      <c r="H470" s="31" t="n">
        <f aca="false">MAX(D470,F470+0.015)</f>
        <v>0.078022359071219</v>
      </c>
      <c r="I470" s="25" t="n">
        <f aca="false">(C470-'DCF Base Case'!$B$3)*(1-E470)+'DCF Base Case'!$B$3-G470</f>
        <v>0.162697970799462</v>
      </c>
      <c r="J470" s="24" t="n">
        <f aca="false">'DCF Base Case'!$B$2*(1+B470)^1*$I470-'DCF Base Case'!$B$2*(1+B470)^0*B470*'DCF Base Case'!$B$4</f>
        <v>25.4348938383797</v>
      </c>
      <c r="K470" s="24" t="n">
        <f aca="false">'DCF Base Case'!$B$2*(1+B470)^2*$I470-'DCF Base Case'!$B$2*(1+B470)^1*B470*'DCF Base Case'!$B$4</f>
        <v>27.8720597293604</v>
      </c>
      <c r="L470" s="24" t="n">
        <f aca="false">'DCF Base Case'!$B$2*(1+B470)^3*$I470-'DCF Base Case'!$B$2*(1+B470)^2*B470*'DCF Base Case'!$B$4</f>
        <v>30.542754315916</v>
      </c>
      <c r="M470" s="24" t="n">
        <f aca="false">'DCF Base Case'!$B$2*(1+B470)^4*$I470-'DCF Base Case'!$B$2*(1+B470)^3*B470*'DCF Base Case'!$B$4</f>
        <v>33.4693542659041</v>
      </c>
      <c r="N470" s="24" t="n">
        <f aca="false">'DCF Base Case'!$B$2*(1+B470)^5*$I470-'DCF Base Case'!$B$2*(1+B470)^4*B470*'DCF Base Case'!$B$4</f>
        <v>36.6763803745378</v>
      </c>
      <c r="O470" s="24" t="n">
        <f aca="false">J470/(1+H470)^1+K470/(1+H470)^2+L470/(1+H470)^3+M470/(1+H470)^4+N470/(1+H470)^5</f>
        <v>121.930213949449</v>
      </c>
      <c r="P470" s="24" t="n">
        <f aca="false">N470*(1+F470)/(H470-F470)</f>
        <v>618.5527000214</v>
      </c>
      <c r="Q470" s="24" t="n">
        <f aca="false">O470+P470/(1+H470)^5</f>
        <v>546.7824067359</v>
      </c>
      <c r="R470" s="24" t="n">
        <f aca="false">Q470-'DCF Base Case'!$B$5</f>
        <v>361.7824067359</v>
      </c>
      <c r="S470" s="32" t="n">
        <f aca="false">R470/'DCF Base Case'!$B$6</f>
        <v>14.471296269436</v>
      </c>
    </row>
    <row r="471" customFormat="false" ht="15" hidden="false" customHeight="true" outlineLevel="0" collapsed="false">
      <c r="A471" s="6" t="n">
        <v>470</v>
      </c>
      <c r="B471" s="30" t="n">
        <v>0.090143966072864</v>
      </c>
      <c r="C471" s="30" t="n">
        <v>0.403053408202761</v>
      </c>
      <c r="D471" s="30" t="n">
        <v>0.0689129687666043</v>
      </c>
      <c r="E471" s="30" t="n">
        <v>0.303571940047518</v>
      </c>
      <c r="F471" s="30" t="n">
        <v>0.0220565229885121</v>
      </c>
      <c r="G471" s="30" t="n">
        <v>0.185396634676588</v>
      </c>
      <c r="H471" s="31" t="n">
        <f aca="false">MAX(D471,F471+0.015)</f>
        <v>0.0689129687666043</v>
      </c>
      <c r="I471" s="25" t="n">
        <f aca="false">(C471-'DCF Base Case'!$B$3)*(1-E471)+'DCF Base Case'!$B$3-G471</f>
        <v>0.134765420661474</v>
      </c>
      <c r="J471" s="24" t="n">
        <f aca="false">'DCF Base Case'!$B$2*(1+B471)^1*$I471-'DCF Base Case'!$B$2*(1+B471)^0*B471*'DCF Base Case'!$B$4</f>
        <v>20.9103617221427</v>
      </c>
      <c r="K471" s="24" t="n">
        <f aca="false">'DCF Base Case'!$B$2*(1+B471)^2*$I471-'DCF Base Case'!$B$2*(1+B471)^1*B471*'DCF Base Case'!$B$4</f>
        <v>22.7953046597949</v>
      </c>
      <c r="L471" s="24" t="n">
        <f aca="false">'DCF Base Case'!$B$2*(1+B471)^3*$I471-'DCF Base Case'!$B$2*(1+B471)^2*B471*'DCF Base Case'!$B$4</f>
        <v>24.850163829668</v>
      </c>
      <c r="M471" s="24" t="n">
        <f aca="false">'DCF Base Case'!$B$2*(1+B471)^4*$I471-'DCF Base Case'!$B$2*(1+B471)^3*B471*'DCF Base Case'!$B$4</f>
        <v>27.0902561548347</v>
      </c>
      <c r="N471" s="24" t="n">
        <f aca="false">'DCF Base Case'!$B$2*(1+B471)^5*$I471-'DCF Base Case'!$B$2*(1+B471)^4*B471*'DCF Base Case'!$B$4</f>
        <v>29.5322792865613</v>
      </c>
      <c r="O471" s="24" t="n">
        <f aca="false">J471/(1+H471)^1+K471/(1+H471)^2+L471/(1+H471)^3+M471/(1+H471)^4+N471/(1+H471)^5</f>
        <v>101.774786105422</v>
      </c>
      <c r="P471" s="24" t="n">
        <f aca="false">N471*(1+F471)/(H471-F471)</f>
        <v>644.173030675343</v>
      </c>
      <c r="Q471" s="24" t="n">
        <f aca="false">O471+P471/(1+H471)^5</f>
        <v>563.401366166185</v>
      </c>
      <c r="R471" s="24" t="n">
        <f aca="false">Q471-'DCF Base Case'!$B$5</f>
        <v>378.401366166185</v>
      </c>
      <c r="S471" s="32" t="n">
        <f aca="false">R471/'DCF Base Case'!$B$6</f>
        <v>15.1360546466474</v>
      </c>
    </row>
    <row r="472" customFormat="false" ht="15" hidden="false" customHeight="true" outlineLevel="0" collapsed="false">
      <c r="A472" s="6" t="n">
        <v>471</v>
      </c>
      <c r="B472" s="30" t="n">
        <v>0.0575628455458493</v>
      </c>
      <c r="C472" s="30" t="n">
        <v>0.408850151341271</v>
      </c>
      <c r="D472" s="30" t="n">
        <v>0.0924357674138762</v>
      </c>
      <c r="E472" s="30" t="n">
        <v>0.258239810250363</v>
      </c>
      <c r="F472" s="30" t="n">
        <v>0.0193883129695508</v>
      </c>
      <c r="G472" s="30" t="n">
        <v>0.162749005759272</v>
      </c>
      <c r="H472" s="31" t="n">
        <f aca="false">MAX(D472,F472+0.015)</f>
        <v>0.0924357674138762</v>
      </c>
      <c r="I472" s="25" t="n">
        <f aca="false">(C472-'DCF Base Case'!$B$3)*(1-E472)+'DCF Base Case'!$B$3-G472</f>
        <v>0.174090935411344</v>
      </c>
      <c r="J472" s="24" t="n">
        <f aca="false">'DCF Base Case'!$B$2*(1+B472)^1*$I472-'DCF Base Case'!$B$2*(1+B472)^0*B472*'DCF Base Case'!$B$4</f>
        <v>26.4458568522927</v>
      </c>
      <c r="K472" s="24" t="n">
        <f aca="false">'DCF Base Case'!$B$2*(1+B472)^2*$I472-'DCF Base Case'!$B$2*(1+B472)^1*B472*'DCF Base Case'!$B$4</f>
        <v>27.9681556256089</v>
      </c>
      <c r="L472" s="24" t="n">
        <f aca="false">'DCF Base Case'!$B$2*(1+B472)^3*$I472-'DCF Base Case'!$B$2*(1+B472)^2*B472*'DCF Base Case'!$B$4</f>
        <v>29.5780822480881</v>
      </c>
      <c r="M472" s="24" t="n">
        <f aca="false">'DCF Base Case'!$B$2*(1+B472)^4*$I472-'DCF Base Case'!$B$2*(1+B472)^3*B472*'DCF Base Case'!$B$4</f>
        <v>31.2806808280772</v>
      </c>
      <c r="N472" s="24" t="n">
        <f aca="false">'DCF Base Case'!$B$2*(1+B472)^5*$I472-'DCF Base Case'!$B$2*(1+B472)^4*B472*'DCF Base Case'!$B$4</f>
        <v>33.0812858271528</v>
      </c>
      <c r="O472" s="24" t="n">
        <f aca="false">J472/(1+H472)^1+K472/(1+H472)^2+L472/(1+H472)^3+M472/(1+H472)^4+N472/(1+H472)^5</f>
        <v>113.555791751291</v>
      </c>
      <c r="P472" s="24" t="n">
        <f aca="false">N472*(1+F472)/(H472-F472)</f>
        <v>461.654364368128</v>
      </c>
      <c r="Q472" s="24" t="n">
        <f aca="false">O472+P472/(1+H472)^5</f>
        <v>410.269349492646</v>
      </c>
      <c r="R472" s="24" t="n">
        <f aca="false">Q472-'DCF Base Case'!$B$5</f>
        <v>225.269349492646</v>
      </c>
      <c r="S472" s="32" t="n">
        <f aca="false">R472/'DCF Base Case'!$B$6</f>
        <v>9.01077397970582</v>
      </c>
    </row>
    <row r="473" customFormat="false" ht="15" hidden="false" customHeight="true" outlineLevel="0" collapsed="false">
      <c r="A473" s="6" t="n">
        <v>472</v>
      </c>
      <c r="B473" s="30" t="n">
        <v>0.127208096750902</v>
      </c>
      <c r="C473" s="30" t="n">
        <v>0.45463638892583</v>
      </c>
      <c r="D473" s="30" t="n">
        <v>0.0666920796733678</v>
      </c>
      <c r="E473" s="30" t="n">
        <v>0.342091930160505</v>
      </c>
      <c r="F473" s="30" t="n">
        <v>0.0156130562198338</v>
      </c>
      <c r="G473" s="30" t="n">
        <v>0.188690869824743</v>
      </c>
      <c r="H473" s="31" t="n">
        <f aca="false">MAX(D473,F473+0.015)</f>
        <v>0.0666920796733678</v>
      </c>
      <c r="I473" s="25" t="n">
        <f aca="false">(C473-'DCF Base Case'!$B$3)*(1-E473)+'DCF Base Case'!$B$3-G473</f>
        <v>0.154890030213113</v>
      </c>
      <c r="J473" s="24" t="n">
        <f aca="false">'DCF Base Case'!$B$2*(1+B473)^1*$I473-'DCF Base Case'!$B$2*(1+B473)^0*B473*'DCF Base Case'!$B$4</f>
        <v>24.7626727226545</v>
      </c>
      <c r="K473" s="24" t="n">
        <f aca="false">'DCF Base Case'!$B$2*(1+B473)^2*$I473-'DCF Base Case'!$B$2*(1+B473)^1*B473*'DCF Base Case'!$B$4</f>
        <v>27.9126851901689</v>
      </c>
      <c r="L473" s="24" t="n">
        <f aca="false">'DCF Base Case'!$B$2*(1+B473)^3*$I473-'DCF Base Case'!$B$2*(1+B473)^2*B473*'DCF Base Case'!$B$4</f>
        <v>31.4634047484173</v>
      </c>
      <c r="M473" s="24" t="n">
        <f aca="false">'DCF Base Case'!$B$2*(1+B473)^4*$I473-'DCF Base Case'!$B$2*(1+B473)^3*B473*'DCF Base Case'!$B$4</f>
        <v>35.4658045837668</v>
      </c>
      <c r="N473" s="24" t="n">
        <f aca="false">'DCF Base Case'!$B$2*(1+B473)^5*$I473-'DCF Base Case'!$B$2*(1+B473)^4*B473*'DCF Base Case'!$B$4</f>
        <v>39.9773420846072</v>
      </c>
      <c r="O473" s="24" t="n">
        <f aca="false">J473/(1+H473)^1+K473/(1+H473)^2+L473/(1+H473)^3+M473/(1+H473)^4+N473/(1+H473)^5</f>
        <v>130.010990057169</v>
      </c>
      <c r="P473" s="24" t="n">
        <f aca="false">N473*(1+F473)/(H473-F473)</f>
        <v>794.876405791673</v>
      </c>
      <c r="Q473" s="24" t="n">
        <f aca="false">O473+P473/(1+H473)^5</f>
        <v>705.589080493011</v>
      </c>
      <c r="R473" s="24" t="n">
        <f aca="false">Q473-'DCF Base Case'!$B$5</f>
        <v>520.589080493011</v>
      </c>
      <c r="S473" s="32" t="n">
        <f aca="false">R473/'DCF Base Case'!$B$6</f>
        <v>20.8235632197204</v>
      </c>
    </row>
    <row r="474" customFormat="false" ht="15" hidden="false" customHeight="true" outlineLevel="0" collapsed="false">
      <c r="A474" s="6" t="n">
        <v>473</v>
      </c>
      <c r="B474" s="30" t="n">
        <v>0.111199030794306</v>
      </c>
      <c r="C474" s="30" t="n">
        <v>0.400736552471717</v>
      </c>
      <c r="D474" s="30" t="n">
        <v>0.0904259457322301</v>
      </c>
      <c r="E474" s="30" t="n">
        <v>0.276693175655338</v>
      </c>
      <c r="F474" s="30" t="n">
        <v>0.0213339605982863</v>
      </c>
      <c r="G474" s="30" t="n">
        <v>0.170475176140905</v>
      </c>
      <c r="H474" s="31" t="n">
        <f aca="false">MAX(D474,F474+0.015)</f>
        <v>0.0904259457322301</v>
      </c>
      <c r="I474" s="25" t="n">
        <f aca="false">(C474-'DCF Base Case'!$B$3)*(1-E474)+'DCF Base Case'!$B$3-G474</f>
        <v>0.155350419861435</v>
      </c>
      <c r="J474" s="24" t="n">
        <f aca="false">'DCF Base Case'!$B$2*(1+B474)^1*$I474-'DCF Base Case'!$B$2*(1+B474)^0*B474*'DCF Base Case'!$B$4</f>
        <v>24.5469434336544</v>
      </c>
      <c r="K474" s="24" t="n">
        <f aca="false">'DCF Base Case'!$B$2*(1+B474)^2*$I474-'DCF Base Case'!$B$2*(1+B474)^1*B474*'DCF Base Case'!$B$4</f>
        <v>27.2765397524394</v>
      </c>
      <c r="L474" s="24" t="n">
        <f aca="false">'DCF Base Case'!$B$2*(1+B474)^3*$I474-'DCF Base Case'!$B$2*(1+B474)^2*B474*'DCF Base Case'!$B$4</f>
        <v>30.309664536333</v>
      </c>
      <c r="M474" s="24" t="n">
        <f aca="false">'DCF Base Case'!$B$2*(1+B474)^4*$I474-'DCF Base Case'!$B$2*(1+B474)^3*B474*'DCF Base Case'!$B$4</f>
        <v>33.6800698564738</v>
      </c>
      <c r="N474" s="24" t="n">
        <f aca="false">'DCF Base Case'!$B$2*(1+B474)^5*$I474-'DCF Base Case'!$B$2*(1+B474)^4*B474*'DCF Base Case'!$B$4</f>
        <v>37.4252609815982</v>
      </c>
      <c r="O474" s="24" t="n">
        <f aca="false">J474/(1+H474)^1+K474/(1+H474)^2+L474/(1+H474)^3+M474/(1+H474)^4+N474/(1+H474)^5</f>
        <v>116.927659026273</v>
      </c>
      <c r="P474" s="24" t="n">
        <f aca="false">N474*(1+F474)/(H474-F474)</f>
        <v>553.229002621051</v>
      </c>
      <c r="Q474" s="24" t="n">
        <f aca="false">O474+P474/(1+H474)^5</f>
        <v>475.786835836263</v>
      </c>
      <c r="R474" s="24" t="n">
        <f aca="false">Q474-'DCF Base Case'!$B$5</f>
        <v>290.786835836263</v>
      </c>
      <c r="S474" s="32" t="n">
        <f aca="false">R474/'DCF Base Case'!$B$6</f>
        <v>11.6314734334505</v>
      </c>
    </row>
    <row r="475" customFormat="false" ht="15" hidden="false" customHeight="true" outlineLevel="0" collapsed="false">
      <c r="A475" s="6" t="n">
        <v>474</v>
      </c>
      <c r="B475" s="30" t="n">
        <v>0.115939445871429</v>
      </c>
      <c r="C475" s="30" t="n">
        <v>0.42465613462042</v>
      </c>
      <c r="D475" s="30" t="n">
        <v>0.0831533852363106</v>
      </c>
      <c r="E475" s="30" t="n">
        <v>0.313235876251649</v>
      </c>
      <c r="F475" s="30" t="n">
        <v>0.0214289106881019</v>
      </c>
      <c r="G475" s="30" t="n">
        <v>0.182679128927614</v>
      </c>
      <c r="H475" s="31" t="n">
        <f aca="false">MAX(D475,F475+0.015)</f>
        <v>0.0831533852363106</v>
      </c>
      <c r="I475" s="25" t="n">
        <f aca="false">(C475-'DCF Base Case'!$B$3)*(1-E475)+'DCF Base Case'!$B$3-G475</f>
        <v>0.149680133172055</v>
      </c>
      <c r="J475" s="24" t="n">
        <f aca="false">'DCF Base Case'!$B$2*(1+B475)^1*$I475-'DCF Base Case'!$B$2*(1+B475)^0*B475*'DCF Base Case'!$B$4</f>
        <v>23.7155883166071</v>
      </c>
      <c r="K475" s="24" t="n">
        <f aca="false">'DCF Base Case'!$B$2*(1+B475)^2*$I475-'DCF Base Case'!$B$2*(1+B475)^1*B475*'DCF Base Case'!$B$4</f>
        <v>26.4651604845494</v>
      </c>
      <c r="L475" s="24" t="n">
        <f aca="false">'DCF Base Case'!$B$2*(1+B475)^3*$I475-'DCF Base Case'!$B$2*(1+B475)^2*B475*'DCF Base Case'!$B$4</f>
        <v>29.5335165260265</v>
      </c>
      <c r="M475" s="24" t="n">
        <f aca="false">'DCF Base Case'!$B$2*(1+B475)^4*$I475-'DCF Base Case'!$B$2*(1+B475)^3*B475*'DCF Base Case'!$B$4</f>
        <v>32.9576160666887</v>
      </c>
      <c r="N475" s="24" t="n">
        <f aca="false">'DCF Base Case'!$B$2*(1+B475)^5*$I475-'DCF Base Case'!$B$2*(1+B475)^4*B475*'DCF Base Case'!$B$4</f>
        <v>36.7787038107039</v>
      </c>
      <c r="O475" s="24" t="n">
        <f aca="false">J475/(1+H475)^1+K475/(1+H475)^2+L475/(1+H475)^3+M475/(1+H475)^4+N475/(1+H475)^5</f>
        <v>116.305806181406</v>
      </c>
      <c r="P475" s="24" t="n">
        <f aca="false">N475*(1+F475)/(H475-F475)</f>
        <v>608.621323143817</v>
      </c>
      <c r="Q475" s="24" t="n">
        <f aca="false">O475+P475/(1+H475)^5</f>
        <v>524.528699967122</v>
      </c>
      <c r="R475" s="24" t="n">
        <f aca="false">Q475-'DCF Base Case'!$B$5</f>
        <v>339.528699967122</v>
      </c>
      <c r="S475" s="32" t="n">
        <f aca="false">R475/'DCF Base Case'!$B$6</f>
        <v>13.5811479986849</v>
      </c>
    </row>
    <row r="476" customFormat="false" ht="15" hidden="false" customHeight="true" outlineLevel="0" collapsed="false">
      <c r="A476" s="6" t="n">
        <v>475</v>
      </c>
      <c r="B476" s="30" t="n">
        <v>0.075577903818917</v>
      </c>
      <c r="C476" s="30" t="n">
        <v>0.386015737814447</v>
      </c>
      <c r="D476" s="30" t="n">
        <v>0.0787550564242203</v>
      </c>
      <c r="E476" s="30" t="n">
        <v>0.264834572131123</v>
      </c>
      <c r="F476" s="30" t="n">
        <v>0.0221770644129936</v>
      </c>
      <c r="G476" s="30" t="n">
        <v>0.188579988781067</v>
      </c>
      <c r="H476" s="31" t="n">
        <f aca="false">MAX(D476,F476+0.015)</f>
        <v>0.0787550564242203</v>
      </c>
      <c r="I476" s="25" t="n">
        <f aca="false">(C476-'DCF Base Case'!$B$3)*(1-E476)+'DCF Base Case'!$B$3-G476</f>
        <v>0.129633930650457</v>
      </c>
      <c r="J476" s="24" t="n">
        <f aca="false">'DCF Base Case'!$B$2*(1+B476)^1*$I476-'DCF Base Case'!$B$2*(1+B476)^0*B476*'DCF Base Case'!$B$4</f>
        <v>19.8887878703474</v>
      </c>
      <c r="K476" s="24" t="n">
        <f aca="false">'DCF Base Case'!$B$2*(1+B476)^2*$I476-'DCF Base Case'!$B$2*(1+B476)^1*B476*'DCF Base Case'!$B$4</f>
        <v>21.3919407670874</v>
      </c>
      <c r="L476" s="24" t="n">
        <f aca="false">'DCF Base Case'!$B$2*(1+B476)^3*$I476-'DCF Base Case'!$B$2*(1+B476)^2*B476*'DCF Base Case'!$B$4</f>
        <v>23.0086988088823</v>
      </c>
      <c r="M476" s="24" t="n">
        <f aca="false">'DCF Base Case'!$B$2*(1+B476)^4*$I476-'DCF Base Case'!$B$2*(1+B476)^3*B476*'DCF Base Case'!$B$4</f>
        <v>24.7476480344584</v>
      </c>
      <c r="N476" s="24" t="n">
        <f aca="false">'DCF Base Case'!$B$2*(1+B476)^5*$I476-'DCF Base Case'!$B$2*(1+B476)^4*B476*'DCF Base Case'!$B$4</f>
        <v>26.6180233973511</v>
      </c>
      <c r="O476" s="24" t="n">
        <f aca="false">J476/(1+H476)^1+K476/(1+H476)^2+L476/(1+H476)^3+M476/(1+H476)^4+N476/(1+H476)^5</f>
        <v>91.6425802581879</v>
      </c>
      <c r="P476" s="24" t="n">
        <f aca="false">N476*(1+F476)/(H476-F476)</f>
        <v>480.899587447038</v>
      </c>
      <c r="Q476" s="24" t="n">
        <f aca="false">O476+P476/(1+H476)^5</f>
        <v>420.827690248187</v>
      </c>
      <c r="R476" s="24" t="n">
        <f aca="false">Q476-'DCF Base Case'!$B$5</f>
        <v>235.827690248187</v>
      </c>
      <c r="S476" s="32" t="n">
        <f aca="false">R476/'DCF Base Case'!$B$6</f>
        <v>9.43310760992747</v>
      </c>
    </row>
    <row r="477" customFormat="false" ht="15" hidden="false" customHeight="true" outlineLevel="0" collapsed="false">
      <c r="A477" s="6" t="n">
        <v>476</v>
      </c>
      <c r="B477" s="30" t="n">
        <v>0.0868166264172688</v>
      </c>
      <c r="C477" s="30" t="n">
        <v>0.440080054899644</v>
      </c>
      <c r="D477" s="30" t="n">
        <v>0.100053163331416</v>
      </c>
      <c r="E477" s="30" t="n">
        <v>0.286769492358174</v>
      </c>
      <c r="F477" s="30" t="n">
        <v>0.0159978844974431</v>
      </c>
      <c r="G477" s="30" t="n">
        <v>0.201412138560663</v>
      </c>
      <c r="H477" s="31" t="n">
        <f aca="false">MAX(D477,F477+0.015)</f>
        <v>0.100053163331416</v>
      </c>
      <c r="I477" s="25" t="n">
        <f aca="false">(C477-'DCF Base Case'!$B$3)*(1-E477)+'DCF Base Case'!$B$3-G477</f>
        <v>0.149746416405015</v>
      </c>
      <c r="J477" s="24" t="n">
        <f aca="false">'DCF Base Case'!$B$2*(1+B477)^1*$I477-'DCF Base Case'!$B$2*(1+B477)^0*B477*'DCF Base Case'!$B$4</f>
        <v>23.2206474639142</v>
      </c>
      <c r="K477" s="24" t="n">
        <f aca="false">'DCF Base Case'!$B$2*(1+B477)^2*$I477-'DCF Base Case'!$B$2*(1+B477)^1*B477*'DCF Base Case'!$B$4</f>
        <v>25.2365857399559</v>
      </c>
      <c r="L477" s="24" t="n">
        <f aca="false">'DCF Base Case'!$B$2*(1+B477)^3*$I477-'DCF Base Case'!$B$2*(1+B477)^2*B477*'DCF Base Case'!$B$4</f>
        <v>27.427540976189</v>
      </c>
      <c r="M477" s="24" t="n">
        <f aca="false">'DCF Base Case'!$B$2*(1+B477)^4*$I477-'DCF Base Case'!$B$2*(1+B477)^3*B477*'DCF Base Case'!$B$4</f>
        <v>29.8087075546632</v>
      </c>
      <c r="N477" s="24" t="n">
        <f aca="false">'DCF Base Case'!$B$2*(1+B477)^5*$I477-'DCF Base Case'!$B$2*(1+B477)^4*B477*'DCF Base Case'!$B$4</f>
        <v>32.396598982418</v>
      </c>
      <c r="O477" s="24" t="n">
        <f aca="false">J477/(1+H477)^1+K477/(1+H477)^2+L477/(1+H477)^3+M477/(1+H477)^4+N477/(1+H477)^5</f>
        <v>103.033747531235</v>
      </c>
      <c r="P477" s="24" t="n">
        <f aca="false">N477*(1+F477)/(H477-F477)</f>
        <v>391.586066784248</v>
      </c>
      <c r="Q477" s="24" t="n">
        <f aca="false">O477+P477/(1+H477)^5</f>
        <v>346.119138581195</v>
      </c>
      <c r="R477" s="24" t="n">
        <f aca="false">Q477-'DCF Base Case'!$B$5</f>
        <v>161.119138581194</v>
      </c>
      <c r="S477" s="32" t="n">
        <f aca="false">R477/'DCF Base Case'!$B$6</f>
        <v>6.44476554324778</v>
      </c>
    </row>
    <row r="478" customFormat="false" ht="15" hidden="false" customHeight="true" outlineLevel="0" collapsed="false">
      <c r="A478" s="6" t="n">
        <v>477</v>
      </c>
      <c r="B478" s="30" t="n">
        <v>0.0887684680577474</v>
      </c>
      <c r="C478" s="30" t="n">
        <v>0.416845525294681</v>
      </c>
      <c r="D478" s="30" t="n">
        <v>0.0812643447183278</v>
      </c>
      <c r="E478" s="30" t="n">
        <v>0.260273824807418</v>
      </c>
      <c r="F478" s="30" t="n">
        <v>0.013524050046158</v>
      </c>
      <c r="G478" s="30" t="n">
        <v>0.180245014089194</v>
      </c>
      <c r="H478" s="31" t="n">
        <f aca="false">MAX(D478,F478+0.015)</f>
        <v>0.0812643447183278</v>
      </c>
      <c r="I478" s="25" t="n">
        <f aca="false">(C478-'DCF Base Case'!$B$3)*(1-E478)+'DCF Base Case'!$B$3-G478</f>
        <v>0.161942129208147</v>
      </c>
      <c r="J478" s="24" t="n">
        <f aca="false">'DCF Base Case'!$B$2*(1+B478)^1*$I478-'DCF Base Case'!$B$2*(1+B478)^0*B478*'DCF Base Case'!$B$4</f>
        <v>25.1798923340836</v>
      </c>
      <c r="K478" s="24" t="n">
        <f aca="false">'DCF Base Case'!$B$2*(1+B478)^2*$I478-'DCF Base Case'!$B$2*(1+B478)^1*B478*'DCF Base Case'!$B$4</f>
        <v>27.4150728024393</v>
      </c>
      <c r="L478" s="24" t="n">
        <f aca="false">'DCF Base Case'!$B$2*(1+B478)^3*$I478-'DCF Base Case'!$B$2*(1+B478)^2*B478*'DCF Base Case'!$B$4</f>
        <v>29.8486668168034</v>
      </c>
      <c r="M478" s="24" t="n">
        <f aca="false">'DCF Base Case'!$B$2*(1+B478)^4*$I478-'DCF Base Case'!$B$2*(1+B478)^3*B478*'DCF Base Case'!$B$4</f>
        <v>32.4982872436972</v>
      </c>
      <c r="N478" s="24" t="n">
        <f aca="false">'DCF Base Case'!$B$2*(1+B478)^5*$I478-'DCF Base Case'!$B$2*(1+B478)^4*B478*'DCF Base Case'!$B$4</f>
        <v>35.3831104168208</v>
      </c>
      <c r="O478" s="24" t="n">
        <f aca="false">J478/(1+H478)^1+K478/(1+H478)^2+L478/(1+H478)^3+M478/(1+H478)^4+N478/(1+H478)^5</f>
        <v>118.064700494146</v>
      </c>
      <c r="P478" s="24" t="n">
        <f aca="false">N478*(1+F478)/(H478-F478)</f>
        <v>529.398839294095</v>
      </c>
      <c r="Q478" s="24" t="n">
        <f aca="false">O478+P478/(1+H478)^5</f>
        <v>476.263044837912</v>
      </c>
      <c r="R478" s="24" t="n">
        <f aca="false">Q478-'DCF Base Case'!$B$5</f>
        <v>291.263044837912</v>
      </c>
      <c r="S478" s="32" t="n">
        <f aca="false">R478/'DCF Base Case'!$B$6</f>
        <v>11.6505217935165</v>
      </c>
    </row>
    <row r="479" customFormat="false" ht="15" hidden="false" customHeight="true" outlineLevel="0" collapsed="false">
      <c r="A479" s="6" t="n">
        <v>478</v>
      </c>
      <c r="B479" s="30" t="n">
        <v>0.0729162436144731</v>
      </c>
      <c r="C479" s="30" t="n">
        <v>0.455630367657469</v>
      </c>
      <c r="D479" s="30" t="n">
        <v>0.0730531905912627</v>
      </c>
      <c r="E479" s="30" t="n">
        <v>0.25514848801877</v>
      </c>
      <c r="F479" s="30" t="n">
        <v>0.0211732117276341</v>
      </c>
      <c r="G479" s="30" t="n">
        <v>0.200543375186732</v>
      </c>
      <c r="H479" s="31" t="n">
        <f aca="false">MAX(D479,F479+0.015)</f>
        <v>0.0730531905912627</v>
      </c>
      <c r="I479" s="25" t="n">
        <f aca="false">(C479-'DCF Base Case'!$B$3)*(1-E479)+'DCF Base Case'!$B$3-G479</f>
        <v>0.172002896509938</v>
      </c>
      <c r="J479" s="24" t="n">
        <f aca="false">'DCF Base Case'!$B$2*(1+B479)^1*$I479-'DCF Base Case'!$B$2*(1+B479)^0*B479*'DCF Base Case'!$B$4</f>
        <v>26.4417960743435</v>
      </c>
      <c r="K479" s="24" t="n">
        <f aca="false">'DCF Base Case'!$B$2*(1+B479)^2*$I479-'DCF Base Case'!$B$2*(1+B479)^1*B479*'DCF Base Case'!$B$4</f>
        <v>28.3698325185045</v>
      </c>
      <c r="L479" s="24" t="n">
        <f aca="false">'DCF Base Case'!$B$2*(1+B479)^3*$I479-'DCF Base Case'!$B$2*(1+B479)^2*B479*'DCF Base Case'!$B$4</f>
        <v>30.4384541377256</v>
      </c>
      <c r="M479" s="24" t="n">
        <f aca="false">'DCF Base Case'!$B$2*(1+B479)^4*$I479-'DCF Base Case'!$B$2*(1+B479)^3*B479*'DCF Base Case'!$B$4</f>
        <v>32.65791187488</v>
      </c>
      <c r="N479" s="24" t="n">
        <f aca="false">'DCF Base Case'!$B$2*(1+B479)^5*$I479-'DCF Base Case'!$B$2*(1+B479)^4*B479*'DCF Base Case'!$B$4</f>
        <v>35.0392041330887</v>
      </c>
      <c r="O479" s="24" t="n">
        <f aca="false">J479/(1+H479)^1+K479/(1+H479)^2+L479/(1+H479)^3+M479/(1+H479)^4+N479/(1+H479)^5</f>
        <v>123.176781774607</v>
      </c>
      <c r="P479" s="24" t="n">
        <f aca="false">N479*(1+F479)/(H479-F479)</f>
        <v>689.689884319736</v>
      </c>
      <c r="Q479" s="24" t="n">
        <f aca="false">O479+P479/(1+H479)^5</f>
        <v>607.960030992414</v>
      </c>
      <c r="R479" s="24" t="n">
        <f aca="false">Q479-'DCF Base Case'!$B$5</f>
        <v>422.960030992414</v>
      </c>
      <c r="S479" s="32" t="n">
        <f aca="false">R479/'DCF Base Case'!$B$6</f>
        <v>16.9184012396966</v>
      </c>
    </row>
    <row r="480" customFormat="false" ht="15" hidden="false" customHeight="true" outlineLevel="0" collapsed="false">
      <c r="A480" s="6" t="n">
        <v>479</v>
      </c>
      <c r="B480" s="30" t="n">
        <v>0.0913044991791356</v>
      </c>
      <c r="C480" s="30" t="n">
        <v>0.426047159846146</v>
      </c>
      <c r="D480" s="30" t="n">
        <v>0.0647209784079542</v>
      </c>
      <c r="E480" s="30" t="n">
        <v>0.263776471675384</v>
      </c>
      <c r="F480" s="30" t="n">
        <v>0.0149761488806629</v>
      </c>
      <c r="G480" s="30" t="n">
        <v>0.130778341951666</v>
      </c>
      <c r="H480" s="31" t="n">
        <f aca="false">MAX(D480,F480+0.015)</f>
        <v>0.0647209784079542</v>
      </c>
      <c r="I480" s="25" t="n">
        <f aca="false">(C480-'DCF Base Case'!$B$3)*(1-E480)+'DCF Base Case'!$B$3-G480</f>
        <v>0.217178542620745</v>
      </c>
      <c r="J480" s="24" t="n">
        <f aca="false">'DCF Base Case'!$B$2*(1+B480)^1*$I480-'DCF Base Case'!$B$2*(1+B480)^0*B480*'DCF Base Case'!$B$4</f>
        <v>33.9689739282129</v>
      </c>
      <c r="K480" s="24" t="n">
        <f aca="false">'DCF Base Case'!$B$2*(1+B480)^2*$I480-'DCF Base Case'!$B$2*(1+B480)^1*B480*'DCF Base Case'!$B$4</f>
        <v>37.0704940803575</v>
      </c>
      <c r="L480" s="24" t="n">
        <f aca="false">'DCF Base Case'!$B$2*(1+B480)^3*$I480-'DCF Base Case'!$B$2*(1+B480)^2*B480*'DCF Base Case'!$B$4</f>
        <v>40.4551969766876</v>
      </c>
      <c r="M480" s="24" t="n">
        <f aca="false">'DCF Base Case'!$B$2*(1+B480)^4*$I480-'DCF Base Case'!$B$2*(1+B480)^3*B480*'DCF Base Case'!$B$4</f>
        <v>44.1489384758374</v>
      </c>
      <c r="N480" s="24" t="n">
        <f aca="false">'DCF Base Case'!$B$2*(1+B480)^5*$I480-'DCF Base Case'!$B$2*(1+B480)^4*B480*'DCF Base Case'!$B$4</f>
        <v>48.1799351926641</v>
      </c>
      <c r="O480" s="24" t="n">
        <f aca="false">J480/(1+H480)^1+K480/(1+H480)^2+L480/(1+H480)^3+M480/(1+H480)^4+N480/(1+H480)^5</f>
        <v>167.687611504092</v>
      </c>
      <c r="P480" s="24" t="n">
        <f aca="false">N480*(1+F480)/(H480-F480)</f>
        <v>983.046590768626</v>
      </c>
      <c r="Q480" s="24" t="n">
        <f aca="false">O480+P480/(1+H480)^5</f>
        <v>886.135124383063</v>
      </c>
      <c r="R480" s="24" t="n">
        <f aca="false">Q480-'DCF Base Case'!$B$5</f>
        <v>701.135124383063</v>
      </c>
      <c r="S480" s="32" t="n">
        <f aca="false">R480/'DCF Base Case'!$B$6</f>
        <v>28.0454049753225</v>
      </c>
    </row>
    <row r="481" customFormat="false" ht="15" hidden="false" customHeight="true" outlineLevel="0" collapsed="false">
      <c r="A481" s="6" t="n">
        <v>480</v>
      </c>
      <c r="B481" s="30" t="n">
        <v>0.0923849887931509</v>
      </c>
      <c r="C481" s="30" t="n">
        <v>0.370871451015602</v>
      </c>
      <c r="D481" s="30" t="n">
        <v>0.0704558443730381</v>
      </c>
      <c r="E481" s="30" t="n">
        <v>0.266490192792495</v>
      </c>
      <c r="F481" s="30" t="n">
        <v>0.0159589063797668</v>
      </c>
      <c r="G481" s="30" t="n">
        <v>0.17444332008714</v>
      </c>
      <c r="H481" s="31" t="n">
        <f aca="false">MAX(D481,F481+0.015)</f>
        <v>0.0704558443730381</v>
      </c>
      <c r="I481" s="25" t="n">
        <f aca="false">(C481-'DCF Base Case'!$B$3)*(1-E481)+'DCF Base Case'!$B$3-G481</f>
        <v>0.132238251509106</v>
      </c>
      <c r="J481" s="24" t="n">
        <f aca="false">'DCF Base Case'!$B$2*(1+B481)^1*$I481-'DCF Base Case'!$B$2*(1+B481)^0*B481*'DCF Base Case'!$B$4</f>
        <v>20.5441120282059</v>
      </c>
      <c r="K481" s="24" t="n">
        <f aca="false">'DCF Base Case'!$B$2*(1+B481)^2*$I481-'DCF Base Case'!$B$2*(1+B481)^1*B481*'DCF Base Case'!$B$4</f>
        <v>22.442079587697</v>
      </c>
      <c r="L481" s="24" t="n">
        <f aca="false">'DCF Base Case'!$B$2*(1+B481)^3*$I481-'DCF Base Case'!$B$2*(1+B481)^2*B481*'DCF Base Case'!$B$4</f>
        <v>24.5153908589013</v>
      </c>
      <c r="M481" s="24" t="n">
        <f aca="false">'DCF Base Case'!$B$2*(1+B481)^4*$I481-'DCF Base Case'!$B$2*(1+B481)^3*B481*'DCF Base Case'!$B$4</f>
        <v>26.7802449686607</v>
      </c>
      <c r="N481" s="24" t="n">
        <f aca="false">'DCF Base Case'!$B$2*(1+B481)^5*$I481-'DCF Base Case'!$B$2*(1+B481)^4*B481*'DCF Base Case'!$B$4</f>
        <v>29.2543375999682</v>
      </c>
      <c r="O481" s="24" t="n">
        <f aca="false">J481/(1+H481)^1+K481/(1+H481)^2+L481/(1+H481)^3+M481/(1+H481)^4+N481/(1+H481)^5</f>
        <v>99.9726333576073</v>
      </c>
      <c r="P481" s="24" t="n">
        <f aca="false">N481*(1+F481)/(H481-F481)</f>
        <v>545.37384905181</v>
      </c>
      <c r="Q481" s="24" t="n">
        <f aca="false">O481+P481/(1+H481)^5</f>
        <v>487.989425890242</v>
      </c>
      <c r="R481" s="24" t="n">
        <f aca="false">Q481-'DCF Base Case'!$B$5</f>
        <v>302.989425890242</v>
      </c>
      <c r="S481" s="32" t="n">
        <f aca="false">R481/'DCF Base Case'!$B$6</f>
        <v>12.1195770356097</v>
      </c>
    </row>
    <row r="482" customFormat="false" ht="15" hidden="false" customHeight="true" outlineLevel="0" collapsed="false">
      <c r="A482" s="6" t="n">
        <v>481</v>
      </c>
      <c r="B482" s="30" t="n">
        <v>0.0964131813487174</v>
      </c>
      <c r="C482" s="30" t="n">
        <v>0.433729946199971</v>
      </c>
      <c r="D482" s="30" t="n">
        <v>0.0932762210598395</v>
      </c>
      <c r="E482" s="30" t="n">
        <v>0.314545214786304</v>
      </c>
      <c r="F482" s="30" t="n">
        <v>0.019346981714925</v>
      </c>
      <c r="G482" s="30" t="n">
        <v>0.172202487464399</v>
      </c>
      <c r="H482" s="31" t="n">
        <f aca="false">MAX(D482,F482+0.015)</f>
        <v>0.0932762210598395</v>
      </c>
      <c r="I482" s="25" t="n">
        <f aca="false">(C482-'DCF Base Case'!$B$3)*(1-E482)+'DCF Base Case'!$B$3-G482</f>
        <v>0.16599065757107</v>
      </c>
      <c r="J482" s="24" t="n">
        <f aca="false">'DCF Base Case'!$B$2*(1+B482)^1*$I482-'DCF Base Case'!$B$2*(1+B482)^0*B482*'DCF Base Case'!$B$4</f>
        <v>25.9697826776741</v>
      </c>
      <c r="K482" s="24" t="n">
        <f aca="false">'DCF Base Case'!$B$2*(1+B482)^2*$I482-'DCF Base Case'!$B$2*(1+B482)^1*B482*'DCF Base Case'!$B$4</f>
        <v>28.4736120445634</v>
      </c>
      <c r="L482" s="24" t="n">
        <f aca="false">'DCF Base Case'!$B$2*(1+B482)^3*$I482-'DCF Base Case'!$B$2*(1+B482)^2*B482*'DCF Base Case'!$B$4</f>
        <v>31.218843566269</v>
      </c>
      <c r="M482" s="24" t="n">
        <f aca="false">'DCF Base Case'!$B$2*(1+B482)^4*$I482-'DCF Base Case'!$B$2*(1+B482)^3*B482*'DCF Base Case'!$B$4</f>
        <v>34.2287515925209</v>
      </c>
      <c r="N482" s="24" t="n">
        <f aca="false">'DCF Base Case'!$B$2*(1+B482)^5*$I482-'DCF Base Case'!$B$2*(1+B482)^4*B482*'DCF Base Case'!$B$4</f>
        <v>37.5288544271508</v>
      </c>
      <c r="O482" s="24" t="n">
        <f aca="false">J482/(1+H482)^1+K482/(1+H482)^2+L482/(1+H482)^3+M482/(1+H482)^4+N482/(1+H482)^5</f>
        <v>119.453993813822</v>
      </c>
      <c r="P482" s="24" t="n">
        <f aca="false">N482*(1+F482)/(H482-F482)</f>
        <v>517.45324078147</v>
      </c>
      <c r="Q482" s="24" t="n">
        <f aca="false">O482+P482/(1+H482)^5</f>
        <v>450.754119089407</v>
      </c>
      <c r="R482" s="24" t="n">
        <f aca="false">Q482-'DCF Base Case'!$B$5</f>
        <v>265.754119089407</v>
      </c>
      <c r="S482" s="32" t="n">
        <f aca="false">R482/'DCF Base Case'!$B$6</f>
        <v>10.6301647635763</v>
      </c>
    </row>
    <row r="483" customFormat="false" ht="15" hidden="false" customHeight="true" outlineLevel="0" collapsed="false">
      <c r="A483" s="6" t="n">
        <v>482</v>
      </c>
      <c r="B483" s="30" t="n">
        <v>0.100981049589538</v>
      </c>
      <c r="C483" s="30" t="n">
        <v>0.421134893240282</v>
      </c>
      <c r="D483" s="30" t="n">
        <v>0.0806308625909122</v>
      </c>
      <c r="E483" s="30" t="n">
        <v>0.271011379745276</v>
      </c>
      <c r="F483" s="30" t="n">
        <v>0.0160158807896605</v>
      </c>
      <c r="G483" s="30" t="n">
        <v>0.17505654486153</v>
      </c>
      <c r="H483" s="31" t="n">
        <f aca="false">MAX(D483,F483+0.015)</f>
        <v>0.0806308625909122</v>
      </c>
      <c r="I483" s="25" t="n">
        <f aca="false">(C483-'DCF Base Case'!$B$3)*(1-E483)+'DCF Base Case'!$B$3-G483</f>
        <v>0.16717747926971</v>
      </c>
      <c r="J483" s="24" t="n">
        <f aca="false">'DCF Base Case'!$B$2*(1+B483)^1*$I483-'DCF Base Case'!$B$2*(1+B483)^0*B483*'DCF Base Case'!$B$4</f>
        <v>26.2493217404297</v>
      </c>
      <c r="K483" s="24" t="n">
        <f aca="false">'DCF Base Case'!$B$2*(1+B483)^2*$I483-'DCF Base Case'!$B$2*(1+B483)^1*B483*'DCF Base Case'!$B$4</f>
        <v>28.9000058007918</v>
      </c>
      <c r="L483" s="24" t="n">
        <f aca="false">'DCF Base Case'!$B$2*(1+B483)^3*$I483-'DCF Base Case'!$B$2*(1+B483)^2*B483*'DCF Base Case'!$B$4</f>
        <v>31.8183587196995</v>
      </c>
      <c r="M483" s="24" t="n">
        <f aca="false">'DCF Base Case'!$B$2*(1+B483)^4*$I483-'DCF Base Case'!$B$2*(1+B483)^3*B483*'DCF Base Case'!$B$4</f>
        <v>35.0314099794312</v>
      </c>
      <c r="N483" s="24" t="n">
        <f aca="false">'DCF Base Case'!$B$2*(1+B483)^5*$I483-'DCF Base Case'!$B$2*(1+B483)^4*B483*'DCF Base Case'!$B$4</f>
        <v>38.5689185277556</v>
      </c>
      <c r="O483" s="24" t="n">
        <f aca="false">J483/(1+H483)^1+K483/(1+H483)^2+L483/(1+H483)^3+M483/(1+H483)^4+N483/(1+H483)^5</f>
        <v>126.115025344072</v>
      </c>
      <c r="P483" s="24" t="n">
        <f aca="false">N483*(1+F483)/(H483-F483)</f>
        <v>606.463588423128</v>
      </c>
      <c r="Q483" s="24" t="n">
        <f aca="false">O483+P483/(1+H483)^5</f>
        <v>537.660563531225</v>
      </c>
      <c r="R483" s="24" t="n">
        <f aca="false">Q483-'DCF Base Case'!$B$5</f>
        <v>352.660563531225</v>
      </c>
      <c r="S483" s="32" t="n">
        <f aca="false">R483/'DCF Base Case'!$B$6</f>
        <v>14.106422541249</v>
      </c>
    </row>
    <row r="484" customFormat="false" ht="15" hidden="false" customHeight="true" outlineLevel="0" collapsed="false">
      <c r="A484" s="6" t="n">
        <v>483</v>
      </c>
      <c r="B484" s="30" t="n">
        <v>0.088090984158915</v>
      </c>
      <c r="C484" s="30" t="n">
        <v>0.399231086273317</v>
      </c>
      <c r="D484" s="30" t="n">
        <v>0.0777153069874295</v>
      </c>
      <c r="E484" s="30" t="n">
        <v>0.255771446440664</v>
      </c>
      <c r="F484" s="30" t="n">
        <v>0.0228629124288058</v>
      </c>
      <c r="G484" s="30" t="n">
        <v>0.166971609506261</v>
      </c>
      <c r="H484" s="31" t="n">
        <f aca="false">MAX(D484,F484+0.015)</f>
        <v>0.0777153069874295</v>
      </c>
      <c r="I484" s="25" t="n">
        <f aca="false">(C484-'DCF Base Case'!$B$3)*(1-E484)+'DCF Base Case'!$B$3-G484</f>
        <v>0.163397852404139</v>
      </c>
      <c r="J484" s="24" t="n">
        <f aca="false">'DCF Base Case'!$B$2*(1+B484)^1*$I484-'DCF Base Case'!$B$2*(1+B484)^0*B484*'DCF Base Case'!$B$4</f>
        <v>25.3966050735302</v>
      </c>
      <c r="K484" s="24" t="n">
        <f aca="false">'DCF Base Case'!$B$2*(1+B484)^2*$I484-'DCF Base Case'!$B$2*(1+B484)^1*B484*'DCF Base Case'!$B$4</f>
        <v>27.6338170087528</v>
      </c>
      <c r="L484" s="24" t="n">
        <f aca="false">'DCF Base Case'!$B$2*(1+B484)^3*$I484-'DCF Base Case'!$B$2*(1+B484)^2*B484*'DCF Base Case'!$B$4</f>
        <v>30.0681071451212</v>
      </c>
      <c r="M484" s="24" t="n">
        <f aca="false">'DCF Base Case'!$B$2*(1+B484)^4*$I484-'DCF Base Case'!$B$2*(1+B484)^3*B484*'DCF Base Case'!$B$4</f>
        <v>32.7168362953306</v>
      </c>
      <c r="N484" s="24" t="n">
        <f aca="false">'DCF Base Case'!$B$2*(1+B484)^5*$I484-'DCF Base Case'!$B$2*(1+B484)^4*B484*'DCF Base Case'!$B$4</f>
        <v>35.5988946031524</v>
      </c>
      <c r="O484" s="24" t="n">
        <f aca="false">J484/(1+H484)^1+K484/(1+H484)^2+L484/(1+H484)^3+M484/(1+H484)^4+N484/(1+H484)^5</f>
        <v>120.116815209815</v>
      </c>
      <c r="P484" s="24" t="n">
        <f aca="false">N484*(1+F484)/(H484-F484)</f>
        <v>663.832259394077</v>
      </c>
      <c r="Q484" s="24" t="n">
        <f aca="false">O484+P484/(1+H484)^5</f>
        <v>576.719117644371</v>
      </c>
      <c r="R484" s="24" t="n">
        <f aca="false">Q484-'DCF Base Case'!$B$5</f>
        <v>391.719117644371</v>
      </c>
      <c r="S484" s="32" t="n">
        <f aca="false">R484/'DCF Base Case'!$B$6</f>
        <v>15.6687647057748</v>
      </c>
    </row>
    <row r="485" customFormat="false" ht="15" hidden="false" customHeight="true" outlineLevel="0" collapsed="false">
      <c r="A485" s="6" t="n">
        <v>484</v>
      </c>
      <c r="B485" s="30" t="n">
        <v>0.0711547519813169</v>
      </c>
      <c r="C485" s="30" t="n">
        <v>0.423977724144888</v>
      </c>
      <c r="D485" s="30" t="n">
        <v>0.0788350630922619</v>
      </c>
      <c r="E485" s="30" t="n">
        <v>0.253248889402557</v>
      </c>
      <c r="F485" s="30" t="n">
        <v>0.0230103828729284</v>
      </c>
      <c r="G485" s="30" t="n">
        <v>0.154386061715692</v>
      </c>
      <c r="H485" s="31" t="n">
        <f aca="false">MAX(D485,F485+0.015)</f>
        <v>0.0788350630922619</v>
      </c>
      <c r="I485" s="25" t="n">
        <f aca="false">(C485-'DCF Base Case'!$B$3)*(1-E485)+'DCF Base Case'!$B$3-G485</f>
        <v>0.195142130280412</v>
      </c>
      <c r="J485" s="24" t="n">
        <f aca="false">'DCF Base Case'!$B$2*(1+B485)^1*$I485-'DCF Base Case'!$B$2*(1+B485)^0*B485*'DCF Base Case'!$B$4</f>
        <v>29.9994527523162</v>
      </c>
      <c r="K485" s="24" t="n">
        <f aca="false">'DCF Base Case'!$B$2*(1+B485)^2*$I485-'DCF Base Case'!$B$2*(1+B485)^1*B485*'DCF Base Case'!$B$4</f>
        <v>32.1340563724825</v>
      </c>
      <c r="L485" s="24" t="n">
        <f aca="false">'DCF Base Case'!$B$2*(1+B485)^3*$I485-'DCF Base Case'!$B$2*(1+B485)^2*B485*'DCF Base Case'!$B$4</f>
        <v>34.4205471838202</v>
      </c>
      <c r="M485" s="24" t="n">
        <f aca="false">'DCF Base Case'!$B$2*(1+B485)^4*$I485-'DCF Base Case'!$B$2*(1+B485)^3*B485*'DCF Base Case'!$B$4</f>
        <v>36.8697326817461</v>
      </c>
      <c r="N485" s="24" t="n">
        <f aca="false">'DCF Base Case'!$B$2*(1+B485)^5*$I485-'DCF Base Case'!$B$2*(1+B485)^4*B485*'DCF Base Case'!$B$4</f>
        <v>39.4931893663332</v>
      </c>
      <c r="O485" s="24" t="n">
        <f aca="false">J485/(1+H485)^1+K485/(1+H485)^2+L485/(1+H485)^3+M485/(1+H485)^4+N485/(1+H485)^5</f>
        <v>137.070748254889</v>
      </c>
      <c r="P485" s="24" t="n">
        <f aca="false">N485*(1+F485)/(H485-F485)</f>
        <v>723.729049871626</v>
      </c>
      <c r="Q485" s="24" t="n">
        <f aca="false">O485+P485/(1+H485)^5</f>
        <v>632.293672577747</v>
      </c>
      <c r="R485" s="24" t="n">
        <f aca="false">Q485-'DCF Base Case'!$B$5</f>
        <v>447.293672577747</v>
      </c>
      <c r="S485" s="32" t="n">
        <f aca="false">R485/'DCF Base Case'!$B$6</f>
        <v>17.8917469031099</v>
      </c>
    </row>
    <row r="486" customFormat="false" ht="15" hidden="false" customHeight="true" outlineLevel="0" collapsed="false">
      <c r="A486" s="6" t="n">
        <v>485</v>
      </c>
      <c r="B486" s="30" t="n">
        <v>0.0813102201857243</v>
      </c>
      <c r="C486" s="30" t="n">
        <v>0.412442579295575</v>
      </c>
      <c r="D486" s="30" t="n">
        <v>0.0975684814506913</v>
      </c>
      <c r="E486" s="30" t="n">
        <v>0.280208399915399</v>
      </c>
      <c r="F486" s="30" t="n">
        <v>0.0144907917449906</v>
      </c>
      <c r="G486" s="30" t="n">
        <v>0.178052671799892</v>
      </c>
      <c r="H486" s="31" t="n">
        <f aca="false">MAX(D486,F486+0.015)</f>
        <v>0.0975684814506913</v>
      </c>
      <c r="I486" s="25" t="n">
        <f aca="false">(C486-'DCF Base Case'!$B$3)*(1-E486)+'DCF Base Case'!$B$3-G486</f>
        <v>0.155247124283292</v>
      </c>
      <c r="J486" s="24" t="n">
        <f aca="false">'DCF Base Case'!$B$2*(1+B486)^1*$I486-'DCF Base Case'!$B$2*(1+B486)^0*B486*'DCF Base Case'!$B$4</f>
        <v>23.9874943527773</v>
      </c>
      <c r="K486" s="24" t="n">
        <f aca="false">'DCF Base Case'!$B$2*(1+B486)^2*$I486-'DCF Base Case'!$B$2*(1+B486)^1*B486*'DCF Base Case'!$B$4</f>
        <v>25.9379228003054</v>
      </c>
      <c r="L486" s="24" t="n">
        <f aca="false">'DCF Base Case'!$B$2*(1+B486)^3*$I486-'DCF Base Case'!$B$2*(1+B486)^2*B486*'DCF Base Case'!$B$4</f>
        <v>28.0469410143586</v>
      </c>
      <c r="M486" s="24" t="n">
        <f aca="false">'DCF Base Case'!$B$2*(1+B486)^4*$I486-'DCF Base Case'!$B$2*(1+B486)^3*B486*'DCF Base Case'!$B$4</f>
        <v>30.3274439637721</v>
      </c>
      <c r="N486" s="24" t="n">
        <f aca="false">'DCF Base Case'!$B$2*(1+B486)^5*$I486-'DCF Base Case'!$B$2*(1+B486)^4*B486*'DCF Base Case'!$B$4</f>
        <v>32.7933751101366</v>
      </c>
      <c r="O486" s="24" t="n">
        <f aca="false">J486/(1+H486)^1+K486/(1+H486)^2+L486/(1+H486)^3+M486/(1+H486)^4+N486/(1+H486)^5</f>
        <v>106.085821926758</v>
      </c>
      <c r="P486" s="24" t="n">
        <f aca="false">N486*(1+F486)/(H486-F486)</f>
        <v>400.451399134058</v>
      </c>
      <c r="Q486" s="24" t="n">
        <f aca="false">O486+P486/(1+H486)^5</f>
        <v>357.501108522987</v>
      </c>
      <c r="R486" s="24" t="n">
        <f aca="false">Q486-'DCF Base Case'!$B$5</f>
        <v>172.501108522987</v>
      </c>
      <c r="S486" s="32" t="n">
        <f aca="false">R486/'DCF Base Case'!$B$6</f>
        <v>6.90004434091946</v>
      </c>
    </row>
    <row r="487" customFormat="false" ht="15" hidden="false" customHeight="true" outlineLevel="0" collapsed="false">
      <c r="A487" s="6" t="n">
        <v>486</v>
      </c>
      <c r="B487" s="30" t="n">
        <v>0.079613243828428</v>
      </c>
      <c r="C487" s="30" t="n">
        <v>0.445176191541476</v>
      </c>
      <c r="D487" s="30" t="n">
        <v>0.0849876830580232</v>
      </c>
      <c r="E487" s="30" t="n">
        <v>0.245287392571453</v>
      </c>
      <c r="F487" s="30" t="n">
        <v>0.0206222299865854</v>
      </c>
      <c r="G487" s="30" t="n">
        <v>0.207531230385012</v>
      </c>
      <c r="H487" s="31" t="n">
        <f aca="false">MAX(D487,F487+0.015)</f>
        <v>0.0849876830580232</v>
      </c>
      <c r="I487" s="25" t="n">
        <f aca="false">(C487-'DCF Base Case'!$B$3)*(1-E487)+'DCF Base Case'!$B$3-G487</f>
        <v>0.160336214932655</v>
      </c>
      <c r="J487" s="24" t="n">
        <f aca="false">'DCF Base Case'!$B$2*(1+B487)^1*$I487-'DCF Base Case'!$B$2*(1+B487)^0*B487*'DCF Base Case'!$B$4</f>
        <v>24.7533420498055</v>
      </c>
      <c r="K487" s="24" t="n">
        <f aca="false">'DCF Base Case'!$B$2*(1+B487)^2*$I487-'DCF Base Case'!$B$2*(1+B487)^1*B487*'DCF Base Case'!$B$4</f>
        <v>26.7240359059852</v>
      </c>
      <c r="L487" s="24" t="n">
        <f aca="false">'DCF Base Case'!$B$2*(1+B487)^3*$I487-'DCF Base Case'!$B$2*(1+B487)^2*B487*'DCF Base Case'!$B$4</f>
        <v>28.8516230926481</v>
      </c>
      <c r="M487" s="24" t="n">
        <f aca="false">'DCF Base Case'!$B$2*(1+B487)^4*$I487-'DCF Base Case'!$B$2*(1+B487)^3*B487*'DCF Base Case'!$B$4</f>
        <v>31.148594396769</v>
      </c>
      <c r="N487" s="24" t="n">
        <f aca="false">'DCF Base Case'!$B$2*(1+B487)^5*$I487-'DCF Base Case'!$B$2*(1+B487)^4*B487*'DCF Base Case'!$B$4</f>
        <v>33.6284350373917</v>
      </c>
      <c r="O487" s="24" t="n">
        <f aca="false">J487/(1+H487)^1+K487/(1+H487)^2+L487/(1+H487)^3+M487/(1+H487)^4+N487/(1+H487)^5</f>
        <v>112.947478371279</v>
      </c>
      <c r="P487" s="24" t="n">
        <f aca="false">N487*(1+F487)/(H487-F487)</f>
        <v>533.235248429442</v>
      </c>
      <c r="Q487" s="24" t="n">
        <f aca="false">O487+P487/(1+H487)^5</f>
        <v>467.593269149333</v>
      </c>
      <c r="R487" s="24" t="n">
        <f aca="false">Q487-'DCF Base Case'!$B$5</f>
        <v>282.593269149333</v>
      </c>
      <c r="S487" s="32" t="n">
        <f aca="false">R487/'DCF Base Case'!$B$6</f>
        <v>11.3037307659733</v>
      </c>
    </row>
    <row r="488" customFormat="false" ht="15" hidden="false" customHeight="true" outlineLevel="0" collapsed="false">
      <c r="A488" s="6" t="n">
        <v>487</v>
      </c>
      <c r="B488" s="30" t="n">
        <v>0.123040918757003</v>
      </c>
      <c r="C488" s="30" t="n">
        <v>0.453157857169594</v>
      </c>
      <c r="D488" s="30" t="n">
        <v>0.0737826379608039</v>
      </c>
      <c r="E488" s="30" t="n">
        <v>0.30768737691612</v>
      </c>
      <c r="F488" s="30" t="n">
        <v>0.0164149092375507</v>
      </c>
      <c r="G488" s="30" t="n">
        <v>0.170325093130979</v>
      </c>
      <c r="H488" s="31" t="n">
        <f aca="false">MAX(D488,F488+0.015)</f>
        <v>0.0737826379608039</v>
      </c>
      <c r="I488" s="25" t="n">
        <f aca="false">(C488-'DCF Base Case'!$B$3)*(1-E488)+'DCF Base Case'!$B$3-G488</f>
        <v>0.183401170636268</v>
      </c>
      <c r="J488" s="24" t="n">
        <f aca="false">'DCF Base Case'!$B$2*(1+B488)^1*$I488-'DCF Base Case'!$B$2*(1+B488)^0*B488*'DCF Base Case'!$B$4</f>
        <v>29.3299897834144</v>
      </c>
      <c r="K488" s="24" t="n">
        <f aca="false">'DCF Base Case'!$B$2*(1+B488)^2*$I488-'DCF Base Case'!$B$2*(1+B488)^1*B488*'DCF Base Case'!$B$4</f>
        <v>32.9387786734993</v>
      </c>
      <c r="L488" s="24" t="n">
        <f aca="false">'DCF Base Case'!$B$2*(1+B488)^3*$I488-'DCF Base Case'!$B$2*(1+B488)^2*B488*'DCF Base Case'!$B$4</f>
        <v>36.9915962642202</v>
      </c>
      <c r="M488" s="24" t="n">
        <f aca="false">'DCF Base Case'!$B$2*(1+B488)^4*$I488-'DCF Base Case'!$B$2*(1+B488)^3*B488*'DCF Base Case'!$B$4</f>
        <v>41.543076254858</v>
      </c>
      <c r="N488" s="24" t="n">
        <f aca="false">'DCF Base Case'!$B$2*(1+B488)^5*$I488-'DCF Base Case'!$B$2*(1+B488)^4*B488*'DCF Base Case'!$B$4</f>
        <v>46.6545745252479</v>
      </c>
      <c r="O488" s="24" t="n">
        <f aca="false">J488/(1+H488)^1+K488/(1+H488)^2+L488/(1+H488)^3+M488/(1+H488)^4+N488/(1+H488)^5</f>
        <v>149.691539514736</v>
      </c>
      <c r="P488" s="24" t="n">
        <f aca="false">N488*(1+F488)/(H488-F488)</f>
        <v>826.604193454415</v>
      </c>
      <c r="Q488" s="24" t="n">
        <f aca="false">O488+P488/(1+H488)^5</f>
        <v>728.741073441972</v>
      </c>
      <c r="R488" s="24" t="n">
        <f aca="false">Q488-'DCF Base Case'!$B$5</f>
        <v>543.741073441972</v>
      </c>
      <c r="S488" s="32" t="n">
        <f aca="false">R488/'DCF Base Case'!$B$6</f>
        <v>21.7496429376789</v>
      </c>
    </row>
    <row r="489" customFormat="false" ht="15" hidden="false" customHeight="true" outlineLevel="0" collapsed="false">
      <c r="A489" s="6" t="n">
        <v>488</v>
      </c>
      <c r="B489" s="30" t="n">
        <v>0.0625296983503057</v>
      </c>
      <c r="C489" s="30" t="n">
        <v>0.389702202512952</v>
      </c>
      <c r="D489" s="30" t="n">
        <v>0.0775612863290002</v>
      </c>
      <c r="E489" s="30" t="n">
        <v>0.307268238282695</v>
      </c>
      <c r="F489" s="30" t="n">
        <v>0.0222294510272559</v>
      </c>
      <c r="G489" s="30" t="n">
        <v>0.171566998922341</v>
      </c>
      <c r="H489" s="31" t="n">
        <f aca="false">MAX(D489,F489+0.015)</f>
        <v>0.0775612863290002</v>
      </c>
      <c r="I489" s="25" t="n">
        <f aca="false">(C489-'DCF Base Case'!$B$3)*(1-E489)+'DCF Base Case'!$B$3-G489</f>
        <v>0.138336965346321</v>
      </c>
      <c r="J489" s="24" t="n">
        <f aca="false">'DCF Base Case'!$B$2*(1+B489)^1*$I489-'DCF Base Case'!$B$2*(1+B489)^0*B489*'DCF Base Case'!$B$4</f>
        <v>21.041130250894</v>
      </c>
      <c r="K489" s="24" t="n">
        <f aca="false">'DCF Base Case'!$B$2*(1+B489)^2*$I489-'DCF Base Case'!$B$2*(1+B489)^1*B489*'DCF Base Case'!$B$4</f>
        <v>22.3568257784318</v>
      </c>
      <c r="L489" s="24" t="n">
        <f aca="false">'DCF Base Case'!$B$2*(1+B489)^3*$I489-'DCF Base Case'!$B$2*(1+B489)^2*B489*'DCF Base Case'!$B$4</f>
        <v>23.7547913504275</v>
      </c>
      <c r="M489" s="24" t="n">
        <f aca="false">'DCF Base Case'!$B$2*(1+B489)^4*$I489-'DCF Base Case'!$B$2*(1+B489)^3*B489*'DCF Base Case'!$B$4</f>
        <v>25.2401712879442</v>
      </c>
      <c r="N489" s="24" t="n">
        <f aca="false">'DCF Base Case'!$B$2*(1+B489)^5*$I489-'DCF Base Case'!$B$2*(1+B489)^4*B489*'DCF Base Case'!$B$4</f>
        <v>26.8184315848894</v>
      </c>
      <c r="O489" s="24" t="n">
        <f aca="false">J489/(1+H489)^1+K489/(1+H489)^2+L489/(1+H489)^3+M489/(1+H489)^4+N489/(1+H489)^5</f>
        <v>94.9469427558711</v>
      </c>
      <c r="P489" s="24" t="n">
        <f aca="false">N489*(1+F489)/(H489-F489)</f>
        <v>495.457821829548</v>
      </c>
      <c r="Q489" s="24" t="n">
        <f aca="false">O489+P489/(1+H489)^5</f>
        <v>435.980243785876</v>
      </c>
      <c r="R489" s="24" t="n">
        <f aca="false">Q489-'DCF Base Case'!$B$5</f>
        <v>250.980243785876</v>
      </c>
      <c r="S489" s="32" t="n">
        <f aca="false">R489/'DCF Base Case'!$B$6</f>
        <v>10.0392097514351</v>
      </c>
    </row>
    <row r="490" customFormat="false" ht="15" hidden="false" customHeight="true" outlineLevel="0" collapsed="false">
      <c r="A490" s="6" t="n">
        <v>489</v>
      </c>
      <c r="B490" s="30" t="n">
        <v>0.0610286022160112</v>
      </c>
      <c r="C490" s="30" t="n">
        <v>0.396518116513607</v>
      </c>
      <c r="D490" s="30" t="n">
        <v>0.07679271868763</v>
      </c>
      <c r="E490" s="30" t="n">
        <v>0.306374729324122</v>
      </c>
      <c r="F490" s="30" t="n">
        <v>0.0235419459811022</v>
      </c>
      <c r="G490" s="30" t="n">
        <v>0.190463983584865</v>
      </c>
      <c r="H490" s="31" t="n">
        <f aca="false">MAX(D490,F490+0.015)</f>
        <v>0.07679271868763</v>
      </c>
      <c r="I490" s="25" t="n">
        <f aca="false">(C490-'DCF Base Case'!$B$3)*(1-E490)+'DCF Base Case'!$B$3-G490</f>
        <v>0.124399717121911</v>
      </c>
      <c r="J490" s="24" t="n">
        <f aca="false">'DCF Base Case'!$B$2*(1+B490)^1*$I490-'DCF Base Case'!$B$2*(1+B490)^0*B490*'DCF Base Case'!$B$4</f>
        <v>18.8733159865799</v>
      </c>
      <c r="K490" s="24" t="n">
        <f aca="false">'DCF Base Case'!$B$2*(1+B490)^2*$I490-'DCF Base Case'!$B$2*(1+B490)^1*B490*'DCF Base Case'!$B$4</f>
        <v>20.025128080422</v>
      </c>
      <c r="L490" s="24" t="n">
        <f aca="false">'DCF Base Case'!$B$2*(1+B490)^3*$I490-'DCF Base Case'!$B$2*(1+B490)^2*B490*'DCF Base Case'!$B$4</f>
        <v>21.2472336563668</v>
      </c>
      <c r="M490" s="24" t="n">
        <f aca="false">'DCF Base Case'!$B$2*(1+B490)^4*$I490-'DCF Base Case'!$B$2*(1+B490)^3*B490*'DCF Base Case'!$B$4</f>
        <v>22.5439226273718</v>
      </c>
      <c r="N490" s="24" t="n">
        <f aca="false">'DCF Base Case'!$B$2*(1+B490)^5*$I490-'DCF Base Case'!$B$2*(1+B490)^4*B490*'DCF Base Case'!$B$4</f>
        <v>23.9197467137862</v>
      </c>
      <c r="O490" s="24" t="n">
        <f aca="false">J490/(1+H490)^1+K490/(1+H490)^2+L490/(1+H490)^3+M490/(1+H490)^4+N490/(1+H490)^5</f>
        <v>85.1080274719004</v>
      </c>
      <c r="P490" s="24" t="n">
        <f aca="false">N490*(1+F490)/(H490-F490)</f>
        <v>459.76542413257</v>
      </c>
      <c r="Q490" s="24" t="n">
        <f aca="false">O490+P490/(1+H490)^5</f>
        <v>402.704563438588</v>
      </c>
      <c r="R490" s="24" t="n">
        <f aca="false">Q490-'DCF Base Case'!$B$5</f>
        <v>217.704563438588</v>
      </c>
      <c r="S490" s="32" t="n">
        <f aca="false">R490/'DCF Base Case'!$B$6</f>
        <v>8.70818253754352</v>
      </c>
    </row>
    <row r="491" customFormat="false" ht="15" hidden="false" customHeight="true" outlineLevel="0" collapsed="false">
      <c r="A491" s="6" t="n">
        <v>490</v>
      </c>
      <c r="B491" s="30" t="n">
        <v>0.0735453923292348</v>
      </c>
      <c r="C491" s="30" t="n">
        <v>0.363733490180763</v>
      </c>
      <c r="D491" s="30" t="n">
        <v>0.0655634191205694</v>
      </c>
      <c r="E491" s="30" t="n">
        <v>0.322288700589376</v>
      </c>
      <c r="F491" s="30" t="n">
        <v>0.0177601764230188</v>
      </c>
      <c r="G491" s="30" t="n">
        <v>0.150093800158577</v>
      </c>
      <c r="H491" s="31" t="n">
        <f aca="false">MAX(D491,F491+0.015)</f>
        <v>0.0655634191205694</v>
      </c>
      <c r="I491" s="25" t="n">
        <f aca="false">(C491-'DCF Base Case'!$B$3)*(1-E491)+'DCF Base Case'!$B$3-G491</f>
        <v>0.138310027187608</v>
      </c>
      <c r="J491" s="24" t="n">
        <f aca="false">'DCF Base Case'!$B$2*(1+B491)^1*$I491-'DCF Base Case'!$B$2*(1+B491)^0*B491*'DCF Base Case'!$B$4</f>
        <v>21.2099809413951</v>
      </c>
      <c r="K491" s="24" t="n">
        <f aca="false">'DCF Base Case'!$B$2*(1+B491)^2*$I491-'DCF Base Case'!$B$2*(1+B491)^1*B491*'DCF Base Case'!$B$4</f>
        <v>22.7698773110256</v>
      </c>
      <c r="L491" s="24" t="n">
        <f aca="false">'DCF Base Case'!$B$2*(1+B491)^3*$I491-'DCF Base Case'!$B$2*(1+B491)^2*B491*'DCF Base Case'!$B$4</f>
        <v>24.4444968711535</v>
      </c>
      <c r="M491" s="24" t="n">
        <f aca="false">'DCF Base Case'!$B$2*(1+B491)^4*$I491-'DCF Base Case'!$B$2*(1+B491)^3*B491*'DCF Base Case'!$B$4</f>
        <v>26.2422769838332</v>
      </c>
      <c r="N491" s="24" t="n">
        <f aca="false">'DCF Base Case'!$B$2*(1+B491)^5*$I491-'DCF Base Case'!$B$2*(1+B491)^4*B491*'DCF Base Case'!$B$4</f>
        <v>28.1722755402217</v>
      </c>
      <c r="O491" s="24" t="n">
        <f aca="false">J491/(1+H491)^1+K491/(1+H491)^2+L491/(1+H491)^3+M491/(1+H491)^4+N491/(1+H491)^5</f>
        <v>101.026983740184</v>
      </c>
      <c r="P491" s="24" t="n">
        <f aca="false">N491*(1+F491)/(H491-F491)</f>
        <v>599.804919207355</v>
      </c>
      <c r="Q491" s="24" t="n">
        <f aca="false">O491+P491/(1+H491)^5</f>
        <v>537.656921128041</v>
      </c>
      <c r="R491" s="24" t="n">
        <f aca="false">Q491-'DCF Base Case'!$B$5</f>
        <v>352.656921128041</v>
      </c>
      <c r="S491" s="32" t="n">
        <f aca="false">R491/'DCF Base Case'!$B$6</f>
        <v>14.1062768451217</v>
      </c>
    </row>
    <row r="492" customFormat="false" ht="15" hidden="false" customHeight="true" outlineLevel="0" collapsed="false">
      <c r="A492" s="6" t="n">
        <v>491</v>
      </c>
      <c r="B492" s="30" t="n">
        <v>0.124152820563612</v>
      </c>
      <c r="C492" s="30" t="n">
        <v>0.447478334217455</v>
      </c>
      <c r="D492" s="30" t="n">
        <v>0.0852689359411177</v>
      </c>
      <c r="E492" s="30" t="n">
        <v>0.271946233992547</v>
      </c>
      <c r="F492" s="30" t="n">
        <v>0.0188489615608566</v>
      </c>
      <c r="G492" s="30" t="n">
        <v>0.170392626935935</v>
      </c>
      <c r="H492" s="31" t="n">
        <f aca="false">MAX(D492,F492+0.015)</f>
        <v>0.0852689359411177</v>
      </c>
      <c r="I492" s="25" t="n">
        <f aca="false">(C492-'DCF Base Case'!$B$3)*(1-E492)+'DCF Base Case'!$B$3-G492</f>
        <v>0.190748669916856</v>
      </c>
      <c r="J492" s="24" t="n">
        <f aca="false">'DCF Base Case'!$B$2*(1+B492)^1*$I492-'DCF Base Case'!$B$2*(1+B492)^0*B492*'DCF Base Case'!$B$4</f>
        <v>30.552380249888</v>
      </c>
      <c r="K492" s="24" t="n">
        <f aca="false">'DCF Base Case'!$B$2*(1+B492)^2*$I492-'DCF Base Case'!$B$2*(1+B492)^1*B492*'DCF Base Case'!$B$4</f>
        <v>34.3455444328436</v>
      </c>
      <c r="L492" s="24" t="n">
        <f aca="false">'DCF Base Case'!$B$2*(1+B492)^3*$I492-'DCF Base Case'!$B$2*(1+B492)^2*B492*'DCF Base Case'!$B$4</f>
        <v>38.609640647974</v>
      </c>
      <c r="M492" s="24" t="n">
        <f aca="false">'DCF Base Case'!$B$2*(1+B492)^4*$I492-'DCF Base Case'!$B$2*(1+B492)^3*B492*'DCF Base Case'!$B$4</f>
        <v>43.4031364353674</v>
      </c>
      <c r="N492" s="24" t="n">
        <f aca="false">'DCF Base Case'!$B$2*(1+B492)^5*$I492-'DCF Base Case'!$B$2*(1+B492)^4*B492*'DCF Base Case'!$B$4</f>
        <v>48.7917582451256</v>
      </c>
      <c r="O492" s="24" t="n">
        <f aca="false">J492/(1+H492)^1+K492/(1+H492)^2+L492/(1+H492)^3+M492/(1+H492)^4+N492/(1+H492)^5</f>
        <v>151.213883972879</v>
      </c>
      <c r="P492" s="24" t="n">
        <f aca="false">N492*(1+F492)/(H492-F492)</f>
        <v>748.441002644348</v>
      </c>
      <c r="Q492" s="24" t="n">
        <f aca="false">O492+P492/(1+H492)^5</f>
        <v>648.344729658666</v>
      </c>
      <c r="R492" s="24" t="n">
        <f aca="false">Q492-'DCF Base Case'!$B$5</f>
        <v>463.344729658666</v>
      </c>
      <c r="S492" s="32" t="n">
        <f aca="false">R492/'DCF Base Case'!$B$6</f>
        <v>18.5337891863466</v>
      </c>
    </row>
    <row r="493" customFormat="false" ht="15" hidden="false" customHeight="true" outlineLevel="0" collapsed="false">
      <c r="A493" s="6" t="n">
        <v>492</v>
      </c>
      <c r="B493" s="30" t="n">
        <v>0.123447953689273</v>
      </c>
      <c r="C493" s="30" t="n">
        <v>0.433954190511503</v>
      </c>
      <c r="D493" s="30" t="n">
        <v>0.0929863193634306</v>
      </c>
      <c r="E493" s="30" t="n">
        <v>0.315368231785865</v>
      </c>
      <c r="F493" s="30" t="n">
        <v>0.0146028790672757</v>
      </c>
      <c r="G493" s="30" t="n">
        <v>0.183244108518783</v>
      </c>
      <c r="H493" s="31" t="n">
        <f aca="false">MAX(D493,F493+0.015)</f>
        <v>0.0929863193634306</v>
      </c>
      <c r="I493" s="25" t="n">
        <f aca="false">(C493-'DCF Base Case'!$B$3)*(1-E493)+'DCF Base Case'!$B$3-G493</f>
        <v>0.154852586387203</v>
      </c>
      <c r="J493" s="24" t="n">
        <f aca="false">'DCF Base Case'!$B$2*(1+B493)^1*$I493-'DCF Base Case'!$B$2*(1+B493)^0*B493*'DCF Base Case'!$B$4</f>
        <v>24.6884804899799</v>
      </c>
      <c r="K493" s="24" t="n">
        <f aca="false">'DCF Base Case'!$B$2*(1+B493)^2*$I493-'DCF Base Case'!$B$2*(1+B493)^1*B493*'DCF Base Case'!$B$4</f>
        <v>27.7362228861655</v>
      </c>
      <c r="L493" s="24" t="n">
        <f aca="false">'DCF Base Case'!$B$2*(1+B493)^3*$I493-'DCF Base Case'!$B$2*(1+B493)^2*B493*'DCF Base Case'!$B$4</f>
        <v>31.1602028445322</v>
      </c>
      <c r="M493" s="24" t="n">
        <f aca="false">'DCF Base Case'!$B$2*(1+B493)^4*$I493-'DCF Base Case'!$B$2*(1+B493)^3*B493*'DCF Base Case'!$B$4</f>
        <v>35.0068661222324</v>
      </c>
      <c r="N493" s="24" t="n">
        <f aca="false">'DCF Base Case'!$B$2*(1+B493)^5*$I493-'DCF Base Case'!$B$2*(1+B493)^4*B493*'DCF Base Case'!$B$4</f>
        <v>39.3283921100963</v>
      </c>
      <c r="O493" s="24" t="n">
        <f aca="false">J493/(1+H493)^1+K493/(1+H493)^2+L493/(1+H493)^3+M493/(1+H493)^4+N493/(1+H493)^5</f>
        <v>119.413716836108</v>
      </c>
      <c r="P493" s="24" t="n">
        <f aca="false">N493*(1+F493)/(H493-F493)</f>
        <v>509.070534710223</v>
      </c>
      <c r="Q493" s="24" t="n">
        <f aca="false">O493+P493/(1+H493)^5</f>
        <v>445.779282250077</v>
      </c>
      <c r="R493" s="24" t="n">
        <f aca="false">Q493-'DCF Base Case'!$B$5</f>
        <v>260.779282250077</v>
      </c>
      <c r="S493" s="32" t="n">
        <f aca="false">R493/'DCF Base Case'!$B$6</f>
        <v>10.4311712900031</v>
      </c>
    </row>
    <row r="494" customFormat="false" ht="15" hidden="false" customHeight="true" outlineLevel="0" collapsed="false">
      <c r="A494" s="6" t="n">
        <v>493</v>
      </c>
      <c r="B494" s="30" t="n">
        <v>0.083827027441839</v>
      </c>
      <c r="C494" s="30" t="n">
        <v>0.366455636458085</v>
      </c>
      <c r="D494" s="30" t="n">
        <v>0.0615901350381561</v>
      </c>
      <c r="E494" s="30" t="n">
        <v>0.258425099006644</v>
      </c>
      <c r="F494" s="30" t="n">
        <v>0.0212498634863458</v>
      </c>
      <c r="G494" s="30" t="n">
        <v>0.167767921260095</v>
      </c>
      <c r="H494" s="31" t="n">
        <f aca="false">MAX(D494,F494+0.015)</f>
        <v>0.0615901350381561</v>
      </c>
      <c r="I494" s="25" t="n">
        <f aca="false">(C494-'DCF Base Case'!$B$3)*(1-E494)+'DCF Base Case'!$B$3-G494</f>
        <v>0.13758164393563</v>
      </c>
      <c r="J494" s="24" t="n">
        <f aca="false">'DCF Base Case'!$B$2*(1+B494)^1*$I494-'DCF Base Case'!$B$2*(1+B494)^0*B494*'DCF Base Case'!$B$4</f>
        <v>21.2569845363388</v>
      </c>
      <c r="K494" s="24" t="n">
        <f aca="false">'DCF Base Case'!$B$2*(1+B494)^2*$I494-'DCF Base Case'!$B$2*(1+B494)^1*B494*'DCF Base Case'!$B$4</f>
        <v>23.0388943623972</v>
      </c>
      <c r="L494" s="24" t="n">
        <f aca="false">'DCF Base Case'!$B$2*(1+B494)^3*$I494-'DCF Base Case'!$B$2*(1+B494)^2*B494*'DCF Base Case'!$B$4</f>
        <v>24.9701763923435</v>
      </c>
      <c r="M494" s="24" t="n">
        <f aca="false">'DCF Base Case'!$B$2*(1+B494)^4*$I494-'DCF Base Case'!$B$2*(1+B494)^3*B494*'DCF Base Case'!$B$4</f>
        <v>27.063352054012</v>
      </c>
      <c r="N494" s="24" t="n">
        <f aca="false">'DCF Base Case'!$B$2*(1+B494)^5*$I494-'DCF Base Case'!$B$2*(1+B494)^4*B494*'DCF Base Case'!$B$4</f>
        <v>29.3319924093118</v>
      </c>
      <c r="O494" s="24" t="n">
        <f aca="false">J494/(1+H494)^1+K494/(1+H494)^2+L494/(1+H494)^3+M494/(1+H494)^4+N494/(1+H494)^5</f>
        <v>104.401710186399</v>
      </c>
      <c r="P494" s="24" t="n">
        <f aca="false">N494*(1+F494)/(H494-F494)</f>
        <v>742.565483361204</v>
      </c>
      <c r="Q494" s="24" t="n">
        <f aca="false">O494+P494/(1+H494)^5</f>
        <v>655.146487409126</v>
      </c>
      <c r="R494" s="24" t="n">
        <f aca="false">Q494-'DCF Base Case'!$B$5</f>
        <v>470.146487409126</v>
      </c>
      <c r="S494" s="32" t="n">
        <f aca="false">R494/'DCF Base Case'!$B$6</f>
        <v>18.8058594963651</v>
      </c>
    </row>
    <row r="495" customFormat="false" ht="15" hidden="false" customHeight="true" outlineLevel="0" collapsed="false">
      <c r="A495" s="6" t="n">
        <v>494</v>
      </c>
      <c r="B495" s="30" t="n">
        <v>0.0938013586261172</v>
      </c>
      <c r="C495" s="30" t="n">
        <v>0.449185092444306</v>
      </c>
      <c r="D495" s="30" t="n">
        <v>0.0710400142365421</v>
      </c>
      <c r="E495" s="30" t="n">
        <v>0.278878025706085</v>
      </c>
      <c r="F495" s="30" t="n">
        <v>0.020434078645509</v>
      </c>
      <c r="G495" s="30" t="n">
        <v>0.150383038139772</v>
      </c>
      <c r="H495" s="31" t="n">
        <f aca="false">MAX(D495,F495+0.015)</f>
        <v>0.0710400142365421</v>
      </c>
      <c r="I495" s="25" t="n">
        <f aca="false">(C495-'DCF Base Case'!$B$3)*(1-E495)+'DCF Base Case'!$B$3-G495</f>
        <v>0.209788345888852</v>
      </c>
      <c r="J495" s="24" t="n">
        <f aca="false">'DCF Base Case'!$B$2*(1+B495)^1*$I495-'DCF Base Case'!$B$2*(1+B495)^0*B495*'DCF Base Case'!$B$4</f>
        <v>32.8646468647634</v>
      </c>
      <c r="K495" s="24" t="n">
        <f aca="false">'DCF Base Case'!$B$2*(1+B495)^2*$I495-'DCF Base Case'!$B$2*(1+B495)^1*B495*'DCF Base Case'!$B$4</f>
        <v>35.9473953914458</v>
      </c>
      <c r="L495" s="24" t="n">
        <f aca="false">'DCF Base Case'!$B$2*(1+B495)^3*$I495-'DCF Base Case'!$B$2*(1+B495)^2*B495*'DCF Base Case'!$B$4</f>
        <v>39.3193099182336</v>
      </c>
      <c r="M495" s="24" t="n">
        <f aca="false">'DCF Base Case'!$B$2*(1+B495)^4*$I495-'DCF Base Case'!$B$2*(1+B495)^3*B495*'DCF Base Case'!$B$4</f>
        <v>43.0075146088053</v>
      </c>
      <c r="N495" s="24" t="n">
        <f aca="false">'DCF Base Case'!$B$2*(1+B495)^5*$I495-'DCF Base Case'!$B$2*(1+B495)^4*B495*'DCF Base Case'!$B$4</f>
        <v>47.0416779102438</v>
      </c>
      <c r="O495" s="24" t="n">
        <f aca="false">J495/(1+H495)^1+K495/(1+H495)^2+L495/(1+H495)^3+M495/(1+H495)^4+N495/(1+H495)^5</f>
        <v>160.085072175296</v>
      </c>
      <c r="P495" s="24" t="n">
        <f aca="false">N495*(1+F495)/(H495-F495)</f>
        <v>948.563260329963</v>
      </c>
      <c r="Q495" s="24" t="n">
        <f aca="false">O495+P495/(1+H495)^5</f>
        <v>833.120332221758</v>
      </c>
      <c r="R495" s="24" t="n">
        <f aca="false">Q495-'DCF Base Case'!$B$5</f>
        <v>648.120332221758</v>
      </c>
      <c r="S495" s="32" t="n">
        <f aca="false">R495/'DCF Base Case'!$B$6</f>
        <v>25.9248132888703</v>
      </c>
    </row>
    <row r="496" customFormat="false" ht="15" hidden="false" customHeight="true" outlineLevel="0" collapsed="false">
      <c r="A496" s="6" t="n">
        <v>495</v>
      </c>
      <c r="B496" s="30" t="n">
        <v>0.0905681896532222</v>
      </c>
      <c r="C496" s="30" t="n">
        <v>0.380238338331482</v>
      </c>
      <c r="D496" s="30" t="n">
        <v>0.100508968390025</v>
      </c>
      <c r="E496" s="30" t="n">
        <v>0.263701908580639</v>
      </c>
      <c r="F496" s="30" t="n">
        <v>0.0258355718208072</v>
      </c>
      <c r="G496" s="30" t="n">
        <v>0.164522809870344</v>
      </c>
      <c r="H496" s="31" t="n">
        <f aca="false">MAX(D496,F496+0.015)</f>
        <v>0.100508968390025</v>
      </c>
      <c r="I496" s="25" t="n">
        <f aca="false">(C496-'DCF Base Case'!$B$3)*(1-E496)+'DCF Base Case'!$B$3-G496</f>
        <v>0.149727201043079</v>
      </c>
      <c r="J496" s="24" t="n">
        <f aca="false">'DCF Base Case'!$B$2*(1+B496)^1*$I496-'DCF Base Case'!$B$2*(1+B496)^0*B496*'DCF Base Case'!$B$4</f>
        <v>23.2827481496006</v>
      </c>
      <c r="K496" s="24" t="n">
        <f aca="false">'DCF Base Case'!$B$2*(1+B496)^2*$I496-'DCF Base Case'!$B$2*(1+B496)^1*B496*'DCF Base Case'!$B$4</f>
        <v>25.3914244996619</v>
      </c>
      <c r="L496" s="24" t="n">
        <f aca="false">'DCF Base Case'!$B$2*(1+B496)^3*$I496-'DCF Base Case'!$B$2*(1+B496)^2*B496*'DCF Base Case'!$B$4</f>
        <v>27.6910798493127</v>
      </c>
      <c r="M496" s="24" t="n">
        <f aca="false">'DCF Base Case'!$B$2*(1+B496)^4*$I496-'DCF Base Case'!$B$2*(1+B496)^3*B496*'DCF Base Case'!$B$4</f>
        <v>30.1990108208078</v>
      </c>
      <c r="N496" s="24" t="n">
        <f aca="false">'DCF Base Case'!$B$2*(1+B496)^5*$I496-'DCF Base Case'!$B$2*(1+B496)^4*B496*'DCF Base Case'!$B$4</f>
        <v>32.9340805601664</v>
      </c>
      <c r="O496" s="24" t="n">
        <f aca="false">J496/(1+H496)^1+K496/(1+H496)^2+L496/(1+H496)^3+M496/(1+H496)^4+N496/(1+H496)^5</f>
        <v>103.887882789275</v>
      </c>
      <c r="P496" s="24" t="n">
        <f aca="false">N496*(1+F496)/(H496-F496)</f>
        <v>452.436247928193</v>
      </c>
      <c r="Q496" s="24" t="n">
        <f aca="false">O496+P496/(1+H496)^5</f>
        <v>384.166174351017</v>
      </c>
      <c r="R496" s="24" t="n">
        <f aca="false">Q496-'DCF Base Case'!$B$5</f>
        <v>199.166174351017</v>
      </c>
      <c r="S496" s="32" t="n">
        <f aca="false">R496/'DCF Base Case'!$B$6</f>
        <v>7.96664697404067</v>
      </c>
    </row>
    <row r="497" customFormat="false" ht="15" hidden="false" customHeight="true" outlineLevel="0" collapsed="false">
      <c r="A497" s="6" t="n">
        <v>496</v>
      </c>
      <c r="B497" s="30" t="n">
        <v>0.112435320085776</v>
      </c>
      <c r="C497" s="30" t="n">
        <v>0.421098929067839</v>
      </c>
      <c r="D497" s="30" t="n">
        <v>0.0846618178451342</v>
      </c>
      <c r="E497" s="30" t="n">
        <v>0.265549084412477</v>
      </c>
      <c r="F497" s="30" t="n">
        <v>0.0197875940545658</v>
      </c>
      <c r="G497" s="30" t="n">
        <v>0.172550471216617</v>
      </c>
      <c r="H497" s="31" t="n">
        <f aca="false">MAX(D497,F497+0.015)</f>
        <v>0.0846618178451342</v>
      </c>
      <c r="I497" s="25" t="n">
        <f aca="false">(C497-'DCF Base Case'!$B$3)*(1-E497)+'DCF Base Case'!$B$3-G497</f>
        <v>0.171247403763805</v>
      </c>
      <c r="J497" s="24" t="n">
        <f aca="false">'DCF Base Case'!$B$2*(1+B497)^1*$I497-'DCF Base Case'!$B$2*(1+B497)^0*B497*'DCF Base Case'!$B$4</f>
        <v>27.1336471185046</v>
      </c>
      <c r="K497" s="24" t="n">
        <f aca="false">'DCF Base Case'!$B$2*(1+B497)^2*$I497-'DCF Base Case'!$B$2*(1+B497)^1*B497*'DCF Base Case'!$B$4</f>
        <v>30.1844274173681</v>
      </c>
      <c r="L497" s="24" t="n">
        <f aca="false">'DCF Base Case'!$B$2*(1+B497)^3*$I497-'DCF Base Case'!$B$2*(1+B497)^2*B497*'DCF Base Case'!$B$4</f>
        <v>33.5782231756458</v>
      </c>
      <c r="M497" s="24" t="n">
        <f aca="false">'DCF Base Case'!$B$2*(1+B497)^4*$I497-'DCF Base Case'!$B$2*(1+B497)^3*B497*'DCF Base Case'!$B$4</f>
        <v>37.3536014463112</v>
      </c>
      <c r="N497" s="24" t="n">
        <f aca="false">'DCF Base Case'!$B$2*(1+B497)^5*$I497-'DCF Base Case'!$B$2*(1+B497)^4*B497*'DCF Base Case'!$B$4</f>
        <v>41.5534655812837</v>
      </c>
      <c r="O497" s="24" t="n">
        <f aca="false">J497/(1+H497)^1+K497/(1+H497)^2+L497/(1+H497)^3+M497/(1+H497)^4+N497/(1+H497)^5</f>
        <v>131.650417752032</v>
      </c>
      <c r="P497" s="24" t="n">
        <f aca="false">N497*(1+F497)/(H497-F497)</f>
        <v>653.197929990912</v>
      </c>
      <c r="Q497" s="24" t="n">
        <f aca="false">O497+P497/(1+H497)^5</f>
        <v>566.734342587467</v>
      </c>
      <c r="R497" s="24" t="n">
        <f aca="false">Q497-'DCF Base Case'!$B$5</f>
        <v>381.734342587467</v>
      </c>
      <c r="S497" s="32" t="n">
        <f aca="false">R497/'DCF Base Case'!$B$6</f>
        <v>15.2693737034987</v>
      </c>
    </row>
    <row r="498" customFormat="false" ht="15" hidden="false" customHeight="true" outlineLevel="0" collapsed="false">
      <c r="A498" s="6" t="n">
        <v>497</v>
      </c>
      <c r="B498" s="30" t="n">
        <v>0.0728971290520366</v>
      </c>
      <c r="C498" s="30" t="n">
        <v>0.405672794662494</v>
      </c>
      <c r="D498" s="30" t="n">
        <v>0.0782889124733718</v>
      </c>
      <c r="E498" s="30" t="n">
        <v>0.339691608605017</v>
      </c>
      <c r="F498" s="30" t="n">
        <v>0.0190135371428017</v>
      </c>
      <c r="G498" s="30" t="n">
        <v>0.200846139811499</v>
      </c>
      <c r="H498" s="31" t="n">
        <f aca="false">MAX(D498,F498+0.015)</f>
        <v>0.0782889124733718</v>
      </c>
      <c r="I498" s="25" t="n">
        <f aca="false">(C498-'DCF Base Case'!$B$3)*(1-E498)+'DCF Base Case'!$B$3-G498</f>
        <v>0.111182919783452</v>
      </c>
      <c r="J498" s="24" t="n">
        <f aca="false">'DCF Base Case'!$B$2*(1+B498)^1*$I498-'DCF Base Case'!$B$2*(1+B498)^0*B498*'DCF Base Case'!$B$4</f>
        <v>16.9796336267405</v>
      </c>
      <c r="K498" s="24" t="n">
        <f aca="false">'DCF Base Case'!$B$2*(1+B498)^2*$I498-'DCF Base Case'!$B$2*(1+B498)^1*B498*'DCF Base Case'!$B$4</f>
        <v>18.2174001704853</v>
      </c>
      <c r="L498" s="24" t="n">
        <f aca="false">'DCF Base Case'!$B$2*(1+B498)^3*$I498-'DCF Base Case'!$B$2*(1+B498)^2*B498*'DCF Base Case'!$B$4</f>
        <v>19.5453963417057</v>
      </c>
      <c r="M498" s="24" t="n">
        <f aca="false">'DCF Base Case'!$B$2*(1+B498)^4*$I498-'DCF Base Case'!$B$2*(1+B498)^3*B498*'DCF Base Case'!$B$4</f>
        <v>20.9701996212002</v>
      </c>
      <c r="N498" s="24" t="n">
        <f aca="false">'DCF Base Case'!$B$2*(1+B498)^5*$I498-'DCF Base Case'!$B$2*(1+B498)^4*B498*'DCF Base Case'!$B$4</f>
        <v>22.4988669692338</v>
      </c>
      <c r="O498" s="24" t="n">
        <f aca="false">J498/(1+H498)^1+K498/(1+H498)^2+L498/(1+H498)^3+M498/(1+H498)^4+N498/(1+H498)^5</f>
        <v>77.950692953316</v>
      </c>
      <c r="P498" s="24" t="n">
        <f aca="false">N498*(1+F498)/(H498-F498)</f>
        <v>386.782030213487</v>
      </c>
      <c r="Q498" s="24" t="n">
        <f aca="false">O498+P498/(1+H498)^5</f>
        <v>343.283279523164</v>
      </c>
      <c r="R498" s="24" t="n">
        <f aca="false">Q498-'DCF Base Case'!$B$5</f>
        <v>158.283279523164</v>
      </c>
      <c r="S498" s="32" t="n">
        <f aca="false">R498/'DCF Base Case'!$B$6</f>
        <v>6.33133118092657</v>
      </c>
    </row>
    <row r="499" customFormat="false" ht="15" hidden="false" customHeight="true" outlineLevel="0" collapsed="false">
      <c r="A499" s="6" t="n">
        <v>498</v>
      </c>
      <c r="B499" s="30" t="n">
        <v>0.0859593782734514</v>
      </c>
      <c r="C499" s="30" t="n">
        <v>0.418441366742971</v>
      </c>
      <c r="D499" s="30" t="n">
        <v>0.070464995211902</v>
      </c>
      <c r="E499" s="30" t="n">
        <v>0.268399583982145</v>
      </c>
      <c r="F499" s="30" t="n">
        <v>0.0201052682843329</v>
      </c>
      <c r="G499" s="30" t="n">
        <v>0.201609368646377</v>
      </c>
      <c r="H499" s="31" t="n">
        <f aca="false">MAX(D499,F499+0.015)</f>
        <v>0.070464995211902</v>
      </c>
      <c r="I499" s="25" t="n">
        <f aca="false">(C499-'DCF Base Case'!$B$3)*(1-E499)+'DCF Base Case'!$B$3-G499</f>
        <v>0.139414455259539</v>
      </c>
      <c r="J499" s="24" t="n">
        <f aca="false">'DCF Base Case'!$B$2*(1+B499)^1*$I499-'DCF Base Case'!$B$2*(1+B499)^0*B499*'DCF Base Case'!$B$4</f>
        <v>21.5788498021278</v>
      </c>
      <c r="K499" s="24" t="n">
        <f aca="false">'DCF Base Case'!$B$2*(1+B499)^2*$I499-'DCF Base Case'!$B$2*(1+B499)^1*B499*'DCF Base Case'!$B$4</f>
        <v>23.4337543149749</v>
      </c>
      <c r="L499" s="24" t="n">
        <f aca="false">'DCF Base Case'!$B$2*(1+B499)^3*$I499-'DCF Base Case'!$B$2*(1+B499)^2*B499*'DCF Base Case'!$B$4</f>
        <v>25.4481052665029</v>
      </c>
      <c r="M499" s="24" t="n">
        <f aca="false">'DCF Base Case'!$B$2*(1+B499)^4*$I499-'DCF Base Case'!$B$2*(1+B499)^3*B499*'DCF Base Case'!$B$4</f>
        <v>27.6356085734488</v>
      </c>
      <c r="N499" s="24" t="n">
        <f aca="false">'DCF Base Case'!$B$2*(1+B499)^5*$I499-'DCF Base Case'!$B$2*(1+B499)^4*B499*'DCF Base Case'!$B$4</f>
        <v>30.0111483046309</v>
      </c>
      <c r="O499" s="24" t="n">
        <f aca="false">J499/(1+H499)^1+K499/(1+H499)^2+L499/(1+H499)^3+M499/(1+H499)^4+N499/(1+H499)^5</f>
        <v>103.752299600936</v>
      </c>
      <c r="P499" s="24" t="n">
        <f aca="false">N499*(1+F499)/(H499-F499)</f>
        <v>607.916928081211</v>
      </c>
      <c r="Q499" s="24" t="n">
        <f aca="false">O499+P499/(1+H499)^5</f>
        <v>536.248091234068</v>
      </c>
      <c r="R499" s="24" t="n">
        <f aca="false">Q499-'DCF Base Case'!$B$5</f>
        <v>351.248091234068</v>
      </c>
      <c r="S499" s="32" t="n">
        <f aca="false">R499/'DCF Base Case'!$B$6</f>
        <v>14.0499236493627</v>
      </c>
    </row>
    <row r="500" customFormat="false" ht="15" hidden="false" customHeight="true" outlineLevel="0" collapsed="false">
      <c r="A500" s="6" t="n">
        <v>499</v>
      </c>
      <c r="B500" s="30" t="n">
        <v>0.0946037641895003</v>
      </c>
      <c r="C500" s="30" t="n">
        <v>0.441589420691444</v>
      </c>
      <c r="D500" s="30" t="n">
        <v>0.0920480202122321</v>
      </c>
      <c r="E500" s="30" t="n">
        <v>0.32734880043274</v>
      </c>
      <c r="F500" s="30" t="n">
        <v>0.019131285078902</v>
      </c>
      <c r="G500" s="30" t="n">
        <v>0.212892646329734</v>
      </c>
      <c r="H500" s="31" t="n">
        <f aca="false">MAX(D500,F500+0.015)</f>
        <v>0.0920480202122321</v>
      </c>
      <c r="I500" s="25" t="n">
        <f aca="false">(C500-'DCF Base Case'!$B$3)*(1-E500)+'DCF Base Case'!$B$3-G500</f>
        <v>0.126698351270833</v>
      </c>
      <c r="J500" s="24" t="n">
        <f aca="false">'DCF Base Case'!$B$2*(1+B500)^1*$I500-'DCF Base Case'!$B$2*(1+B500)^0*B500*'DCF Base Case'!$B$4</f>
        <v>19.6977249973361</v>
      </c>
      <c r="K500" s="24" t="n">
        <f aca="false">'DCF Base Case'!$B$2*(1+B500)^2*$I500-'DCF Base Case'!$B$2*(1+B500)^1*B500*'DCF Base Case'!$B$4</f>
        <v>21.5612039280537</v>
      </c>
      <c r="L500" s="24" t="n">
        <f aca="false">'DCF Base Case'!$B$2*(1+B500)^3*$I500-'DCF Base Case'!$B$2*(1+B500)^2*B500*'DCF Base Case'!$B$4</f>
        <v>23.600974980105</v>
      </c>
      <c r="M500" s="24" t="n">
        <f aca="false">'DCF Base Case'!$B$2*(1+B500)^4*$I500-'DCF Base Case'!$B$2*(1+B500)^3*B500*'DCF Base Case'!$B$4</f>
        <v>25.8337160517651</v>
      </c>
      <c r="N500" s="24" t="n">
        <f aca="false">'DCF Base Case'!$B$2*(1+B500)^5*$I500-'DCF Base Case'!$B$2*(1+B500)^4*B500*'DCF Base Case'!$B$4</f>
        <v>28.2776828332648</v>
      </c>
      <c r="O500" s="24" t="n">
        <f aca="false">J500/(1+H500)^1+K500/(1+H500)^2+L500/(1+H500)^3+M500/(1+H500)^4+N500/(1+H500)^5</f>
        <v>90.6102052932088</v>
      </c>
      <c r="P500" s="24" t="n">
        <f aca="false">N500*(1+F500)/(H500-F500)</f>
        <v>395.22712025193</v>
      </c>
      <c r="Q500" s="24" t="n">
        <f aca="false">O500+P500/(1+H500)^5</f>
        <v>345.08106597395</v>
      </c>
      <c r="R500" s="24" t="n">
        <f aca="false">Q500-'DCF Base Case'!$B$5</f>
        <v>160.08106597395</v>
      </c>
      <c r="S500" s="32" t="n">
        <f aca="false">R500/'DCF Base Case'!$B$6</f>
        <v>6.403242638958</v>
      </c>
    </row>
    <row r="501" customFormat="false" ht="15" hidden="false" customHeight="true" outlineLevel="0" collapsed="false">
      <c r="A501" s="6" t="n">
        <v>500</v>
      </c>
      <c r="B501" s="30" t="n">
        <v>0.0796041451529831</v>
      </c>
      <c r="C501" s="30" t="n">
        <v>0.393523566737235</v>
      </c>
      <c r="D501" s="30" t="n">
        <v>0.0716894186534206</v>
      </c>
      <c r="E501" s="30" t="n">
        <v>0.340111992566304</v>
      </c>
      <c r="F501" s="30" t="n">
        <v>0.0222968900082052</v>
      </c>
      <c r="G501" s="30" t="n">
        <v>0.158426252881801</v>
      </c>
      <c r="H501" s="31" t="n">
        <f aca="false">MAX(D501,F501+0.015)</f>
        <v>0.0716894186534206</v>
      </c>
      <c r="I501" s="25" t="n">
        <f aca="false">(C501-'DCF Base Case'!$B$3)*(1-E501)+'DCF Base Case'!$B$3-G501</f>
        <v>0.145469788484254</v>
      </c>
      <c r="J501" s="24" t="n">
        <f aca="false">'DCF Base Case'!$B$2*(1+B501)^1*$I501-'DCF Base Case'!$B$2*(1+B501)^0*B501*'DCF Base Case'!$B$4</f>
        <v>22.4259410316931</v>
      </c>
      <c r="K501" s="24" t="n">
        <f aca="false">'DCF Base Case'!$B$2*(1+B501)^2*$I501-'DCF Base Case'!$B$2*(1+B501)^1*B501*'DCF Base Case'!$B$4</f>
        <v>24.2111388967722</v>
      </c>
      <c r="L501" s="24" t="n">
        <f aca="false">'DCF Base Case'!$B$2*(1+B501)^3*$I501-'DCF Base Case'!$B$2*(1+B501)^2*B501*'DCF Base Case'!$B$4</f>
        <v>26.1384459118299</v>
      </c>
      <c r="M501" s="24" t="n">
        <f aca="false">'DCF Base Case'!$B$2*(1+B501)^4*$I501-'DCF Base Case'!$B$2*(1+B501)^3*B501*'DCF Base Case'!$B$4</f>
        <v>28.2191745542686</v>
      </c>
      <c r="N501" s="24" t="n">
        <f aca="false">'DCF Base Case'!$B$2*(1+B501)^5*$I501-'DCF Base Case'!$B$2*(1+B501)^4*B501*'DCF Base Case'!$B$4</f>
        <v>30.465537821584</v>
      </c>
      <c r="O501" s="24" t="n">
        <f aca="false">J501/(1+H501)^1+K501/(1+H501)^2+L501/(1+H501)^3+M501/(1+H501)^4+N501/(1+H501)^5</f>
        <v>106.185802156642</v>
      </c>
      <c r="P501" s="24" t="n">
        <f aca="false">N501*(1+F501)/(H501-F501)</f>
        <v>630.557402540467</v>
      </c>
      <c r="Q501" s="24" t="n">
        <f aca="false">O501+P501/(1+H501)^5</f>
        <v>552.232075183171</v>
      </c>
      <c r="R501" s="24" t="n">
        <f aca="false">Q501-'DCF Base Case'!$B$5</f>
        <v>367.232075183171</v>
      </c>
      <c r="S501" s="32" t="n">
        <f aca="false">R501/'DCF Base Case'!$B$6</f>
        <v>14.6892830073268</v>
      </c>
    </row>
    <row r="502" customFormat="false" ht="15" hidden="false" customHeight="true" outlineLevel="0" collapsed="false">
      <c r="A502" s="6" t="n">
        <v>501</v>
      </c>
      <c r="B502" s="30" t="n">
        <v>0.116996914746326</v>
      </c>
      <c r="C502" s="30" t="n">
        <v>0.436355129700375</v>
      </c>
      <c r="D502" s="30" t="n">
        <v>0.106627402185132</v>
      </c>
      <c r="E502" s="30" t="n">
        <v>0.251568440011585</v>
      </c>
      <c r="F502" s="30" t="n">
        <v>0.0183179958874997</v>
      </c>
      <c r="G502" s="30" t="n">
        <v>0.155880564965265</v>
      </c>
      <c r="H502" s="31" t="n">
        <f aca="false">MAX(D502,F502+0.015)</f>
        <v>0.106627402185132</v>
      </c>
      <c r="I502" s="25" t="n">
        <f aca="false">(C502-'DCF Base Case'!$B$3)*(1-E502)+'DCF Base Case'!$B$3-G502</f>
        <v>0.20340528266684</v>
      </c>
      <c r="J502" s="24" t="n">
        <f aca="false">'DCF Base Case'!$B$2*(1+B502)^1*$I502-'DCF Base Case'!$B$2*(1+B502)^0*B502*'DCF Base Case'!$B$4</f>
        <v>32.4355090322383</v>
      </c>
      <c r="K502" s="24" t="n">
        <f aca="false">'DCF Base Case'!$B$2*(1+B502)^2*$I502-'DCF Base Case'!$B$2*(1+B502)^1*B502*'DCF Base Case'!$B$4</f>
        <v>36.2303635172368</v>
      </c>
      <c r="L502" s="24" t="n">
        <f aca="false">'DCF Base Case'!$B$2*(1+B502)^3*$I502-'DCF Base Case'!$B$2*(1+B502)^2*B502*'DCF Base Case'!$B$4</f>
        <v>40.4692042688914</v>
      </c>
      <c r="M502" s="24" t="n">
        <f aca="false">'DCF Base Case'!$B$2*(1+B502)^4*$I502-'DCF Base Case'!$B$2*(1+B502)^3*B502*'DCF Base Case'!$B$4</f>
        <v>45.2039763105905</v>
      </c>
      <c r="N502" s="24" t="n">
        <f aca="false">'DCF Base Case'!$B$2*(1+B502)^5*$I502-'DCF Base Case'!$B$2*(1+B502)^4*B502*'DCF Base Case'!$B$4</f>
        <v>50.4927020731956</v>
      </c>
      <c r="O502" s="24" t="n">
        <f aca="false">J502/(1+H502)^1+K502/(1+H502)^2+L502/(1+H502)^3+M502/(1+H502)^4+N502/(1+H502)^5</f>
        <v>149.323509109458</v>
      </c>
      <c r="P502" s="24" t="n">
        <f aca="false">N502*(1+F502)/(H502-F502)</f>
        <v>582.244059130309</v>
      </c>
      <c r="Q502" s="24" t="n">
        <f aca="false">O502+P502/(1+H502)^5</f>
        <v>500.154512965825</v>
      </c>
      <c r="R502" s="24" t="n">
        <f aca="false">Q502-'DCF Base Case'!$B$5</f>
        <v>315.154512965825</v>
      </c>
      <c r="S502" s="32" t="n">
        <f aca="false">R502/'DCF Base Case'!$B$6</f>
        <v>12.606180518633</v>
      </c>
    </row>
    <row r="503" customFormat="false" ht="15" hidden="false" customHeight="true" outlineLevel="0" collapsed="false">
      <c r="A503" s="6" t="n">
        <v>502</v>
      </c>
      <c r="B503" s="30" t="n">
        <v>0.0510020266537214</v>
      </c>
      <c r="C503" s="30" t="n">
        <v>0.420954076228219</v>
      </c>
      <c r="D503" s="30" t="n">
        <v>0.0820256378861631</v>
      </c>
      <c r="E503" s="30" t="n">
        <v>0.302306784352761</v>
      </c>
      <c r="F503" s="30" t="n">
        <v>0.026404541139579</v>
      </c>
      <c r="G503" s="30" t="n">
        <v>0.158050118400199</v>
      </c>
      <c r="H503" s="31" t="n">
        <f aca="false">MAX(D503,F503+0.015)</f>
        <v>0.0820256378861631</v>
      </c>
      <c r="I503" s="25" t="n">
        <f aca="false">(C503-'DCF Base Case'!$B$3)*(1-E503)+'DCF Base Case'!$B$3-G503</f>
        <v>0.174946566649139</v>
      </c>
      <c r="J503" s="24" t="n">
        <f aca="false">'DCF Base Case'!$B$2*(1+B503)^1*$I503-'DCF Base Case'!$B$2*(1+B503)^0*B503*'DCF Base Case'!$B$4</f>
        <v>26.4391746191879</v>
      </c>
      <c r="K503" s="24" t="n">
        <f aca="false">'DCF Base Case'!$B$2*(1+B503)^2*$I503-'DCF Base Case'!$B$2*(1+B503)^1*B503*'DCF Base Case'!$B$4</f>
        <v>27.7876261078181</v>
      </c>
      <c r="L503" s="24" t="n">
        <f aca="false">'DCF Base Case'!$B$2*(1+B503)^3*$I503-'DCF Base Case'!$B$2*(1+B503)^2*B503*'DCF Base Case'!$B$4</f>
        <v>29.2048513552127</v>
      </c>
      <c r="M503" s="24" t="n">
        <f aca="false">'DCF Base Case'!$B$2*(1+B503)^4*$I503-'DCF Base Case'!$B$2*(1+B503)^3*B503*'DCF Base Case'!$B$4</f>
        <v>30.6943579624492</v>
      </c>
      <c r="N503" s="24" t="n">
        <f aca="false">'DCF Base Case'!$B$2*(1+B503)^5*$I503-'DCF Base Case'!$B$2*(1+B503)^4*B503*'DCF Base Case'!$B$4</f>
        <v>32.2598324253689</v>
      </c>
      <c r="O503" s="24" t="n">
        <f aca="false">J503/(1+H503)^1+K503/(1+H503)^2+L503/(1+H503)^3+M503/(1+H503)^4+N503/(1+H503)^5</f>
        <v>115.366526589484</v>
      </c>
      <c r="P503" s="24" t="n">
        <f aca="false">N503*(1+F503)/(H503-F503)</f>
        <v>595.307184406319</v>
      </c>
      <c r="Q503" s="24" t="n">
        <f aca="false">O503+P503/(1+H503)^5</f>
        <v>516.74434464776</v>
      </c>
      <c r="R503" s="24" t="n">
        <f aca="false">Q503-'DCF Base Case'!$B$5</f>
        <v>331.74434464776</v>
      </c>
      <c r="S503" s="32" t="n">
        <f aca="false">R503/'DCF Base Case'!$B$6</f>
        <v>13.2697737859104</v>
      </c>
    </row>
    <row r="504" customFormat="false" ht="15" hidden="false" customHeight="true" outlineLevel="0" collapsed="false">
      <c r="A504" s="6" t="n">
        <v>503</v>
      </c>
      <c r="B504" s="30" t="n">
        <v>0.0810378902581317</v>
      </c>
      <c r="C504" s="30" t="n">
        <v>0.41397463486665</v>
      </c>
      <c r="D504" s="30" t="n">
        <v>0.0958597208828175</v>
      </c>
      <c r="E504" s="30" t="n">
        <v>0.265892927711412</v>
      </c>
      <c r="F504" s="30" t="n">
        <v>0.0167974806382153</v>
      </c>
      <c r="G504" s="30" t="n">
        <v>0.19048262126764</v>
      </c>
      <c r="H504" s="31" t="n">
        <f aca="false">MAX(D504,F504+0.015)</f>
        <v>0.0958597208828175</v>
      </c>
      <c r="I504" s="25" t="n">
        <f aca="false">(C504-'DCF Base Case'!$B$3)*(1-E504)+'DCF Base Case'!$B$3-G504</f>
        <v>0.147985166538537</v>
      </c>
      <c r="J504" s="24" t="n">
        <f aca="false">'DCF Base Case'!$B$2*(1+B504)^1*$I504-'DCF Base Case'!$B$2*(1+B504)^0*B504*'DCF Base Case'!$B$4</f>
        <v>22.8442331499033</v>
      </c>
      <c r="K504" s="24" t="n">
        <f aca="false">'DCF Base Case'!$B$2*(1+B504)^2*$I504-'DCF Base Case'!$B$2*(1+B504)^1*B504*'DCF Base Case'!$B$4</f>
        <v>24.6954816089364</v>
      </c>
      <c r="L504" s="24" t="n">
        <f aca="false">'DCF Base Case'!$B$2*(1+B504)^3*$I504-'DCF Base Case'!$B$2*(1+B504)^2*B504*'DCF Base Case'!$B$4</f>
        <v>26.6967513374331</v>
      </c>
      <c r="M504" s="24" t="n">
        <f aca="false">'DCF Base Case'!$B$2*(1+B504)^4*$I504-'DCF Base Case'!$B$2*(1+B504)^3*B504*'DCF Base Case'!$B$4</f>
        <v>28.8601997425646</v>
      </c>
      <c r="N504" s="24" t="n">
        <f aca="false">'DCF Base Case'!$B$2*(1+B504)^5*$I504-'DCF Base Case'!$B$2*(1+B504)^4*B504*'DCF Base Case'!$B$4</f>
        <v>31.1989694421303</v>
      </c>
      <c r="O504" s="24" t="n">
        <f aca="false">J504/(1+H504)^1+K504/(1+H504)^2+L504/(1+H504)^3+M504/(1+H504)^4+N504/(1+H504)^5</f>
        <v>101.448133099143</v>
      </c>
      <c r="P504" s="24" t="n">
        <f aca="false">N504*(1+F504)/(H504-F504)</f>
        <v>401.241268007613</v>
      </c>
      <c r="Q504" s="24" t="n">
        <f aca="false">O504+P504/(1+H504)^5</f>
        <v>355.329467394314</v>
      </c>
      <c r="R504" s="24" t="n">
        <f aca="false">Q504-'DCF Base Case'!$B$5</f>
        <v>170.329467394314</v>
      </c>
      <c r="S504" s="32" t="n">
        <f aca="false">R504/'DCF Base Case'!$B$6</f>
        <v>6.81317869577257</v>
      </c>
    </row>
    <row r="505" customFormat="false" ht="15" hidden="false" customHeight="true" outlineLevel="0" collapsed="false">
      <c r="A505" s="6" t="n">
        <v>504</v>
      </c>
      <c r="B505" s="30" t="n">
        <v>0.0980191794839226</v>
      </c>
      <c r="C505" s="30" t="n">
        <v>0.374960616527719</v>
      </c>
      <c r="D505" s="30" t="n">
        <v>0.0715206902058398</v>
      </c>
      <c r="E505" s="30" t="n">
        <v>0.324313269838949</v>
      </c>
      <c r="F505" s="30" t="n">
        <v>0.0207819103931777</v>
      </c>
      <c r="G505" s="30" t="n">
        <v>0.149864462970061</v>
      </c>
      <c r="H505" s="31" t="n">
        <f aca="false">MAX(D505,F505+0.015)</f>
        <v>0.0715206902058398</v>
      </c>
      <c r="I505" s="25" t="n">
        <f aca="false">(C505-'DCF Base Case'!$B$3)*(1-E505)+'DCF Base Case'!$B$3-G505</f>
        <v>0.145652175029789</v>
      </c>
      <c r="J505" s="24" t="n">
        <f aca="false">'DCF Base Case'!$B$2*(1+B505)^1*$I505-'DCF Base Case'!$B$2*(1+B505)^0*B505*'DCF Base Case'!$B$4</f>
        <v>22.7633044181022</v>
      </c>
      <c r="K505" s="24" t="n">
        <f aca="false">'DCF Base Case'!$B$2*(1+B505)^2*$I505-'DCF Base Case'!$B$2*(1+B505)^1*B505*'DCF Base Case'!$B$4</f>
        <v>24.9945448395074</v>
      </c>
      <c r="L505" s="24" t="n">
        <f aca="false">'DCF Base Case'!$B$2*(1+B505)^3*$I505-'DCF Base Case'!$B$2*(1+B505)^2*B505*'DCF Base Case'!$B$4</f>
        <v>27.44448961625</v>
      </c>
      <c r="M505" s="24" t="n">
        <f aca="false">'DCF Base Case'!$B$2*(1+B505)^4*$I505-'DCF Base Case'!$B$2*(1+B505)^3*B505*'DCF Base Case'!$B$4</f>
        <v>30.1345759697898</v>
      </c>
      <c r="N505" s="24" t="n">
        <f aca="false">'DCF Base Case'!$B$2*(1+B505)^5*$I505-'DCF Base Case'!$B$2*(1+B505)^4*B505*'DCF Base Case'!$B$4</f>
        <v>33.0883423804446</v>
      </c>
      <c r="O505" s="24" t="n">
        <f aca="false">J505/(1+H505)^1+K505/(1+H505)^2+L505/(1+H505)^3+M505/(1+H505)^4+N505/(1+H505)^5</f>
        <v>111.604735172709</v>
      </c>
      <c r="P505" s="24" t="n">
        <f aca="false">N505*(1+F505)/(H505-F505)</f>
        <v>665.683752576659</v>
      </c>
      <c r="Q505" s="24" t="n">
        <f aca="false">O505+P505/(1+H505)^5</f>
        <v>582.869695919746</v>
      </c>
      <c r="R505" s="24" t="n">
        <f aca="false">Q505-'DCF Base Case'!$B$5</f>
        <v>397.869695919746</v>
      </c>
      <c r="S505" s="32" t="n">
        <f aca="false">R505/'DCF Base Case'!$B$6</f>
        <v>15.9147878367898</v>
      </c>
    </row>
    <row r="506" customFormat="false" ht="15" hidden="false" customHeight="true" outlineLevel="0" collapsed="false">
      <c r="A506" s="6" t="n">
        <v>505</v>
      </c>
      <c r="B506" s="30" t="n">
        <v>0.0864943001304558</v>
      </c>
      <c r="C506" s="30" t="n">
        <v>0.413730405216458</v>
      </c>
      <c r="D506" s="30" t="n">
        <v>0.0930930669630818</v>
      </c>
      <c r="E506" s="30" t="n">
        <v>0.253849842351429</v>
      </c>
      <c r="F506" s="30" t="n">
        <v>0.0159188628539275</v>
      </c>
      <c r="G506" s="30" t="n">
        <v>0.171475143679659</v>
      </c>
      <c r="H506" s="31" t="n">
        <f aca="false">MAX(D506,F506+0.015)</f>
        <v>0.0930930669630818</v>
      </c>
      <c r="I506" s="25" t="n">
        <f aca="false">(C506-'DCF Base Case'!$B$3)*(1-E506)+'DCF Base Case'!$B$3-G506</f>
        <v>0.170230342902294</v>
      </c>
      <c r="J506" s="24" t="n">
        <f aca="false">'DCF Base Case'!$B$2*(1+B506)^1*$I506-'DCF Base Case'!$B$2*(1+B506)^0*B506*'DCF Base Case'!$B$4</f>
        <v>26.4421228989589</v>
      </c>
      <c r="K506" s="24" t="n">
        <f aca="false">'DCF Base Case'!$B$2*(1+B506)^2*$I506-'DCF Base Case'!$B$2*(1+B506)^1*B506*'DCF Base Case'!$B$4</f>
        <v>28.7292158130678</v>
      </c>
      <c r="L506" s="24" t="n">
        <f aca="false">'DCF Base Case'!$B$2*(1+B506)^3*$I506-'DCF Base Case'!$B$2*(1+B506)^2*B506*'DCF Base Case'!$B$4</f>
        <v>31.2141292281159</v>
      </c>
      <c r="M506" s="24" t="n">
        <f aca="false">'DCF Base Case'!$B$2*(1+B506)^4*$I506-'DCF Base Case'!$B$2*(1+B506)^3*B506*'DCF Base Case'!$B$4</f>
        <v>33.9139734898834</v>
      </c>
      <c r="N506" s="24" t="n">
        <f aca="false">'DCF Base Case'!$B$2*(1+B506)^5*$I506-'DCF Base Case'!$B$2*(1+B506)^4*B506*'DCF Base Case'!$B$4</f>
        <v>36.8473388915337</v>
      </c>
      <c r="O506" s="24" t="n">
        <f aca="false">J506/(1+H506)^1+K506/(1+H506)^2+L506/(1+H506)^3+M506/(1+H506)^4+N506/(1+H506)^5</f>
        <v>119.499401985321</v>
      </c>
      <c r="P506" s="24" t="n">
        <f aca="false">N506*(1+F506)/(H506-F506)</f>
        <v>485.057242351786</v>
      </c>
      <c r="Q506" s="24" t="n">
        <f aca="false">O506+P506/(1+H506)^5</f>
        <v>430.318212850868</v>
      </c>
      <c r="R506" s="24" t="n">
        <f aca="false">Q506-'DCF Base Case'!$B$5</f>
        <v>245.318212850868</v>
      </c>
      <c r="S506" s="32" t="n">
        <f aca="false">R506/'DCF Base Case'!$B$6</f>
        <v>9.81272851403471</v>
      </c>
    </row>
    <row r="507" customFormat="false" ht="15" hidden="false" customHeight="true" outlineLevel="0" collapsed="false">
      <c r="A507" s="6" t="n">
        <v>506</v>
      </c>
      <c r="B507" s="30" t="n">
        <v>0.0879707112183836</v>
      </c>
      <c r="C507" s="30" t="n">
        <v>0.424884495711741</v>
      </c>
      <c r="D507" s="30" t="n">
        <v>0.0714754186290444</v>
      </c>
      <c r="E507" s="30" t="n">
        <v>0.290259497709696</v>
      </c>
      <c r="F507" s="30" t="n">
        <v>0.0232517138214437</v>
      </c>
      <c r="G507" s="30" t="n">
        <v>0.176650711927516</v>
      </c>
      <c r="H507" s="31" t="n">
        <f aca="false">MAX(D507,F507+0.015)</f>
        <v>0.0714754186290444</v>
      </c>
      <c r="I507" s="25" t="n">
        <f aca="false">(C507-'DCF Base Case'!$B$3)*(1-E507)+'DCF Base Case'!$B$3-G507</f>
        <v>0.162640758176558</v>
      </c>
      <c r="J507" s="24" t="n">
        <f aca="false">'DCF Base Case'!$B$2*(1+B507)^1*$I507-'DCF Base Case'!$B$2*(1+B507)^0*B507*'DCF Base Case'!$B$4</f>
        <v>25.2748427014348</v>
      </c>
      <c r="K507" s="24" t="n">
        <f aca="false">'DCF Base Case'!$B$2*(1+B507)^2*$I507-'DCF Base Case'!$B$2*(1+B507)^1*B507*'DCF Base Case'!$B$4</f>
        <v>27.4982885898128</v>
      </c>
      <c r="L507" s="24" t="n">
        <f aca="false">'DCF Base Case'!$B$2*(1+B507)^3*$I507-'DCF Base Case'!$B$2*(1+B507)^2*B507*'DCF Base Case'!$B$4</f>
        <v>29.917332594347</v>
      </c>
      <c r="M507" s="24" t="n">
        <f aca="false">'DCF Base Case'!$B$2*(1+B507)^4*$I507-'DCF Base Case'!$B$2*(1+B507)^3*B507*'DCF Base Case'!$B$4</f>
        <v>32.5491816204287</v>
      </c>
      <c r="N507" s="24" t="n">
        <f aca="false">'DCF Base Case'!$B$2*(1+B507)^5*$I507-'DCF Base Case'!$B$2*(1+B507)^4*B507*'DCF Base Case'!$B$4</f>
        <v>35.4125562771541</v>
      </c>
      <c r="O507" s="24" t="n">
        <f aca="false">J507/(1+H507)^1+K507/(1+H507)^2+L507/(1+H507)^3+M507/(1+H507)^4+N507/(1+H507)^5</f>
        <v>121.631930430615</v>
      </c>
      <c r="P507" s="24" t="n">
        <f aca="false">N507*(1+F507)/(H507-F507)</f>
        <v>751.413833631567</v>
      </c>
      <c r="Q507" s="24" t="n">
        <f aca="false">O507+P507/(1+H507)^5</f>
        <v>653.701138119763</v>
      </c>
      <c r="R507" s="24" t="n">
        <f aca="false">Q507-'DCF Base Case'!$B$5</f>
        <v>468.701138119763</v>
      </c>
      <c r="S507" s="32" t="n">
        <f aca="false">R507/'DCF Base Case'!$B$6</f>
        <v>18.7480455247905</v>
      </c>
    </row>
    <row r="508" customFormat="false" ht="15" hidden="false" customHeight="true" outlineLevel="0" collapsed="false">
      <c r="A508" s="6" t="n">
        <v>507</v>
      </c>
      <c r="B508" s="30" t="n">
        <v>0.092847008275125</v>
      </c>
      <c r="C508" s="30" t="n">
        <v>0.41386628990963</v>
      </c>
      <c r="D508" s="30" t="n">
        <v>0.0758166373195135</v>
      </c>
      <c r="E508" s="30" t="n">
        <v>0.277652816147965</v>
      </c>
      <c r="F508" s="30" t="n">
        <v>0.0238074037936984</v>
      </c>
      <c r="G508" s="30" t="n">
        <v>0.162691696186009</v>
      </c>
      <c r="H508" s="31" t="n">
        <f aca="false">MAX(D508,F508+0.015)</f>
        <v>0.0758166373195135</v>
      </c>
      <c r="I508" s="25" t="n">
        <f aca="false">(C508-'DCF Base Case'!$B$3)*(1-E508)+'DCF Base Case'!$B$3-G508</f>
        <v>0.172358318920738</v>
      </c>
      <c r="J508" s="24" t="n">
        <f aca="false">'DCF Base Case'!$B$2*(1+B508)^1*$I508-'DCF Base Case'!$B$2*(1+B508)^0*B508*'DCF Base Case'!$B$4</f>
        <v>26.9085001256626</v>
      </c>
      <c r="K508" s="24" t="n">
        <f aca="false">'DCF Base Case'!$B$2*(1+B508)^2*$I508-'DCF Base Case'!$B$2*(1+B508)^1*B508*'DCF Base Case'!$B$4</f>
        <v>29.4068738595012</v>
      </c>
      <c r="L508" s="24" t="n">
        <f aca="false">'DCF Base Case'!$B$2*(1+B508)^3*$I508-'DCF Base Case'!$B$2*(1+B508)^2*B508*'DCF Base Case'!$B$4</f>
        <v>32.1372141200799</v>
      </c>
      <c r="M508" s="24" t="n">
        <f aca="false">'DCF Base Case'!$B$2*(1+B508)^4*$I508-'DCF Base Case'!$B$2*(1+B508)^3*B508*'DCF Base Case'!$B$4</f>
        <v>35.1210583054264</v>
      </c>
      <c r="N508" s="24" t="n">
        <f aca="false">'DCF Base Case'!$B$2*(1+B508)^5*$I508-'DCF Base Case'!$B$2*(1+B508)^4*B508*'DCF Base Case'!$B$4</f>
        <v>38.3819434965415</v>
      </c>
      <c r="O508" s="24" t="n">
        <f aca="false">J508/(1+H508)^1+K508/(1+H508)^2+L508/(1+H508)^3+M508/(1+H508)^4+N508/(1+H508)^5</f>
        <v>129.083457591912</v>
      </c>
      <c r="P508" s="24" t="n">
        <f aca="false">N508*(1+F508)/(H508-F508)</f>
        <v>755.552721311416</v>
      </c>
      <c r="Q508" s="24" t="n">
        <f aca="false">O508+P508/(1+H508)^5</f>
        <v>653.375773514156</v>
      </c>
      <c r="R508" s="24" t="n">
        <f aca="false">Q508-'DCF Base Case'!$B$5</f>
        <v>468.375773514156</v>
      </c>
      <c r="S508" s="32" t="n">
        <f aca="false">R508/'DCF Base Case'!$B$6</f>
        <v>18.7350309405662</v>
      </c>
    </row>
    <row r="509" customFormat="false" ht="15" hidden="false" customHeight="true" outlineLevel="0" collapsed="false">
      <c r="A509" s="6" t="n">
        <v>508</v>
      </c>
      <c r="B509" s="30" t="n">
        <v>0.0705602333153494</v>
      </c>
      <c r="C509" s="30" t="n">
        <v>0.396323235110493</v>
      </c>
      <c r="D509" s="30" t="n">
        <v>0.0872093532700352</v>
      </c>
      <c r="E509" s="30" t="n">
        <v>0.2700524631514</v>
      </c>
      <c r="F509" s="30" t="n">
        <v>0.0210830581254695</v>
      </c>
      <c r="G509" s="30" t="n">
        <v>0.177535321129004</v>
      </c>
      <c r="H509" s="31" t="n">
        <f aca="false">MAX(D509,F509+0.015)</f>
        <v>0.0872093532700352</v>
      </c>
      <c r="I509" s="25" t="n">
        <f aca="false">(C509-'DCF Base Case'!$B$3)*(1-E509)+'DCF Base Case'!$B$3-G509</f>
        <v>0.146866668345451</v>
      </c>
      <c r="J509" s="24" t="n">
        <f aca="false">'DCF Base Case'!$B$2*(1+B509)^1*$I509-'DCF Base Case'!$B$2*(1+B509)^0*B509*'DCF Base Case'!$B$4</f>
        <v>22.4913571209506</v>
      </c>
      <c r="K509" s="24" t="n">
        <f aca="false">'DCF Base Case'!$B$2*(1+B509)^2*$I509-'DCF Base Case'!$B$2*(1+B509)^1*B509*'DCF Base Case'!$B$4</f>
        <v>24.0783525269837</v>
      </c>
      <c r="L509" s="24" t="n">
        <f aca="false">'DCF Base Case'!$B$2*(1+B509)^3*$I509-'DCF Base Case'!$B$2*(1+B509)^2*B509*'DCF Base Case'!$B$4</f>
        <v>25.7773266991369</v>
      </c>
      <c r="M509" s="24" t="n">
        <f aca="false">'DCF Base Case'!$B$2*(1+B509)^4*$I509-'DCF Base Case'!$B$2*(1+B509)^3*B509*'DCF Base Case'!$B$4</f>
        <v>27.596180885274</v>
      </c>
      <c r="N509" s="24" t="n">
        <f aca="false">'DCF Base Case'!$B$2*(1+B509)^5*$I509-'DCF Base Case'!$B$2*(1+B509)^4*B509*'DCF Base Case'!$B$4</f>
        <v>29.5433738471515</v>
      </c>
      <c r="O509" s="24" t="n">
        <f aca="false">J509/(1+H509)^1+K509/(1+H509)^2+L509/(1+H509)^3+M509/(1+H509)^4+N509/(1+H509)^5</f>
        <v>100.316359201778</v>
      </c>
      <c r="P509" s="24" t="n">
        <f aca="false">N509*(1+F509)/(H509-F509)</f>
        <v>456.191269286202</v>
      </c>
      <c r="Q509" s="24" t="n">
        <f aca="false">O509+P509/(1+H509)^5</f>
        <v>400.634156189951</v>
      </c>
      <c r="R509" s="24" t="n">
        <f aca="false">Q509-'DCF Base Case'!$B$5</f>
        <v>215.634156189951</v>
      </c>
      <c r="S509" s="32" t="n">
        <f aca="false">R509/'DCF Base Case'!$B$6</f>
        <v>8.62536624759805</v>
      </c>
    </row>
    <row r="510" customFormat="false" ht="15" hidden="false" customHeight="true" outlineLevel="0" collapsed="false">
      <c r="A510" s="6" t="n">
        <v>509</v>
      </c>
      <c r="B510" s="30" t="n">
        <v>0.109421734872983</v>
      </c>
      <c r="C510" s="30" t="n">
        <v>0.44585508412045</v>
      </c>
      <c r="D510" s="30" t="n">
        <v>0.095954445968096</v>
      </c>
      <c r="E510" s="30" t="n">
        <v>0.259626478241306</v>
      </c>
      <c r="F510" s="30" t="n">
        <v>0.0156609365434696</v>
      </c>
      <c r="G510" s="30" t="n">
        <v>0.163597896564655</v>
      </c>
      <c r="H510" s="31" t="n">
        <f aca="false">MAX(D510,F510+0.015)</f>
        <v>0.095954445968096</v>
      </c>
      <c r="I510" s="25" t="n">
        <f aca="false">(C510-'DCF Base Case'!$B$3)*(1-E510)+'DCF Base Case'!$B$3-G510</f>
        <v>0.200252844430991</v>
      </c>
      <c r="J510" s="24" t="n">
        <f aca="false">'DCF Base Case'!$B$2*(1+B510)^1*$I510-'DCF Base Case'!$B$2*(1+B510)^0*B510*'DCF Base Case'!$B$4</f>
        <v>31.7379198751751</v>
      </c>
      <c r="K510" s="24" t="n">
        <f aca="false">'DCF Base Case'!$B$2*(1+B510)^2*$I510-'DCF Base Case'!$B$2*(1+B510)^1*B510*'DCF Base Case'!$B$4</f>
        <v>35.2107381291765</v>
      </c>
      <c r="L510" s="24" t="n">
        <f aca="false">'DCF Base Case'!$B$2*(1+B510)^3*$I510-'DCF Base Case'!$B$2*(1+B510)^2*B510*'DCF Base Case'!$B$4</f>
        <v>39.0635581814292</v>
      </c>
      <c r="M510" s="24" t="n">
        <f aca="false">'DCF Base Case'!$B$2*(1+B510)^4*$I510-'DCF Base Case'!$B$2*(1+B510)^3*B510*'DCF Base Case'!$B$4</f>
        <v>43.3379604879529</v>
      </c>
      <c r="N510" s="24" t="n">
        <f aca="false">'DCF Base Case'!$B$2*(1+B510)^5*$I510-'DCF Base Case'!$B$2*(1+B510)^4*B510*'DCF Base Case'!$B$4</f>
        <v>48.0800753104015</v>
      </c>
      <c r="O510" s="24" t="n">
        <f aca="false">J510/(1+H510)^1+K510/(1+H510)^2+L510/(1+H510)^3+M510/(1+H510)^4+N510/(1+H510)^5</f>
        <v>148.398350805341</v>
      </c>
      <c r="P510" s="24" t="n">
        <f aca="false">N510*(1+F510)/(H510-F510)</f>
        <v>608.181840210681</v>
      </c>
      <c r="Q510" s="24" t="n">
        <f aca="false">O510+P510/(1+H510)^5</f>
        <v>533.052954254203</v>
      </c>
      <c r="R510" s="24" t="n">
        <f aca="false">Q510-'DCF Base Case'!$B$5</f>
        <v>348.052954254203</v>
      </c>
      <c r="S510" s="32" t="n">
        <f aca="false">R510/'DCF Base Case'!$B$6</f>
        <v>13.9221181701681</v>
      </c>
    </row>
    <row r="511" customFormat="false" ht="15" hidden="false" customHeight="true" outlineLevel="0" collapsed="false">
      <c r="A511" s="6" t="n">
        <v>510</v>
      </c>
      <c r="B511" s="30" t="n">
        <v>0.0803690218145542</v>
      </c>
      <c r="C511" s="30" t="n">
        <v>0.385740759528558</v>
      </c>
      <c r="D511" s="30" t="n">
        <v>0.0801413902640971</v>
      </c>
      <c r="E511" s="30" t="n">
        <v>0.267804587579602</v>
      </c>
      <c r="F511" s="30" t="n">
        <v>0.0166254852951139</v>
      </c>
      <c r="G511" s="30" t="n">
        <v>0.158785623597198</v>
      </c>
      <c r="H511" s="31" t="n">
        <f aca="false">MAX(D511,F511+0.015)</f>
        <v>0.0801413902640971</v>
      </c>
      <c r="I511" s="25" t="n">
        <f aca="false">(C511-'DCF Base Case'!$B$3)*(1-E511)+'DCF Base Case'!$B$3-G511</f>
        <v>0.15846658729852</v>
      </c>
      <c r="J511" s="24" t="n">
        <f aca="false">'DCF Base Case'!$B$2*(1+B511)^1*$I511-'DCF Base Case'!$B$2*(1+B511)^0*B511*'DCF Base Case'!$B$4</f>
        <v>24.4747415820557</v>
      </c>
      <c r="K511" s="24" t="n">
        <f aca="false">'DCF Base Case'!$B$2*(1+B511)^2*$I511-'DCF Base Case'!$B$2*(1+B511)^1*B511*'DCF Base Case'!$B$4</f>
        <v>26.4417526221695</v>
      </c>
      <c r="L511" s="24" t="n">
        <f aca="false">'DCF Base Case'!$B$2*(1+B511)^3*$I511-'DCF Base Case'!$B$2*(1+B511)^2*B511*'DCF Base Case'!$B$4</f>
        <v>28.5668504154757</v>
      </c>
      <c r="M511" s="24" t="n">
        <f aca="false">'DCF Base Case'!$B$2*(1+B511)^4*$I511-'DCF Base Case'!$B$2*(1+B511)^3*B511*'DCF Base Case'!$B$4</f>
        <v>30.8627402396902</v>
      </c>
      <c r="N511" s="24" t="n">
        <f aca="false">'DCF Base Case'!$B$2*(1+B511)^5*$I511-'DCF Base Case'!$B$2*(1+B511)^4*B511*'DCF Base Case'!$B$4</f>
        <v>33.3431484832707</v>
      </c>
      <c r="O511" s="24" t="n">
        <f aca="false">J511/(1+H511)^1+K511/(1+H511)^2+L511/(1+H511)^3+M511/(1+H511)^4+N511/(1+H511)^5</f>
        <v>113.341918506044</v>
      </c>
      <c r="P511" s="24" t="n">
        <f aca="false">N511*(1+F511)/(H511-F511)</f>
        <v>533.685137992214</v>
      </c>
      <c r="Q511" s="24" t="n">
        <f aca="false">O511+P511/(1+H511)^5</f>
        <v>476.321392952006</v>
      </c>
      <c r="R511" s="24" t="n">
        <f aca="false">Q511-'DCF Base Case'!$B$5</f>
        <v>291.321392952006</v>
      </c>
      <c r="S511" s="32" t="n">
        <f aca="false">R511/'DCF Base Case'!$B$6</f>
        <v>11.6528557180802</v>
      </c>
    </row>
    <row r="512" customFormat="false" ht="15" hidden="false" customHeight="true" outlineLevel="0" collapsed="false">
      <c r="A512" s="6" t="n">
        <v>511</v>
      </c>
      <c r="B512" s="30" t="n">
        <v>0.115575784780687</v>
      </c>
      <c r="C512" s="30" t="n">
        <v>0.426860590814248</v>
      </c>
      <c r="D512" s="30" t="n">
        <v>0.11218989983661</v>
      </c>
      <c r="E512" s="30" t="n">
        <v>0.284579651783747</v>
      </c>
      <c r="F512" s="30" t="n">
        <v>0.0182176345697257</v>
      </c>
      <c r="G512" s="30" t="n">
        <v>0.165318126052809</v>
      </c>
      <c r="H512" s="31" t="n">
        <f aca="false">MAX(D512,F512+0.015)</f>
        <v>0.11218989983661</v>
      </c>
      <c r="I512" s="25" t="n">
        <f aca="false">(C512-'DCF Base Case'!$B$3)*(1-E512)+'DCF Base Case'!$B$3-G512</f>
        <v>0.177061981199203</v>
      </c>
      <c r="J512" s="24" t="n">
        <f aca="false">'DCF Base Case'!$B$2*(1+B512)^1*$I512-'DCF Base Case'!$B$2*(1+B512)^0*B512*'DCF Base Case'!$B$4</f>
        <v>28.138523837717</v>
      </c>
      <c r="K512" s="24" t="n">
        <f aca="false">'DCF Base Case'!$B$2*(1+B512)^2*$I512-'DCF Base Case'!$B$2*(1+B512)^1*B512*'DCF Base Case'!$B$4</f>
        <v>31.3906558128312</v>
      </c>
      <c r="L512" s="24" t="n">
        <f aca="false">'DCF Base Case'!$B$2*(1+B512)^3*$I512-'DCF Base Case'!$B$2*(1+B512)^2*B512*'DCF Base Case'!$B$4</f>
        <v>35.0186554931796</v>
      </c>
      <c r="M512" s="24" t="n">
        <f aca="false">'DCF Base Case'!$B$2*(1+B512)^4*$I512-'DCF Base Case'!$B$2*(1+B512)^3*B512*'DCF Base Case'!$B$4</f>
        <v>39.0659640837684</v>
      </c>
      <c r="N512" s="24" t="n">
        <f aca="false">'DCF Base Case'!$B$2*(1+B512)^5*$I512-'DCF Base Case'!$B$2*(1+B512)^4*B512*'DCF Base Case'!$B$4</f>
        <v>43.581043540964</v>
      </c>
      <c r="O512" s="24" t="n">
        <f aca="false">J512/(1+H512)^1+K512/(1+H512)^2+L512/(1+H512)^3+M512/(1+H512)^4+N512/(1+H512)^5</f>
        <v>127.273106497018</v>
      </c>
      <c r="P512" s="24" t="n">
        <f aca="false">N512*(1+F512)/(H512-F512)</f>
        <v>472.213657299143</v>
      </c>
      <c r="Q512" s="24" t="n">
        <f aca="false">O512+P512/(1+H512)^5</f>
        <v>404.7608527377</v>
      </c>
      <c r="R512" s="24" t="n">
        <f aca="false">Q512-'DCF Base Case'!$B$5</f>
        <v>219.7608527377</v>
      </c>
      <c r="S512" s="32" t="n">
        <f aca="false">R512/'DCF Base Case'!$B$6</f>
        <v>8.790434109508</v>
      </c>
    </row>
    <row r="513" customFormat="false" ht="15" hidden="false" customHeight="true" outlineLevel="0" collapsed="false">
      <c r="A513" s="6" t="n">
        <v>512</v>
      </c>
      <c r="B513" s="30" t="n">
        <v>0.0953465854160411</v>
      </c>
      <c r="C513" s="30" t="n">
        <v>0.424819346861905</v>
      </c>
      <c r="D513" s="30" t="n">
        <v>0.107843824584449</v>
      </c>
      <c r="E513" s="30" t="n">
        <v>0.260948122379669</v>
      </c>
      <c r="F513" s="30" t="n">
        <v>0.0224389300722627</v>
      </c>
      <c r="G513" s="30" t="n">
        <v>0.169937328028884</v>
      </c>
      <c r="H513" s="31" t="n">
        <f aca="false">MAX(D513,F513+0.015)</f>
        <v>0.107843824584449</v>
      </c>
      <c r="I513" s="25" t="n">
        <f aca="false">(C513-'DCF Base Case'!$B$3)*(1-E513)+'DCF Base Case'!$B$3-G513</f>
        <v>0.177949463828206</v>
      </c>
      <c r="J513" s="24" t="n">
        <f aca="false">'DCF Base Case'!$B$2*(1+B513)^1*$I513-'DCF Base Case'!$B$2*(1+B513)^0*B513*'DCF Base Case'!$B$4</f>
        <v>27.8481113026622</v>
      </c>
      <c r="K513" s="24" t="n">
        <f aca="false">'DCF Base Case'!$B$2*(1+B513)^2*$I513-'DCF Base Case'!$B$2*(1+B513)^1*B513*'DCF Base Case'!$B$4</f>
        <v>30.5033336256569</v>
      </c>
      <c r="L513" s="24" t="n">
        <f aca="false">'DCF Base Case'!$B$2*(1+B513)^3*$I513-'DCF Base Case'!$B$2*(1+B513)^2*B513*'DCF Base Case'!$B$4</f>
        <v>33.4117223306696</v>
      </c>
      <c r="M513" s="24" t="n">
        <f aca="false">'DCF Base Case'!$B$2*(1+B513)^4*$I513-'DCF Base Case'!$B$2*(1+B513)^3*B513*'DCF Base Case'!$B$4</f>
        <v>36.5974159677678</v>
      </c>
      <c r="N513" s="24" t="n">
        <f aca="false">'DCF Base Case'!$B$2*(1+B513)^5*$I513-'DCF Base Case'!$B$2*(1+B513)^4*B513*'DCF Base Case'!$B$4</f>
        <v>40.086854615345</v>
      </c>
      <c r="O513" s="24" t="n">
        <f aca="false">J513/(1+H513)^1+K513/(1+H513)^2+L513/(1+H513)^3+M513/(1+H513)^4+N513/(1+H513)^5</f>
        <v>122.882245369051</v>
      </c>
      <c r="P513" s="24" t="n">
        <f aca="false">N513*(1+F513)/(H513-F513)</f>
        <v>479.906461766397</v>
      </c>
      <c r="Q513" s="24" t="n">
        <f aca="false">O513+P513/(1+H513)^5</f>
        <v>410.465696909469</v>
      </c>
      <c r="R513" s="24" t="n">
        <f aca="false">Q513-'DCF Base Case'!$B$5</f>
        <v>225.465696909469</v>
      </c>
      <c r="S513" s="32" t="n">
        <f aca="false">R513/'DCF Base Case'!$B$6</f>
        <v>9.01862787637876</v>
      </c>
    </row>
    <row r="514" customFormat="false" ht="15" hidden="false" customHeight="true" outlineLevel="0" collapsed="false">
      <c r="A514" s="6" t="n">
        <v>513</v>
      </c>
      <c r="B514" s="30" t="n">
        <v>0.0570411228277533</v>
      </c>
      <c r="C514" s="30" t="n">
        <v>0.41839389478528</v>
      </c>
      <c r="D514" s="30" t="n">
        <v>0.098943859168843</v>
      </c>
      <c r="E514" s="30" t="n">
        <v>0.260765307391591</v>
      </c>
      <c r="F514" s="30" t="n">
        <v>0.0193207452068817</v>
      </c>
      <c r="G514" s="30" t="n">
        <v>0.13299720344067</v>
      </c>
      <c r="H514" s="31" t="n">
        <f aca="false">MAX(D514,F514+0.015)</f>
        <v>0.098943859168843</v>
      </c>
      <c r="I514" s="25" t="n">
        <f aca="false">(C514-'DCF Base Case'!$B$3)*(1-E514)+'DCF Base Case'!$B$3-G514</f>
        <v>0.210193568721068</v>
      </c>
      <c r="J514" s="24" t="n">
        <f aca="false">'DCF Base Case'!$B$2*(1+B514)^1*$I514-'DCF Base Case'!$B$2*(1+B514)^0*B514*'DCF Base Case'!$B$4</f>
        <v>31.9684417700524</v>
      </c>
      <c r="K514" s="24" t="n">
        <f aca="false">'DCF Base Case'!$B$2*(1+B514)^2*$I514-'DCF Base Case'!$B$2*(1+B514)^1*B514*'DCF Base Case'!$B$4</f>
        <v>33.7919575836698</v>
      </c>
      <c r="L514" s="24" t="n">
        <f aca="false">'DCF Base Case'!$B$2*(1+B514)^3*$I514-'DCF Base Case'!$B$2*(1+B514)^2*B514*'DCF Base Case'!$B$4</f>
        <v>35.7194887867902</v>
      </c>
      <c r="M514" s="24" t="n">
        <f aca="false">'DCF Base Case'!$B$2*(1+B514)^4*$I514-'DCF Base Case'!$B$2*(1+B514)^3*B514*'DCF Base Case'!$B$4</f>
        <v>37.756968534022</v>
      </c>
      <c r="N514" s="24" t="n">
        <f aca="false">'DCF Base Case'!$B$2*(1+B514)^5*$I514-'DCF Base Case'!$B$2*(1+B514)^4*B514*'DCF Base Case'!$B$4</f>
        <v>39.9106684137748</v>
      </c>
      <c r="O514" s="24" t="n">
        <f aca="false">J514/(1+H514)^1+K514/(1+H514)^2+L514/(1+H514)^3+M514/(1+H514)^4+N514/(1+H514)^5</f>
        <v>134.773613280781</v>
      </c>
      <c r="P514" s="24" t="n">
        <f aca="false">N514*(1+F514)/(H514-F514)</f>
        <v>510.929179291691</v>
      </c>
      <c r="Q514" s="24" t="n">
        <f aca="false">O514+P514/(1+H514)^5</f>
        <v>453.547819741106</v>
      </c>
      <c r="R514" s="24" t="n">
        <f aca="false">Q514-'DCF Base Case'!$B$5</f>
        <v>268.547819741106</v>
      </c>
      <c r="S514" s="32" t="n">
        <f aca="false">R514/'DCF Base Case'!$B$6</f>
        <v>10.7419127896442</v>
      </c>
    </row>
    <row r="515" customFormat="false" ht="15" hidden="false" customHeight="true" outlineLevel="0" collapsed="false">
      <c r="A515" s="6" t="n">
        <v>514</v>
      </c>
      <c r="B515" s="30" t="n">
        <v>0.0628090029683642</v>
      </c>
      <c r="C515" s="30" t="n">
        <v>0.425695542445001</v>
      </c>
      <c r="D515" s="30" t="n">
        <v>0.0798694184339182</v>
      </c>
      <c r="E515" s="30" t="n">
        <v>0.257154203727348</v>
      </c>
      <c r="F515" s="30" t="n">
        <v>0.0201709623774851</v>
      </c>
      <c r="G515" s="30" t="n">
        <v>0.154680922777402</v>
      </c>
      <c r="H515" s="31" t="n">
        <f aca="false">MAX(D515,F515+0.015)</f>
        <v>0.0798694184339182</v>
      </c>
      <c r="I515" s="25" t="n">
        <f aca="false">(C515-'DCF Base Case'!$B$3)*(1-E515)+'DCF Base Case'!$B$3-G515</f>
        <v>0.194975267904429</v>
      </c>
      <c r="J515" s="24" t="n">
        <f aca="false">'DCF Base Case'!$B$2*(1+B515)^1*$I515-'DCF Base Case'!$B$2*(1+B515)^0*B515*'DCF Base Case'!$B$4</f>
        <v>29.7738939994119</v>
      </c>
      <c r="K515" s="24" t="n">
        <f aca="false">'DCF Base Case'!$B$2*(1+B515)^2*$I515-'DCF Base Case'!$B$2*(1+B515)^1*B515*'DCF Base Case'!$B$4</f>
        <v>31.6439625960008</v>
      </c>
      <c r="L515" s="24" t="n">
        <f aca="false">'DCF Base Case'!$B$2*(1+B515)^3*$I515-'DCF Base Case'!$B$2*(1+B515)^2*B515*'DCF Base Case'!$B$4</f>
        <v>33.6314883366238</v>
      </c>
      <c r="M515" s="24" t="n">
        <f aca="false">'DCF Base Case'!$B$2*(1+B515)^4*$I515-'DCF Base Case'!$B$2*(1+B515)^3*B515*'DCF Base Case'!$B$4</f>
        <v>35.7438485873893</v>
      </c>
      <c r="N515" s="24" t="n">
        <f aca="false">'DCF Base Case'!$B$2*(1+B515)^5*$I515-'DCF Base Case'!$B$2*(1+B515)^4*B515*'DCF Base Case'!$B$4</f>
        <v>37.9888840794154</v>
      </c>
      <c r="O515" s="24" t="n">
        <f aca="false">J515/(1+H515)^1+K515/(1+H515)^2+L515/(1+H515)^3+M515/(1+H515)^4+N515/(1+H515)^5</f>
        <v>133.571097452583</v>
      </c>
      <c r="P515" s="24" t="n">
        <f aca="false">N515*(1+F515)/(H515-F515)</f>
        <v>649.181888293871</v>
      </c>
      <c r="Q515" s="24" t="n">
        <f aca="false">O515+P515/(1+H515)^5</f>
        <v>575.660580494499</v>
      </c>
      <c r="R515" s="24" t="n">
        <f aca="false">Q515-'DCF Base Case'!$B$5</f>
        <v>390.660580494499</v>
      </c>
      <c r="S515" s="32" t="n">
        <f aca="false">R515/'DCF Base Case'!$B$6</f>
        <v>15.62642321978</v>
      </c>
    </row>
    <row r="516" customFormat="false" ht="15" hidden="false" customHeight="true" outlineLevel="0" collapsed="false">
      <c r="A516" s="6" t="n">
        <v>515</v>
      </c>
      <c r="B516" s="30" t="n">
        <v>0.0799301921180737</v>
      </c>
      <c r="C516" s="30" t="n">
        <v>0.425426746778241</v>
      </c>
      <c r="D516" s="30" t="n">
        <v>0.0722209330517222</v>
      </c>
      <c r="E516" s="30" t="n">
        <v>0.260044989561906</v>
      </c>
      <c r="F516" s="30" t="n">
        <v>0.0199103313221349</v>
      </c>
      <c r="G516" s="30" t="n">
        <v>0.188424339946481</v>
      </c>
      <c r="H516" s="31" t="n">
        <f aca="false">MAX(D516,F516+0.015)</f>
        <v>0.0722209330517222</v>
      </c>
      <c r="I516" s="25" t="n">
        <f aca="false">(C516-'DCF Base Case'!$B$3)*(1-E516)+'DCF Base Case'!$B$3-G516</f>
        <v>0.160178161549504</v>
      </c>
      <c r="J516" s="24" t="n">
        <f aca="false">'DCF Base Case'!$B$2*(1+B516)^1*$I516-'DCF Base Case'!$B$2*(1+B516)^0*B516*'DCF Base Case'!$B$4</f>
        <v>24.7345824167014</v>
      </c>
      <c r="K516" s="24" t="n">
        <f aca="false">'DCF Base Case'!$B$2*(1+B516)^2*$I516-'DCF Base Case'!$B$2*(1+B516)^1*B516*'DCF Base Case'!$B$4</f>
        <v>26.7116223412287</v>
      </c>
      <c r="L516" s="24" t="n">
        <f aca="false">'DCF Base Case'!$B$2*(1+B516)^3*$I516-'DCF Base Case'!$B$2*(1+B516)^2*B516*'DCF Base Case'!$B$4</f>
        <v>28.8466874467486</v>
      </c>
      <c r="M516" s="24" t="n">
        <f aca="false">'DCF Base Case'!$B$2*(1+B516)^4*$I516-'DCF Base Case'!$B$2*(1+B516)^3*B516*'DCF Base Case'!$B$4</f>
        <v>31.1524087163372</v>
      </c>
      <c r="N516" s="24" t="n">
        <f aca="false">'DCF Base Case'!$B$2*(1+B516)^5*$I516-'DCF Base Case'!$B$2*(1+B516)^4*B516*'DCF Base Case'!$B$4</f>
        <v>33.6424267299748</v>
      </c>
      <c r="O516" s="24" t="n">
        <f aca="false">J516/(1+H516)^1+K516/(1+H516)^2+L516/(1+H516)^3+M516/(1+H516)^4+N516/(1+H516)^5</f>
        <v>117.013346159589</v>
      </c>
      <c r="P516" s="24" t="n">
        <f aca="false">N516*(1+F516)/(H516-F516)</f>
        <v>655.933165709351</v>
      </c>
      <c r="Q516" s="24" t="n">
        <f aca="false">O516+P516/(1+H516)^5</f>
        <v>579.861122775213</v>
      </c>
      <c r="R516" s="24" t="n">
        <f aca="false">Q516-'DCF Base Case'!$B$5</f>
        <v>394.861122775213</v>
      </c>
      <c r="S516" s="32" t="n">
        <f aca="false">R516/'DCF Base Case'!$B$6</f>
        <v>15.7944449110085</v>
      </c>
    </row>
    <row r="517" customFormat="false" ht="15" hidden="false" customHeight="true" outlineLevel="0" collapsed="false">
      <c r="A517" s="6" t="n">
        <v>516</v>
      </c>
      <c r="B517" s="30" t="n">
        <v>0.116780577732497</v>
      </c>
      <c r="C517" s="30" t="n">
        <v>0.410485375179197</v>
      </c>
      <c r="D517" s="30" t="n">
        <v>0.0953111466361161</v>
      </c>
      <c r="E517" s="30" t="n">
        <v>0.261926935302609</v>
      </c>
      <c r="F517" s="30" t="n">
        <v>0.0253903544334949</v>
      </c>
      <c r="G517" s="30" t="n">
        <v>0.142666742503521</v>
      </c>
      <c r="H517" s="31" t="n">
        <f aca="false">MAX(D517,F517+0.015)</f>
        <v>0.0953111466361161</v>
      </c>
      <c r="I517" s="25" t="n">
        <f aca="false">(C517-'DCF Base Case'!$B$3)*(1-E517)+'DCF Base Case'!$B$3-G517</f>
        <v>0.194351957957786</v>
      </c>
      <c r="J517" s="24" t="n">
        <f aca="false">'DCF Base Case'!$B$2*(1+B517)^1*$I517-'DCF Base Case'!$B$2*(1+B517)^0*B517*'DCF Base Case'!$B$4</f>
        <v>30.9640358111368</v>
      </c>
      <c r="K517" s="24" t="n">
        <f aca="false">'DCF Base Case'!$B$2*(1+B517)^2*$I517-'DCF Base Case'!$B$2*(1+B517)^1*B517*'DCF Base Case'!$B$4</f>
        <v>34.580033802091</v>
      </c>
      <c r="L517" s="24" t="n">
        <f aca="false">'DCF Base Case'!$B$2*(1+B517)^3*$I517-'DCF Base Case'!$B$2*(1+B517)^2*B517*'DCF Base Case'!$B$4</f>
        <v>38.6183101275085</v>
      </c>
      <c r="M517" s="24" t="n">
        <f aca="false">'DCF Base Case'!$B$2*(1+B517)^4*$I517-'DCF Base Case'!$B$2*(1+B517)^3*B517*'DCF Base Case'!$B$4</f>
        <v>43.1281786952517</v>
      </c>
      <c r="N517" s="24" t="n">
        <f aca="false">'DCF Base Case'!$B$2*(1+B517)^5*$I517-'DCF Base Case'!$B$2*(1+B517)^4*B517*'DCF Base Case'!$B$4</f>
        <v>48.1647123198336</v>
      </c>
      <c r="O517" s="24" t="n">
        <f aca="false">J517/(1+H517)^1+K517/(1+H517)^2+L517/(1+H517)^3+M517/(1+H517)^4+N517/(1+H517)^5</f>
        <v>146.999000253595</v>
      </c>
      <c r="P517" s="24" t="n">
        <f aca="false">N517*(1+F517)/(H517-F517)</f>
        <v>706.336840316434</v>
      </c>
      <c r="Q517" s="24" t="n">
        <f aca="false">O517+P517/(1+H517)^5</f>
        <v>595.046771609901</v>
      </c>
      <c r="R517" s="24" t="n">
        <f aca="false">Q517-'DCF Base Case'!$B$5</f>
        <v>410.046771609901</v>
      </c>
      <c r="S517" s="32" t="n">
        <f aca="false">R517/'DCF Base Case'!$B$6</f>
        <v>16.4018708643961</v>
      </c>
    </row>
    <row r="518" customFormat="false" ht="15" hidden="false" customHeight="true" outlineLevel="0" collapsed="false">
      <c r="A518" s="6" t="n">
        <v>517</v>
      </c>
      <c r="B518" s="30" t="n">
        <v>0.118551225034204</v>
      </c>
      <c r="C518" s="30" t="n">
        <v>0.411403349191731</v>
      </c>
      <c r="D518" s="30" t="n">
        <v>0.107145711002741</v>
      </c>
      <c r="E518" s="30" t="n">
        <v>0.29761858689671</v>
      </c>
      <c r="F518" s="30" t="n">
        <v>0.015204986319974</v>
      </c>
      <c r="G518" s="30" t="n">
        <v>0.154684414291104</v>
      </c>
      <c r="H518" s="31" t="n">
        <f aca="false">MAX(D518,F518+0.015)</f>
        <v>0.107145711002741</v>
      </c>
      <c r="I518" s="25" t="n">
        <f aca="false">(C518-'DCF Base Case'!$B$3)*(1-E518)+'DCF Base Case'!$B$3-G518</f>
        <v>0.172968067766183</v>
      </c>
      <c r="J518" s="24" t="n">
        <f aca="false">'DCF Base Case'!$B$2*(1+B518)^1*$I518-'DCF Base Case'!$B$2*(1+B518)^0*B518*'DCF Base Case'!$B$4</f>
        <v>27.5379805643923</v>
      </c>
      <c r="K518" s="24" t="n">
        <f aca="false">'DCF Base Case'!$B$2*(1+B518)^2*$I518-'DCF Base Case'!$B$2*(1+B518)^1*B518*'DCF Base Case'!$B$4</f>
        <v>30.8026418952691</v>
      </c>
      <c r="L518" s="24" t="n">
        <f aca="false">'DCF Base Case'!$B$2*(1+B518)^3*$I518-'DCF Base Case'!$B$2*(1+B518)^2*B518*'DCF Base Case'!$B$4</f>
        <v>34.4543328262432</v>
      </c>
      <c r="M518" s="24" t="n">
        <f aca="false">'DCF Base Case'!$B$2*(1+B518)^4*$I518-'DCF Base Case'!$B$2*(1+B518)^3*B518*'DCF Base Case'!$B$4</f>
        <v>38.5389361905305</v>
      </c>
      <c r="N518" s="24" t="n">
        <f aca="false">'DCF Base Case'!$B$2*(1+B518)^5*$I518-'DCF Base Case'!$B$2*(1+B518)^4*B518*'DCF Base Case'!$B$4</f>
        <v>43.1077742874329</v>
      </c>
      <c r="O518" s="24" t="n">
        <f aca="false">J518/(1+H518)^1+K518/(1+H518)^2+L518/(1+H518)^3+M518/(1+H518)^4+N518/(1+H518)^5</f>
        <v>126.953629486424</v>
      </c>
      <c r="P518" s="24" t="n">
        <f aca="false">N518*(1+F518)/(H518-F518)</f>
        <v>475.99393584028</v>
      </c>
      <c r="Q518" s="24" t="n">
        <f aca="false">O518+P518/(1+H518)^5</f>
        <v>413.092929259253</v>
      </c>
      <c r="R518" s="24" t="n">
        <f aca="false">Q518-'DCF Base Case'!$B$5</f>
        <v>228.092929259253</v>
      </c>
      <c r="S518" s="32" t="n">
        <f aca="false">R518/'DCF Base Case'!$B$6</f>
        <v>9.12371717037012</v>
      </c>
    </row>
    <row r="519" customFormat="false" ht="15" hidden="false" customHeight="true" outlineLevel="0" collapsed="false">
      <c r="A519" s="6" t="n">
        <v>518</v>
      </c>
      <c r="B519" s="30" t="n">
        <v>0.10703426300508</v>
      </c>
      <c r="C519" s="30" t="n">
        <v>0.43961089423903</v>
      </c>
      <c r="D519" s="30" t="n">
        <v>0.0842221284910309</v>
      </c>
      <c r="E519" s="30" t="n">
        <v>0.280908180998306</v>
      </c>
      <c r="F519" s="30" t="n">
        <v>0.0220763731556118</v>
      </c>
      <c r="G519" s="30" t="n">
        <v>0.168178853811525</v>
      </c>
      <c r="H519" s="31" t="n">
        <f aca="false">MAX(D519,F519+0.015)</f>
        <v>0.0842221284910309</v>
      </c>
      <c r="I519" s="25" t="n">
        <f aca="false">(C519-'DCF Base Case'!$B$3)*(1-E519)+'DCF Base Case'!$B$3-G519</f>
        <v>0.18445980730956</v>
      </c>
      <c r="J519" s="24" t="n">
        <f aca="false">'DCF Base Case'!$B$2*(1+B519)^1*$I519-'DCF Base Case'!$B$2*(1+B519)^0*B519*'DCF Base Case'!$B$4</f>
        <v>29.1438833475826</v>
      </c>
      <c r="K519" s="24" t="n">
        <f aca="false">'DCF Base Case'!$B$2*(1+B519)^2*$I519-'DCF Base Case'!$B$2*(1+B519)^1*B519*'DCF Base Case'!$B$4</f>
        <v>32.2632774227971</v>
      </c>
      <c r="L519" s="24" t="n">
        <f aca="false">'DCF Base Case'!$B$2*(1+B519)^3*$I519-'DCF Base Case'!$B$2*(1+B519)^2*B519*'DCF Base Case'!$B$4</f>
        <v>35.7165535438747</v>
      </c>
      <c r="M519" s="24" t="n">
        <f aca="false">'DCF Base Case'!$B$2*(1+B519)^4*$I519-'DCF Base Case'!$B$2*(1+B519)^3*B519*'DCF Base Case'!$B$4</f>
        <v>39.5394485295248</v>
      </c>
      <c r="N519" s="24" t="n">
        <f aca="false">'DCF Base Case'!$B$2*(1+B519)^5*$I519-'DCF Base Case'!$B$2*(1+B519)^4*B519*'DCF Base Case'!$B$4</f>
        <v>43.7715242625098</v>
      </c>
      <c r="O519" s="24" t="n">
        <f aca="false">J519/(1+H519)^1+K519/(1+H519)^2+L519/(1+H519)^3+M519/(1+H519)^4+N519/(1+H519)^5</f>
        <v>140.175792067342</v>
      </c>
      <c r="P519" s="24" t="n">
        <f aca="false">N519*(1+F519)/(H519-F519)</f>
        <v>719.885702961617</v>
      </c>
      <c r="Q519" s="24" t="n">
        <f aca="false">O519+P519/(1+H519)^5</f>
        <v>620.652362053319</v>
      </c>
      <c r="R519" s="24" t="n">
        <f aca="false">Q519-'DCF Base Case'!$B$5</f>
        <v>435.652362053319</v>
      </c>
      <c r="S519" s="32" t="n">
        <f aca="false">R519/'DCF Base Case'!$B$6</f>
        <v>17.4260944821327</v>
      </c>
    </row>
    <row r="520" customFormat="false" ht="15" hidden="false" customHeight="true" outlineLevel="0" collapsed="false">
      <c r="A520" s="6" t="n">
        <v>519</v>
      </c>
      <c r="B520" s="30" t="n">
        <v>0.0621267092277861</v>
      </c>
      <c r="C520" s="30" t="n">
        <v>0.385960019352222</v>
      </c>
      <c r="D520" s="30" t="n">
        <v>0.0875863193746683</v>
      </c>
      <c r="E520" s="30" t="n">
        <v>0.316687815319714</v>
      </c>
      <c r="F520" s="30" t="n">
        <v>0.0248613092861861</v>
      </c>
      <c r="G520" s="30" t="n">
        <v>0.183847493295639</v>
      </c>
      <c r="H520" s="31" t="n">
        <f aca="false">MAX(D520,F520+0.015)</f>
        <v>0.0875863193746683</v>
      </c>
      <c r="I520" s="25" t="n">
        <f aca="false">(C520-'DCF Base Case'!$B$3)*(1-E520)+'DCF Base Case'!$B$3-G520</f>
        <v>0.121053106718736</v>
      </c>
      <c r="J520" s="24" t="n">
        <f aca="false">'DCF Base Case'!$B$2*(1+B520)^1*$I520-'DCF Base Case'!$B$2*(1+B520)^0*B520*'DCF Base Case'!$B$4</f>
        <v>18.3729408076</v>
      </c>
      <c r="K520" s="24" t="n">
        <f aca="false">'DCF Base Case'!$B$2*(1+B520)^2*$I520-'DCF Base Case'!$B$2*(1+B520)^1*B520*'DCF Base Case'!$B$4</f>
        <v>19.514391158813</v>
      </c>
      <c r="L520" s="24" t="n">
        <f aca="false">'DCF Base Case'!$B$2*(1+B520)^3*$I520-'DCF Base Case'!$B$2*(1+B520)^2*B520*'DCF Base Case'!$B$4</f>
        <v>20.7267560640939</v>
      </c>
      <c r="M520" s="24" t="n">
        <f aca="false">'DCF Base Case'!$B$2*(1+B520)^4*$I520-'DCF Base Case'!$B$2*(1+B520)^3*B520*'DCF Base Case'!$B$4</f>
        <v>22.0144412113231</v>
      </c>
      <c r="N520" s="24" t="n">
        <f aca="false">'DCF Base Case'!$B$2*(1+B520)^5*$I520-'DCF Base Case'!$B$2*(1+B520)^4*B520*'DCF Base Case'!$B$4</f>
        <v>23.3821259992712</v>
      </c>
      <c r="O520" s="24" t="n">
        <f aca="false">J520/(1+H520)^1+K520/(1+H520)^2+L520/(1+H520)^3+M520/(1+H520)^4+N520/(1+H520)^5</f>
        <v>80.6034789823016</v>
      </c>
      <c r="P520" s="24" t="n">
        <f aca="false">N520*(1+F520)/(H520-F520)</f>
        <v>382.039576106946</v>
      </c>
      <c r="Q520" s="24" t="n">
        <f aca="false">O520+P520/(1+H520)^5</f>
        <v>331.670502831148</v>
      </c>
      <c r="R520" s="24" t="n">
        <f aca="false">Q520-'DCF Base Case'!$B$5</f>
        <v>146.670502831148</v>
      </c>
      <c r="S520" s="32" t="n">
        <f aca="false">R520/'DCF Base Case'!$B$6</f>
        <v>5.86682011324592</v>
      </c>
    </row>
    <row r="521" customFormat="false" ht="15" hidden="false" customHeight="true" outlineLevel="0" collapsed="false">
      <c r="A521" s="6" t="n">
        <v>520</v>
      </c>
      <c r="B521" s="30" t="n">
        <v>0.0960144996545928</v>
      </c>
      <c r="C521" s="30" t="n">
        <v>0.430929353215049</v>
      </c>
      <c r="D521" s="30" t="n">
        <v>0.0776657406477246</v>
      </c>
      <c r="E521" s="30" t="n">
        <v>0.275482685964299</v>
      </c>
      <c r="F521" s="30" t="n">
        <v>0.0159885901944843</v>
      </c>
      <c r="G521" s="30" t="n">
        <v>0.140579564153634</v>
      </c>
      <c r="H521" s="31" t="n">
        <f aca="false">MAX(D521,F521+0.015)</f>
        <v>0.0776657406477246</v>
      </c>
      <c r="I521" s="25" t="n">
        <f aca="false">(C521-'DCF Base Case'!$B$3)*(1-E521)+'DCF Base Case'!$B$3-G521</f>
        <v>0.207448962552234</v>
      </c>
      <c r="J521" s="24" t="n">
        <f aca="false">'DCF Base Case'!$B$2*(1+B521)^1*$I521-'DCF Base Case'!$B$2*(1+B521)^0*B521*'DCF Base Case'!$B$4</f>
        <v>32.5505622063574</v>
      </c>
      <c r="K521" s="24" t="n">
        <f aca="false">'DCF Base Case'!$B$2*(1+B521)^2*$I521-'DCF Base Case'!$B$2*(1+B521)^1*B521*'DCF Base Case'!$B$4</f>
        <v>35.6758881500765</v>
      </c>
      <c r="L521" s="24" t="n">
        <f aca="false">'DCF Base Case'!$B$2*(1+B521)^3*$I521-'DCF Base Case'!$B$2*(1+B521)^2*B521*'DCF Base Case'!$B$4</f>
        <v>39.1012907005394</v>
      </c>
      <c r="M521" s="24" t="n">
        <f aca="false">'DCF Base Case'!$B$2*(1+B521)^4*$I521-'DCF Base Case'!$B$2*(1+B521)^3*B521*'DCF Base Case'!$B$4</f>
        <v>42.8555815630004</v>
      </c>
      <c r="N521" s="24" t="n">
        <f aca="false">'DCF Base Case'!$B$2*(1+B521)^5*$I521-'DCF Base Case'!$B$2*(1+B521)^4*B521*'DCF Base Case'!$B$4</f>
        <v>46.9703387841785</v>
      </c>
      <c r="O521" s="24" t="n">
        <f aca="false">J521/(1+H521)^1+K521/(1+H521)^2+L521/(1+H521)^3+M521/(1+H521)^4+N521/(1+H521)^5</f>
        <v>156.254542017017</v>
      </c>
      <c r="P521" s="24" t="n">
        <f aca="false">N521*(1+F521)/(H521-F521)</f>
        <v>773.727838131467</v>
      </c>
      <c r="Q521" s="24" t="n">
        <f aca="false">O521+P521/(1+H521)^5</f>
        <v>688.568481692132</v>
      </c>
      <c r="R521" s="24" t="n">
        <f aca="false">Q521-'DCF Base Case'!$B$5</f>
        <v>503.568481692132</v>
      </c>
      <c r="S521" s="32" t="n">
        <f aca="false">R521/'DCF Base Case'!$B$6</f>
        <v>20.1427392676853</v>
      </c>
    </row>
    <row r="522" customFormat="false" ht="15" hidden="false" customHeight="true" outlineLevel="0" collapsed="false">
      <c r="A522" s="6" t="n">
        <v>521</v>
      </c>
      <c r="B522" s="30" t="n">
        <v>0.0970255919334518</v>
      </c>
      <c r="C522" s="30" t="n">
        <v>0.420721070252775</v>
      </c>
      <c r="D522" s="30" t="n">
        <v>0.0925641773295992</v>
      </c>
      <c r="E522" s="30" t="n">
        <v>0.296188329466332</v>
      </c>
      <c r="F522" s="30" t="n">
        <v>0.0202169072870868</v>
      </c>
      <c r="G522" s="30" t="n">
        <v>0.178366262548814</v>
      </c>
      <c r="H522" s="31" t="n">
        <f aca="false">MAX(D522,F522+0.015)</f>
        <v>0.0925641773295992</v>
      </c>
      <c r="I522" s="25" t="n">
        <f aca="false">(C522-'DCF Base Case'!$B$3)*(1-E522)+'DCF Base Case'!$B$3-G522</f>
        <v>0.156246619565127</v>
      </c>
      <c r="J522" s="24" t="n">
        <f aca="false">'DCF Base Case'!$B$2*(1+B522)^1*$I522-'DCF Base Case'!$B$2*(1+B522)^0*B522*'DCF Base Case'!$B$4</f>
        <v>24.4318870209145</v>
      </c>
      <c r="K522" s="24" t="n">
        <f aca="false">'DCF Base Case'!$B$2*(1+B522)^2*$I522-'DCF Base Case'!$B$2*(1+B522)^1*B522*'DCF Base Case'!$B$4</f>
        <v>26.80240532117</v>
      </c>
      <c r="L522" s="24" t="n">
        <f aca="false">'DCF Base Case'!$B$2*(1+B522)^3*$I522-'DCF Base Case'!$B$2*(1+B522)^2*B522*'DCF Base Case'!$B$4</f>
        <v>29.4029245626968</v>
      </c>
      <c r="M522" s="24" t="n">
        <f aca="false">'DCF Base Case'!$B$2*(1+B522)^4*$I522-'DCF Base Case'!$B$2*(1+B522)^3*B522*'DCF Base Case'!$B$4</f>
        <v>32.2557607229671</v>
      </c>
      <c r="N522" s="24" t="n">
        <f aca="false">'DCF Base Case'!$B$2*(1+B522)^5*$I522-'DCF Base Case'!$B$2*(1+B522)^4*B522*'DCF Base Case'!$B$4</f>
        <v>35.3853950003767</v>
      </c>
      <c r="O522" s="24" t="n">
        <f aca="false">J522/(1+H522)^1+K522/(1+H522)^2+L522/(1+H522)^3+M522/(1+H522)^4+N522/(1+H522)^5</f>
        <v>112.726721273263</v>
      </c>
      <c r="P522" s="24" t="n">
        <f aca="false">N522*(1+F522)/(H522-F522)</f>
        <v>498.992957567064</v>
      </c>
      <c r="Q522" s="24" t="n">
        <f aca="false">O522+P522/(1+H522)^5</f>
        <v>433.250040782446</v>
      </c>
      <c r="R522" s="24" t="n">
        <f aca="false">Q522-'DCF Base Case'!$B$5</f>
        <v>248.250040782446</v>
      </c>
      <c r="S522" s="32" t="n">
        <f aca="false">R522/'DCF Base Case'!$B$6</f>
        <v>9.93000163129784</v>
      </c>
    </row>
    <row r="523" customFormat="false" ht="15" hidden="false" customHeight="true" outlineLevel="0" collapsed="false">
      <c r="A523" s="6" t="n">
        <v>522</v>
      </c>
      <c r="B523" s="30" t="n">
        <v>0.0891414833553366</v>
      </c>
      <c r="C523" s="30" t="n">
        <v>0.422316731629767</v>
      </c>
      <c r="D523" s="30" t="n">
        <v>0.0770124115704501</v>
      </c>
      <c r="E523" s="30" t="n">
        <v>0.290649953665845</v>
      </c>
      <c r="F523" s="30" t="n">
        <v>0.0217496719656399</v>
      </c>
      <c r="G523" s="30" t="n">
        <v>0.151719422859542</v>
      </c>
      <c r="H523" s="31" t="n">
        <f aca="false">MAX(D523,F523+0.015)</f>
        <v>0.0770124115704501</v>
      </c>
      <c r="I523" s="25" t="n">
        <f aca="false">(C523-'DCF Base Case'!$B$3)*(1-E523)+'DCF Base Case'!$B$3-G523</f>
        <v>0.185635464266282</v>
      </c>
      <c r="J523" s="24" t="n">
        <f aca="false">'DCF Base Case'!$B$2*(1+B523)^1*$I523-'DCF Base Case'!$B$2*(1+B523)^0*B523*'DCF Base Case'!$B$4</f>
        <v>28.9288108599828</v>
      </c>
      <c r="K523" s="24" t="n">
        <f aca="false">'DCF Base Case'!$B$2*(1+B523)^2*$I523-'DCF Base Case'!$B$2*(1+B523)^1*B523*'DCF Base Case'!$B$4</f>
        <v>31.5075679717477</v>
      </c>
      <c r="L523" s="24" t="n">
        <f aca="false">'DCF Base Case'!$B$2*(1+B523)^3*$I523-'DCF Base Case'!$B$2*(1+B523)^2*B523*'DCF Base Case'!$B$4</f>
        <v>34.3161993176684</v>
      </c>
      <c r="M523" s="24" t="n">
        <f aca="false">'DCF Base Case'!$B$2*(1+B523)^4*$I523-'DCF Base Case'!$B$2*(1+B523)^3*B523*'DCF Base Case'!$B$4</f>
        <v>37.3751962279627</v>
      </c>
      <c r="N523" s="24" t="n">
        <f aca="false">'DCF Base Case'!$B$2*(1+B523)^5*$I523-'DCF Base Case'!$B$2*(1+B523)^4*B523*'DCF Base Case'!$B$4</f>
        <v>40.7068766604201</v>
      </c>
      <c r="O523" s="24" t="n">
        <f aca="false">J523/(1+H523)^1+K523/(1+H523)^2+L523/(1+H523)^3+M523/(1+H523)^4+N523/(1+H523)^5</f>
        <v>137.360393586954</v>
      </c>
      <c r="P523" s="24" t="n">
        <f aca="false">N523*(1+F523)/(H523-F523)</f>
        <v>752.62714393026</v>
      </c>
      <c r="Q523" s="24" t="n">
        <f aca="false">O523+P523/(1+H523)^5</f>
        <v>656.729767333194</v>
      </c>
      <c r="R523" s="24" t="n">
        <f aca="false">Q523-'DCF Base Case'!$B$5</f>
        <v>471.729767333194</v>
      </c>
      <c r="S523" s="32" t="n">
        <f aca="false">R523/'DCF Base Case'!$B$6</f>
        <v>18.8691906933278</v>
      </c>
    </row>
    <row r="524" customFormat="false" ht="15" hidden="false" customHeight="true" outlineLevel="0" collapsed="false">
      <c r="A524" s="6" t="n">
        <v>523</v>
      </c>
      <c r="B524" s="30" t="n">
        <v>0.0910443445907152</v>
      </c>
      <c r="C524" s="30" t="n">
        <v>0.401402224166791</v>
      </c>
      <c r="D524" s="30" t="n">
        <v>0.0792084263383227</v>
      </c>
      <c r="E524" s="30" t="n">
        <v>0.256931652861382</v>
      </c>
      <c r="F524" s="30" t="n">
        <v>0.0238268426513162</v>
      </c>
      <c r="G524" s="30" t="n">
        <v>0.190679393854588</v>
      </c>
      <c r="H524" s="31" t="n">
        <f aca="false">MAX(D524,F524+0.015)</f>
        <v>0.0792084263383227</v>
      </c>
      <c r="I524" s="25" t="n">
        <f aca="false">(C524-'DCF Base Case'!$B$3)*(1-E524)+'DCF Base Case'!$B$3-G524</f>
        <v>0.140991008266774</v>
      </c>
      <c r="J524" s="24" t="n">
        <f aca="false">'DCF Base Case'!$B$2*(1+B524)^1*$I524-'DCF Base Case'!$B$2*(1+B524)^0*B524*'DCF Base Case'!$B$4</f>
        <v>21.9089362211334</v>
      </c>
      <c r="K524" s="24" t="n">
        <f aca="false">'DCF Base Case'!$B$2*(1+B524)^2*$I524-'DCF Base Case'!$B$2*(1+B524)^1*B524*'DCF Base Case'!$B$4</f>
        <v>23.9036209600662</v>
      </c>
      <c r="L524" s="24" t="n">
        <f aca="false">'DCF Base Case'!$B$2*(1+B524)^3*$I524-'DCF Base Case'!$B$2*(1+B524)^2*B524*'DCF Base Case'!$B$4</f>
        <v>26.0799104637203</v>
      </c>
      <c r="M524" s="24" t="n">
        <f aca="false">'DCF Base Case'!$B$2*(1+B524)^4*$I524-'DCF Base Case'!$B$2*(1+B524)^3*B524*'DCF Base Case'!$B$4</f>
        <v>28.4543388188743</v>
      </c>
      <c r="N524" s="24" t="n">
        <f aca="false">'DCF Base Case'!$B$2*(1+B524)^5*$I524-'DCF Base Case'!$B$2*(1+B524)^4*B524*'DCF Base Case'!$B$4</f>
        <v>31.0449454474008</v>
      </c>
      <c r="O524" s="24" t="n">
        <f aca="false">J524/(1+H524)^1+K524/(1+H524)^2+L524/(1+H524)^3+M524/(1+H524)^4+N524/(1+H524)^5</f>
        <v>103.755657292069</v>
      </c>
      <c r="P524" s="24" t="n">
        <f aca="false">N524*(1+F524)/(H524-F524)</f>
        <v>573.920902250255</v>
      </c>
      <c r="Q524" s="24" t="n">
        <f aca="false">O524+P524/(1+H524)^5</f>
        <v>495.791165055678</v>
      </c>
      <c r="R524" s="24" t="n">
        <f aca="false">Q524-'DCF Base Case'!$B$5</f>
        <v>310.791165055678</v>
      </c>
      <c r="S524" s="32" t="n">
        <f aca="false">R524/'DCF Base Case'!$B$6</f>
        <v>12.4316466022271</v>
      </c>
    </row>
    <row r="525" customFormat="false" ht="15" hidden="false" customHeight="true" outlineLevel="0" collapsed="false">
      <c r="A525" s="6" t="n">
        <v>524</v>
      </c>
      <c r="B525" s="30" t="n">
        <v>0.101562779635982</v>
      </c>
      <c r="C525" s="30" t="n">
        <v>0.450857245656765</v>
      </c>
      <c r="D525" s="30" t="n">
        <v>0.0829182973377477</v>
      </c>
      <c r="E525" s="30" t="n">
        <v>0.346530856145594</v>
      </c>
      <c r="F525" s="30" t="n">
        <v>0.0184705996627461</v>
      </c>
      <c r="G525" s="30" t="n">
        <v>0.17105389395512</v>
      </c>
      <c r="H525" s="31" t="n">
        <f aca="false">MAX(D525,F525+0.015)</f>
        <v>0.0829182973377477</v>
      </c>
      <c r="I525" s="25" t="n">
        <f aca="false">(C525-'DCF Base Case'!$B$3)*(1-E525)+'DCF Base Case'!$B$3-G525</f>
        <v>0.168616415663689</v>
      </c>
      <c r="J525" s="24" t="n">
        <f aca="false">'DCF Base Case'!$B$2*(1+B525)^1*$I525-'DCF Base Case'!$B$2*(1+B525)^0*B525*'DCF Base Case'!$B$4</f>
        <v>26.4907292005421</v>
      </c>
      <c r="K525" s="24" t="n">
        <f aca="false">'DCF Base Case'!$B$2*(1+B525)^2*$I525-'DCF Base Case'!$B$2*(1+B525)^1*B525*'DCF Base Case'!$B$4</f>
        <v>29.1812012927333</v>
      </c>
      <c r="L525" s="24" t="n">
        <f aca="false">'DCF Base Case'!$B$2*(1+B525)^3*$I525-'DCF Base Case'!$B$2*(1+B525)^2*B525*'DCF Base Case'!$B$4</f>
        <v>32.1449252091404</v>
      </c>
      <c r="M525" s="24" t="n">
        <f aca="false">'DCF Base Case'!$B$2*(1+B525)^4*$I525-'DCF Base Case'!$B$2*(1+B525)^3*B525*'DCF Base Case'!$B$4</f>
        <v>35.4096531645714</v>
      </c>
      <c r="N525" s="24" t="n">
        <f aca="false">'DCF Base Case'!$B$2*(1+B525)^5*$I525-'DCF Base Case'!$B$2*(1+B525)^4*B525*'DCF Base Case'!$B$4</f>
        <v>39.0059559659114</v>
      </c>
      <c r="O525" s="24" t="n">
        <f aca="false">J525/(1+H525)^1+K525/(1+H525)^2+L525/(1+H525)^3+M525/(1+H525)^4+N525/(1+H525)^5</f>
        <v>126.596556520937</v>
      </c>
      <c r="P525" s="24" t="n">
        <f aca="false">N525*(1+F525)/(H525-F525)</f>
        <v>616.413321129852</v>
      </c>
      <c r="Q525" s="24" t="n">
        <f aca="false">O525+P525/(1+H525)^5</f>
        <v>540.494774703363</v>
      </c>
      <c r="R525" s="24" t="n">
        <f aca="false">Q525-'DCF Base Case'!$B$5</f>
        <v>355.494774703363</v>
      </c>
      <c r="S525" s="32" t="n">
        <f aca="false">R525/'DCF Base Case'!$B$6</f>
        <v>14.2197909881345</v>
      </c>
    </row>
    <row r="526" customFormat="false" ht="15" hidden="false" customHeight="true" outlineLevel="0" collapsed="false">
      <c r="A526" s="6" t="n">
        <v>525</v>
      </c>
      <c r="B526" s="30" t="n">
        <v>0.081557005994633</v>
      </c>
      <c r="C526" s="30" t="n">
        <v>0.419143483808401</v>
      </c>
      <c r="D526" s="30" t="n">
        <v>0.0941917642067487</v>
      </c>
      <c r="E526" s="30" t="n">
        <v>0.276522487442785</v>
      </c>
      <c r="F526" s="30" t="n">
        <v>0.0252724023251321</v>
      </c>
      <c r="G526" s="30" t="n">
        <v>0.170674859553866</v>
      </c>
      <c r="H526" s="31" t="n">
        <f aca="false">MAX(D526,F526+0.015)</f>
        <v>0.0941917642067487</v>
      </c>
      <c r="I526" s="25" t="n">
        <f aca="false">(C526-'DCF Base Case'!$B$3)*(1-E526)+'DCF Base Case'!$B$3-G526</f>
        <v>0.168513948883963</v>
      </c>
      <c r="J526" s="24" t="n">
        <f aca="false">'DCF Base Case'!$B$2*(1+B526)^1*$I526-'DCF Base Case'!$B$2*(1+B526)^0*B526*'DCF Base Case'!$B$4</f>
        <v>26.0725561172978</v>
      </c>
      <c r="K526" s="24" t="n">
        <f aca="false">'DCF Base Case'!$B$2*(1+B526)^2*$I526-'DCF Base Case'!$B$2*(1+B526)^1*B526*'DCF Base Case'!$B$4</f>
        <v>28.1989557328516</v>
      </c>
      <c r="L526" s="24" t="n">
        <f aca="false">'DCF Base Case'!$B$2*(1+B526)^3*$I526-'DCF Base Case'!$B$2*(1+B526)^2*B526*'DCF Base Case'!$B$4</f>
        <v>30.4987781345982</v>
      </c>
      <c r="M526" s="24" t="n">
        <f aca="false">'DCF Base Case'!$B$2*(1+B526)^4*$I526-'DCF Base Case'!$B$2*(1+B526)^3*B526*'DCF Base Case'!$B$4</f>
        <v>32.9861671657506</v>
      </c>
      <c r="N526" s="24" t="n">
        <f aca="false">'DCF Base Case'!$B$2*(1+B526)^5*$I526-'DCF Base Case'!$B$2*(1+B526)^4*B526*'DCF Base Case'!$B$4</f>
        <v>35.6764201990277</v>
      </c>
      <c r="O526" s="24" t="n">
        <f aca="false">J526/(1+H526)^1+K526/(1+H526)^2+L526/(1+H526)^3+M526/(1+H526)^4+N526/(1+H526)^5</f>
        <v>116.420832724473</v>
      </c>
      <c r="P526" s="24" t="n">
        <f aca="false">N526*(1+F526)/(H526-F526)</f>
        <v>530.736908252988</v>
      </c>
      <c r="Q526" s="24" t="n">
        <f aca="false">O526+P526/(1+H526)^5</f>
        <v>454.80659545434</v>
      </c>
      <c r="R526" s="24" t="n">
        <f aca="false">Q526-'DCF Base Case'!$B$5</f>
        <v>269.80659545434</v>
      </c>
      <c r="S526" s="32" t="n">
        <f aca="false">R526/'DCF Base Case'!$B$6</f>
        <v>10.7922638181736</v>
      </c>
    </row>
    <row r="527" customFormat="false" ht="15" hidden="false" customHeight="true" outlineLevel="0" collapsed="false">
      <c r="A527" s="6" t="n">
        <v>526</v>
      </c>
      <c r="B527" s="30" t="n">
        <v>0.0956494966696874</v>
      </c>
      <c r="C527" s="30" t="n">
        <v>0.396707614764131</v>
      </c>
      <c r="D527" s="30" t="n">
        <v>0.0896034898200542</v>
      </c>
      <c r="E527" s="30" t="n">
        <v>0.275988083359386</v>
      </c>
      <c r="F527" s="30" t="n">
        <v>0.0168931119762219</v>
      </c>
      <c r="G527" s="30" t="n">
        <v>0.149579348392732</v>
      </c>
      <c r="H527" s="31" t="n">
        <f aca="false">MAX(D527,F527+0.015)</f>
        <v>0.0896034898200542</v>
      </c>
      <c r="I527" s="25" t="n">
        <f aca="false">(C527-'DCF Base Case'!$B$3)*(1-E527)+'DCF Base Case'!$B$3-G527</f>
        <v>0.173520142955293</v>
      </c>
      <c r="J527" s="24" t="n">
        <f aca="false">'DCF Base Case'!$B$2*(1+B527)^1*$I527-'DCF Base Case'!$B$2*(1+B527)^0*B527*'DCF Base Case'!$B$4</f>
        <v>27.1509269966846</v>
      </c>
      <c r="K527" s="24" t="n">
        <f aca="false">'DCF Base Case'!$B$2*(1+B527)^2*$I527-'DCF Base Case'!$B$2*(1+B527)^1*B527*'DCF Base Case'!$B$4</f>
        <v>29.7478994980329</v>
      </c>
      <c r="L527" s="24" t="n">
        <f aca="false">'DCF Base Case'!$B$2*(1+B527)^3*$I527-'DCF Base Case'!$B$2*(1+B527)^2*B527*'DCF Base Case'!$B$4</f>
        <v>32.5932711120002</v>
      </c>
      <c r="M527" s="24" t="n">
        <f aca="false">'DCF Base Case'!$B$2*(1+B527)^4*$I527-'DCF Base Case'!$B$2*(1+B527)^3*B527*'DCF Base Case'!$B$4</f>
        <v>35.7108010886817</v>
      </c>
      <c r="N527" s="24" t="n">
        <f aca="false">'DCF Base Case'!$B$2*(1+B527)^5*$I527-'DCF Base Case'!$B$2*(1+B527)^4*B527*'DCF Base Case'!$B$4</f>
        <v>39.1265212384855</v>
      </c>
      <c r="O527" s="24" t="n">
        <f aca="false">J527/(1+H527)^1+K527/(1+H527)^2+L527/(1+H527)^3+M527/(1+H527)^4+N527/(1+H527)^5</f>
        <v>125.981215598574</v>
      </c>
      <c r="P527" s="24" t="n">
        <f aca="false">N527*(1+F527)/(H527-F527)</f>
        <v>547.205105005271</v>
      </c>
      <c r="Q527" s="24" t="n">
        <f aca="false">O527+P527/(1+H527)^5</f>
        <v>482.274562367455</v>
      </c>
      <c r="R527" s="24" t="n">
        <f aca="false">Q527-'DCF Base Case'!$B$5</f>
        <v>297.274562367455</v>
      </c>
      <c r="S527" s="32" t="n">
        <f aca="false">R527/'DCF Base Case'!$B$6</f>
        <v>11.8909824946982</v>
      </c>
    </row>
    <row r="528" customFormat="false" ht="15" hidden="false" customHeight="true" outlineLevel="0" collapsed="false">
      <c r="A528" s="6" t="n">
        <v>527</v>
      </c>
      <c r="B528" s="30" t="n">
        <v>0.135656791700375</v>
      </c>
      <c r="C528" s="30" t="n">
        <v>0.428654800478689</v>
      </c>
      <c r="D528" s="30" t="n">
        <v>0.0689731603714061</v>
      </c>
      <c r="E528" s="30" t="n">
        <v>0.263402896147224</v>
      </c>
      <c r="F528" s="30" t="n">
        <v>0.0191597702750047</v>
      </c>
      <c r="G528" s="30" t="n">
        <v>0.178121335719958</v>
      </c>
      <c r="H528" s="31" t="n">
        <f aca="false">MAX(D528,F528+0.015)</f>
        <v>0.0689731603714061</v>
      </c>
      <c r="I528" s="25" t="n">
        <f aca="false">(C528-'DCF Base Case'!$B$3)*(1-E528)+'DCF Base Case'!$B$3-G528</f>
        <v>0.171866925364373</v>
      </c>
      <c r="J528" s="24" t="n">
        <f aca="false">'DCF Base Case'!$B$2*(1+B528)^1*$I528-'DCF Base Case'!$B$2*(1+B528)^0*B528*'DCF Base Case'!$B$4</f>
        <v>27.7112599096166</v>
      </c>
      <c r="K528" s="24" t="n">
        <f aca="false">'DCF Base Case'!$B$2*(1+B528)^2*$I528-'DCF Base Case'!$B$2*(1+B528)^1*B528*'DCF Base Case'!$B$4</f>
        <v>31.4704805229304</v>
      </c>
      <c r="L528" s="24" t="n">
        <f aca="false">'DCF Base Case'!$B$2*(1+B528)^3*$I528-'DCF Base Case'!$B$2*(1+B528)^2*B528*'DCF Base Case'!$B$4</f>
        <v>35.7396649439402</v>
      </c>
      <c r="M528" s="24" t="n">
        <f aca="false">'DCF Base Case'!$B$2*(1+B528)^4*$I528-'DCF Base Case'!$B$2*(1+B528)^3*B528*'DCF Base Case'!$B$4</f>
        <v>40.5879932266815</v>
      </c>
      <c r="N528" s="24" t="n">
        <f aca="false">'DCF Base Case'!$B$2*(1+B528)^5*$I528-'DCF Base Case'!$B$2*(1+B528)^4*B528*'DCF Base Case'!$B$4</f>
        <v>46.0940301693697</v>
      </c>
      <c r="O528" s="24" t="n">
        <f aca="false">J528/(1+H528)^1+K528/(1+H528)^2+L528/(1+H528)^3+M528/(1+H528)^4+N528/(1+H528)^5</f>
        <v>146.828075990851</v>
      </c>
      <c r="P528" s="24" t="n">
        <f aca="false">N528*(1+F528)/(H528-F528)</f>
        <v>943.063323085446</v>
      </c>
      <c r="Q528" s="24" t="n">
        <f aca="false">O528+P528/(1+H528)^5</f>
        <v>822.454846245163</v>
      </c>
      <c r="R528" s="24" t="n">
        <f aca="false">Q528-'DCF Base Case'!$B$5</f>
        <v>637.454846245163</v>
      </c>
      <c r="S528" s="32" t="n">
        <f aca="false">R528/'DCF Base Case'!$B$6</f>
        <v>25.4981938498065</v>
      </c>
    </row>
    <row r="529" customFormat="false" ht="15" hidden="false" customHeight="true" outlineLevel="0" collapsed="false">
      <c r="A529" s="6" t="n">
        <v>528</v>
      </c>
      <c r="B529" s="30" t="n">
        <v>0.101952863230616</v>
      </c>
      <c r="C529" s="30" t="n">
        <v>0.431445769099453</v>
      </c>
      <c r="D529" s="30" t="n">
        <v>0.0779065366269894</v>
      </c>
      <c r="E529" s="30" t="n">
        <v>0.289742651177647</v>
      </c>
      <c r="F529" s="30" t="n">
        <v>0.0157738461568295</v>
      </c>
      <c r="G529" s="30" t="n">
        <v>0.152725918214161</v>
      </c>
      <c r="H529" s="31" t="n">
        <f aca="false">MAX(D529,F529+0.015)</f>
        <v>0.0779065366269894</v>
      </c>
      <c r="I529" s="25" t="n">
        <f aca="false">(C529-'DCF Base Case'!$B$3)*(1-E529)+'DCF Base Case'!$B$3-G529</f>
        <v>0.191378154560132</v>
      </c>
      <c r="J529" s="24" t="n">
        <f aca="false">'DCF Base Case'!$B$2*(1+B529)^1*$I529-'DCF Base Case'!$B$2*(1+B529)^0*B529*'DCF Base Case'!$B$4</f>
        <v>30.1355123246594</v>
      </c>
      <c r="K529" s="24" t="n">
        <f aca="false">'DCF Base Case'!$B$2*(1+B529)^2*$I529-'DCF Base Case'!$B$2*(1+B529)^1*B529*'DCF Base Case'!$B$4</f>
        <v>33.20791409108</v>
      </c>
      <c r="L529" s="24" t="n">
        <f aca="false">'DCF Base Case'!$B$2*(1+B529)^3*$I529-'DCF Base Case'!$B$2*(1+B529)^2*B529*'DCF Base Case'!$B$4</f>
        <v>36.5935560145819</v>
      </c>
      <c r="M529" s="24" t="n">
        <f aca="false">'DCF Base Case'!$B$2*(1+B529)^4*$I529-'DCF Base Case'!$B$2*(1+B529)^3*B529*'DCF Base Case'!$B$4</f>
        <v>40.3243738260585</v>
      </c>
      <c r="N529" s="24" t="n">
        <f aca="false">'DCF Base Case'!$B$2*(1+B529)^5*$I529-'DCF Base Case'!$B$2*(1+B529)^4*B529*'DCF Base Case'!$B$4</f>
        <v>44.4355591956068</v>
      </c>
      <c r="O529" s="24" t="n">
        <f aca="false">J529/(1+H529)^1+K529/(1+H529)^2+L529/(1+H529)^3+M529/(1+H529)^4+N529/(1+H529)^5</f>
        <v>146.164763156027</v>
      </c>
      <c r="P529" s="24" t="n">
        <f aca="false">N529*(1+F529)/(H529-F529)</f>
        <v>726.452991632938</v>
      </c>
      <c r="Q529" s="24" t="n">
        <f aca="false">O529+P529/(1+H529)^5</f>
        <v>645.396272931895</v>
      </c>
      <c r="R529" s="24" t="n">
        <f aca="false">Q529-'DCF Base Case'!$B$5</f>
        <v>460.396272931895</v>
      </c>
      <c r="S529" s="32" t="n">
        <f aca="false">R529/'DCF Base Case'!$B$6</f>
        <v>18.4158509172758</v>
      </c>
    </row>
    <row r="530" customFormat="false" ht="15" hidden="false" customHeight="true" outlineLevel="0" collapsed="false">
      <c r="A530" s="6" t="n">
        <v>529</v>
      </c>
      <c r="B530" s="30" t="n">
        <v>0.069948758235874</v>
      </c>
      <c r="C530" s="30" t="n">
        <v>0.381315638338368</v>
      </c>
      <c r="D530" s="30" t="n">
        <v>0.0967063043774381</v>
      </c>
      <c r="E530" s="30" t="n">
        <v>0.300697009262777</v>
      </c>
      <c r="F530" s="30" t="n">
        <v>0.0228553014965006</v>
      </c>
      <c r="G530" s="30" t="n">
        <v>0.166093392163232</v>
      </c>
      <c r="H530" s="31" t="n">
        <f aca="false">MAX(D530,F530+0.015)</f>
        <v>0.0967063043774381</v>
      </c>
      <c r="I530" s="25" t="n">
        <f aca="false">(C530-'DCF Base Case'!$B$3)*(1-E530)+'DCF Base Case'!$B$3-G530</f>
        <v>0.139652385345823</v>
      </c>
      <c r="J530" s="24" t="n">
        <f aca="false">'DCF Base Case'!$B$2*(1+B530)^1*$I530-'DCF Base Case'!$B$2*(1+B530)^0*B530*'DCF Base Case'!$B$4</f>
        <v>21.3617528630629</v>
      </c>
      <c r="K530" s="24" t="n">
        <f aca="false">'DCF Base Case'!$B$2*(1+B530)^2*$I530-'DCF Base Case'!$B$2*(1+B530)^1*B530*'DCF Base Case'!$B$4</f>
        <v>22.8559809495758</v>
      </c>
      <c r="L530" s="24" t="n">
        <f aca="false">'DCF Base Case'!$B$2*(1+B530)^3*$I530-'DCF Base Case'!$B$2*(1+B530)^2*B530*'DCF Base Case'!$B$4</f>
        <v>24.4547284352614</v>
      </c>
      <c r="M530" s="24" t="n">
        <f aca="false">'DCF Base Case'!$B$2*(1+B530)^4*$I530-'DCF Base Case'!$B$2*(1+B530)^3*B530*'DCF Base Case'!$B$4</f>
        <v>26.1653063223035</v>
      </c>
      <c r="N530" s="24" t="n">
        <f aca="false">'DCF Base Case'!$B$2*(1+B530)^5*$I530-'DCF Base Case'!$B$2*(1+B530)^4*B530*'DCF Base Case'!$B$4</f>
        <v>27.9955370084099</v>
      </c>
      <c r="O530" s="24" t="n">
        <f aca="false">J530/(1+H530)^1+K530/(1+H530)^2+L530/(1+H530)^3+M530/(1+H530)^4+N530/(1+H530)^5</f>
        <v>92.752743998336</v>
      </c>
      <c r="P530" s="24" t="n">
        <f aca="false">N530*(1+F530)/(H530-F530)</f>
        <v>387.745356599415</v>
      </c>
      <c r="Q530" s="24" t="n">
        <f aca="false">O530+P530/(1+H530)^5</f>
        <v>337.149200986093</v>
      </c>
      <c r="R530" s="24" t="n">
        <f aca="false">Q530-'DCF Base Case'!$B$5</f>
        <v>152.149200986093</v>
      </c>
      <c r="S530" s="32" t="n">
        <f aca="false">R530/'DCF Base Case'!$B$6</f>
        <v>6.08596803944372</v>
      </c>
    </row>
    <row r="531" customFormat="false" ht="15" hidden="false" customHeight="true" outlineLevel="0" collapsed="false">
      <c r="A531" s="6" t="n">
        <v>530</v>
      </c>
      <c r="B531" s="30" t="n">
        <v>0.106936718483569</v>
      </c>
      <c r="C531" s="30" t="n">
        <v>0.382463427594514</v>
      </c>
      <c r="D531" s="30" t="n">
        <v>0.0944939626984989</v>
      </c>
      <c r="E531" s="30" t="n">
        <v>0.284776533232802</v>
      </c>
      <c r="F531" s="30" t="n">
        <v>0.0215991697386051</v>
      </c>
      <c r="G531" s="30" t="n">
        <v>0.174045845013851</v>
      </c>
      <c r="H531" s="31" t="n">
        <f aca="false">MAX(D531,F531+0.015)</f>
        <v>0.0944939626984989</v>
      </c>
      <c r="I531" s="25" t="n">
        <f aca="false">(C531-'DCF Base Case'!$B$3)*(1-E531)+'DCF Base Case'!$B$3-G531</f>
        <v>0.136521922902227</v>
      </c>
      <c r="J531" s="24" t="n">
        <f aca="false">'DCF Base Case'!$B$2*(1+B531)^1*$I531-'DCF Base Case'!$B$2*(1+B531)^0*B531*'DCF Base Case'!$B$4</f>
        <v>21.4473890286728</v>
      </c>
      <c r="K531" s="24" t="n">
        <f aca="false">'DCF Base Case'!$B$2*(1+B531)^2*$I531-'DCF Base Case'!$B$2*(1+B531)^1*B531*'DCF Base Case'!$B$4</f>
        <v>23.7409024314396</v>
      </c>
      <c r="L531" s="24" t="n">
        <f aca="false">'DCF Base Case'!$B$2*(1+B531)^3*$I531-'DCF Base Case'!$B$2*(1+B531)^2*B531*'DCF Base Case'!$B$4</f>
        <v>26.2796766312964</v>
      </c>
      <c r="M531" s="24" t="n">
        <f aca="false">'DCF Base Case'!$B$2*(1+B531)^4*$I531-'DCF Base Case'!$B$2*(1+B531)^3*B531*'DCF Base Case'!$B$4</f>
        <v>29.0899390130565</v>
      </c>
      <c r="N531" s="24" t="n">
        <f aca="false">'DCF Base Case'!$B$2*(1+B531)^5*$I531-'DCF Base Case'!$B$2*(1+B531)^4*B531*'DCF Base Case'!$B$4</f>
        <v>32.2007216319999</v>
      </c>
      <c r="O531" s="24" t="n">
        <f aca="false">J531/(1+H531)^1+K531/(1+H531)^2+L531/(1+H531)^3+M531/(1+H531)^4+N531/(1+H531)^5</f>
        <v>100.231771635132</v>
      </c>
      <c r="P531" s="24" t="n">
        <f aca="false">N531*(1+F531)/(H531-F531)</f>
        <v>451.283680884235</v>
      </c>
      <c r="Q531" s="24" t="n">
        <f aca="false">O531+P531/(1+H531)^5</f>
        <v>387.562965577884</v>
      </c>
      <c r="R531" s="24" t="n">
        <f aca="false">Q531-'DCF Base Case'!$B$5</f>
        <v>202.562965577884</v>
      </c>
      <c r="S531" s="32" t="n">
        <f aca="false">R531/'DCF Base Case'!$B$6</f>
        <v>8.10251862311536</v>
      </c>
    </row>
    <row r="532" customFormat="false" ht="15" hidden="false" customHeight="true" outlineLevel="0" collapsed="false">
      <c r="A532" s="6" t="n">
        <v>531</v>
      </c>
      <c r="B532" s="30" t="n">
        <v>0.0684436109168983</v>
      </c>
      <c r="C532" s="30" t="n">
        <v>0.375524135374152</v>
      </c>
      <c r="D532" s="30" t="n">
        <v>0.0771674041719874</v>
      </c>
      <c r="E532" s="30" t="n">
        <v>0.296783051173019</v>
      </c>
      <c r="F532" s="30" t="n">
        <v>0.0218285609377605</v>
      </c>
      <c r="G532" s="30" t="n">
        <v>0.138511085591124</v>
      </c>
      <c r="H532" s="31" t="n">
        <f aca="false">MAX(D532,F532+0.015)</f>
        <v>0.0771674041719874</v>
      </c>
      <c r="I532" s="25" t="n">
        <f aca="false">(C532-'DCF Base Case'!$B$3)*(1-E532)+'DCF Base Case'!$B$3-G532</f>
        <v>0.16414564775007</v>
      </c>
      <c r="J532" s="24" t="n">
        <f aca="false">'DCF Base Case'!$B$2*(1+B532)^1*$I532-'DCF Base Case'!$B$2*(1+B532)^0*B532*'DCF Base Case'!$B$4</f>
        <v>25.1324237392763</v>
      </c>
      <c r="K532" s="24" t="n">
        <f aca="false">'DCF Base Case'!$B$2*(1+B532)^2*$I532-'DCF Base Case'!$B$2*(1+B532)^1*B532*'DCF Base Case'!$B$4</f>
        <v>26.8525775710859</v>
      </c>
      <c r="L532" s="24" t="n">
        <f aca="false">'DCF Base Case'!$B$2*(1+B532)^3*$I532-'DCF Base Case'!$B$2*(1+B532)^2*B532*'DCF Base Case'!$B$4</f>
        <v>28.6904649424772</v>
      </c>
      <c r="M532" s="24" t="n">
        <f aca="false">'DCF Base Case'!$B$2*(1+B532)^4*$I532-'DCF Base Case'!$B$2*(1+B532)^3*B532*'DCF Base Case'!$B$4</f>
        <v>30.654143962025</v>
      </c>
      <c r="N532" s="24" t="n">
        <f aca="false">'DCF Base Case'!$B$2*(1+B532)^5*$I532-'DCF Base Case'!$B$2*(1+B532)^4*B532*'DCF Base Case'!$B$4</f>
        <v>32.7522242643524</v>
      </c>
      <c r="O532" s="24" t="n">
        <f aca="false">J532/(1+H532)^1+K532/(1+H532)^2+L532/(1+H532)^3+M532/(1+H532)^4+N532/(1+H532)^5</f>
        <v>114.78541262712</v>
      </c>
      <c r="P532" s="24" t="n">
        <f aca="false">N532*(1+F532)/(H532-F532)</f>
        <v>604.767939327916</v>
      </c>
      <c r="Q532" s="24" t="n">
        <f aca="false">O532+P532/(1+H532)^5</f>
        <v>531.820643389123</v>
      </c>
      <c r="R532" s="24" t="n">
        <f aca="false">Q532-'DCF Base Case'!$B$5</f>
        <v>346.820643389123</v>
      </c>
      <c r="S532" s="32" t="n">
        <f aca="false">R532/'DCF Base Case'!$B$6</f>
        <v>13.8728257355649</v>
      </c>
    </row>
    <row r="533" customFormat="false" ht="15" hidden="false" customHeight="true" outlineLevel="0" collapsed="false">
      <c r="A533" s="6" t="n">
        <v>532</v>
      </c>
      <c r="B533" s="30" t="n">
        <v>0.0685720030073282</v>
      </c>
      <c r="C533" s="30" t="n">
        <v>0.390363467455968</v>
      </c>
      <c r="D533" s="30" t="n">
        <v>0.081069644337065</v>
      </c>
      <c r="E533" s="30" t="n">
        <v>0.253802174770465</v>
      </c>
      <c r="F533" s="30" t="n">
        <v>0.0136828632980212</v>
      </c>
      <c r="G533" s="30" t="n">
        <v>0.148676493587228</v>
      </c>
      <c r="H533" s="31" t="n">
        <f aca="false">MAX(D533,F533+0.015)</f>
        <v>0.081069644337065</v>
      </c>
      <c r="I533" s="25" t="n">
        <f aca="false">(C533-'DCF Base Case'!$B$3)*(1-E533)+'DCF Base Case'!$B$3-G533</f>
        <v>0.175606159597636</v>
      </c>
      <c r="J533" s="24" t="n">
        <f aca="false">'DCF Base Case'!$B$2*(1+B533)^1*$I533-'DCF Base Case'!$B$2*(1+B533)^0*B533*'DCF Base Case'!$B$4</f>
        <v>26.9106465136604</v>
      </c>
      <c r="K533" s="24" t="n">
        <f aca="false">'DCF Base Case'!$B$2*(1+B533)^2*$I533-'DCF Base Case'!$B$2*(1+B533)^1*B533*'DCF Base Case'!$B$4</f>
        <v>28.7559634473242</v>
      </c>
      <c r="L533" s="24" t="n">
        <f aca="false">'DCF Base Case'!$B$2*(1+B533)^3*$I533-'DCF Base Case'!$B$2*(1+B533)^2*B533*'DCF Base Case'!$B$4</f>
        <v>30.7278174593128</v>
      </c>
      <c r="M533" s="24" t="n">
        <f aca="false">'DCF Base Case'!$B$2*(1+B533)^4*$I533-'DCF Base Case'!$B$2*(1+B533)^3*B533*'DCF Base Case'!$B$4</f>
        <v>32.8348854505414</v>
      </c>
      <c r="N533" s="24" t="n">
        <f aca="false">'DCF Base Case'!$B$2*(1+B533)^5*$I533-'DCF Base Case'!$B$2*(1+B533)^4*B533*'DCF Base Case'!$B$4</f>
        <v>35.0864393144012</v>
      </c>
      <c r="O533" s="24" t="n">
        <f aca="false">J533/(1+H533)^1+K533/(1+H533)^2+L533/(1+H533)^3+M533/(1+H533)^4+N533/(1+H533)^5</f>
        <v>121.618436865969</v>
      </c>
      <c r="P533" s="24" t="n">
        <f aca="false">N533*(1+F533)/(H533-F533)</f>
        <v>527.796723908615</v>
      </c>
      <c r="Q533" s="24" t="n">
        <f aca="false">O533+P533/(1+H533)^5</f>
        <v>479.054465362089</v>
      </c>
      <c r="R533" s="24" t="n">
        <f aca="false">Q533-'DCF Base Case'!$B$5</f>
        <v>294.054465362089</v>
      </c>
      <c r="S533" s="32" t="n">
        <f aca="false">R533/'DCF Base Case'!$B$6</f>
        <v>11.7621786144836</v>
      </c>
    </row>
    <row r="534" customFormat="false" ht="15" hidden="false" customHeight="true" outlineLevel="0" collapsed="false">
      <c r="A534" s="6" t="n">
        <v>533</v>
      </c>
      <c r="B534" s="30" t="n">
        <v>0.0917489731972673</v>
      </c>
      <c r="C534" s="30" t="n">
        <v>0.389088496971113</v>
      </c>
      <c r="D534" s="30" t="n">
        <v>0.0837261613903106</v>
      </c>
      <c r="E534" s="30" t="n">
        <v>0.312124846518552</v>
      </c>
      <c r="F534" s="30" t="n">
        <v>0.0141093519057628</v>
      </c>
      <c r="G534" s="30" t="n">
        <v>0.160918092376575</v>
      </c>
      <c r="H534" s="31" t="n">
        <f aca="false">MAX(D534,F534+0.015)</f>
        <v>0.0837261613903106</v>
      </c>
      <c r="I534" s="25" t="n">
        <f aca="false">(C534-'DCF Base Case'!$B$3)*(1-E534)+'DCF Base Case'!$B$3-G534</f>
        <v>0.147302447242707</v>
      </c>
      <c r="J534" s="24" t="n">
        <f aca="false">'DCF Base Case'!$B$2*(1+B534)^1*$I534-'DCF Base Case'!$B$2*(1+B534)^0*B534*'DCF Base Case'!$B$4</f>
        <v>22.919399817959</v>
      </c>
      <c r="K534" s="24" t="n">
        <f aca="false">'DCF Base Case'!$B$2*(1+B534)^2*$I534-'DCF Base Case'!$B$2*(1+B534)^1*B534*'DCF Base Case'!$B$4</f>
        <v>25.0222312175544</v>
      </c>
      <c r="L534" s="24" t="n">
        <f aca="false">'DCF Base Case'!$B$2*(1+B534)^3*$I534-'DCF Base Case'!$B$2*(1+B534)^2*B534*'DCF Base Case'!$B$4</f>
        <v>27.3179952388696</v>
      </c>
      <c r="M534" s="24" t="n">
        <f aca="false">'DCF Base Case'!$B$2*(1+B534)^4*$I534-'DCF Base Case'!$B$2*(1+B534)^3*B534*'DCF Base Case'!$B$4</f>
        <v>29.8243932518438</v>
      </c>
      <c r="N534" s="24" t="n">
        <f aca="false">'DCF Base Case'!$B$2*(1+B534)^5*$I534-'DCF Base Case'!$B$2*(1+B534)^4*B534*'DCF Base Case'!$B$4</f>
        <v>32.5607507089319</v>
      </c>
      <c r="O534" s="24" t="n">
        <f aca="false">J534/(1+H534)^1+K534/(1+H534)^2+L534/(1+H534)^3+M534/(1+H534)^4+N534/(1+H534)^5</f>
        <v>107.320770710742</v>
      </c>
      <c r="P534" s="24" t="n">
        <f aca="false">N534*(1+F534)/(H534-F534)</f>
        <v>474.313058060055</v>
      </c>
      <c r="Q534" s="24" t="n">
        <f aca="false">O534+P534/(1+H534)^5</f>
        <v>424.618740897942</v>
      </c>
      <c r="R534" s="24" t="n">
        <f aca="false">Q534-'DCF Base Case'!$B$5</f>
        <v>239.618740897942</v>
      </c>
      <c r="S534" s="32" t="n">
        <f aca="false">R534/'DCF Base Case'!$B$6</f>
        <v>9.58474963591768</v>
      </c>
    </row>
    <row r="535" customFormat="false" ht="15" hidden="false" customHeight="true" outlineLevel="0" collapsed="false">
      <c r="A535" s="6" t="n">
        <v>534</v>
      </c>
      <c r="B535" s="30" t="n">
        <v>0.112364968516313</v>
      </c>
      <c r="C535" s="30" t="n">
        <v>0.414043222127306</v>
      </c>
      <c r="D535" s="30" t="n">
        <v>0.0786896334005574</v>
      </c>
      <c r="E535" s="30" t="n">
        <v>0.315201859860508</v>
      </c>
      <c r="F535" s="30" t="n">
        <v>0.0181518061857161</v>
      </c>
      <c r="G535" s="30" t="n">
        <v>0.191572277947047</v>
      </c>
      <c r="H535" s="31" t="n">
        <f aca="false">MAX(D535,F535+0.015)</f>
        <v>0.0786896334005574</v>
      </c>
      <c r="I535" s="25" t="n">
        <f aca="false">(C535-'DCF Base Case'!$B$3)*(1-E535)+'DCF Base Case'!$B$3-G535</f>
        <v>0.132939992284961</v>
      </c>
      <c r="J535" s="24" t="n">
        <f aca="false">'DCF Base Case'!$B$2*(1+B535)^1*$I535-'DCF Base Case'!$B$2*(1+B535)^0*B535*'DCF Base Case'!$B$4</f>
        <v>20.9534919851838</v>
      </c>
      <c r="K535" s="24" t="n">
        <f aca="false">'DCF Base Case'!$B$2*(1+B535)^2*$I535-'DCF Base Case'!$B$2*(1+B535)^1*B535*'DCF Base Case'!$B$4</f>
        <v>23.3079304524058</v>
      </c>
      <c r="L535" s="24" t="n">
        <f aca="false">'DCF Base Case'!$B$2*(1+B535)^3*$I535-'DCF Base Case'!$B$2*(1+B535)^2*B535*'DCF Base Case'!$B$4</f>
        <v>25.9269253238708</v>
      </c>
      <c r="M535" s="24" t="n">
        <f aca="false">'DCF Base Case'!$B$2*(1+B535)^4*$I535-'DCF Base Case'!$B$2*(1+B535)^3*B535*'DCF Base Case'!$B$4</f>
        <v>28.8402034716124</v>
      </c>
      <c r="N535" s="24" t="n">
        <f aca="false">'DCF Base Case'!$B$2*(1+B535)^5*$I535-'DCF Base Case'!$B$2*(1+B535)^4*B535*'DCF Base Case'!$B$4</f>
        <v>32.0808320267042</v>
      </c>
      <c r="O535" s="24" t="n">
        <f aca="false">J535/(1+H535)^1+K535/(1+H535)^2+L535/(1+H535)^3+M535/(1+H535)^4+N535/(1+H535)^5</f>
        <v>103.381265382284</v>
      </c>
      <c r="P535" s="24" t="n">
        <f aca="false">N535*(1+F535)/(H535-F535)</f>
        <v>539.549544056345</v>
      </c>
      <c r="Q535" s="24" t="n">
        <f aca="false">O535+P535/(1+H535)^5</f>
        <v>472.825424468519</v>
      </c>
      <c r="R535" s="24" t="n">
        <f aca="false">Q535-'DCF Base Case'!$B$5</f>
        <v>287.825424468519</v>
      </c>
      <c r="S535" s="32" t="n">
        <f aca="false">R535/'DCF Base Case'!$B$6</f>
        <v>11.5130169787407</v>
      </c>
    </row>
    <row r="536" customFormat="false" ht="15" hidden="false" customHeight="true" outlineLevel="0" collapsed="false">
      <c r="A536" s="6" t="n">
        <v>535</v>
      </c>
      <c r="B536" s="30" t="n">
        <v>0.099135944550031</v>
      </c>
      <c r="C536" s="30" t="n">
        <v>0.41091777702343</v>
      </c>
      <c r="D536" s="30" t="n">
        <v>0.0902765958365728</v>
      </c>
      <c r="E536" s="30" t="n">
        <v>0.289125484799823</v>
      </c>
      <c r="F536" s="30" t="n">
        <v>0.0230092076348204</v>
      </c>
      <c r="G536" s="30" t="n">
        <v>0.154160054588865</v>
      </c>
      <c r="H536" s="31" t="n">
        <f aca="false">MAX(D536,F536+0.015)</f>
        <v>0.0902765958365728</v>
      </c>
      <c r="I536" s="25" t="n">
        <f aca="false">(C536-'DCF Base Case'!$B$3)*(1-E536)+'DCF Base Case'!$B$3-G536</f>
        <v>0.175537233963777</v>
      </c>
      <c r="J536" s="24" t="n">
        <f aca="false">'DCF Base Case'!$B$2*(1+B536)^1*$I536-'DCF Base Case'!$B$2*(1+B536)^0*B536*'DCF Base Case'!$B$4</f>
        <v>27.5449547423964</v>
      </c>
      <c r="K536" s="24" t="n">
        <f aca="false">'DCF Base Case'!$B$2*(1+B536)^2*$I536-'DCF Base Case'!$B$2*(1+B536)^1*B536*'DCF Base Case'!$B$4</f>
        <v>30.2756498483717</v>
      </c>
      <c r="L536" s="24" t="n">
        <f aca="false">'DCF Base Case'!$B$2*(1+B536)^3*$I536-'DCF Base Case'!$B$2*(1+B536)^2*B536*'DCF Base Case'!$B$4</f>
        <v>33.2770549929561</v>
      </c>
      <c r="M536" s="24" t="n">
        <f aca="false">'DCF Base Case'!$B$2*(1+B536)^4*$I536-'DCF Base Case'!$B$2*(1+B536)^3*B536*'DCF Base Case'!$B$4</f>
        <v>36.5760072715261</v>
      </c>
      <c r="N536" s="24" t="n">
        <f aca="false">'DCF Base Case'!$B$2*(1+B536)^5*$I536-'DCF Base Case'!$B$2*(1+B536)^4*B536*'DCF Base Case'!$B$4</f>
        <v>40.2020043002576</v>
      </c>
      <c r="O536" s="24" t="n">
        <f aca="false">J536/(1+H536)^1+K536/(1+H536)^2+L536/(1+H536)^3+M536/(1+H536)^4+N536/(1+H536)^5</f>
        <v>128.390610598162</v>
      </c>
      <c r="P536" s="24" t="n">
        <f aca="false">N536*(1+F536)/(H536-F536)</f>
        <v>611.396126176143</v>
      </c>
      <c r="Q536" s="24" t="n">
        <f aca="false">O536+P536/(1+H536)^5</f>
        <v>525.252353332896</v>
      </c>
      <c r="R536" s="24" t="n">
        <f aca="false">Q536-'DCF Base Case'!$B$5</f>
        <v>340.252353332896</v>
      </c>
      <c r="S536" s="32" t="n">
        <f aca="false">R536/'DCF Base Case'!$B$6</f>
        <v>13.6100941333159</v>
      </c>
    </row>
    <row r="537" customFormat="false" ht="15" hidden="false" customHeight="true" outlineLevel="0" collapsed="false">
      <c r="A537" s="6" t="n">
        <v>536</v>
      </c>
      <c r="B537" s="30" t="n">
        <v>0.0908285749344714</v>
      </c>
      <c r="C537" s="30" t="n">
        <v>0.413820255738163</v>
      </c>
      <c r="D537" s="30" t="n">
        <v>0.0927456295580376</v>
      </c>
      <c r="E537" s="30" t="n">
        <v>0.258325024084276</v>
      </c>
      <c r="F537" s="30" t="n">
        <v>0.0229956787037033</v>
      </c>
      <c r="G537" s="30" t="n">
        <v>0.176148653830299</v>
      </c>
      <c r="H537" s="31" t="n">
        <f aca="false">MAX(D537,F537+0.015)</f>
        <v>0.0927456295580376</v>
      </c>
      <c r="I537" s="25" t="n">
        <f aca="false">(C537-'DCF Base Case'!$B$3)*(1-E537)+'DCF Base Case'!$B$3-G537</f>
        <v>0.164353727508698</v>
      </c>
      <c r="J537" s="24" t="n">
        <f aca="false">'DCF Base Case'!$B$2*(1+B537)^1*$I537-'DCF Base Case'!$B$2*(1+B537)^0*B537*'DCF Base Case'!$B$4</f>
        <v>25.6007483417398</v>
      </c>
      <c r="K537" s="24" t="n">
        <f aca="false">'DCF Base Case'!$B$2*(1+B537)^2*$I537-'DCF Base Case'!$B$2*(1+B537)^1*B537*'DCF Base Case'!$B$4</f>
        <v>27.9260278308761</v>
      </c>
      <c r="L537" s="24" t="n">
        <f aca="false">'DCF Base Case'!$B$2*(1+B537)^3*$I537-'DCF Base Case'!$B$2*(1+B537)^2*B537*'DCF Base Case'!$B$4</f>
        <v>30.4625091423349</v>
      </c>
      <c r="M537" s="24" t="n">
        <f aca="false">'DCF Base Case'!$B$2*(1+B537)^4*$I537-'DCF Base Case'!$B$2*(1+B537)^3*B537*'DCF Base Case'!$B$4</f>
        <v>33.2293754366615</v>
      </c>
      <c r="N537" s="24" t="n">
        <f aca="false">'DCF Base Case'!$B$2*(1+B537)^5*$I537-'DCF Base Case'!$B$2*(1+B537)^4*B537*'DCF Base Case'!$B$4</f>
        <v>36.247552253536</v>
      </c>
      <c r="O537" s="24" t="n">
        <f aca="false">J537/(1+H537)^1+K537/(1+H537)^2+L537/(1+H537)^3+M537/(1+H537)^4+N537/(1+H537)^5</f>
        <v>116.729273146123</v>
      </c>
      <c r="P537" s="24" t="n">
        <f aca="false">N537*(1+F537)/(H537-F537)</f>
        <v>531.628895286165</v>
      </c>
      <c r="Q537" s="24" t="n">
        <f aca="false">O537+P537/(1+H537)^5</f>
        <v>457.932544840204</v>
      </c>
      <c r="R537" s="24" t="n">
        <f aca="false">Q537-'DCF Base Case'!$B$5</f>
        <v>272.932544840204</v>
      </c>
      <c r="S537" s="32" t="n">
        <f aca="false">R537/'DCF Base Case'!$B$6</f>
        <v>10.9173017936081</v>
      </c>
    </row>
    <row r="538" customFormat="false" ht="15" hidden="false" customHeight="true" outlineLevel="0" collapsed="false">
      <c r="A538" s="6" t="n">
        <v>537</v>
      </c>
      <c r="B538" s="30" t="n">
        <v>0.0616716255113063</v>
      </c>
      <c r="C538" s="30" t="n">
        <v>0.428305394695628</v>
      </c>
      <c r="D538" s="30" t="n">
        <v>0.109575023888775</v>
      </c>
      <c r="E538" s="30" t="n">
        <v>0.310423520245105</v>
      </c>
      <c r="F538" s="30" t="n">
        <v>0.0243252608407651</v>
      </c>
      <c r="G538" s="30" t="n">
        <v>0.167123744149544</v>
      </c>
      <c r="H538" s="31" t="n">
        <f aca="false">MAX(D538,F538+0.015)</f>
        <v>0.109575023888775</v>
      </c>
      <c r="I538" s="25" t="n">
        <f aca="false">(C538-'DCF Base Case'!$B$3)*(1-E538)+'DCF Base Case'!$B$3-G538</f>
        <v>0.168580639816562</v>
      </c>
      <c r="J538" s="24" t="n">
        <f aca="false">'DCF Base Case'!$B$2*(1+B538)^1*$I538-'DCF Base Case'!$B$2*(1+B538)^0*B538*'DCF Base Case'!$B$4</f>
        <v>25.6834343050747</v>
      </c>
      <c r="K538" s="24" t="n">
        <f aca="false">'DCF Base Case'!$B$2*(1+B538)^2*$I538-'DCF Base Case'!$B$2*(1+B538)^1*B538*'DCF Base Case'!$B$4</f>
        <v>27.2673734473815</v>
      </c>
      <c r="L538" s="24" t="n">
        <f aca="false">'DCF Base Case'!$B$2*(1+B538)^3*$I538-'DCF Base Case'!$B$2*(1+B538)^2*B538*'DCF Base Case'!$B$4</f>
        <v>28.9489966913053</v>
      </c>
      <c r="M538" s="24" t="n">
        <f aca="false">'DCF Base Case'!$B$2*(1+B538)^4*$I538-'DCF Base Case'!$B$2*(1+B538)^3*B538*'DCF Base Case'!$B$4</f>
        <v>30.7343283741795</v>
      </c>
      <c r="N538" s="24" t="n">
        <f aca="false">'DCF Base Case'!$B$2*(1+B538)^5*$I538-'DCF Base Case'!$B$2*(1+B538)^4*B538*'DCF Base Case'!$B$4</f>
        <v>32.6297643640135</v>
      </c>
      <c r="O538" s="24" t="n">
        <f aca="false">J538/(1+H538)^1+K538/(1+H538)^2+L538/(1+H538)^3+M538/(1+H538)^4+N538/(1+H538)^5</f>
        <v>106.164424369956</v>
      </c>
      <c r="P538" s="24" t="n">
        <f aca="false">N538*(1+F538)/(H538-F538)</f>
        <v>392.065510780572</v>
      </c>
      <c r="Q538" s="24" t="n">
        <f aca="false">O538+P538/(1+H538)^5</f>
        <v>339.282139678242</v>
      </c>
      <c r="R538" s="24" t="n">
        <f aca="false">Q538-'DCF Base Case'!$B$5</f>
        <v>154.282139678242</v>
      </c>
      <c r="S538" s="32" t="n">
        <f aca="false">R538/'DCF Base Case'!$B$6</f>
        <v>6.17128558712968</v>
      </c>
    </row>
    <row r="539" customFormat="false" ht="15" hidden="false" customHeight="true" outlineLevel="0" collapsed="false">
      <c r="A539" s="6" t="n">
        <v>538</v>
      </c>
      <c r="B539" s="30" t="n">
        <v>0.0555412420408396</v>
      </c>
      <c r="C539" s="30" t="n">
        <v>0.367926521604778</v>
      </c>
      <c r="D539" s="30" t="n">
        <v>0.0878059024825453</v>
      </c>
      <c r="E539" s="30" t="n">
        <v>0.265392852895312</v>
      </c>
      <c r="F539" s="30" t="n">
        <v>0.0156157132415952</v>
      </c>
      <c r="G539" s="30" t="n">
        <v>0.163874289906776</v>
      </c>
      <c r="H539" s="31" t="n">
        <f aca="false">MAX(D539,F539+0.015)</f>
        <v>0.0878059024825453</v>
      </c>
      <c r="I539" s="25" t="n">
        <f aca="false">(C539-'DCF Base Case'!$B$3)*(1-E539)+'DCF Base Case'!$B$3-G539</f>
        <v>0.140908233349852</v>
      </c>
      <c r="J539" s="24" t="n">
        <f aca="false">'DCF Base Case'!$B$2*(1+B539)^1*$I539-'DCF Base Case'!$B$2*(1+B539)^0*B539*'DCF Base Case'!$B$4</f>
        <v>21.3248910854854</v>
      </c>
      <c r="K539" s="24" t="n">
        <f aca="false">'DCF Base Case'!$B$2*(1+B539)^2*$I539-'DCF Base Case'!$B$2*(1+B539)^1*B539*'DCF Base Case'!$B$4</f>
        <v>22.5093020227589</v>
      </c>
      <c r="L539" s="24" t="n">
        <f aca="false">'DCF Base Case'!$B$2*(1+B539)^3*$I539-'DCF Base Case'!$B$2*(1+B539)^2*B539*'DCF Base Case'!$B$4</f>
        <v>23.7594966145753</v>
      </c>
      <c r="M539" s="24" t="n">
        <f aca="false">'DCF Base Case'!$B$2*(1+B539)^4*$I539-'DCF Base Case'!$B$2*(1+B539)^3*B539*'DCF Base Case'!$B$4</f>
        <v>25.0791285668139</v>
      </c>
      <c r="N539" s="24" t="n">
        <f aca="false">'DCF Base Case'!$B$2*(1+B539)^5*$I539-'DCF Base Case'!$B$2*(1+B539)^4*B539*'DCF Base Case'!$B$4</f>
        <v>26.4720545167167</v>
      </c>
      <c r="O539" s="24" t="n">
        <f aca="false">J539/(1+H539)^1+K539/(1+H539)^2+L539/(1+H539)^3+M539/(1+H539)^4+N539/(1+H539)^5</f>
        <v>92.3733388595958</v>
      </c>
      <c r="P539" s="24" t="n">
        <f aca="false">N539*(1+F539)/(H539-F539)</f>
        <v>372.425045725116</v>
      </c>
      <c r="Q539" s="24" t="n">
        <f aca="false">O539+P539/(1+H539)^5</f>
        <v>336.875006062094</v>
      </c>
      <c r="R539" s="24" t="n">
        <f aca="false">Q539-'DCF Base Case'!$B$5</f>
        <v>151.875006062094</v>
      </c>
      <c r="S539" s="32" t="n">
        <f aca="false">R539/'DCF Base Case'!$B$6</f>
        <v>6.07500024248378</v>
      </c>
    </row>
    <row r="540" customFormat="false" ht="15" hidden="false" customHeight="true" outlineLevel="0" collapsed="false">
      <c r="A540" s="6" t="n">
        <v>539</v>
      </c>
      <c r="B540" s="30" t="n">
        <v>0.103320023729132</v>
      </c>
      <c r="C540" s="30" t="n">
        <v>0.387497480507616</v>
      </c>
      <c r="D540" s="30" t="n">
        <v>0.0800623461769158</v>
      </c>
      <c r="E540" s="30" t="n">
        <v>0.324527891684121</v>
      </c>
      <c r="F540" s="30" t="n">
        <v>0.0149695566430307</v>
      </c>
      <c r="G540" s="30" t="n">
        <v>0.186039835410329</v>
      </c>
      <c r="H540" s="31" t="n">
        <f aca="false">MAX(D540,F540+0.015)</f>
        <v>0.0800623461769158</v>
      </c>
      <c r="I540" s="25" t="n">
        <f aca="false">(C540-'DCF Base Case'!$B$3)*(1-E540)+'DCF Base Case'!$B$3-G540</f>
        <v>0.117892530634177</v>
      </c>
      <c r="J540" s="24" t="n">
        <f aca="false">'DCF Base Case'!$B$2*(1+B540)^1*$I540-'DCF Base Case'!$B$2*(1+B540)^0*B540*'DCF Base Case'!$B$4</f>
        <v>18.4111704028125</v>
      </c>
      <c r="K540" s="24" t="n">
        <f aca="false">'DCF Base Case'!$B$2*(1+B540)^2*$I540-'DCF Base Case'!$B$2*(1+B540)^1*B540*'DCF Base Case'!$B$4</f>
        <v>20.3134129657122</v>
      </c>
      <c r="L540" s="24" t="n">
        <f aca="false">'DCF Base Case'!$B$2*(1+B540)^3*$I540-'DCF Base Case'!$B$2*(1+B540)^2*B540*'DCF Base Case'!$B$4</f>
        <v>22.4121952753493</v>
      </c>
      <c r="M540" s="24" t="n">
        <f aca="false">'DCF Base Case'!$B$2*(1+B540)^4*$I540-'DCF Base Case'!$B$2*(1+B540)^3*B540*'DCF Base Case'!$B$4</f>
        <v>24.7278238230203</v>
      </c>
      <c r="N540" s="24" t="n">
        <f aca="false">'DCF Base Case'!$B$2*(1+B540)^5*$I540-'DCF Base Case'!$B$2*(1+B540)^4*B540*'DCF Base Case'!$B$4</f>
        <v>27.2827031671845</v>
      </c>
      <c r="O540" s="24" t="n">
        <f aca="false">J540/(1+H540)^1+K540/(1+H540)^2+L540/(1+H540)^3+M540/(1+H540)^4+N540/(1+H540)^5</f>
        <v>88.982588363589</v>
      </c>
      <c r="P540" s="24" t="n">
        <f aca="false">N540*(1+F540)/(H540-F540)</f>
        <v>425.409839337207</v>
      </c>
      <c r="Q540" s="24" t="n">
        <f aca="false">O540+P540/(1+H540)^5</f>
        <v>378.425822412482</v>
      </c>
      <c r="R540" s="24" t="n">
        <f aca="false">Q540-'DCF Base Case'!$B$5</f>
        <v>193.425822412482</v>
      </c>
      <c r="S540" s="32" t="n">
        <f aca="false">R540/'DCF Base Case'!$B$6</f>
        <v>7.73703289649928</v>
      </c>
    </row>
    <row r="541" customFormat="false" ht="15" hidden="false" customHeight="true" outlineLevel="0" collapsed="false">
      <c r="A541" s="6" t="n">
        <v>540</v>
      </c>
      <c r="B541" s="30" t="n">
        <v>0.0796190403319255</v>
      </c>
      <c r="C541" s="30" t="n">
        <v>0.42172103415651</v>
      </c>
      <c r="D541" s="30" t="n">
        <v>0.0970706025792315</v>
      </c>
      <c r="E541" s="30" t="n">
        <v>0.30235876846703</v>
      </c>
      <c r="F541" s="30" t="n">
        <v>0.0226174470100881</v>
      </c>
      <c r="G541" s="30" t="n">
        <v>0.142337776967365</v>
      </c>
      <c r="H541" s="31" t="n">
        <f aca="false">MAX(D541,F541+0.015)</f>
        <v>0.0970706025792315</v>
      </c>
      <c r="I541" s="25" t="n">
        <f aca="false">(C541-'DCF Base Case'!$B$3)*(1-E541)+'DCF Base Case'!$B$3-G541</f>
        <v>0.191178844565654</v>
      </c>
      <c r="J541" s="24" t="n">
        <f aca="false">'DCF Base Case'!$B$2*(1+B541)^1*$I541-'DCF Base Case'!$B$2*(1+B541)^0*B541*'DCF Base Case'!$B$4</f>
        <v>29.5817036763081</v>
      </c>
      <c r="K541" s="24" t="n">
        <f aca="false">'DCF Base Case'!$B$2*(1+B541)^2*$I541-'DCF Base Case'!$B$2*(1+B541)^1*B541*'DCF Base Case'!$B$4</f>
        <v>31.9369705343992</v>
      </c>
      <c r="L541" s="24" t="n">
        <f aca="false">'DCF Base Case'!$B$2*(1+B541)^3*$I541-'DCF Base Case'!$B$2*(1+B541)^2*B541*'DCF Base Case'!$B$4</f>
        <v>34.479761479457</v>
      </c>
      <c r="M541" s="24" t="n">
        <f aca="false">'DCF Base Case'!$B$2*(1+B541)^4*$I541-'DCF Base Case'!$B$2*(1+B541)^3*B541*'DCF Base Case'!$B$4</f>
        <v>37.2250069993251</v>
      </c>
      <c r="N541" s="24" t="n">
        <f aca="false">'DCF Base Case'!$B$2*(1+B541)^5*$I541-'DCF Base Case'!$B$2*(1+B541)^4*B541*'DCF Base Case'!$B$4</f>
        <v>40.1888263329606</v>
      </c>
      <c r="O541" s="24" t="n">
        <f aca="false">J541/(1+H541)^1+K541/(1+H541)^2+L541/(1+H541)^3+M541/(1+H541)^4+N541/(1+H541)^5</f>
        <v>130.599702691547</v>
      </c>
      <c r="P541" s="24" t="n">
        <f aca="false">N541*(1+F541)/(H541-F541)</f>
        <v>551.995340812346</v>
      </c>
      <c r="Q541" s="24" t="n">
        <f aca="false">O541+P541/(1+H541)^5</f>
        <v>477.945879774295</v>
      </c>
      <c r="R541" s="24" t="n">
        <f aca="false">Q541-'DCF Base Case'!$B$5</f>
        <v>292.945879774295</v>
      </c>
      <c r="S541" s="32" t="n">
        <f aca="false">R541/'DCF Base Case'!$B$6</f>
        <v>11.7178351909718</v>
      </c>
    </row>
    <row r="542" customFormat="false" ht="15" hidden="false" customHeight="true" outlineLevel="0" collapsed="false">
      <c r="A542" s="6" t="n">
        <v>541</v>
      </c>
      <c r="B542" s="30" t="n">
        <v>0.114240283316438</v>
      </c>
      <c r="C542" s="30" t="n">
        <v>0.40525113201887</v>
      </c>
      <c r="D542" s="30" t="n">
        <v>0.0878549594212869</v>
      </c>
      <c r="E542" s="30" t="n">
        <v>0.287220435440291</v>
      </c>
      <c r="F542" s="30" t="n">
        <v>0.021082402701869</v>
      </c>
      <c r="G542" s="30" t="n">
        <v>0.173005865483972</v>
      </c>
      <c r="H542" s="31" t="n">
        <f aca="false">MAX(D542,F542+0.015)</f>
        <v>0.0878549594212869</v>
      </c>
      <c r="I542" s="25" t="n">
        <f aca="false">(C542-'DCF Base Case'!$B$3)*(1-E542)+'DCF Base Case'!$B$3-G542</f>
        <v>0.153187516541005</v>
      </c>
      <c r="J542" s="24" t="n">
        <f aca="false">'DCF Base Case'!$B$2*(1+B542)^1*$I542-'DCF Base Case'!$B$2*(1+B542)^0*B542*'DCF Base Case'!$B$4</f>
        <v>24.2527715330962</v>
      </c>
      <c r="K542" s="24" t="n">
        <f aca="false">'DCF Base Case'!$B$2*(1+B542)^2*$I542-'DCF Base Case'!$B$2*(1+B542)^1*B542*'DCF Base Case'!$B$4</f>
        <v>27.023415024246</v>
      </c>
      <c r="L542" s="24" t="n">
        <f aca="false">'DCF Base Case'!$B$2*(1+B542)^3*$I542-'DCF Base Case'!$B$2*(1+B542)^2*B542*'DCF Base Case'!$B$4</f>
        <v>30.1105776127935</v>
      </c>
      <c r="M542" s="24" t="n">
        <f aca="false">'DCF Base Case'!$B$2*(1+B542)^4*$I542-'DCF Base Case'!$B$2*(1+B542)^3*B542*'DCF Base Case'!$B$4</f>
        <v>33.5504185301006</v>
      </c>
      <c r="N542" s="24" t="n">
        <f aca="false">'DCF Base Case'!$B$2*(1+B542)^5*$I542-'DCF Base Case'!$B$2*(1+B542)^4*B542*'DCF Base Case'!$B$4</f>
        <v>37.3832278483644</v>
      </c>
      <c r="O542" s="24" t="n">
        <f aca="false">J542/(1+H542)^1+K542/(1+H542)^2+L542/(1+H542)^3+M542/(1+H542)^4+N542/(1+H542)^5</f>
        <v>117.010678107863</v>
      </c>
      <c r="P542" s="24" t="n">
        <f aca="false">N542*(1+F542)/(H542-F542)</f>
        <v>571.662341350168</v>
      </c>
      <c r="Q542" s="24" t="n">
        <f aca="false">O542+P542/(1+H542)^5</f>
        <v>492.229489854554</v>
      </c>
      <c r="R542" s="24" t="n">
        <f aca="false">Q542-'DCF Base Case'!$B$5</f>
        <v>307.229489854554</v>
      </c>
      <c r="S542" s="32" t="n">
        <f aca="false">R542/'DCF Base Case'!$B$6</f>
        <v>12.2891795941822</v>
      </c>
    </row>
    <row r="543" customFormat="false" ht="15" hidden="false" customHeight="true" outlineLevel="0" collapsed="false">
      <c r="A543" s="6" t="n">
        <v>542</v>
      </c>
      <c r="B543" s="30" t="n">
        <v>0.07157434079184</v>
      </c>
      <c r="C543" s="30" t="n">
        <v>0.378878725823793</v>
      </c>
      <c r="D543" s="30" t="n">
        <v>0.0945958354795795</v>
      </c>
      <c r="E543" s="30" t="n">
        <v>0.285036597110647</v>
      </c>
      <c r="F543" s="30" t="n">
        <v>0.0234462929264613</v>
      </c>
      <c r="G543" s="30" t="n">
        <v>0.164259176063099</v>
      </c>
      <c r="H543" s="31" t="n">
        <f aca="false">MAX(D543,F543+0.015)</f>
        <v>0.0945958354795795</v>
      </c>
      <c r="I543" s="25" t="n">
        <f aca="false">(C543-'DCF Base Case'!$B$3)*(1-E543)+'DCF Base Case'!$B$3-G543</f>
        <v>0.143680004658646</v>
      </c>
      <c r="J543" s="24" t="n">
        <f aca="false">'DCF Base Case'!$B$2*(1+B543)^1*$I543-'DCF Base Case'!$B$2*(1+B543)^0*B543*'DCF Base Case'!$B$4</f>
        <v>22.0134035277288</v>
      </c>
      <c r="K543" s="24" t="n">
        <f aca="false">'DCF Base Case'!$B$2*(1+B543)^2*$I543-'DCF Base Case'!$B$2*(1+B543)^1*B543*'DCF Base Case'!$B$4</f>
        <v>23.5889983738108</v>
      </c>
      <c r="L543" s="24" t="n">
        <f aca="false">'DCF Base Case'!$B$2*(1+B543)^3*$I543-'DCF Base Case'!$B$2*(1+B543)^2*B543*'DCF Base Case'!$B$4</f>
        <v>25.2773653823561</v>
      </c>
      <c r="M543" s="24" t="n">
        <f aca="false">'DCF Base Case'!$B$2*(1+B543)^4*$I543-'DCF Base Case'!$B$2*(1+B543)^3*B543*'DCF Base Case'!$B$4</f>
        <v>27.0865761465527</v>
      </c>
      <c r="N543" s="24" t="n">
        <f aca="false">'DCF Base Case'!$B$2*(1+B543)^5*$I543-'DCF Base Case'!$B$2*(1+B543)^4*B543*'DCF Base Case'!$B$4</f>
        <v>29.0252799785502</v>
      </c>
      <c r="O543" s="24" t="n">
        <f aca="false">J543/(1+H543)^1+K543/(1+H543)^2+L543/(1+H543)^3+M543/(1+H543)^4+N543/(1+H543)^5</f>
        <v>96.4132324950463</v>
      </c>
      <c r="P543" s="24" t="n">
        <f aca="false">N543*(1+F543)/(H543-F543)</f>
        <v>417.512384890209</v>
      </c>
      <c r="Q543" s="24" t="n">
        <f aca="false">O543+P543/(1+H543)^5</f>
        <v>362.118647493551</v>
      </c>
      <c r="R543" s="24" t="n">
        <f aca="false">Q543-'DCF Base Case'!$B$5</f>
        <v>177.118647493551</v>
      </c>
      <c r="S543" s="32" t="n">
        <f aca="false">R543/'DCF Base Case'!$B$6</f>
        <v>7.08474589974203</v>
      </c>
    </row>
    <row r="544" customFormat="false" ht="15" hidden="false" customHeight="true" outlineLevel="0" collapsed="false">
      <c r="A544" s="6" t="n">
        <v>543</v>
      </c>
      <c r="B544" s="30" t="n">
        <v>0.0599982755030316</v>
      </c>
      <c r="C544" s="30" t="n">
        <v>0.423136746946642</v>
      </c>
      <c r="D544" s="30" t="n">
        <v>0.0809259232937278</v>
      </c>
      <c r="E544" s="30" t="n">
        <v>0.289790997042098</v>
      </c>
      <c r="F544" s="30" t="n">
        <v>0.0167280592581425</v>
      </c>
      <c r="G544" s="30" t="n">
        <v>0.202669631026425</v>
      </c>
      <c r="H544" s="31" t="n">
        <f aca="false">MAX(D544,F544+0.015)</f>
        <v>0.0809259232937278</v>
      </c>
      <c r="I544" s="25" t="n">
        <f aca="false">(C544-'DCF Base Case'!$B$3)*(1-E544)+'DCF Base Case'!$B$3-G544</f>
        <v>0.135518725752872</v>
      </c>
      <c r="J544" s="24" t="n">
        <f aca="false">'DCF Base Case'!$B$2*(1+B544)^1*$I544-'DCF Base Case'!$B$2*(1+B544)^0*B544*'DCF Base Case'!$B$4</f>
        <v>20.5682017630417</v>
      </c>
      <c r="K544" s="24" t="n">
        <f aca="false">'DCF Base Case'!$B$2*(1+B544)^2*$I544-'DCF Base Case'!$B$2*(1+B544)^1*B544*'DCF Base Case'!$B$4</f>
        <v>21.8022583990226</v>
      </c>
      <c r="L544" s="24" t="n">
        <f aca="false">'DCF Base Case'!$B$2*(1+B544)^3*$I544-'DCF Base Case'!$B$2*(1+B544)^2*B544*'DCF Base Case'!$B$4</f>
        <v>23.1103563050355</v>
      </c>
      <c r="M544" s="24" t="n">
        <f aca="false">'DCF Base Case'!$B$2*(1+B544)^4*$I544-'DCF Base Case'!$B$2*(1+B544)^3*B544*'DCF Base Case'!$B$4</f>
        <v>24.4969378295982</v>
      </c>
      <c r="N544" s="24" t="n">
        <f aca="false">'DCF Base Case'!$B$2*(1+B544)^5*$I544-'DCF Base Case'!$B$2*(1+B544)^4*B544*'DCF Base Case'!$B$4</f>
        <v>25.9667118544791</v>
      </c>
      <c r="O544" s="24" t="n">
        <f aca="false">J544/(1+H544)^1+K544/(1+H544)^2+L544/(1+H544)^3+M544/(1+H544)^4+N544/(1+H544)^5</f>
        <v>91.5281818382455</v>
      </c>
      <c r="P544" s="24" t="n">
        <f aca="false">N544*(1+F544)/(H544-F544)</f>
        <v>411.245528893073</v>
      </c>
      <c r="Q544" s="24" t="n">
        <f aca="false">O544+P544/(1+H544)^5</f>
        <v>370.218272685018</v>
      </c>
      <c r="R544" s="24" t="n">
        <f aca="false">Q544-'DCF Base Case'!$B$5</f>
        <v>185.218272685018</v>
      </c>
      <c r="S544" s="32" t="n">
        <f aca="false">R544/'DCF Base Case'!$B$6</f>
        <v>7.40873090740072</v>
      </c>
    </row>
    <row r="545" customFormat="false" ht="15" hidden="false" customHeight="true" outlineLevel="0" collapsed="false">
      <c r="A545" s="6" t="n">
        <v>544</v>
      </c>
      <c r="B545" s="30" t="n">
        <v>0.0708513797182304</v>
      </c>
      <c r="C545" s="30" t="n">
        <v>0.400001005815694</v>
      </c>
      <c r="D545" s="30" t="n">
        <v>0.0861819357296705</v>
      </c>
      <c r="E545" s="30" t="n">
        <v>0.257384713565042</v>
      </c>
      <c r="F545" s="30" t="n">
        <v>0.0205265780851258</v>
      </c>
      <c r="G545" s="30" t="n">
        <v>0.202085082594209</v>
      </c>
      <c r="H545" s="31" t="n">
        <f aca="false">MAX(D545,F545+0.015)</f>
        <v>0.0861819357296705</v>
      </c>
      <c r="I545" s="25" t="n">
        <f aca="false">(C545-'DCF Base Case'!$B$3)*(1-E545)+'DCF Base Case'!$B$3-G545</f>
        <v>0.128421791677339</v>
      </c>
      <c r="J545" s="24" t="n">
        <f aca="false">'DCF Base Case'!$B$2*(1+B545)^1*$I545-'DCF Base Case'!$B$2*(1+B545)^0*B545*'DCF Base Case'!$B$4</f>
        <v>19.6322911547428</v>
      </c>
      <c r="K545" s="24" t="n">
        <f aca="false">'DCF Base Case'!$B$2*(1+B545)^2*$I545-'DCF Base Case'!$B$2*(1+B545)^1*B545*'DCF Base Case'!$B$4</f>
        <v>21.0232660700863</v>
      </c>
      <c r="L545" s="24" t="n">
        <f aca="false">'DCF Base Case'!$B$2*(1+B545)^3*$I545-'DCF Base Case'!$B$2*(1+B545)^2*B545*'DCF Base Case'!$B$4</f>
        <v>22.5127934773354</v>
      </c>
      <c r="M545" s="24" t="n">
        <f aca="false">'DCF Base Case'!$B$2*(1+B545)^4*$I545-'DCF Base Case'!$B$2*(1+B545)^3*B545*'DCF Base Case'!$B$4</f>
        <v>24.1078559565162</v>
      </c>
      <c r="N545" s="24" t="n">
        <f aca="false">'DCF Base Case'!$B$2*(1+B545)^5*$I545-'DCF Base Case'!$B$2*(1+B545)^4*B545*'DCF Base Case'!$B$4</f>
        <v>25.8159308130837</v>
      </c>
      <c r="O545" s="24" t="n">
        <f aca="false">J545/(1+H545)^1+K545/(1+H545)^2+L545/(1+H545)^3+M545/(1+H545)^4+N545/(1+H545)^5</f>
        <v>87.8576157435923</v>
      </c>
      <c r="P545" s="24" t="n">
        <f aca="false">N545*(1+F545)/(H545-F545)</f>
        <v>401.274846074161</v>
      </c>
      <c r="Q545" s="24" t="n">
        <f aca="false">O545+P545/(1+H545)^5</f>
        <v>353.274812475961</v>
      </c>
      <c r="R545" s="24" t="n">
        <f aca="false">Q545-'DCF Base Case'!$B$5</f>
        <v>168.274812475961</v>
      </c>
      <c r="S545" s="32" t="n">
        <f aca="false">R545/'DCF Base Case'!$B$6</f>
        <v>6.73099249903843</v>
      </c>
    </row>
    <row r="546" customFormat="false" ht="15" hidden="false" customHeight="true" outlineLevel="0" collapsed="false">
      <c r="A546" s="6" t="n">
        <v>545</v>
      </c>
      <c r="B546" s="30" t="n">
        <v>0.0794907235794864</v>
      </c>
      <c r="C546" s="30" t="n">
        <v>0.418923769055686</v>
      </c>
      <c r="D546" s="30" t="n">
        <v>0.055</v>
      </c>
      <c r="E546" s="30" t="n">
        <v>0.278559723097992</v>
      </c>
      <c r="F546" s="30" t="n">
        <v>0.0181238381874428</v>
      </c>
      <c r="G546" s="30" t="n">
        <v>0.148742759454037</v>
      </c>
      <c r="H546" s="31" t="n">
        <f aca="false">MAX(D546,F546+0.015)</f>
        <v>0.055</v>
      </c>
      <c r="I546" s="25" t="n">
        <f aca="false">(C546-'DCF Base Case'!$B$3)*(1-E546)+'DCF Base Case'!$B$3-G546</f>
        <v>0.189698484497069</v>
      </c>
      <c r="J546" s="24" t="n">
        <f aca="false">'DCF Base Case'!$B$2*(1+B546)^1*$I546-'DCF Base Case'!$B$2*(1+B546)^0*B546*'DCF Base Case'!$B$4</f>
        <v>29.3469897247218</v>
      </c>
      <c r="K546" s="24" t="n">
        <f aca="false">'DCF Base Case'!$B$2*(1+B546)^2*$I546-'DCF Base Case'!$B$2*(1+B546)^1*B546*'DCF Base Case'!$B$4</f>
        <v>31.6798031728197</v>
      </c>
      <c r="L546" s="24" t="n">
        <f aca="false">'DCF Base Case'!$B$2*(1+B546)^3*$I546-'DCF Base Case'!$B$2*(1+B546)^2*B546*'DCF Base Case'!$B$4</f>
        <v>34.1980536498829</v>
      </c>
      <c r="M546" s="24" t="n">
        <f aca="false">'DCF Base Case'!$B$2*(1+B546)^4*$I546-'DCF Base Case'!$B$2*(1+B546)^3*B546*'DCF Base Case'!$B$4</f>
        <v>36.9164816795221</v>
      </c>
      <c r="N546" s="24" t="n">
        <f aca="false">'DCF Base Case'!$B$2*(1+B546)^5*$I546-'DCF Base Case'!$B$2*(1+B546)^4*B546*'DCF Base Case'!$B$4</f>
        <v>39.8509995202362</v>
      </c>
      <c r="O546" s="24" t="n">
        <f aca="false">J546/(1+H546)^1+K546/(1+H546)^2+L546/(1+H546)^3+M546/(1+H546)^4+N546/(1+H546)^5</f>
        <v>145.694348221819</v>
      </c>
      <c r="P546" s="24" t="n">
        <f aca="false">N546*(1+F546)/(H546-F546)</f>
        <v>1100.25693002933</v>
      </c>
      <c r="Q546" s="24" t="n">
        <f aca="false">O546+P546/(1+H546)^5</f>
        <v>987.538723438834</v>
      </c>
      <c r="R546" s="24" t="n">
        <f aca="false">Q546-'DCF Base Case'!$B$5</f>
        <v>802.538723438834</v>
      </c>
      <c r="S546" s="32" t="n">
        <f aca="false">R546/'DCF Base Case'!$B$6</f>
        <v>32.1015489375533</v>
      </c>
    </row>
    <row r="547" customFormat="false" ht="15" hidden="false" customHeight="true" outlineLevel="0" collapsed="false">
      <c r="A547" s="6" t="n">
        <v>546</v>
      </c>
      <c r="B547" s="30" t="n">
        <v>0.113566272407619</v>
      </c>
      <c r="C547" s="30" t="n">
        <v>0.416341286065275</v>
      </c>
      <c r="D547" s="30" t="n">
        <v>0.0830477476419706</v>
      </c>
      <c r="E547" s="30" t="n">
        <v>0.269967818106033</v>
      </c>
      <c r="F547" s="30" t="n">
        <v>0.0121989466081974</v>
      </c>
      <c r="G547" s="30" t="n">
        <v>0.142699785695431</v>
      </c>
      <c r="H547" s="31" t="n">
        <f aca="false">MAX(D547,F547+0.015)</f>
        <v>0.0830477476419706</v>
      </c>
      <c r="I547" s="25" t="n">
        <f aca="false">(C547-'DCF Base Case'!$B$3)*(1-E547)+'DCF Base Case'!$B$3-G547</f>
        <v>0.196338568137126</v>
      </c>
      <c r="J547" s="24" t="n">
        <f aca="false">'DCF Base Case'!$B$2*(1+B547)^1*$I547-'DCF Base Case'!$B$2*(1+B547)^0*B547*'DCF Base Case'!$B$4</f>
        <v>31.2082077953217</v>
      </c>
      <c r="K547" s="24" t="n">
        <f aca="false">'DCF Base Case'!$B$2*(1+B547)^2*$I547-'DCF Base Case'!$B$2*(1+B547)^1*B547*'DCF Base Case'!$B$4</f>
        <v>34.7524076231587</v>
      </c>
      <c r="L547" s="24" t="n">
        <f aca="false">'DCF Base Case'!$B$2*(1+B547)^3*$I547-'DCF Base Case'!$B$2*(1+B547)^2*B547*'DCF Base Case'!$B$4</f>
        <v>38.699109014111</v>
      </c>
      <c r="M547" s="24" t="n">
        <f aca="false">'DCF Base Case'!$B$2*(1+B547)^4*$I547-'DCF Base Case'!$B$2*(1+B547)^3*B547*'DCF Base Case'!$B$4</f>
        <v>43.0940225703397</v>
      </c>
      <c r="N547" s="24" t="n">
        <f aca="false">'DCF Base Case'!$B$2*(1+B547)^5*$I547-'DCF Base Case'!$B$2*(1+B547)^4*B547*'DCF Base Case'!$B$4</f>
        <v>47.988050076703</v>
      </c>
      <c r="O547" s="24" t="n">
        <f aca="false">J547/(1+H547)^1+K547/(1+H547)^2+L547/(1+H547)^3+M547/(1+H547)^4+N547/(1+H547)^5</f>
        <v>152.427550448199</v>
      </c>
      <c r="P547" s="24" t="n">
        <f aca="false">N547*(1+F547)/(H547-F547)</f>
        <v>685.593165003109</v>
      </c>
      <c r="Q547" s="24" t="n">
        <f aca="false">O547+P547/(1+H547)^5</f>
        <v>612.502367063238</v>
      </c>
      <c r="R547" s="24" t="n">
        <f aca="false">Q547-'DCF Base Case'!$B$5</f>
        <v>427.502367063238</v>
      </c>
      <c r="S547" s="32" t="n">
        <f aca="false">R547/'DCF Base Case'!$B$6</f>
        <v>17.1000946825295</v>
      </c>
    </row>
    <row r="548" customFormat="false" ht="15" hidden="false" customHeight="true" outlineLevel="0" collapsed="false">
      <c r="A548" s="6" t="n">
        <v>547</v>
      </c>
      <c r="B548" s="30" t="n">
        <v>0.110995467396796</v>
      </c>
      <c r="C548" s="30" t="n">
        <v>0.377405317430857</v>
      </c>
      <c r="D548" s="30" t="n">
        <v>0.0765705311542272</v>
      </c>
      <c r="E548" s="30" t="n">
        <v>0.269454022166184</v>
      </c>
      <c r="F548" s="30" t="n">
        <v>0.0251912354487406</v>
      </c>
      <c r="G548" s="30" t="n">
        <v>0.183580421359407</v>
      </c>
      <c r="H548" s="31" t="n">
        <f aca="false">MAX(D548,F548+0.015)</f>
        <v>0.0765705311542272</v>
      </c>
      <c r="I548" s="25" t="n">
        <f aca="false">(C548-'DCF Base Case'!$B$3)*(1-E548)+'DCF Base Case'!$B$3-G548</f>
        <v>0.127160538184404</v>
      </c>
      <c r="J548" s="24" t="n">
        <f aca="false">'DCF Base Case'!$B$2*(1+B548)^1*$I548-'DCF Base Case'!$B$2*(1+B548)^0*B548*'DCF Base Case'!$B$4</f>
        <v>20.0020130422424</v>
      </c>
      <c r="K548" s="24" t="n">
        <f aca="false">'DCF Base Case'!$B$2*(1+B548)^2*$I548-'DCF Base Case'!$B$2*(1+B548)^1*B548*'DCF Base Case'!$B$4</f>
        <v>22.2221458287429</v>
      </c>
      <c r="L548" s="24" t="n">
        <f aca="false">'DCF Base Case'!$B$2*(1+B548)^3*$I548-'DCF Base Case'!$B$2*(1+B548)^2*B548*'DCF Base Case'!$B$4</f>
        <v>24.688703291564</v>
      </c>
      <c r="M548" s="24" t="n">
        <f aca="false">'DCF Base Case'!$B$2*(1+B548)^4*$I548-'DCF Base Case'!$B$2*(1+B548)^3*B548*'DCF Base Case'!$B$4</f>
        <v>27.4290374528319</v>
      </c>
      <c r="N548" s="24" t="n">
        <f aca="false">'DCF Base Case'!$B$2*(1+B548)^5*$I548-'DCF Base Case'!$B$2*(1+B548)^4*B548*'DCF Base Case'!$B$4</f>
        <v>30.4735362851532</v>
      </c>
      <c r="O548" s="24" t="n">
        <f aca="false">J548/(1+H548)^1+K548/(1+H548)^2+L548/(1+H548)^3+M548/(1+H548)^4+N548/(1+H548)^5</f>
        <v>99.0309620424765</v>
      </c>
      <c r="P548" s="24" t="n">
        <f aca="false">N548*(1+F548)/(H548-F548)</f>
        <v>608.050419603789</v>
      </c>
      <c r="Q548" s="24" t="n">
        <f aca="false">O548+P548/(1+H548)^5</f>
        <v>519.493351237392</v>
      </c>
      <c r="R548" s="24" t="n">
        <f aca="false">Q548-'DCF Base Case'!$B$5</f>
        <v>334.493351237392</v>
      </c>
      <c r="S548" s="32" t="n">
        <f aca="false">R548/'DCF Base Case'!$B$6</f>
        <v>13.3797340494957</v>
      </c>
    </row>
    <row r="549" customFormat="false" ht="15" hidden="false" customHeight="true" outlineLevel="0" collapsed="false">
      <c r="A549" s="6" t="n">
        <v>548</v>
      </c>
      <c r="B549" s="30" t="n">
        <v>0.0779937799056669</v>
      </c>
      <c r="C549" s="30" t="n">
        <v>0.435325166699747</v>
      </c>
      <c r="D549" s="30" t="n">
        <v>0.0768543259744877</v>
      </c>
      <c r="E549" s="30" t="n">
        <v>0.310642821214413</v>
      </c>
      <c r="F549" s="30" t="n">
        <v>0.0139040018441148</v>
      </c>
      <c r="G549" s="30" t="n">
        <v>0.19085439401651</v>
      </c>
      <c r="H549" s="31" t="n">
        <f aca="false">MAX(D549,F549+0.015)</f>
        <v>0.0768543259744877</v>
      </c>
      <c r="I549" s="25" t="n">
        <f aca="false">(C549-'DCF Base Case'!$B$3)*(1-E549)+'DCF Base Case'!$B$3-G549</f>
        <v>0.149623701511867</v>
      </c>
      <c r="J549" s="24" t="n">
        <f aca="false">'DCF Base Case'!$B$2*(1+B549)^1*$I549-'DCF Base Case'!$B$2*(1+B549)^0*B549*'DCF Base Case'!$B$4</f>
        <v>23.0482728930672</v>
      </c>
      <c r="K549" s="24" t="n">
        <f aca="false">'DCF Base Case'!$B$2*(1+B549)^2*$I549-'DCF Base Case'!$B$2*(1+B549)^1*B549*'DCF Base Case'!$B$4</f>
        <v>24.8458948162949</v>
      </c>
      <c r="L549" s="24" t="n">
        <f aca="false">'DCF Base Case'!$B$2*(1+B549)^3*$I549-'DCF Base Case'!$B$2*(1+B549)^2*B549*'DCF Base Case'!$B$4</f>
        <v>26.7837200681563</v>
      </c>
      <c r="M549" s="24" t="n">
        <f aca="false">'DCF Base Case'!$B$2*(1+B549)^4*$I549-'DCF Base Case'!$B$2*(1+B549)^3*B549*'DCF Base Case'!$B$4</f>
        <v>28.8726836362071</v>
      </c>
      <c r="N549" s="24" t="n">
        <f aca="false">'DCF Base Case'!$B$2*(1+B549)^5*$I549-'DCF Base Case'!$B$2*(1+B549)^4*B549*'DCF Base Case'!$B$4</f>
        <v>31.1245733690154</v>
      </c>
      <c r="O549" s="24" t="n">
        <f aca="false">J549/(1+H549)^1+K549/(1+H549)^2+L549/(1+H549)^3+M549/(1+H549)^4+N549/(1+H549)^5</f>
        <v>107.243385670909</v>
      </c>
      <c r="P549" s="24" t="n">
        <f aca="false">N549*(1+F549)/(H549-F549)</f>
        <v>501.305274126609</v>
      </c>
      <c r="Q549" s="24" t="n">
        <f aca="false">O549+P549/(1+H549)^5</f>
        <v>453.435752953604</v>
      </c>
      <c r="R549" s="24" t="n">
        <f aca="false">Q549-'DCF Base Case'!$B$5</f>
        <v>268.435752953604</v>
      </c>
      <c r="S549" s="32" t="n">
        <f aca="false">R549/'DCF Base Case'!$B$6</f>
        <v>10.7374301181442</v>
      </c>
    </row>
    <row r="550" customFormat="false" ht="15" hidden="false" customHeight="true" outlineLevel="0" collapsed="false">
      <c r="A550" s="6" t="n">
        <v>549</v>
      </c>
      <c r="B550" s="30" t="n">
        <v>0.0813716208751251</v>
      </c>
      <c r="C550" s="30" t="n">
        <v>0.388402498273471</v>
      </c>
      <c r="D550" s="30" t="n">
        <v>0.0826114202561606</v>
      </c>
      <c r="E550" s="30" t="n">
        <v>0.287802705821246</v>
      </c>
      <c r="F550" s="30" t="n">
        <v>0.0173700779962367</v>
      </c>
      <c r="G550" s="30" t="n">
        <v>0.178300695492272</v>
      </c>
      <c r="H550" s="31" t="n">
        <f aca="false">MAX(D550,F550+0.015)</f>
        <v>0.0826114202561606</v>
      </c>
      <c r="I550" s="25" t="n">
        <f aca="false">(C550-'DCF Base Case'!$B$3)*(1-E550)+'DCF Base Case'!$B$3-G550</f>
        <v>0.135732864587124</v>
      </c>
      <c r="J550" s="24" t="n">
        <f aca="false">'DCF Base Case'!$B$2*(1+B550)^1*$I550-'DCF Base Case'!$B$2*(1+B550)^0*B550*'DCF Base Case'!$B$4</f>
        <v>20.9287952779605</v>
      </c>
      <c r="K550" s="24" t="n">
        <f aca="false">'DCF Base Case'!$B$2*(1+B550)^2*$I550-'DCF Base Case'!$B$2*(1+B550)^1*B550*'DCF Base Case'!$B$4</f>
        <v>22.6318052726919</v>
      </c>
      <c r="L550" s="24" t="n">
        <f aca="false">'DCF Base Case'!$B$2*(1+B550)^3*$I550-'DCF Base Case'!$B$2*(1+B550)^2*B550*'DCF Base Case'!$B$4</f>
        <v>24.473391951061</v>
      </c>
      <c r="M550" s="24" t="n">
        <f aca="false">'DCF Base Case'!$B$2*(1+B550)^4*$I550-'DCF Base Case'!$B$2*(1+B550)^3*B550*'DCF Base Case'!$B$4</f>
        <v>26.4648315224311</v>
      </c>
      <c r="N550" s="24" t="n">
        <f aca="false">'DCF Base Case'!$B$2*(1+B550)^5*$I550-'DCF Base Case'!$B$2*(1+B550)^4*B550*'DCF Base Case'!$B$4</f>
        <v>28.6183177595984</v>
      </c>
      <c r="O550" s="24" t="n">
        <f aca="false">J550/(1+H550)^1+K550/(1+H550)^2+L550/(1+H550)^3+M550/(1+H550)^4+N550/(1+H550)^5</f>
        <v>96.4377186360301</v>
      </c>
      <c r="P550" s="24" t="n">
        <f aca="false">N550*(1+F550)/(H550-F550)</f>
        <v>446.272549930178</v>
      </c>
      <c r="Q550" s="24" t="n">
        <f aca="false">O550+P550/(1+H550)^5</f>
        <v>396.517789723737</v>
      </c>
      <c r="R550" s="24" t="n">
        <f aca="false">Q550-'DCF Base Case'!$B$5</f>
        <v>211.517789723737</v>
      </c>
      <c r="S550" s="32" t="n">
        <f aca="false">R550/'DCF Base Case'!$B$6</f>
        <v>8.46071158894947</v>
      </c>
    </row>
    <row r="551" customFormat="false" ht="15" hidden="false" customHeight="true" outlineLevel="0" collapsed="false">
      <c r="A551" s="6" t="n">
        <v>550</v>
      </c>
      <c r="B551" s="30" t="n">
        <v>0.0774131466751194</v>
      </c>
      <c r="C551" s="30" t="n">
        <v>0.422420488356396</v>
      </c>
      <c r="D551" s="30" t="n">
        <v>0.0898644426824026</v>
      </c>
      <c r="E551" s="30" t="n">
        <v>0.277955093297988</v>
      </c>
      <c r="F551" s="30" t="n">
        <v>0.0175932154873011</v>
      </c>
      <c r="G551" s="30" t="n">
        <v>0.168632233880332</v>
      </c>
      <c r="H551" s="31" t="n">
        <f aca="false">MAX(D551,F551+0.015)</f>
        <v>0.0898644426824026</v>
      </c>
      <c r="I551" s="25" t="n">
        <f aca="false">(C551-'DCF Base Case'!$B$3)*(1-E551)+'DCF Base Case'!$B$3-G551</f>
        <v>0.172508490352719</v>
      </c>
      <c r="J551" s="24" t="n">
        <f aca="false">'DCF Base Case'!$B$2*(1+B551)^1*$I551-'DCF Base Case'!$B$2*(1+B551)^0*B551*'DCF Base Case'!$B$4</f>
        <v>26.6133755477323</v>
      </c>
      <c r="K551" s="24" t="n">
        <f aca="false">'DCF Base Case'!$B$2*(1+B551)^2*$I551-'DCF Base Case'!$B$2*(1+B551)^1*B551*'DCF Base Case'!$B$4</f>
        <v>28.673600692529</v>
      </c>
      <c r="L551" s="24" t="n">
        <f aca="false">'DCF Base Case'!$B$2*(1+B551)^3*$I551-'DCF Base Case'!$B$2*(1+B551)^2*B551*'DCF Base Case'!$B$4</f>
        <v>30.8933143486435</v>
      </c>
      <c r="M551" s="24" t="n">
        <f aca="false">'DCF Base Case'!$B$2*(1+B551)^4*$I551-'DCF Base Case'!$B$2*(1+B551)^3*B551*'DCF Base Case'!$B$4</f>
        <v>33.2848630235956</v>
      </c>
      <c r="N551" s="24" t="n">
        <f aca="false">'DCF Base Case'!$B$2*(1+B551)^5*$I551-'DCF Base Case'!$B$2*(1+B551)^4*B551*'DCF Base Case'!$B$4</f>
        <v>35.8615490069025</v>
      </c>
      <c r="O551" s="24" t="n">
        <f aca="false">J551/(1+H551)^1+K551/(1+H551)^2+L551/(1+H551)^3+M551/(1+H551)^4+N551/(1+H551)^5</f>
        <v>119.336801733783</v>
      </c>
      <c r="P551" s="24" t="n">
        <f aca="false">N551*(1+F551)/(H551-F551)</f>
        <v>504.937723940611</v>
      </c>
      <c r="Q551" s="24" t="n">
        <f aca="false">O551+P551/(1+H551)^5</f>
        <v>447.715819346961</v>
      </c>
      <c r="R551" s="24" t="n">
        <f aca="false">Q551-'DCF Base Case'!$B$5</f>
        <v>262.715819346961</v>
      </c>
      <c r="S551" s="32" t="n">
        <f aca="false">R551/'DCF Base Case'!$B$6</f>
        <v>10.5086327738785</v>
      </c>
    </row>
    <row r="552" customFormat="false" ht="15" hidden="false" customHeight="true" outlineLevel="0" collapsed="false">
      <c r="A552" s="6" t="n">
        <v>551</v>
      </c>
      <c r="B552" s="30" t="n">
        <v>0.101850775024451</v>
      </c>
      <c r="C552" s="30" t="n">
        <v>0.451793668606151</v>
      </c>
      <c r="D552" s="30" t="n">
        <v>0.09533362463978</v>
      </c>
      <c r="E552" s="30" t="n">
        <v>0.30964044411063</v>
      </c>
      <c r="F552" s="30" t="n">
        <v>0.0271366651773625</v>
      </c>
      <c r="G552" s="30" t="n">
        <v>0.17736609058641</v>
      </c>
      <c r="H552" s="31" t="n">
        <f aca="false">MAX(D552,F552+0.015)</f>
        <v>0.09533362463978</v>
      </c>
      <c r="I552" s="25" t="n">
        <f aca="false">(C552-'DCF Base Case'!$B$3)*(1-E552)+'DCF Base Case'!$B$3-G552</f>
        <v>0.174787243560543</v>
      </c>
      <c r="J552" s="24" t="n">
        <f aca="false">'DCF Base Case'!$B$2*(1+B552)^1*$I552-'DCF Base Case'!$B$2*(1+B552)^0*B552*'DCF Base Case'!$B$4</f>
        <v>27.4824207969716</v>
      </c>
      <c r="K552" s="24" t="n">
        <f aca="false">'DCF Base Case'!$B$2*(1+B552)^2*$I552-'DCF Base Case'!$B$2*(1+B552)^1*B552*'DCF Base Case'!$B$4</f>
        <v>30.2815266546913</v>
      </c>
      <c r="L552" s="24" t="n">
        <f aca="false">'DCF Base Case'!$B$2*(1+B552)^3*$I552-'DCF Base Case'!$B$2*(1+B552)^2*B552*'DCF Base Case'!$B$4</f>
        <v>33.3657236133952</v>
      </c>
      <c r="M552" s="24" t="n">
        <f aca="false">'DCF Base Case'!$B$2*(1+B552)^4*$I552-'DCF Base Case'!$B$2*(1+B552)^3*B552*'DCF Base Case'!$B$4</f>
        <v>36.7640484226711</v>
      </c>
      <c r="N552" s="24" t="n">
        <f aca="false">'DCF Base Case'!$B$2*(1+B552)^5*$I552-'DCF Base Case'!$B$2*(1+B552)^4*B552*'DCF Base Case'!$B$4</f>
        <v>40.5084952475566</v>
      </c>
      <c r="O552" s="24" t="n">
        <f aca="false">J552/(1+H552)^1+K552/(1+H552)^2+L552/(1+H552)^3+M552/(1+H552)^4+N552/(1+H552)^5</f>
        <v>126.954054761698</v>
      </c>
      <c r="P552" s="24" t="n">
        <f aca="false">N552*(1+F552)/(H552-F552)</f>
        <v>610.111668436741</v>
      </c>
      <c r="Q552" s="24" t="n">
        <f aca="false">O552+P552/(1+H552)^5</f>
        <v>513.923996051768</v>
      </c>
      <c r="R552" s="24" t="n">
        <f aca="false">Q552-'DCF Base Case'!$B$5</f>
        <v>328.923996051768</v>
      </c>
      <c r="S552" s="32" t="n">
        <f aca="false">R552/'DCF Base Case'!$B$6</f>
        <v>13.1569598420707</v>
      </c>
    </row>
    <row r="553" customFormat="false" ht="15" hidden="false" customHeight="true" outlineLevel="0" collapsed="false">
      <c r="A553" s="6" t="n">
        <v>552</v>
      </c>
      <c r="B553" s="30" t="n">
        <v>0.100379006725586</v>
      </c>
      <c r="C553" s="30" t="n">
        <v>0.431467859473103</v>
      </c>
      <c r="D553" s="30" t="n">
        <v>0.0739013742465292</v>
      </c>
      <c r="E553" s="30" t="n">
        <v>0.268469102923322</v>
      </c>
      <c r="F553" s="30" t="n">
        <v>0.0173221963886723</v>
      </c>
      <c r="G553" s="30" t="n">
        <v>0.180608326206696</v>
      </c>
      <c r="H553" s="31" t="n">
        <f aca="false">MAX(D553,F553+0.015)</f>
        <v>0.0739013742465292</v>
      </c>
      <c r="I553" s="25" t="n">
        <f aca="false">(C553-'DCF Base Case'!$B$3)*(1-E553)+'DCF Base Case'!$B$3-G553</f>
        <v>0.169924727473449</v>
      </c>
      <c r="J553" s="24" t="n">
        <f aca="false">'DCF Base Case'!$B$2*(1+B553)^1*$I553-'DCF Base Case'!$B$2*(1+B553)^0*B553*'DCF Base Case'!$B$4</f>
        <v>26.6756837318694</v>
      </c>
      <c r="K553" s="24" t="n">
        <f aca="false">'DCF Base Case'!$B$2*(1+B553)^2*$I553-'DCF Base Case'!$B$2*(1+B553)^1*B553*'DCF Base Case'!$B$4</f>
        <v>29.3533623686003</v>
      </c>
      <c r="L553" s="24" t="n">
        <f aca="false">'DCF Base Case'!$B$2*(1+B553)^3*$I553-'DCF Base Case'!$B$2*(1+B553)^2*B553*'DCF Base Case'!$B$4</f>
        <v>32.2998237272166</v>
      </c>
      <c r="M553" s="24" t="n">
        <f aca="false">'DCF Base Case'!$B$2*(1+B553)^4*$I553-'DCF Base Case'!$B$2*(1+B553)^3*B553*'DCF Base Case'!$B$4</f>
        <v>35.5420479503662</v>
      </c>
      <c r="N553" s="24" t="n">
        <f aca="false">'DCF Base Case'!$B$2*(1+B553)^5*$I553-'DCF Base Case'!$B$2*(1+B553)^4*B553*'DCF Base Case'!$B$4</f>
        <v>39.1097234206171</v>
      </c>
      <c r="O553" s="24" t="n">
        <f aca="false">J553/(1+H553)^1+K553/(1+H553)^2+L553/(1+H553)^3+M553/(1+H553)^4+N553/(1+H553)^5</f>
        <v>130.477182401305</v>
      </c>
      <c r="P553" s="24" t="n">
        <f aca="false">N553*(1+F553)/(H553-F553)</f>
        <v>703.212581673994</v>
      </c>
      <c r="Q553" s="24" t="n">
        <f aca="false">O553+P553/(1+H553)^5</f>
        <v>622.816638714573</v>
      </c>
      <c r="R553" s="24" t="n">
        <f aca="false">Q553-'DCF Base Case'!$B$5</f>
        <v>437.816638714573</v>
      </c>
      <c r="S553" s="32" t="n">
        <f aca="false">R553/'DCF Base Case'!$B$6</f>
        <v>17.5126655485829</v>
      </c>
    </row>
    <row r="554" customFormat="false" ht="15" hidden="false" customHeight="true" outlineLevel="0" collapsed="false">
      <c r="A554" s="6" t="n">
        <v>553</v>
      </c>
      <c r="B554" s="30" t="n">
        <v>0.0864146603015492</v>
      </c>
      <c r="C554" s="30" t="n">
        <v>0.416248414004557</v>
      </c>
      <c r="D554" s="30" t="n">
        <v>0.0969620008216331</v>
      </c>
      <c r="E554" s="30" t="n">
        <v>0.306172266303255</v>
      </c>
      <c r="F554" s="30" t="n">
        <v>0.0187326105415128</v>
      </c>
      <c r="G554" s="30" t="n">
        <v>0.151713117658463</v>
      </c>
      <c r="H554" s="31" t="n">
        <f aca="false">MAX(D554,F554+0.015)</f>
        <v>0.0969620008216331</v>
      </c>
      <c r="I554" s="25" t="n">
        <f aca="false">(C554-'DCF Base Case'!$B$3)*(1-E554)+'DCF Base Case'!$B$3-G554</f>
        <v>0.176893970704606</v>
      </c>
      <c r="J554" s="24" t="n">
        <f aca="false">'DCF Base Case'!$B$2*(1+B554)^1*$I554-'DCF Base Case'!$B$2*(1+B554)^0*B554*'DCF Base Case'!$B$4</f>
        <v>27.4902256760917</v>
      </c>
      <c r="K554" s="24" t="n">
        <f aca="false">'DCF Base Case'!$B$2*(1+B554)^2*$I554-'DCF Base Case'!$B$2*(1+B554)^1*B554*'DCF Base Case'!$B$4</f>
        <v>29.865784189504</v>
      </c>
      <c r="L554" s="24" t="n">
        <f aca="false">'DCF Base Case'!$B$2*(1+B554)^3*$I554-'DCF Base Case'!$B$2*(1+B554)^2*B554*'DCF Base Case'!$B$4</f>
        <v>32.4466257848794</v>
      </c>
      <c r="M554" s="24" t="n">
        <f aca="false">'DCF Base Case'!$B$2*(1+B554)^4*$I554-'DCF Base Case'!$B$2*(1+B554)^3*B554*'DCF Base Case'!$B$4</f>
        <v>35.2504899300113</v>
      </c>
      <c r="N554" s="24" t="n">
        <f aca="false">'DCF Base Case'!$B$2*(1+B554)^5*$I554-'DCF Base Case'!$B$2*(1+B554)^4*B554*'DCF Base Case'!$B$4</f>
        <v>38.2966490427764</v>
      </c>
      <c r="O554" s="24" t="n">
        <f aca="false">J554/(1+H554)^1+K554/(1+H554)^2+L554/(1+H554)^3+M554/(1+H554)^4+N554/(1+H554)^5</f>
        <v>122.915126371432</v>
      </c>
      <c r="P554" s="24" t="n">
        <f aca="false">N554*(1+F554)/(H554-F554)</f>
        <v>498.713400611202</v>
      </c>
      <c r="Q554" s="24" t="n">
        <f aca="false">O554+P554/(1+H554)^5</f>
        <v>436.888716877662</v>
      </c>
      <c r="R554" s="24" t="n">
        <f aca="false">Q554-'DCF Base Case'!$B$5</f>
        <v>251.888716877662</v>
      </c>
      <c r="S554" s="32" t="n">
        <f aca="false">R554/'DCF Base Case'!$B$6</f>
        <v>10.0755486751065</v>
      </c>
    </row>
    <row r="555" customFormat="false" ht="15" hidden="false" customHeight="true" outlineLevel="0" collapsed="false">
      <c r="A555" s="6" t="n">
        <v>554</v>
      </c>
      <c r="B555" s="30" t="n">
        <v>0.114688924064498</v>
      </c>
      <c r="C555" s="30" t="n">
        <v>0.437120323449824</v>
      </c>
      <c r="D555" s="30" t="n">
        <v>0.0673311749987508</v>
      </c>
      <c r="E555" s="30" t="n">
        <v>0.27147045377509</v>
      </c>
      <c r="F555" s="30" t="n">
        <v>0.0199500201223217</v>
      </c>
      <c r="G555" s="30" t="n">
        <v>0.183830398269594</v>
      </c>
      <c r="H555" s="31" t="n">
        <f aca="false">MAX(D555,F555+0.015)</f>
        <v>0.0673311749987508</v>
      </c>
      <c r="I555" s="25" t="n">
        <f aca="false">(C555-'DCF Base Case'!$B$3)*(1-E555)+'DCF Base Case'!$B$3-G555</f>
        <v>0.169915831609754</v>
      </c>
      <c r="J555" s="24" t="n">
        <f aca="false">'DCF Base Case'!$B$2*(1+B555)^1*$I555-'DCF Base Case'!$B$2*(1+B555)^0*B555*'DCF Base Case'!$B$4</f>
        <v>26.9645810305166</v>
      </c>
      <c r="K555" s="24" t="n">
        <f aca="false">'DCF Base Case'!$B$2*(1+B555)^2*$I555-'DCF Base Case'!$B$2*(1+B555)^1*B555*'DCF Base Case'!$B$4</f>
        <v>30.0571198167565</v>
      </c>
      <c r="L555" s="24" t="n">
        <f aca="false">'DCF Base Case'!$B$2*(1+B555)^3*$I555-'DCF Base Case'!$B$2*(1+B555)^2*B555*'DCF Base Case'!$B$4</f>
        <v>33.504338549018</v>
      </c>
      <c r="M555" s="24" t="n">
        <f aca="false">'DCF Base Case'!$B$2*(1+B555)^4*$I555-'DCF Base Case'!$B$2*(1+B555)^3*B555*'DCF Base Case'!$B$4</f>
        <v>37.3469150886975</v>
      </c>
      <c r="N555" s="24" t="n">
        <f aca="false">'DCF Base Case'!$B$2*(1+B555)^5*$I555-'DCF Base Case'!$B$2*(1+B555)^4*B555*'DCF Base Case'!$B$4</f>
        <v>41.6301925973484</v>
      </c>
      <c r="O555" s="24" t="n">
        <f aca="false">J555/(1+H555)^1+K555/(1+H555)^2+L555/(1+H555)^3+M555/(1+H555)^4+N555/(1+H555)^5</f>
        <v>138.035783602728</v>
      </c>
      <c r="P555" s="24" t="n">
        <f aca="false">N555*(1+F555)/(H555-F555)</f>
        <v>896.15198042555</v>
      </c>
      <c r="Q555" s="24" t="n">
        <f aca="false">O555+P555/(1+H555)^5</f>
        <v>785.008096770159</v>
      </c>
      <c r="R555" s="24" t="n">
        <f aca="false">Q555-'DCF Base Case'!$B$5</f>
        <v>600.008096770159</v>
      </c>
      <c r="S555" s="32" t="n">
        <f aca="false">R555/'DCF Base Case'!$B$6</f>
        <v>24.0003238708064</v>
      </c>
    </row>
    <row r="556" customFormat="false" ht="15" hidden="false" customHeight="true" outlineLevel="0" collapsed="false">
      <c r="A556" s="6" t="n">
        <v>555</v>
      </c>
      <c r="B556" s="30" t="n">
        <v>0.109884846578029</v>
      </c>
      <c r="C556" s="30" t="n">
        <v>0.426566649340546</v>
      </c>
      <c r="D556" s="30" t="n">
        <v>0.0914377228449474</v>
      </c>
      <c r="E556" s="30" t="n">
        <v>0.281466333633907</v>
      </c>
      <c r="F556" s="30" t="n">
        <v>0.0166170605888985</v>
      </c>
      <c r="G556" s="30" t="n">
        <v>0.159846922715752</v>
      </c>
      <c r="H556" s="31" t="n">
        <f aca="false">MAX(D556,F556+0.015)</f>
        <v>0.0914377228449474</v>
      </c>
      <c r="I556" s="25" t="n">
        <f aca="false">(C556-'DCF Base Case'!$B$3)*(1-E556)+'DCF Base Case'!$B$3-G556</f>
        <v>0.183246199156818</v>
      </c>
      <c r="J556" s="24" t="n">
        <f aca="false">'DCF Base Case'!$B$2*(1+B556)^1*$I556-'DCF Base Case'!$B$2*(1+B556)^0*B556*'DCF Base Case'!$B$4</f>
        <v>29.0124169647755</v>
      </c>
      <c r="K556" s="24" t="n">
        <f aca="false">'DCF Base Case'!$B$2*(1+B556)^2*$I556-'DCF Base Case'!$B$2*(1+B556)^1*B556*'DCF Base Case'!$B$4</f>
        <v>32.2004419518077</v>
      </c>
      <c r="L556" s="24" t="n">
        <f aca="false">'DCF Base Case'!$B$2*(1+B556)^3*$I556-'DCF Base Case'!$B$2*(1+B556)^2*B556*'DCF Base Case'!$B$4</f>
        <v>35.7387825754268</v>
      </c>
      <c r="M556" s="24" t="n">
        <f aca="false">'DCF Base Case'!$B$2*(1+B556)^4*$I556-'DCF Base Case'!$B$2*(1+B556)^3*B556*'DCF Base Case'!$B$4</f>
        <v>39.6659332156131</v>
      </c>
      <c r="N556" s="24" t="n">
        <f aca="false">'DCF Base Case'!$B$2*(1+B556)^5*$I556-'DCF Base Case'!$B$2*(1+B556)^4*B556*'DCF Base Case'!$B$4</f>
        <v>44.0246182013851</v>
      </c>
      <c r="O556" s="24" t="n">
        <f aca="false">J556/(1+H556)^1+K556/(1+H556)^2+L556/(1+H556)^3+M556/(1+H556)^4+N556/(1+H556)^5</f>
        <v>137.478526834466</v>
      </c>
      <c r="P556" s="24" t="n">
        <f aca="false">N556*(1+F556)/(H556-F556)</f>
        <v>598.179387884559</v>
      </c>
      <c r="Q556" s="24" t="n">
        <f aca="false">O556+P556/(1+H556)^5</f>
        <v>523.700202625622</v>
      </c>
      <c r="R556" s="24" t="n">
        <f aca="false">Q556-'DCF Base Case'!$B$5</f>
        <v>338.700202625622</v>
      </c>
      <c r="S556" s="32" t="n">
        <f aca="false">R556/'DCF Base Case'!$B$6</f>
        <v>13.5480081050249</v>
      </c>
    </row>
    <row r="557" customFormat="false" ht="15" hidden="false" customHeight="true" outlineLevel="0" collapsed="false">
      <c r="A557" s="6" t="n">
        <v>556</v>
      </c>
      <c r="B557" s="30" t="n">
        <v>0.0903802424384803</v>
      </c>
      <c r="C557" s="30" t="n">
        <v>0.41420477465182</v>
      </c>
      <c r="D557" s="30" t="n">
        <v>0.0642586980511218</v>
      </c>
      <c r="E557" s="30" t="n">
        <v>0.269504688415695</v>
      </c>
      <c r="F557" s="30" t="n">
        <v>0.0195614814200058</v>
      </c>
      <c r="G557" s="30" t="n">
        <v>0.159456979908652</v>
      </c>
      <c r="H557" s="31" t="n">
        <f aca="false">MAX(D557,F557+0.015)</f>
        <v>0.0642586980511218</v>
      </c>
      <c r="I557" s="25" t="n">
        <f aca="false">(C557-'DCF Base Case'!$B$3)*(1-E557)+'DCF Base Case'!$B$3-G557</f>
        <v>0.178153275504376</v>
      </c>
      <c r="J557" s="24" t="n">
        <f aca="false">'DCF Base Case'!$B$2*(1+B557)^1*$I557-'DCF Base Case'!$B$2*(1+B557)^0*B557*'DCF Base Case'!$B$4</f>
        <v>27.773793647065</v>
      </c>
      <c r="K557" s="24" t="n">
        <f aca="false">'DCF Base Case'!$B$2*(1+B557)^2*$I557-'DCF Base Case'!$B$2*(1+B557)^1*B557*'DCF Base Case'!$B$4</f>
        <v>30.283995850323</v>
      </c>
      <c r="L557" s="24" t="n">
        <f aca="false">'DCF Base Case'!$B$2*(1+B557)^3*$I557-'DCF Base Case'!$B$2*(1+B557)^2*B557*'DCF Base Case'!$B$4</f>
        <v>33.0210707372811</v>
      </c>
      <c r="M557" s="24" t="n">
        <f aca="false">'DCF Base Case'!$B$2*(1+B557)^4*$I557-'DCF Base Case'!$B$2*(1+B557)^3*B557*'DCF Base Case'!$B$4</f>
        <v>36.0055231160948</v>
      </c>
      <c r="N557" s="24" t="n">
        <f aca="false">'DCF Base Case'!$B$2*(1+B557)^5*$I557-'DCF Base Case'!$B$2*(1+B557)^4*B557*'DCF Base Case'!$B$4</f>
        <v>39.2597110244518</v>
      </c>
      <c r="O557" s="24" t="n">
        <f aca="false">J557/(1+H557)^1+K557/(1+H557)^2+L557/(1+H557)^3+M557/(1+H557)^4+N557/(1+H557)^5</f>
        <v>137.048677265979</v>
      </c>
      <c r="P557" s="24" t="n">
        <f aca="false">N557*(1+F557)/(H557-F557)</f>
        <v>895.529792437815</v>
      </c>
      <c r="Q557" s="24" t="n">
        <f aca="false">O557+P557/(1+H557)^5</f>
        <v>792.95829187236</v>
      </c>
      <c r="R557" s="24" t="n">
        <f aca="false">Q557-'DCF Base Case'!$B$5</f>
        <v>607.95829187236</v>
      </c>
      <c r="S557" s="32" t="n">
        <f aca="false">R557/'DCF Base Case'!$B$6</f>
        <v>24.3183316748944</v>
      </c>
    </row>
    <row r="558" customFormat="false" ht="15" hidden="false" customHeight="true" outlineLevel="0" collapsed="false">
      <c r="A558" s="6" t="n">
        <v>557</v>
      </c>
      <c r="B558" s="30" t="n">
        <v>0.0848621386577742</v>
      </c>
      <c r="C558" s="30" t="n">
        <v>0.422295010937453</v>
      </c>
      <c r="D558" s="30" t="n">
        <v>0.073131470942465</v>
      </c>
      <c r="E558" s="30" t="n">
        <v>0.250670872905459</v>
      </c>
      <c r="F558" s="30" t="n">
        <v>0.0179796528079279</v>
      </c>
      <c r="G558" s="30" t="n">
        <v>0.183470598072055</v>
      </c>
      <c r="H558" s="31" t="n">
        <f aca="false">MAX(D558,F558+0.015)</f>
        <v>0.073131470942465</v>
      </c>
      <c r="I558" s="25" t="n">
        <f aca="false">(C558-'DCF Base Case'!$B$3)*(1-E558)+'DCF Base Case'!$B$3-G558</f>
        <v>0.165554567327796</v>
      </c>
      <c r="J558" s="24" t="n">
        <f aca="false">'DCF Base Case'!$B$2*(1+B558)^1*$I558-'DCF Base Case'!$B$2*(1+B558)^0*B558*'DCF Base Case'!$B$4</f>
        <v>25.673412583329</v>
      </c>
      <c r="K558" s="24" t="n">
        <f aca="false">'DCF Base Case'!$B$2*(1+B558)^2*$I558-'DCF Base Case'!$B$2*(1+B558)^1*B558*'DCF Base Case'!$B$4</f>
        <v>27.8521132817937</v>
      </c>
      <c r="L558" s="24" t="n">
        <f aca="false">'DCF Base Case'!$B$2*(1+B558)^3*$I558-'DCF Base Case'!$B$2*(1+B558)^2*B558*'DCF Base Case'!$B$4</f>
        <v>30.2157031810253</v>
      </c>
      <c r="M558" s="24" t="n">
        <f aca="false">'DCF Base Case'!$B$2*(1+B558)^4*$I558-'DCF Base Case'!$B$2*(1+B558)^3*B558*'DCF Base Case'!$B$4</f>
        <v>32.7798723740156</v>
      </c>
      <c r="N558" s="24" t="n">
        <f aca="false">'DCF Base Case'!$B$2*(1+B558)^5*$I558-'DCF Base Case'!$B$2*(1+B558)^4*B558*'DCF Base Case'!$B$4</f>
        <v>35.5616424486035</v>
      </c>
      <c r="O558" s="24" t="n">
        <f aca="false">J558/(1+H558)^1+K558/(1+H558)^2+L558/(1+H558)^3+M558/(1+H558)^4+N558/(1+H558)^5</f>
        <v>122.263056287896</v>
      </c>
      <c r="P558" s="24" t="n">
        <f aca="false">N558*(1+F558)/(H558-F558)</f>
        <v>656.388667818718</v>
      </c>
      <c r="Q558" s="24" t="n">
        <f aca="false">O558+P558/(1+H558)^5</f>
        <v>583.470616931159</v>
      </c>
      <c r="R558" s="24" t="n">
        <f aca="false">Q558-'DCF Base Case'!$B$5</f>
        <v>398.470616931159</v>
      </c>
      <c r="S558" s="32" t="n">
        <f aca="false">R558/'DCF Base Case'!$B$6</f>
        <v>15.9388246772464</v>
      </c>
    </row>
    <row r="559" customFormat="false" ht="15" hidden="false" customHeight="true" outlineLevel="0" collapsed="false">
      <c r="A559" s="6" t="n">
        <v>558</v>
      </c>
      <c r="B559" s="30" t="n">
        <v>0.124875759500547</v>
      </c>
      <c r="C559" s="30" t="n">
        <v>0.440726443962008</v>
      </c>
      <c r="D559" s="30" t="n">
        <v>0.0688490986414427</v>
      </c>
      <c r="E559" s="30" t="n">
        <v>0.273452311068809</v>
      </c>
      <c r="F559" s="30" t="n">
        <v>0.0202658186236908</v>
      </c>
      <c r="G559" s="30" t="n">
        <v>0.169234536307167</v>
      </c>
      <c r="H559" s="31" t="n">
        <f aca="false">MAX(D559,F559+0.015)</f>
        <v>0.0688490986414427</v>
      </c>
      <c r="I559" s="25" t="n">
        <f aca="false">(C559-'DCF Base Case'!$B$3)*(1-E559)+'DCF Base Case'!$B$3-G559</f>
        <v>0.186523043443237</v>
      </c>
      <c r="J559" s="24" t="n">
        <f aca="false">'DCF Base Case'!$B$2*(1+B559)^1*$I559-'DCF Base Case'!$B$2*(1+B559)^0*B559*'DCF Base Case'!$B$4</f>
        <v>29.8800017190195</v>
      </c>
      <c r="K559" s="24" t="n">
        <f aca="false">'DCF Base Case'!$B$2*(1+B559)^2*$I559-'DCF Base Case'!$B$2*(1+B559)^1*B559*'DCF Base Case'!$B$4</f>
        <v>33.6112896275597</v>
      </c>
      <c r="L559" s="24" t="n">
        <f aca="false">'DCF Base Case'!$B$2*(1+B559)^3*$I559-'DCF Base Case'!$B$2*(1+B559)^2*B559*'DCF Base Case'!$B$4</f>
        <v>37.8085249475941</v>
      </c>
      <c r="M559" s="24" t="n">
        <f aca="false">'DCF Base Case'!$B$2*(1+B559)^4*$I559-'DCF Base Case'!$B$2*(1+B559)^3*B559*'DCF Base Case'!$B$4</f>
        <v>42.5298932160203</v>
      </c>
      <c r="N559" s="24" t="n">
        <f aca="false">'DCF Base Case'!$B$2*(1+B559)^5*$I559-'DCF Base Case'!$B$2*(1+B559)^4*B559*'DCF Base Case'!$B$4</f>
        <v>47.840845932848</v>
      </c>
      <c r="O559" s="24" t="n">
        <f aca="false">J559/(1+H559)^1+K559/(1+H559)^2+L559/(1+H559)^3+M559/(1+H559)^4+N559/(1+H559)^5</f>
        <v>155.218509335041</v>
      </c>
      <c r="P559" s="24" t="n">
        <f aca="false">N559*(1+F559)/(H559-F559)</f>
        <v>1004.6744439958</v>
      </c>
      <c r="Q559" s="24" t="n">
        <f aca="false">O559+P559/(1+H559)^5</f>
        <v>875.402359931887</v>
      </c>
      <c r="R559" s="24" t="n">
        <f aca="false">Q559-'DCF Base Case'!$B$5</f>
        <v>690.402359931887</v>
      </c>
      <c r="S559" s="32" t="n">
        <f aca="false">R559/'DCF Base Case'!$B$6</f>
        <v>27.6160943972755</v>
      </c>
    </row>
    <row r="560" customFormat="false" ht="15" hidden="false" customHeight="true" outlineLevel="0" collapsed="false">
      <c r="A560" s="6" t="n">
        <v>559</v>
      </c>
      <c r="B560" s="30" t="n">
        <v>0.101604794316591</v>
      </c>
      <c r="C560" s="30" t="n">
        <v>0.398833249243773</v>
      </c>
      <c r="D560" s="30" t="n">
        <v>0.0857143739630582</v>
      </c>
      <c r="E560" s="30" t="n">
        <v>0.292228591067426</v>
      </c>
      <c r="F560" s="30" t="n">
        <v>0.0223192645767382</v>
      </c>
      <c r="G560" s="30" t="n">
        <v>0.14899673678961</v>
      </c>
      <c r="H560" s="31" t="n">
        <f aca="false">MAX(D560,F560+0.015)</f>
        <v>0.0857143739630582</v>
      </c>
      <c r="I560" s="25" t="n">
        <f aca="false">(C560-'DCF Base Case'!$B$3)*(1-E560)+'DCF Base Case'!$B$3-G560</f>
        <v>0.171275750795577</v>
      </c>
      <c r="J560" s="24" t="n">
        <f aca="false">'DCF Base Case'!$B$2*(1+B560)^1*$I560-'DCF Base Case'!$B$2*(1+B560)^0*B560*'DCF Base Case'!$B$4</f>
        <v>26.9163564375771</v>
      </c>
      <c r="K560" s="24" t="n">
        <f aca="false">'DCF Base Case'!$B$2*(1+B560)^2*$I560-'DCF Base Case'!$B$2*(1+B560)^1*B560*'DCF Base Case'!$B$4</f>
        <v>29.6511872971692</v>
      </c>
      <c r="L560" s="24" t="n">
        <f aca="false">'DCF Base Case'!$B$2*(1+B560)^3*$I560-'DCF Base Case'!$B$2*(1+B560)^2*B560*'DCF Base Case'!$B$4</f>
        <v>32.6638900837408</v>
      </c>
      <c r="M560" s="24" t="n">
        <f aca="false">'DCF Base Case'!$B$2*(1+B560)^4*$I560-'DCF Base Case'!$B$2*(1+B560)^3*B560*'DCF Base Case'!$B$4</f>
        <v>35.982697917279</v>
      </c>
      <c r="N560" s="24" t="n">
        <f aca="false">'DCF Base Case'!$B$2*(1+B560)^5*$I560-'DCF Base Case'!$B$2*(1+B560)^4*B560*'DCF Base Case'!$B$4</f>
        <v>39.6387125381202</v>
      </c>
      <c r="O560" s="24" t="n">
        <f aca="false">J560/(1+H560)^1+K560/(1+H560)^2+L560/(1+H560)^3+M560/(1+H560)^4+N560/(1+H560)^5</f>
        <v>127.638834402718</v>
      </c>
      <c r="P560" s="24" t="n">
        <f aca="false">N560*(1+F560)/(H560-F560)</f>
        <v>639.21996259674</v>
      </c>
      <c r="Q560" s="24" t="n">
        <f aca="false">O560+P560/(1+H560)^5</f>
        <v>551.352422397358</v>
      </c>
      <c r="R560" s="24" t="n">
        <f aca="false">Q560-'DCF Base Case'!$B$5</f>
        <v>366.352422397358</v>
      </c>
      <c r="S560" s="32" t="n">
        <f aca="false">R560/'DCF Base Case'!$B$6</f>
        <v>14.6540968958943</v>
      </c>
    </row>
    <row r="561" customFormat="false" ht="15" hidden="false" customHeight="true" outlineLevel="0" collapsed="false">
      <c r="A561" s="6" t="n">
        <v>560</v>
      </c>
      <c r="B561" s="30" t="n">
        <v>0.0827193294469683</v>
      </c>
      <c r="C561" s="30" t="n">
        <v>0.364887849766125</v>
      </c>
      <c r="D561" s="30" t="n">
        <v>0.0781639183566445</v>
      </c>
      <c r="E561" s="30" t="n">
        <v>0.266753081144498</v>
      </c>
      <c r="F561" s="30" t="n">
        <v>0.015190711520302</v>
      </c>
      <c r="G561" s="30" t="n">
        <v>0.168957012680311</v>
      </c>
      <c r="H561" s="31" t="n">
        <f aca="false">MAX(D561,F561+0.015)</f>
        <v>0.0781639183566445</v>
      </c>
      <c r="I561" s="25" t="n">
        <f aca="false">(C561-'DCF Base Case'!$B$3)*(1-E561)+'DCF Base Case'!$B$3-G561</f>
        <v>0.133273779437294</v>
      </c>
      <c r="J561" s="24" t="n">
        <f aca="false">'DCF Base Case'!$B$2*(1+B561)^1*$I561-'DCF Base Case'!$B$2*(1+B561)^0*B561*'DCF Base Case'!$B$4</f>
        <v>20.5633949971612</v>
      </c>
      <c r="K561" s="24" t="n">
        <f aca="false">'DCF Base Case'!$B$2*(1+B561)^2*$I561-'DCF Base Case'!$B$2*(1+B561)^1*B561*'DCF Base Case'!$B$4</f>
        <v>22.2643852424795</v>
      </c>
      <c r="L561" s="24" t="n">
        <f aca="false">'DCF Base Case'!$B$2*(1+B561)^3*$I561-'DCF Base Case'!$B$2*(1+B561)^2*B561*'DCF Base Case'!$B$4</f>
        <v>24.1060802602864</v>
      </c>
      <c r="M561" s="24" t="n">
        <f aca="false">'DCF Base Case'!$B$2*(1+B561)^4*$I561-'DCF Base Case'!$B$2*(1+B561)^3*B561*'DCF Base Case'!$B$4</f>
        <v>26.1001190550121</v>
      </c>
      <c r="N561" s="24" t="n">
        <f aca="false">'DCF Base Case'!$B$2*(1+B561)^5*$I561-'DCF Base Case'!$B$2*(1+B561)^4*B561*'DCF Base Case'!$B$4</f>
        <v>28.2591034017287</v>
      </c>
      <c r="O561" s="24" t="n">
        <f aca="false">J561/(1+H561)^1+K561/(1+H561)^2+L561/(1+H561)^3+M561/(1+H561)^4+N561/(1+H561)^5</f>
        <v>96.1722865428984</v>
      </c>
      <c r="P561" s="24" t="n">
        <f aca="false">N561*(1+F561)/(H561-F561)</f>
        <v>455.564846235056</v>
      </c>
      <c r="Q561" s="24" t="n">
        <f aca="false">O561+P561/(1+H561)^5</f>
        <v>408.87110172461</v>
      </c>
      <c r="R561" s="24" t="n">
        <f aca="false">Q561-'DCF Base Case'!$B$5</f>
        <v>223.87110172461</v>
      </c>
      <c r="S561" s="32" t="n">
        <f aca="false">R561/'DCF Base Case'!$B$6</f>
        <v>8.95484406898441</v>
      </c>
    </row>
    <row r="562" customFormat="false" ht="15" hidden="false" customHeight="true" outlineLevel="0" collapsed="false">
      <c r="A562" s="6" t="n">
        <v>561</v>
      </c>
      <c r="B562" s="30" t="n">
        <v>0.0888719059875469</v>
      </c>
      <c r="C562" s="30" t="n">
        <v>0.369902675636731</v>
      </c>
      <c r="D562" s="30" t="n">
        <v>0.0873705876623193</v>
      </c>
      <c r="E562" s="30" t="n">
        <v>0.259712011732444</v>
      </c>
      <c r="F562" s="30" t="n">
        <v>0.0210844568698524</v>
      </c>
      <c r="G562" s="30" t="n">
        <v>0.139994740946119</v>
      </c>
      <c r="H562" s="31" t="n">
        <f aca="false">MAX(D562,F562+0.015)</f>
        <v>0.0873705876623193</v>
      </c>
      <c r="I562" s="25" t="n">
        <f aca="false">(C562-'DCF Base Case'!$B$3)*(1-E562)+'DCF Base Case'!$B$3-G562</f>
        <v>0.167602328181001</v>
      </c>
      <c r="J562" s="24" t="n">
        <f aca="false">'DCF Base Case'!$B$2*(1+B562)^1*$I562-'DCF Base Case'!$B$2*(1+B562)^0*B562*'DCF Base Case'!$B$4</f>
        <v>26.0755398564417</v>
      </c>
      <c r="K562" s="24" t="n">
        <f aca="false">'DCF Base Case'!$B$2*(1+B562)^2*$I562-'DCF Base Case'!$B$2*(1+B562)^1*B562*'DCF Base Case'!$B$4</f>
        <v>28.3929227831379</v>
      </c>
      <c r="L562" s="24" t="n">
        <f aca="false">'DCF Base Case'!$B$2*(1+B562)^3*$I562-'DCF Base Case'!$B$2*(1+B562)^2*B562*'DCF Base Case'!$B$4</f>
        <v>30.9162559474326</v>
      </c>
      <c r="M562" s="24" t="n">
        <f aca="false">'DCF Base Case'!$B$2*(1+B562)^4*$I562-'DCF Base Case'!$B$2*(1+B562)^3*B562*'DCF Base Case'!$B$4</f>
        <v>33.6638425394798</v>
      </c>
      <c r="N562" s="24" t="n">
        <f aca="false">'DCF Base Case'!$B$2*(1+B562)^5*$I562-'DCF Base Case'!$B$2*(1+B562)^4*B562*'DCF Base Case'!$B$4</f>
        <v>36.655612388828</v>
      </c>
      <c r="O562" s="24" t="n">
        <f aca="false">J562/(1+H562)^1+K562/(1+H562)^2+L562/(1+H562)^3+M562/(1+H562)^4+N562/(1+H562)^5</f>
        <v>120.233359030188</v>
      </c>
      <c r="P562" s="24" t="n">
        <f aca="false">N562*(1+F562)/(H562-F562)</f>
        <v>564.650185790175</v>
      </c>
      <c r="Q562" s="24" t="n">
        <f aca="false">O562+P562/(1+H562)^5</f>
        <v>491.675836635876</v>
      </c>
      <c r="R562" s="24" t="n">
        <f aca="false">Q562-'DCF Base Case'!$B$5</f>
        <v>306.675836635876</v>
      </c>
      <c r="S562" s="32" t="n">
        <f aca="false">R562/'DCF Base Case'!$B$6</f>
        <v>12.267033465435</v>
      </c>
    </row>
    <row r="563" customFormat="false" ht="15" hidden="false" customHeight="true" outlineLevel="0" collapsed="false">
      <c r="A563" s="6" t="n">
        <v>562</v>
      </c>
      <c r="B563" s="30" t="n">
        <v>0.0906020790284015</v>
      </c>
      <c r="C563" s="30" t="n">
        <v>0.408956578305186</v>
      </c>
      <c r="D563" s="30" t="n">
        <v>0.0883341207344536</v>
      </c>
      <c r="E563" s="30" t="n">
        <v>0.28322591892912</v>
      </c>
      <c r="F563" s="30" t="n">
        <v>0.0183592569175406</v>
      </c>
      <c r="G563" s="30" t="n">
        <v>0.135777934387429</v>
      </c>
      <c r="H563" s="31" t="n">
        <f aca="false">MAX(D563,F563+0.015)</f>
        <v>0.0883341207344536</v>
      </c>
      <c r="I563" s="25" t="n">
        <f aca="false">(C563-'DCF Base Case'!$B$3)*(1-E563)+'DCF Base Case'!$B$3-G563</f>
        <v>0.194170910685948</v>
      </c>
      <c r="J563" s="24" t="n">
        <f aca="false">'DCF Base Case'!$B$2*(1+B563)^1*$I563-'DCF Base Case'!$B$2*(1+B563)^0*B563*'DCF Base Case'!$B$4</f>
        <v>30.3115447939617</v>
      </c>
      <c r="K563" s="24" t="n">
        <f aca="false">'DCF Base Case'!$B$2*(1+B563)^2*$I563-'DCF Base Case'!$B$2*(1+B563)^1*B563*'DCF Base Case'!$B$4</f>
        <v>33.0578337708571</v>
      </c>
      <c r="L563" s="24" t="n">
        <f aca="false">'DCF Base Case'!$B$2*(1+B563)^3*$I563-'DCF Base Case'!$B$2*(1+B563)^2*B563*'DCF Base Case'!$B$4</f>
        <v>36.0529422386721</v>
      </c>
      <c r="M563" s="24" t="n">
        <f aca="false">'DCF Base Case'!$B$2*(1+B563)^4*$I563-'DCF Base Case'!$B$2*(1+B563)^3*B563*'DCF Base Case'!$B$4</f>
        <v>39.3194137605867</v>
      </c>
      <c r="N563" s="24" t="n">
        <f aca="false">'DCF Base Case'!$B$2*(1+B563)^5*$I563-'DCF Base Case'!$B$2*(1+B563)^4*B563*'DCF Base Case'!$B$4</f>
        <v>42.8818343934737</v>
      </c>
      <c r="O563" s="24" t="n">
        <f aca="false">J563/(1+H563)^1+K563/(1+H563)^2+L563/(1+H563)^3+M563/(1+H563)^4+N563/(1+H563)^5</f>
        <v>139.838212477068</v>
      </c>
      <c r="P563" s="24" t="n">
        <f aca="false">N563*(1+F563)/(H563-F563)</f>
        <v>624.068567285215</v>
      </c>
      <c r="Q563" s="24" t="n">
        <f aca="false">O563+P563/(1+H563)^5</f>
        <v>548.553689204759</v>
      </c>
      <c r="R563" s="24" t="n">
        <f aca="false">Q563-'DCF Base Case'!$B$5</f>
        <v>363.553689204759</v>
      </c>
      <c r="S563" s="32" t="n">
        <f aca="false">R563/'DCF Base Case'!$B$6</f>
        <v>14.5421475681904</v>
      </c>
    </row>
    <row r="564" customFormat="false" ht="15" hidden="false" customHeight="true" outlineLevel="0" collapsed="false">
      <c r="A564" s="6" t="n">
        <v>563</v>
      </c>
      <c r="B564" s="30" t="n">
        <v>0.0586828731589158</v>
      </c>
      <c r="C564" s="30" t="n">
        <v>0.389360092702417</v>
      </c>
      <c r="D564" s="30" t="n">
        <v>0.0849089212767746</v>
      </c>
      <c r="E564" s="30" t="n">
        <v>0.26507629330469</v>
      </c>
      <c r="F564" s="30" t="n">
        <v>0.0215922531195648</v>
      </c>
      <c r="G564" s="30" t="n">
        <v>0.159498741514429</v>
      </c>
      <c r="H564" s="31" t="n">
        <f aca="false">MAX(D564,F564+0.015)</f>
        <v>0.0849089212767746</v>
      </c>
      <c r="I564" s="25" t="n">
        <f aca="false">(C564-'DCF Base Case'!$B$3)*(1-E564)+'DCF Base Case'!$B$3-G564</f>
        <v>0.161111139183271</v>
      </c>
      <c r="J564" s="24" t="n">
        <f aca="false">'DCF Base Case'!$B$2*(1+B564)^1*$I564-'DCF Base Case'!$B$2*(1+B564)^0*B564*'DCF Base Case'!$B$4</f>
        <v>24.4767420423841</v>
      </c>
      <c r="K564" s="24" t="n">
        <f aca="false">'DCF Base Case'!$B$2*(1+B564)^2*$I564-'DCF Base Case'!$B$2*(1+B564)^1*B564*'DCF Base Case'!$B$4</f>
        <v>25.9131075910008</v>
      </c>
      <c r="L564" s="24" t="n">
        <f aca="false">'DCF Base Case'!$B$2*(1+B564)^3*$I564-'DCF Base Case'!$B$2*(1+B564)^2*B564*'DCF Base Case'!$B$4</f>
        <v>27.4337631969169</v>
      </c>
      <c r="M564" s="24" t="n">
        <f aca="false">'DCF Base Case'!$B$2*(1+B564)^4*$I564-'DCF Base Case'!$B$2*(1+B564)^3*B564*'DCF Base Case'!$B$4</f>
        <v>29.0436552428733</v>
      </c>
      <c r="N564" s="24" t="n">
        <f aca="false">'DCF Base Case'!$B$2*(1+B564)^5*$I564-'DCF Base Case'!$B$2*(1+B564)^4*B564*'DCF Base Case'!$B$4</f>
        <v>30.7480203795621</v>
      </c>
      <c r="O564" s="24" t="n">
        <f aca="false">J564/(1+H564)^1+K564/(1+H564)^2+L564/(1+H564)^3+M564/(1+H564)^4+N564/(1+H564)^5</f>
        <v>107.481958701517</v>
      </c>
      <c r="P564" s="24" t="n">
        <f aca="false">N564*(1+F564)/(H564-F564)</f>
        <v>496.108534020299</v>
      </c>
      <c r="Q564" s="24" t="n">
        <f aca="false">O564+P564/(1+H564)^5</f>
        <v>437.555182996994</v>
      </c>
      <c r="R564" s="24" t="n">
        <f aca="false">Q564-'DCF Base Case'!$B$5</f>
        <v>252.555182996994</v>
      </c>
      <c r="S564" s="32" t="n">
        <f aca="false">R564/'DCF Base Case'!$B$6</f>
        <v>10.1022073198797</v>
      </c>
    </row>
    <row r="565" customFormat="false" ht="15" hidden="false" customHeight="true" outlineLevel="0" collapsed="false">
      <c r="A565" s="6" t="n">
        <v>564</v>
      </c>
      <c r="B565" s="30" t="n">
        <v>0.0689196489575324</v>
      </c>
      <c r="C565" s="30" t="n">
        <v>0.400607847017466</v>
      </c>
      <c r="D565" s="30" t="n">
        <v>0.0874844581994821</v>
      </c>
      <c r="E565" s="30" t="n">
        <v>0.289262217711426</v>
      </c>
      <c r="F565" s="30" t="n">
        <v>0.0255102483807405</v>
      </c>
      <c r="G565" s="30" t="n">
        <v>0.15173494325938</v>
      </c>
      <c r="H565" s="31" t="n">
        <f aca="false">MAX(D565,F565+0.015)</f>
        <v>0.0874844581994821</v>
      </c>
      <c r="I565" s="25" t="n">
        <f aca="false">(C565-'DCF Base Case'!$B$3)*(1-E565)+'DCF Base Case'!$B$3-G565</f>
        <v>0.170596277799699</v>
      </c>
      <c r="J565" s="24" t="n">
        <f aca="false">'DCF Base Case'!$B$2*(1+B565)^1*$I565-'DCF Base Case'!$B$2*(1+B565)^0*B565*'DCF Base Case'!$B$4</f>
        <v>26.1414879670066</v>
      </c>
      <c r="K565" s="24" t="n">
        <f aca="false">'DCF Base Case'!$B$2*(1+B565)^2*$I565-'DCF Base Case'!$B$2*(1+B565)^1*B565*'DCF Base Case'!$B$4</f>
        <v>27.9431501409203</v>
      </c>
      <c r="L565" s="24" t="n">
        <f aca="false">'DCF Base Case'!$B$2*(1+B565)^3*$I565-'DCF Base Case'!$B$2*(1+B565)^2*B565*'DCF Base Case'!$B$4</f>
        <v>29.8689822394001</v>
      </c>
      <c r="M565" s="24" t="n">
        <f aca="false">'DCF Base Case'!$B$2*(1+B565)^4*$I565-'DCF Base Case'!$B$2*(1+B565)^3*B565*'DCF Base Case'!$B$4</f>
        <v>31.9275420100583</v>
      </c>
      <c r="N565" s="24" t="n">
        <f aca="false">'DCF Base Case'!$B$2*(1+B565)^5*$I565-'DCF Base Case'!$B$2*(1+B565)^4*B565*'DCF Base Case'!$B$4</f>
        <v>34.1279769974684</v>
      </c>
      <c r="O565" s="24" t="n">
        <f aca="false">J565/(1+H565)^1+K565/(1+H565)^2+L565/(1+H565)^3+M565/(1+H565)^4+N565/(1+H565)^5</f>
        <v>116.158235293304</v>
      </c>
      <c r="P565" s="24" t="n">
        <f aca="false">N565*(1+F565)/(H565-F565)</f>
        <v>564.72830020371</v>
      </c>
      <c r="Q565" s="24" t="n">
        <f aca="false">O565+P565/(1+H565)^5</f>
        <v>487.457643763614</v>
      </c>
      <c r="R565" s="24" t="n">
        <f aca="false">Q565-'DCF Base Case'!$B$5</f>
        <v>302.457643763614</v>
      </c>
      <c r="S565" s="32" t="n">
        <f aca="false">R565/'DCF Base Case'!$B$6</f>
        <v>12.0983057505446</v>
      </c>
    </row>
    <row r="566" customFormat="false" ht="15" hidden="false" customHeight="true" outlineLevel="0" collapsed="false">
      <c r="A566" s="6" t="n">
        <v>565</v>
      </c>
      <c r="B566" s="30" t="n">
        <v>0.0885135348060492</v>
      </c>
      <c r="C566" s="30" t="n">
        <v>0.422348688882574</v>
      </c>
      <c r="D566" s="30" t="n">
        <v>0.084742347448791</v>
      </c>
      <c r="E566" s="30" t="n">
        <v>0.267249576747448</v>
      </c>
      <c r="F566" s="30" t="n">
        <v>0.0132581424309241</v>
      </c>
      <c r="G566" s="30" t="n">
        <v>0.154913232670586</v>
      </c>
      <c r="H566" s="31" t="n">
        <f aca="false">MAX(D566,F566+0.015)</f>
        <v>0.084742347448791</v>
      </c>
      <c r="I566" s="25" t="n">
        <f aca="false">(C566-'DCF Base Case'!$B$3)*(1-E566)+'DCF Base Case'!$B$3-G566</f>
        <v>0.189305392845449</v>
      </c>
      <c r="J566" s="24" t="n">
        <f aca="false">'DCF Base Case'!$B$2*(1+B566)^1*$I566-'DCF Base Case'!$B$2*(1+B566)^0*B566*'DCF Base Case'!$B$4</f>
        <v>29.4938810605805</v>
      </c>
      <c r="K566" s="24" t="n">
        <f aca="false">'DCF Base Case'!$B$2*(1+B566)^2*$I566-'DCF Base Case'!$B$2*(1+B566)^1*B566*'DCF Base Case'!$B$4</f>
        <v>32.1044887284017</v>
      </c>
      <c r="L566" s="24" t="n">
        <f aca="false">'DCF Base Case'!$B$2*(1+B566)^3*$I566-'DCF Base Case'!$B$2*(1+B566)^2*B566*'DCF Base Case'!$B$4</f>
        <v>34.9461705088935</v>
      </c>
      <c r="M566" s="24" t="n">
        <f aca="false">'DCF Base Case'!$B$2*(1+B566)^4*$I566-'DCF Base Case'!$B$2*(1+B566)^3*B566*'DCF Base Case'!$B$4</f>
        <v>38.0393795885706</v>
      </c>
      <c r="N566" s="24" t="n">
        <f aca="false">'DCF Base Case'!$B$2*(1+B566)^5*$I566-'DCF Base Case'!$B$2*(1+B566)^4*B566*'DCF Base Case'!$B$4</f>
        <v>41.4063795377841</v>
      </c>
      <c r="O566" s="24" t="n">
        <f aca="false">J566/(1+H566)^1+K566/(1+H566)^2+L566/(1+H566)^3+M566/(1+H566)^4+N566/(1+H566)^5</f>
        <v>136.897350175033</v>
      </c>
      <c r="P566" s="24" t="n">
        <f aca="false">N566*(1+F566)/(H566-F566)</f>
        <v>586.91778421203</v>
      </c>
      <c r="Q566" s="24" t="n">
        <f aca="false">O566+P566/(1+H566)^5</f>
        <v>527.688117190813</v>
      </c>
      <c r="R566" s="24" t="n">
        <f aca="false">Q566-'DCF Base Case'!$B$5</f>
        <v>342.688117190813</v>
      </c>
      <c r="S566" s="32" t="n">
        <f aca="false">R566/'DCF Base Case'!$B$6</f>
        <v>13.7075246876325</v>
      </c>
    </row>
    <row r="567" customFormat="false" ht="15" hidden="false" customHeight="true" outlineLevel="0" collapsed="false">
      <c r="A567" s="6" t="n">
        <v>566</v>
      </c>
      <c r="B567" s="30" t="n">
        <v>0.0665968080634798</v>
      </c>
      <c r="C567" s="30" t="n">
        <v>0.371777970089128</v>
      </c>
      <c r="D567" s="30" t="n">
        <v>0.0762475327416236</v>
      </c>
      <c r="E567" s="30" t="n">
        <v>0.258015632244782</v>
      </c>
      <c r="F567" s="30" t="n">
        <v>0.0214412659730727</v>
      </c>
      <c r="G567" s="30" t="n">
        <v>0.179461913472919</v>
      </c>
      <c r="H567" s="31" t="n">
        <f aca="false">MAX(D567,F567+0.015)</f>
        <v>0.0762475327416236</v>
      </c>
      <c r="I567" s="25" t="n">
        <f aca="false">(C567-'DCF Base Case'!$B$3)*(1-E567)+'DCF Base Case'!$B$3-G567</f>
        <v>0.129933560800803</v>
      </c>
      <c r="J567" s="24" t="n">
        <f aca="false">'DCF Base Case'!$B$2*(1+B567)^1*$I567-'DCF Base Case'!$B$2*(1+B567)^0*B567*'DCF Base Case'!$B$4</f>
        <v>19.8053784604403</v>
      </c>
      <c r="K567" s="24" t="n">
        <f aca="false">'DCF Base Case'!$B$2*(1+B567)^2*$I567-'DCF Base Case'!$B$2*(1+B567)^1*B567*'DCF Base Case'!$B$4</f>
        <v>21.1243534483948</v>
      </c>
      <c r="L567" s="24" t="n">
        <f aca="false">'DCF Base Case'!$B$2*(1+B567)^3*$I567-'DCF Base Case'!$B$2*(1+B567)^2*B567*'DCF Base Case'!$B$4</f>
        <v>22.5311679604627</v>
      </c>
      <c r="M567" s="24" t="n">
        <f aca="false">'DCF Base Case'!$B$2*(1+B567)^4*$I567-'DCF Base Case'!$B$2*(1+B567)^3*B567*'DCF Base Case'!$B$4</f>
        <v>24.0316718285716</v>
      </c>
      <c r="N567" s="24" t="n">
        <f aca="false">'DCF Base Case'!$B$2*(1+B567)^5*$I567-'DCF Base Case'!$B$2*(1+B567)^4*B567*'DCF Base Case'!$B$4</f>
        <v>25.6321044647836</v>
      </c>
      <c r="O567" s="24" t="n">
        <f aca="false">J567/(1+H567)^1+K567/(1+H567)^2+L567/(1+H567)^3+M567/(1+H567)^4+N567/(1+H567)^5</f>
        <v>90.3758590421197</v>
      </c>
      <c r="P567" s="24" t="n">
        <f aca="false">N567*(1+F567)/(H567-F567)</f>
        <v>477.713421799534</v>
      </c>
      <c r="Q567" s="24" t="n">
        <f aca="false">O567+P567/(1+H567)^5</f>
        <v>421.207164812232</v>
      </c>
      <c r="R567" s="24" t="n">
        <f aca="false">Q567-'DCF Base Case'!$B$5</f>
        <v>236.207164812232</v>
      </c>
      <c r="S567" s="32" t="n">
        <f aca="false">R567/'DCF Base Case'!$B$6</f>
        <v>9.44828659248929</v>
      </c>
    </row>
    <row r="568" customFormat="false" ht="15" hidden="false" customHeight="true" outlineLevel="0" collapsed="false">
      <c r="A568" s="6" t="n">
        <v>567</v>
      </c>
      <c r="B568" s="30" t="n">
        <v>0.0702514219521433</v>
      </c>
      <c r="C568" s="30" t="n">
        <v>0.401547307576874</v>
      </c>
      <c r="D568" s="30" t="n">
        <v>0.0645593307167621</v>
      </c>
      <c r="E568" s="30" t="n">
        <v>0.26738206775417</v>
      </c>
      <c r="F568" s="30" t="n">
        <v>0.0207713213243302</v>
      </c>
      <c r="G568" s="30" t="n">
        <v>0.18495402218284</v>
      </c>
      <c r="H568" s="31" t="n">
        <f aca="false">MAX(D568,F568+0.015)</f>
        <v>0.0645593307167621</v>
      </c>
      <c r="I568" s="25" t="n">
        <f aca="false">(C568-'DCF Base Case'!$B$3)*(1-E568)+'DCF Base Case'!$B$3-G568</f>
        <v>0.143986404801052</v>
      </c>
      <c r="J568" s="24" t="n">
        <f aca="false">'DCF Base Case'!$B$2*(1+B568)^1*$I568-'DCF Base Case'!$B$2*(1+B568)^0*B568*'DCF Base Case'!$B$4</f>
        <v>22.0391462141231</v>
      </c>
      <c r="K568" s="24" t="n">
        <f aca="false">'DCF Base Case'!$B$2*(1+B568)^2*$I568-'DCF Base Case'!$B$2*(1+B568)^1*B568*'DCF Base Case'!$B$4</f>
        <v>23.5874275742764</v>
      </c>
      <c r="L568" s="24" t="n">
        <f aca="false">'DCF Base Case'!$B$2*(1+B568)^3*$I568-'DCF Base Case'!$B$2*(1+B568)^2*B568*'DCF Base Case'!$B$4</f>
        <v>25.2444779015625</v>
      </c>
      <c r="M568" s="24" t="n">
        <f aca="false">'DCF Base Case'!$B$2*(1+B568)^4*$I568-'DCF Base Case'!$B$2*(1+B568)^3*B568*'DCF Base Case'!$B$4</f>
        <v>27.0179383705867</v>
      </c>
      <c r="N568" s="24" t="n">
        <f aca="false">'DCF Base Case'!$B$2*(1+B568)^5*$I568-'DCF Base Case'!$B$2*(1+B568)^4*B568*'DCF Base Case'!$B$4</f>
        <v>28.9159869593358</v>
      </c>
      <c r="O568" s="24" t="n">
        <f aca="false">J568/(1+H568)^1+K568/(1+H568)^2+L568/(1+H568)^3+M568/(1+H568)^4+N568/(1+H568)^5</f>
        <v>104.625882706039</v>
      </c>
      <c r="P568" s="24" t="n">
        <f aca="false">N568*(1+F568)/(H568-F568)</f>
        <v>674.079745241395</v>
      </c>
      <c r="Q568" s="24" t="n">
        <f aca="false">O568+P568/(1+H568)^5</f>
        <v>597.642915391268</v>
      </c>
      <c r="R568" s="24" t="n">
        <f aca="false">Q568-'DCF Base Case'!$B$5</f>
        <v>412.642915391268</v>
      </c>
      <c r="S568" s="32" t="n">
        <f aca="false">R568/'DCF Base Case'!$B$6</f>
        <v>16.5057166156507</v>
      </c>
    </row>
    <row r="569" customFormat="false" ht="15" hidden="false" customHeight="true" outlineLevel="0" collapsed="false">
      <c r="A569" s="6" t="n">
        <v>568</v>
      </c>
      <c r="B569" s="30" t="n">
        <v>0.0744897312092012</v>
      </c>
      <c r="C569" s="30" t="n">
        <v>0.429606650873106</v>
      </c>
      <c r="D569" s="30" t="n">
        <v>0.0683273888633518</v>
      </c>
      <c r="E569" s="30" t="n">
        <v>0.255276915020032</v>
      </c>
      <c r="F569" s="30" t="n">
        <v>0.0218997235688076</v>
      </c>
      <c r="G569" s="30" t="n">
        <v>0.203144935323356</v>
      </c>
      <c r="H569" s="31" t="n">
        <f aca="false">MAX(D569,F569+0.015)</f>
        <v>0.0683273888633518</v>
      </c>
      <c r="I569" s="25" t="n">
        <f aca="false">(C569-'DCF Base Case'!$B$3)*(1-E569)+'DCF Base Case'!$B$3-G569</f>
        <v>0.14997905399538</v>
      </c>
      <c r="J569" s="24" t="n">
        <f aca="false">'DCF Base Case'!$B$2*(1+B569)^1*$I569-'DCF Base Case'!$B$2*(1+B569)^0*B569*'DCF Base Case'!$B$4</f>
        <v>23.0428579143433</v>
      </c>
      <c r="K569" s="24" t="n">
        <f aca="false">'DCF Base Case'!$B$2*(1+B569)^2*$I569-'DCF Base Case'!$B$2*(1+B569)^1*B569*'DCF Base Case'!$B$4</f>
        <v>24.7593142066746</v>
      </c>
      <c r="L569" s="24" t="n">
        <f aca="false">'DCF Base Case'!$B$2*(1+B569)^3*$I569-'DCF Base Case'!$B$2*(1+B569)^2*B569*'DCF Base Case'!$B$4</f>
        <v>26.6036288668539</v>
      </c>
      <c r="M569" s="24" t="n">
        <f aca="false">'DCF Base Case'!$B$2*(1+B569)^4*$I569-'DCF Base Case'!$B$2*(1+B569)^3*B569*'DCF Base Case'!$B$4</f>
        <v>28.5853260303352</v>
      </c>
      <c r="N569" s="24" t="n">
        <f aca="false">'DCF Base Case'!$B$2*(1+B569)^5*$I569-'DCF Base Case'!$B$2*(1+B569)^4*B569*'DCF Base Case'!$B$4</f>
        <v>30.7146392828623</v>
      </c>
      <c r="O569" s="24" t="n">
        <f aca="false">J569/(1+H569)^1+K569/(1+H569)^2+L569/(1+H569)^3+M569/(1+H569)^4+N569/(1+H569)^5</f>
        <v>109.096838161324</v>
      </c>
      <c r="P569" s="24" t="n">
        <f aca="false">N569*(1+F569)/(H569-F569)</f>
        <v>676.046947300642</v>
      </c>
      <c r="Q569" s="24" t="n">
        <f aca="false">O569+P569/(1+H569)^5</f>
        <v>594.894078106268</v>
      </c>
      <c r="R569" s="24" t="n">
        <f aca="false">Q569-'DCF Base Case'!$B$5</f>
        <v>409.894078106268</v>
      </c>
      <c r="S569" s="32" t="n">
        <f aca="false">R569/'DCF Base Case'!$B$6</f>
        <v>16.3957631242507</v>
      </c>
    </row>
    <row r="570" customFormat="false" ht="15" hidden="false" customHeight="true" outlineLevel="0" collapsed="false">
      <c r="A570" s="6" t="n">
        <v>569</v>
      </c>
      <c r="B570" s="30" t="n">
        <v>0.100575788380564</v>
      </c>
      <c r="C570" s="30" t="n">
        <v>0.417636377691637</v>
      </c>
      <c r="D570" s="30" t="n">
        <v>0.0608529787882557</v>
      </c>
      <c r="E570" s="30" t="n">
        <v>0.246887902926833</v>
      </c>
      <c r="F570" s="30" t="n">
        <v>0.0198239279233833</v>
      </c>
      <c r="G570" s="30" t="n">
        <v>0.157955142333506</v>
      </c>
      <c r="H570" s="31" t="n">
        <f aca="false">MAX(D570,F570+0.015)</f>
        <v>0.0608529787882557</v>
      </c>
      <c r="I570" s="25" t="n">
        <f aca="false">(C570-'DCF Base Case'!$B$3)*(1-E570)+'DCF Base Case'!$B$3-G570</f>
        <v>0.188667293264372</v>
      </c>
      <c r="J570" s="24" t="n">
        <f aca="false">'DCF Base Case'!$B$2*(1+B570)^1*$I570-'DCF Base Case'!$B$2*(1+B570)^0*B570*'DCF Base Case'!$B$4</f>
        <v>29.6706802993238</v>
      </c>
      <c r="K570" s="24" t="n">
        <f aca="false">'DCF Base Case'!$B$2*(1+B570)^2*$I570-'DCF Base Case'!$B$2*(1+B570)^1*B570*'DCF Base Case'!$B$4</f>
        <v>32.6548323622159</v>
      </c>
      <c r="L570" s="24" t="n">
        <f aca="false">'DCF Base Case'!$B$2*(1+B570)^3*$I570-'DCF Base Case'!$B$2*(1+B570)^2*B570*'DCF Base Case'!$B$4</f>
        <v>35.9391178714809</v>
      </c>
      <c r="M570" s="24" t="n">
        <f aca="false">'DCF Base Case'!$B$2*(1+B570)^4*$I570-'DCF Base Case'!$B$2*(1+B570)^3*B570*'DCF Base Case'!$B$4</f>
        <v>39.5537229851072</v>
      </c>
      <c r="N570" s="24" t="n">
        <f aca="false">'DCF Base Case'!$B$2*(1+B570)^5*$I570-'DCF Base Case'!$B$2*(1+B570)^4*B570*'DCF Base Case'!$B$4</f>
        <v>43.5318698577208</v>
      </c>
      <c r="O570" s="24" t="n">
        <f aca="false">J570/(1+H570)^1+K570/(1+H570)^2+L570/(1+H570)^3+M570/(1+H570)^4+N570/(1+H570)^5</f>
        <v>150.715706191754</v>
      </c>
      <c r="P570" s="24" t="n">
        <f aca="false">N570*(1+F570)/(H570-F570)</f>
        <v>1082.03435303349</v>
      </c>
      <c r="Q570" s="24" t="n">
        <f aca="false">O570+P570/(1+H570)^5</f>
        <v>956.029333734366</v>
      </c>
      <c r="R570" s="24" t="n">
        <f aca="false">Q570-'DCF Base Case'!$B$5</f>
        <v>771.029333734366</v>
      </c>
      <c r="S570" s="32" t="n">
        <f aca="false">R570/'DCF Base Case'!$B$6</f>
        <v>30.8411733493747</v>
      </c>
    </row>
    <row r="571" customFormat="false" ht="15" hidden="false" customHeight="true" outlineLevel="0" collapsed="false">
      <c r="A571" s="6" t="n">
        <v>570</v>
      </c>
      <c r="B571" s="30" t="n">
        <v>0.0659228597982935</v>
      </c>
      <c r="C571" s="30" t="n">
        <v>0.407265811016172</v>
      </c>
      <c r="D571" s="30" t="n">
        <v>0.0862664450425859</v>
      </c>
      <c r="E571" s="30" t="n">
        <v>0.308677632944451</v>
      </c>
      <c r="F571" s="30" t="n">
        <v>0.0198492282674457</v>
      </c>
      <c r="G571" s="30" t="n">
        <v>0.194350499365044</v>
      </c>
      <c r="H571" s="31" t="n">
        <f aca="false">MAX(D571,F571+0.015)</f>
        <v>0.0862664450425859</v>
      </c>
      <c r="I571" s="25" t="n">
        <f aca="false">(C571-'DCF Base Case'!$B$3)*(1-E571)+'DCF Base Case'!$B$3-G571</f>
        <v>0.127329557410233</v>
      </c>
      <c r="J571" s="24" t="n">
        <f aca="false">'DCF Base Case'!$B$2*(1+B571)^1*$I571-'DCF Base Case'!$B$2*(1+B571)^0*B571*'DCF Base Case'!$B$4</f>
        <v>19.3931410257545</v>
      </c>
      <c r="K571" s="24" t="n">
        <f aca="false">'DCF Base Case'!$B$2*(1+B571)^2*$I571-'DCF Base Case'!$B$2*(1+B571)^1*B571*'DCF Base Case'!$B$4</f>
        <v>20.6715923426439</v>
      </c>
      <c r="L571" s="24" t="n">
        <f aca="false">'DCF Base Case'!$B$2*(1+B571)^3*$I571-'DCF Base Case'!$B$2*(1+B571)^2*B571*'DCF Base Case'!$B$4</f>
        <v>22.0343228264554</v>
      </c>
      <c r="M571" s="24" t="n">
        <f aca="false">'DCF Base Case'!$B$2*(1+B571)^4*$I571-'DCF Base Case'!$B$2*(1+B571)^3*B571*'DCF Base Case'!$B$4</f>
        <v>23.4868884008942</v>
      </c>
      <c r="N571" s="24" t="n">
        <f aca="false">'DCF Base Case'!$B$2*(1+B571)^5*$I571-'DCF Base Case'!$B$2*(1+B571)^4*B571*'DCF Base Case'!$B$4</f>
        <v>25.0352112520445</v>
      </c>
      <c r="O571" s="24" t="n">
        <f aca="false">J571/(1+H571)^1+K571/(1+H571)^2+L571/(1+H571)^3+M571/(1+H571)^4+N571/(1+H571)^5</f>
        <v>85.9836413621429</v>
      </c>
      <c r="P571" s="24" t="n">
        <f aca="false">N571*(1+F571)/(H571-F571)</f>
        <v>384.420517971278</v>
      </c>
      <c r="Q571" s="24" t="n">
        <f aca="false">O571+P571/(1+H571)^5</f>
        <v>340.153904172391</v>
      </c>
      <c r="R571" s="24" t="n">
        <f aca="false">Q571-'DCF Base Case'!$B$5</f>
        <v>155.153904172391</v>
      </c>
      <c r="S571" s="32" t="n">
        <f aca="false">R571/'DCF Base Case'!$B$6</f>
        <v>6.20615616689564</v>
      </c>
    </row>
    <row r="572" customFormat="false" ht="15" hidden="false" customHeight="true" outlineLevel="0" collapsed="false">
      <c r="A572" s="6" t="n">
        <v>571</v>
      </c>
      <c r="B572" s="30" t="n">
        <v>0.0901597111972259</v>
      </c>
      <c r="C572" s="30" t="n">
        <v>0.41242662575912</v>
      </c>
      <c r="D572" s="30" t="n">
        <v>0.096707434048719</v>
      </c>
      <c r="E572" s="30" t="n">
        <v>0.258990575283226</v>
      </c>
      <c r="F572" s="30" t="n">
        <v>0.0269337391098618</v>
      </c>
      <c r="G572" s="30" t="n">
        <v>0.173930411763338</v>
      </c>
      <c r="H572" s="31" t="n">
        <f aca="false">MAX(D572,F572+0.015)</f>
        <v>0.096707434048719</v>
      </c>
      <c r="I572" s="25" t="n">
        <f aca="false">(C572-'DCF Base Case'!$B$3)*(1-E572)+'DCF Base Case'!$B$3-G572</f>
        <v>0.165350379715127</v>
      </c>
      <c r="J572" s="24" t="n">
        <f aca="false">'DCF Base Case'!$B$2*(1+B572)^1*$I572-'DCF Base Case'!$B$2*(1+B572)^0*B572*'DCF Base Case'!$B$4</f>
        <v>25.7452619747983</v>
      </c>
      <c r="K572" s="24" t="n">
        <f aca="false">'DCF Base Case'!$B$2*(1+B572)^2*$I572-'DCF Base Case'!$B$2*(1+B572)^1*B572*'DCF Base Case'!$B$4</f>
        <v>28.066447359143</v>
      </c>
      <c r="L572" s="24" t="n">
        <f aca="false">'DCF Base Case'!$B$2*(1+B572)^3*$I572-'DCF Base Case'!$B$2*(1+B572)^2*B572*'DCF Base Case'!$B$4</f>
        <v>30.5969101473755</v>
      </c>
      <c r="M572" s="24" t="n">
        <f aca="false">'DCF Base Case'!$B$2*(1+B572)^4*$I572-'DCF Base Case'!$B$2*(1+B572)^3*B572*'DCF Base Case'!$B$4</f>
        <v>33.3555187297904</v>
      </c>
      <c r="N572" s="24" t="n">
        <f aca="false">'DCF Base Case'!$B$2*(1+B572)^5*$I572-'DCF Base Case'!$B$2*(1+B572)^4*B572*'DCF Base Case'!$B$4</f>
        <v>36.3628426653019</v>
      </c>
      <c r="O572" s="24" t="n">
        <f aca="false">J572/(1+H572)^1+K572/(1+H572)^2+L572/(1+H572)^3+M572/(1+H572)^4+N572/(1+H572)^5</f>
        <v>115.982051592812</v>
      </c>
      <c r="P572" s="24" t="n">
        <f aca="false">N572*(1+F572)/(H572-F572)</f>
        <v>535.190661977485</v>
      </c>
      <c r="Q572" s="24" t="n">
        <f aca="false">O572+P572/(1+H572)^5</f>
        <v>453.311759672565</v>
      </c>
      <c r="R572" s="24" t="n">
        <f aca="false">Q572-'DCF Base Case'!$B$5</f>
        <v>268.311759672565</v>
      </c>
      <c r="S572" s="32" t="n">
        <f aca="false">R572/'DCF Base Case'!$B$6</f>
        <v>10.7324703869026</v>
      </c>
    </row>
    <row r="573" customFormat="false" ht="15" hidden="false" customHeight="true" outlineLevel="0" collapsed="false">
      <c r="A573" s="6" t="n">
        <v>572</v>
      </c>
      <c r="B573" s="30" t="n">
        <v>0.0980676153974273</v>
      </c>
      <c r="C573" s="30" t="n">
        <v>0.427385370198237</v>
      </c>
      <c r="D573" s="30" t="n">
        <v>0.105648501228648</v>
      </c>
      <c r="E573" s="30" t="n">
        <v>0.303968259692728</v>
      </c>
      <c r="F573" s="30" t="n">
        <v>0.0130809300563814</v>
      </c>
      <c r="G573" s="30" t="n">
        <v>0.198058490217063</v>
      </c>
      <c r="H573" s="31" t="n">
        <f aca="false">MAX(D573,F573+0.015)</f>
        <v>0.105648501228648</v>
      </c>
      <c r="I573" s="25" t="n">
        <f aca="false">(C573-'DCF Base Case'!$B$3)*(1-E573)+'DCF Base Case'!$B$3-G573</f>
        <v>0.138931166543938</v>
      </c>
      <c r="J573" s="24" t="n">
        <f aca="false">'DCF Base Case'!$B$2*(1+B573)^1*$I573-'DCF Base Case'!$B$2*(1+B573)^0*B573*'DCF Base Case'!$B$4</f>
        <v>21.6939990119575</v>
      </c>
      <c r="K573" s="24" t="n">
        <f aca="false">'DCF Base Case'!$B$2*(1+B573)^2*$I573-'DCF Base Case'!$B$2*(1+B573)^1*B573*'DCF Base Case'!$B$4</f>
        <v>23.8214777634943</v>
      </c>
      <c r="L573" s="24" t="n">
        <f aca="false">'DCF Base Case'!$B$2*(1+B573)^3*$I573-'DCF Base Case'!$B$2*(1+B573)^2*B573*'DCF Base Case'!$B$4</f>
        <v>26.1575932830031</v>
      </c>
      <c r="M573" s="24" t="n">
        <f aca="false">'DCF Base Case'!$B$2*(1+B573)^4*$I573-'DCF Base Case'!$B$2*(1+B573)^3*B573*'DCF Base Case'!$B$4</f>
        <v>28.722806080803</v>
      </c>
      <c r="N573" s="24" t="n">
        <f aca="false">'DCF Base Case'!$B$2*(1+B573)^5*$I573-'DCF Base Case'!$B$2*(1+B573)^4*B573*'DCF Base Case'!$B$4</f>
        <v>31.53958318067</v>
      </c>
      <c r="O573" s="24" t="n">
        <f aca="false">J573/(1+H573)^1+K573/(1+H573)^2+L573/(1+H573)^3+M573/(1+H573)^4+N573/(1+H573)^5</f>
        <v>96.7691887116585</v>
      </c>
      <c r="P573" s="24" t="n">
        <f aca="false">N573*(1+F573)/(H573-F573)</f>
        <v>345.176500340507</v>
      </c>
      <c r="Q573" s="24" t="n">
        <f aca="false">O573+P573/(1+H573)^5</f>
        <v>305.677545718727</v>
      </c>
      <c r="R573" s="24" t="n">
        <f aca="false">Q573-'DCF Base Case'!$B$5</f>
        <v>120.677545718727</v>
      </c>
      <c r="S573" s="32" t="n">
        <f aca="false">R573/'DCF Base Case'!$B$6</f>
        <v>4.82710182874909</v>
      </c>
    </row>
    <row r="574" customFormat="false" ht="15" hidden="false" customHeight="true" outlineLevel="0" collapsed="false">
      <c r="A574" s="6" t="n">
        <v>573</v>
      </c>
      <c r="B574" s="30" t="n">
        <v>0.0828130073680988</v>
      </c>
      <c r="C574" s="30" t="n">
        <v>0.414356928863692</v>
      </c>
      <c r="D574" s="30" t="n">
        <v>0.0709282063060721</v>
      </c>
      <c r="E574" s="30" t="n">
        <v>0.295559189322055</v>
      </c>
      <c r="F574" s="30" t="n">
        <v>0.0167115891560586</v>
      </c>
      <c r="G574" s="30" t="n">
        <v>0.167458312261931</v>
      </c>
      <c r="H574" s="31" t="n">
        <f aca="false">MAX(D574,F574+0.015)</f>
        <v>0.0709282063060721</v>
      </c>
      <c r="I574" s="25" t="n">
        <f aca="false">(C574-'DCF Base Case'!$B$3)*(1-E574)+'DCF Base Case'!$B$3-G574</f>
        <v>0.162854313228699</v>
      </c>
      <c r="J574" s="24" t="n">
        <f aca="false">'DCF Base Case'!$B$2*(1+B574)^1*$I574-'DCF Base Case'!$B$2*(1+B574)^0*B574*'DCF Base Case'!$B$4</f>
        <v>25.2091748751037</v>
      </c>
      <c r="K574" s="24" t="n">
        <f aca="false">'DCF Base Case'!$B$2*(1+B574)^2*$I574-'DCF Base Case'!$B$2*(1+B574)^1*B574*'DCF Base Case'!$B$4</f>
        <v>27.2968224597793</v>
      </c>
      <c r="L574" s="24" t="n">
        <f aca="false">'DCF Base Case'!$B$2*(1+B574)^3*$I574-'DCF Base Case'!$B$2*(1+B574)^2*B574*'DCF Base Case'!$B$4</f>
        <v>29.5573544192667</v>
      </c>
      <c r="M574" s="24" t="n">
        <f aca="false">'DCF Base Case'!$B$2*(1+B574)^4*$I574-'DCF Base Case'!$B$2*(1+B574)^3*B574*'DCF Base Case'!$B$4</f>
        <v>32.005087828571</v>
      </c>
      <c r="N574" s="24" t="n">
        <f aca="false">'DCF Base Case'!$B$2*(1+B574)^5*$I574-'DCF Base Case'!$B$2*(1+B574)^4*B574*'DCF Base Case'!$B$4</f>
        <v>34.6555254027351</v>
      </c>
      <c r="O574" s="24" t="n">
        <f aca="false">J574/(1+H574)^1+K574/(1+H574)^2+L574/(1+H574)^3+M574/(1+H574)^4+N574/(1+H574)^5</f>
        <v>120.339274724468</v>
      </c>
      <c r="P574" s="24" t="n">
        <f aca="false">N574*(1+F574)/(H574-F574)</f>
        <v>649.886993276639</v>
      </c>
      <c r="Q574" s="24" t="n">
        <f aca="false">O574+P574/(1+H574)^5</f>
        <v>581.695153498668</v>
      </c>
      <c r="R574" s="24" t="n">
        <f aca="false">Q574-'DCF Base Case'!$B$5</f>
        <v>396.695153498668</v>
      </c>
      <c r="S574" s="32" t="n">
        <f aca="false">R574/'DCF Base Case'!$B$6</f>
        <v>15.8678061399467</v>
      </c>
    </row>
    <row r="575" customFormat="false" ht="15" hidden="false" customHeight="true" outlineLevel="0" collapsed="false">
      <c r="A575" s="6" t="n">
        <v>574</v>
      </c>
      <c r="B575" s="30" t="n">
        <v>0.0840549233679745</v>
      </c>
      <c r="C575" s="30" t="n">
        <v>0.446702284058578</v>
      </c>
      <c r="D575" s="30" t="n">
        <v>0.106804863301602</v>
      </c>
      <c r="E575" s="30" t="n">
        <v>0.280961162206936</v>
      </c>
      <c r="F575" s="30" t="n">
        <v>0.0195897628885247</v>
      </c>
      <c r="G575" s="30" t="n">
        <v>0.157651528152424</v>
      </c>
      <c r="H575" s="31" t="n">
        <f aca="false">MAX(D575,F575+0.015)</f>
        <v>0.106804863301602</v>
      </c>
      <c r="I575" s="25" t="n">
        <f aca="false">(C575-'DCF Base Case'!$B$3)*(1-E575)+'DCF Base Case'!$B$3-G575</f>
        <v>0.200069714103465</v>
      </c>
      <c r="J575" s="24" t="n">
        <f aca="false">'DCF Base Case'!$B$2*(1+B575)^1*$I575-'DCF Base Case'!$B$2*(1+B575)^0*B575*'DCF Base Case'!$B$4</f>
        <v>31.0829120789985</v>
      </c>
      <c r="K575" s="24" t="n">
        <f aca="false">'DCF Base Case'!$B$2*(1+B575)^2*$I575-'DCF Base Case'!$B$2*(1+B575)^1*B575*'DCF Base Case'!$B$4</f>
        <v>33.6955838718522</v>
      </c>
      <c r="L575" s="24" t="n">
        <f aca="false">'DCF Base Case'!$B$2*(1+B575)^3*$I575-'DCF Base Case'!$B$2*(1+B575)^2*B575*'DCF Base Case'!$B$4</f>
        <v>36.5278635920399</v>
      </c>
      <c r="M575" s="24" t="n">
        <f aca="false">'DCF Base Case'!$B$2*(1+B575)^4*$I575-'DCF Base Case'!$B$2*(1+B575)^3*B575*'DCF Base Case'!$B$4</f>
        <v>39.5982103670646</v>
      </c>
      <c r="N575" s="24" t="n">
        <f aca="false">'DCF Base Case'!$B$2*(1+B575)^5*$I575-'DCF Base Case'!$B$2*(1+B575)^4*B575*'DCF Base Case'!$B$4</f>
        <v>42.9266349049772</v>
      </c>
      <c r="O575" s="24" t="n">
        <f aca="false">J575/(1+H575)^1+K575/(1+H575)^2+L575/(1+H575)^3+M575/(1+H575)^4+N575/(1+H575)^5</f>
        <v>134.762299430482</v>
      </c>
      <c r="P575" s="24" t="n">
        <f aca="false">N575*(1+F575)/(H575-F575)</f>
        <v>501.834628373659</v>
      </c>
      <c r="Q575" s="24" t="n">
        <f aca="false">O575+P575/(1+H575)^5</f>
        <v>436.900286896861</v>
      </c>
      <c r="R575" s="24" t="n">
        <f aca="false">Q575-'DCF Base Case'!$B$5</f>
        <v>251.900286896861</v>
      </c>
      <c r="S575" s="32" t="n">
        <f aca="false">R575/'DCF Base Case'!$B$6</f>
        <v>10.0760114758744</v>
      </c>
    </row>
    <row r="576" customFormat="false" ht="15" hidden="false" customHeight="true" outlineLevel="0" collapsed="false">
      <c r="A576" s="6" t="n">
        <v>575</v>
      </c>
      <c r="B576" s="30" t="n">
        <v>0.114080711997128</v>
      </c>
      <c r="C576" s="30" t="n">
        <v>0.416470082211603</v>
      </c>
      <c r="D576" s="30" t="n">
        <v>0.0803652899788973</v>
      </c>
      <c r="E576" s="30" t="n">
        <v>0.309719522414728</v>
      </c>
      <c r="F576" s="30" t="n">
        <v>0.017187310024301</v>
      </c>
      <c r="G576" s="30" t="n">
        <v>0.164409074376326</v>
      </c>
      <c r="H576" s="31" t="n">
        <f aca="false">MAX(D576,F576+0.015)</f>
        <v>0.0803652899788973</v>
      </c>
      <c r="I576" s="25" t="n">
        <f aca="false">(C576-'DCF Base Case'!$B$3)*(1-E576)+'DCF Base Case'!$B$3-G576</f>
        <v>0.163335630786591</v>
      </c>
      <c r="J576" s="24" t="n">
        <f aca="false">'DCF Base Case'!$B$2*(1+B576)^1*$I576-'DCF Base Case'!$B$2*(1+B576)^0*B576*'DCF Base Case'!$B$4</f>
        <v>25.8892648997902</v>
      </c>
      <c r="K576" s="24" t="n">
        <f aca="false">'DCF Base Case'!$B$2*(1+B576)^2*$I576-'DCF Base Case'!$B$2*(1+B576)^1*B576*'DCF Base Case'!$B$4</f>
        <v>28.8427306726406</v>
      </c>
      <c r="L576" s="24" t="n">
        <f aca="false">'DCF Base Case'!$B$2*(1+B576)^3*$I576-'DCF Base Case'!$B$2*(1+B576)^2*B576*'DCF Base Case'!$B$4</f>
        <v>32.1331299237168</v>
      </c>
      <c r="M576" s="24" t="n">
        <f aca="false">'DCF Base Case'!$B$2*(1+B576)^4*$I576-'DCF Base Case'!$B$2*(1+B576)^3*B576*'DCF Base Case'!$B$4</f>
        <v>35.7989002641106</v>
      </c>
      <c r="N576" s="24" t="n">
        <f aca="false">'DCF Base Case'!$B$2*(1+B576)^5*$I576-'DCF Base Case'!$B$2*(1+B576)^4*B576*'DCF Base Case'!$B$4</f>
        <v>39.8828642949546</v>
      </c>
      <c r="O576" s="24" t="n">
        <f aca="false">J576/(1+H576)^1+K576/(1+H576)^2+L576/(1+H576)^3+M576/(1+H576)^4+N576/(1+H576)^5</f>
        <v>127.53259918564</v>
      </c>
      <c r="P576" s="24" t="n">
        <f aca="false">N576*(1+F576)/(H576-F576)</f>
        <v>642.127897685302</v>
      </c>
      <c r="Q576" s="24" t="n">
        <f aca="false">O576+P576/(1+H576)^5</f>
        <v>563.815734005286</v>
      </c>
      <c r="R576" s="24" t="n">
        <f aca="false">Q576-'DCF Base Case'!$B$5</f>
        <v>378.815734005286</v>
      </c>
      <c r="S576" s="32" t="n">
        <f aca="false">R576/'DCF Base Case'!$B$6</f>
        <v>15.1526293602114</v>
      </c>
    </row>
    <row r="577" customFormat="false" ht="15" hidden="false" customHeight="true" outlineLevel="0" collapsed="false">
      <c r="A577" s="6" t="n">
        <v>576</v>
      </c>
      <c r="B577" s="30" t="n">
        <v>0.0568676462228636</v>
      </c>
      <c r="C577" s="30" t="n">
        <v>0.41704128617998</v>
      </c>
      <c r="D577" s="30" t="n">
        <v>0.106349536331001</v>
      </c>
      <c r="E577" s="30" t="n">
        <v>0.301726655662037</v>
      </c>
      <c r="F577" s="30" t="n">
        <v>0.0244280903239661</v>
      </c>
      <c r="G577" s="30" t="n">
        <v>0.148195594307113</v>
      </c>
      <c r="H577" s="31" t="n">
        <f aca="false">MAX(D577,F577+0.015)</f>
        <v>0.106349536331001</v>
      </c>
      <c r="I577" s="25" t="n">
        <f aca="false">(C577-'DCF Base Case'!$B$3)*(1-E577)+'DCF Base Case'!$B$3-G577</f>
        <v>0.182237684556852</v>
      </c>
      <c r="J577" s="24" t="n">
        <f aca="false">'DCF Base Case'!$B$2*(1+B577)^1*$I577-'DCF Base Case'!$B$2*(1+B577)^0*B577*'DCF Base Case'!$B$4</f>
        <v>27.6797870848827</v>
      </c>
      <c r="K577" s="24" t="n">
        <f aca="false">'DCF Base Case'!$B$2*(1+B577)^2*$I577-'DCF Base Case'!$B$2*(1+B577)^1*B577*'DCF Base Case'!$B$4</f>
        <v>29.25387142435</v>
      </c>
      <c r="L577" s="24" t="n">
        <f aca="false">'DCF Base Case'!$B$2*(1+B577)^3*$I577-'DCF Base Case'!$B$2*(1+B577)^2*B577*'DCF Base Case'!$B$4</f>
        <v>30.9174702351591</v>
      </c>
      <c r="M577" s="24" t="n">
        <f aca="false">'DCF Base Case'!$B$2*(1+B577)^4*$I577-'DCF Base Case'!$B$2*(1+B577)^3*B577*'DCF Base Case'!$B$4</f>
        <v>32.6756739945981</v>
      </c>
      <c r="N577" s="24" t="n">
        <f aca="false">'DCF Base Case'!$B$2*(1+B577)^5*$I577-'DCF Base Case'!$B$2*(1+B577)^4*B577*'DCF Base Case'!$B$4</f>
        <v>34.5338626634165</v>
      </c>
      <c r="O577" s="24" t="n">
        <f aca="false">J577/(1+H577)^1+K577/(1+H577)^2+L577/(1+H577)^3+M577/(1+H577)^4+N577/(1+H577)^5</f>
        <v>114.394654022781</v>
      </c>
      <c r="P577" s="24" t="n">
        <f aca="false">N577*(1+F577)/(H577-F577)</f>
        <v>431.846124600338</v>
      </c>
      <c r="Q577" s="24" t="n">
        <f aca="false">O577+P577/(1+H577)^5</f>
        <v>374.930350793184</v>
      </c>
      <c r="R577" s="24" t="n">
        <f aca="false">Q577-'DCF Base Case'!$B$5</f>
        <v>189.930350793184</v>
      </c>
      <c r="S577" s="32" t="n">
        <f aca="false">R577/'DCF Base Case'!$B$6</f>
        <v>7.59721403172734</v>
      </c>
    </row>
    <row r="578" customFormat="false" ht="15" hidden="false" customHeight="true" outlineLevel="0" collapsed="false">
      <c r="A578" s="6" t="n">
        <v>577</v>
      </c>
      <c r="B578" s="30" t="n">
        <v>0.0949117241912584</v>
      </c>
      <c r="C578" s="30" t="n">
        <v>0.395633656405486</v>
      </c>
      <c r="D578" s="30" t="n">
        <v>0.0824945789986052</v>
      </c>
      <c r="E578" s="30" t="n">
        <v>0.303331526004359</v>
      </c>
      <c r="F578" s="30" t="n">
        <v>0.0197260645647726</v>
      </c>
      <c r="G578" s="30" t="n">
        <v>0.137762955877102</v>
      </c>
      <c r="H578" s="31" t="n">
        <f aca="false">MAX(D578,F578+0.015)</f>
        <v>0.0824945789986052</v>
      </c>
      <c r="I578" s="25" t="n">
        <f aca="false">(C578-'DCF Base Case'!$B$3)*(1-E578)+'DCF Base Case'!$B$3-G578</f>
        <v>0.17729563817279</v>
      </c>
      <c r="J578" s="24" t="n">
        <f aca="false">'DCF Base Case'!$B$2*(1+B578)^1*$I578-'DCF Base Case'!$B$2*(1+B578)^0*B578*'DCF Base Case'!$B$4</f>
        <v>27.7349795678551</v>
      </c>
      <c r="K578" s="24" t="n">
        <f aca="false">'DCF Base Case'!$B$2*(1+B578)^2*$I578-'DCF Base Case'!$B$2*(1+B578)^1*B578*'DCF Base Case'!$B$4</f>
        <v>30.3673542990496</v>
      </c>
      <c r="L578" s="24" t="n">
        <f aca="false">'DCF Base Case'!$B$2*(1+B578)^3*$I578-'DCF Base Case'!$B$2*(1+B578)^2*B578*'DCF Base Case'!$B$4</f>
        <v>33.2495722546992</v>
      </c>
      <c r="M578" s="24" t="n">
        <f aca="false">'DCF Base Case'!$B$2*(1+B578)^4*$I578-'DCF Base Case'!$B$2*(1+B578)^3*B578*'DCF Base Case'!$B$4</f>
        <v>36.4053464860145</v>
      </c>
      <c r="N578" s="24" t="n">
        <f aca="false">'DCF Base Case'!$B$2*(1+B578)^5*$I578-'DCF Base Case'!$B$2*(1+B578)^4*B578*'DCF Base Case'!$B$4</f>
        <v>39.8606406907824</v>
      </c>
      <c r="O578" s="24" t="n">
        <f aca="false">J578/(1+H578)^1+K578/(1+H578)^2+L578/(1+H578)^3+M578/(1+H578)^4+N578/(1+H578)^5</f>
        <v>131.079679558711</v>
      </c>
      <c r="P578" s="24" t="n">
        <f aca="false">N578*(1+F578)/(H578-F578)</f>
        <v>647.568842902756</v>
      </c>
      <c r="Q578" s="24" t="n">
        <f aca="false">O578+P578/(1+H578)^5</f>
        <v>566.749317006775</v>
      </c>
      <c r="R578" s="24" t="n">
        <f aca="false">Q578-'DCF Base Case'!$B$5</f>
        <v>381.749317006775</v>
      </c>
      <c r="S578" s="32" t="n">
        <f aca="false">R578/'DCF Base Case'!$B$6</f>
        <v>15.269972680271</v>
      </c>
    </row>
    <row r="579" customFormat="false" ht="15" hidden="false" customHeight="true" outlineLevel="0" collapsed="false">
      <c r="A579" s="6" t="n">
        <v>578</v>
      </c>
      <c r="B579" s="30" t="n">
        <v>0.0617083003049948</v>
      </c>
      <c r="C579" s="30" t="n">
        <v>0.375435610335818</v>
      </c>
      <c r="D579" s="30" t="n">
        <v>0.0904059784893355</v>
      </c>
      <c r="E579" s="30" t="n">
        <v>0.336100820205452</v>
      </c>
      <c r="F579" s="30" t="n">
        <v>0.024130040996455</v>
      </c>
      <c r="G579" s="30" t="n">
        <v>0.130766800982286</v>
      </c>
      <c r="H579" s="31" t="n">
        <f aca="false">MAX(D579,F579+0.015)</f>
        <v>0.0904059784893355</v>
      </c>
      <c r="I579" s="25" t="n">
        <f aca="false">(C579-'DCF Base Case'!$B$3)*(1-E579)+'DCF Base Case'!$B$3-G579</f>
        <v>0.162177699412038</v>
      </c>
      <c r="J579" s="24" t="n">
        <f aca="false">'DCF Base Case'!$B$2*(1+B579)^1*$I579-'DCF Base Case'!$B$2*(1+B579)^0*B579*'DCF Base Case'!$B$4</f>
        <v>24.698453284242</v>
      </c>
      <c r="K579" s="24" t="n">
        <f aca="false">'DCF Base Case'!$B$2*(1+B579)^2*$I579-'DCF Base Case'!$B$2*(1+B579)^1*B579*'DCF Base Case'!$B$4</f>
        <v>26.2225528565749</v>
      </c>
      <c r="L579" s="24" t="n">
        <f aca="false">'DCF Base Case'!$B$2*(1+B579)^3*$I579-'DCF Base Case'!$B$2*(1+B579)^2*B579*'DCF Base Case'!$B$4</f>
        <v>27.840702023012</v>
      </c>
      <c r="M579" s="24" t="n">
        <f aca="false">'DCF Base Case'!$B$2*(1+B579)^4*$I579-'DCF Base Case'!$B$2*(1+B579)^3*B579*'DCF Base Case'!$B$4</f>
        <v>29.5587044241499</v>
      </c>
      <c r="N579" s="24" t="n">
        <f aca="false">'DCF Base Case'!$B$2*(1+B579)^5*$I579-'DCF Base Case'!$B$2*(1+B579)^4*B579*'DCF Base Case'!$B$4</f>
        <v>31.3827218333819</v>
      </c>
      <c r="O579" s="24" t="n">
        <f aca="false">J579/(1+H579)^1+K579/(1+H579)^2+L579/(1+H579)^3+M579/(1+H579)^4+N579/(1+H579)^5</f>
        <v>107.447025161879</v>
      </c>
      <c r="P579" s="24" t="n">
        <f aca="false">N579*(1+F579)/(H579-F579)</f>
        <v>484.942037994624</v>
      </c>
      <c r="Q579" s="24" t="n">
        <f aca="false">O579+P579/(1+H579)^5</f>
        <v>422.039777727625</v>
      </c>
      <c r="R579" s="24" t="n">
        <f aca="false">Q579-'DCF Base Case'!$B$5</f>
        <v>237.039777727625</v>
      </c>
      <c r="S579" s="32" t="n">
        <f aca="false">R579/'DCF Base Case'!$B$6</f>
        <v>9.48159110910498</v>
      </c>
    </row>
    <row r="580" customFormat="false" ht="15" hidden="false" customHeight="true" outlineLevel="0" collapsed="false">
      <c r="A580" s="6" t="n">
        <v>579</v>
      </c>
      <c r="B580" s="30" t="n">
        <v>0.120296276728787</v>
      </c>
      <c r="C580" s="30" t="n">
        <v>0.441600478874926</v>
      </c>
      <c r="D580" s="30" t="n">
        <v>0.0680017005991837</v>
      </c>
      <c r="E580" s="30" t="n">
        <v>0.271709478697828</v>
      </c>
      <c r="F580" s="30" t="n">
        <v>0.023265083943268</v>
      </c>
      <c r="G580" s="30" t="n">
        <v>0.178214042937548</v>
      </c>
      <c r="H580" s="31" t="n">
        <f aca="false">MAX(D580,F580+0.015)</f>
        <v>0.0680017005991837</v>
      </c>
      <c r="I580" s="25" t="n">
        <f aca="false">(C580-'DCF Base Case'!$B$3)*(1-E580)+'DCF Base Case'!$B$3-G580</f>
        <v>0.178721632260278</v>
      </c>
      <c r="J580" s="24" t="n">
        <f aca="false">'DCF Base Case'!$B$2*(1+B580)^1*$I580-'DCF Base Case'!$B$2*(1+B580)^0*B580*'DCF Base Case'!$B$4</f>
        <v>28.5087821790816</v>
      </c>
      <c r="K580" s="24" t="n">
        <f aca="false">'DCF Base Case'!$B$2*(1+B580)^2*$I580-'DCF Base Case'!$B$2*(1+B580)^1*B580*'DCF Base Case'!$B$4</f>
        <v>31.9382825292971</v>
      </c>
      <c r="L580" s="24" t="n">
        <f aca="false">'DCF Base Case'!$B$2*(1+B580)^3*$I580-'DCF Base Case'!$B$2*(1+B580)^2*B580*'DCF Base Case'!$B$4</f>
        <v>35.7803390026836</v>
      </c>
      <c r="M580" s="24" t="n">
        <f aca="false">'DCF Base Case'!$B$2*(1+B580)^4*$I580-'DCF Base Case'!$B$2*(1+B580)^3*B580*'DCF Base Case'!$B$4</f>
        <v>40.0845805648002</v>
      </c>
      <c r="N580" s="24" t="n">
        <f aca="false">'DCF Base Case'!$B$2*(1+B580)^5*$I580-'DCF Base Case'!$B$2*(1+B580)^4*B580*'DCF Base Case'!$B$4</f>
        <v>44.9066063609807</v>
      </c>
      <c r="O580" s="24" t="n">
        <f aca="false">J580/(1+H580)^1+K580/(1+H580)^2+L580/(1+H580)^3+M580/(1+H580)^4+N580/(1+H580)^5</f>
        <v>147.194161854264</v>
      </c>
      <c r="P580" s="24" t="n">
        <f aca="false">N580*(1+F580)/(H580-F580)</f>
        <v>1027.15327538074</v>
      </c>
      <c r="Q580" s="24" t="n">
        <f aca="false">O580+P580/(1+H580)^5</f>
        <v>886.417269548526</v>
      </c>
      <c r="R580" s="24" t="n">
        <f aca="false">Q580-'DCF Base Case'!$B$5</f>
        <v>701.417269548526</v>
      </c>
      <c r="S580" s="32" t="n">
        <f aca="false">R580/'DCF Base Case'!$B$6</f>
        <v>28.0566907819411</v>
      </c>
    </row>
    <row r="581" customFormat="false" ht="15" hidden="false" customHeight="true" outlineLevel="0" collapsed="false">
      <c r="A581" s="6" t="n">
        <v>580</v>
      </c>
      <c r="B581" s="30" t="n">
        <v>0.0618232762776065</v>
      </c>
      <c r="C581" s="30" t="n">
        <v>0.417202433472323</v>
      </c>
      <c r="D581" s="30" t="n">
        <v>0.0614874934431135</v>
      </c>
      <c r="E581" s="30" t="n">
        <v>0.273692633678856</v>
      </c>
      <c r="F581" s="30" t="n">
        <v>0.0234081219080105</v>
      </c>
      <c r="G581" s="30" t="n">
        <v>0.165631138499081</v>
      </c>
      <c r="H581" s="31" t="n">
        <f aca="false">MAX(D581,F581+0.015)</f>
        <v>0.0614874934431135</v>
      </c>
      <c r="I581" s="25" t="n">
        <f aca="false">(C581-'DCF Base Case'!$B$3)*(1-E581)+'DCF Base Case'!$B$3-G581</f>
        <v>0.172966104557225</v>
      </c>
      <c r="J581" s="24" t="n">
        <f aca="false">'DCF Base Case'!$B$2*(1+B581)^1*$I581-'DCF Base Case'!$B$2*(1+B581)^0*B581*'DCF Base Case'!$B$4</f>
        <v>26.361686942952</v>
      </c>
      <c r="K581" s="24" t="n">
        <f aca="false">'DCF Base Case'!$B$2*(1+B581)^2*$I581-'DCF Base Case'!$B$2*(1+B581)^1*B581*'DCF Base Case'!$B$4</f>
        <v>27.9914527979699</v>
      </c>
      <c r="L581" s="24" t="n">
        <f aca="false">'DCF Base Case'!$B$2*(1+B581)^3*$I581-'DCF Base Case'!$B$2*(1+B581)^2*B581*'DCF Base Case'!$B$4</f>
        <v>29.7219761177104</v>
      </c>
      <c r="M581" s="24" t="n">
        <f aca="false">'DCF Base Case'!$B$2*(1+B581)^4*$I581-'DCF Base Case'!$B$2*(1+B581)^3*B581*'DCF Base Case'!$B$4</f>
        <v>31.559486058752</v>
      </c>
      <c r="N581" s="24" t="n">
        <f aca="false">'DCF Base Case'!$B$2*(1+B581)^5*$I581-'DCF Base Case'!$B$2*(1+B581)^4*B581*'DCF Base Case'!$B$4</f>
        <v>33.5105968845415</v>
      </c>
      <c r="O581" s="24" t="n">
        <f aca="false">J581/(1+H581)^1+K581/(1+H581)^2+L581/(1+H581)^3+M581/(1+H581)^4+N581/(1+H581)^5</f>
        <v>124.251912958813</v>
      </c>
      <c r="P581" s="24" t="n">
        <f aca="false">N581*(1+F581)/(H581-F581)</f>
        <v>900.619302238499</v>
      </c>
      <c r="Q581" s="24" t="n">
        <f aca="false">O581+P581/(1+H581)^5</f>
        <v>792.544805716375</v>
      </c>
      <c r="R581" s="24" t="n">
        <f aca="false">Q581-'DCF Base Case'!$B$5</f>
        <v>607.544805716375</v>
      </c>
      <c r="S581" s="32" t="n">
        <f aca="false">R581/'DCF Base Case'!$B$6</f>
        <v>24.301792228655</v>
      </c>
    </row>
    <row r="582" customFormat="false" ht="15" hidden="false" customHeight="true" outlineLevel="0" collapsed="false">
      <c r="A582" s="6" t="n">
        <v>581</v>
      </c>
      <c r="B582" s="30" t="n">
        <v>0.0793008708456851</v>
      </c>
      <c r="C582" s="30" t="n">
        <v>0.428055100814844</v>
      </c>
      <c r="D582" s="30" t="n">
        <v>0.0957222699659524</v>
      </c>
      <c r="E582" s="30" t="n">
        <v>0.319317709992666</v>
      </c>
      <c r="F582" s="30" t="n">
        <v>0.022493576689134</v>
      </c>
      <c r="G582" s="30" t="n">
        <v>0.191041559298919</v>
      </c>
      <c r="H582" s="31" t="n">
        <f aca="false">MAX(D582,F582+0.015)</f>
        <v>0.0957222699659524</v>
      </c>
      <c r="I582" s="25" t="n">
        <f aca="false">(C582-'DCF Base Case'!$B$3)*(1-E582)+'DCF Base Case'!$B$3-G582</f>
        <v>0.141839269272096</v>
      </c>
      <c r="J582" s="24" t="n">
        <f aca="false">'DCF Base Case'!$B$2*(1+B582)^1*$I582-'DCF Base Case'!$B$2*(1+B582)^0*B582*'DCF Base Case'!$B$4</f>
        <v>21.8526920044171</v>
      </c>
      <c r="K582" s="24" t="n">
        <f aca="false">'DCF Base Case'!$B$2*(1+B582)^2*$I582-'DCF Base Case'!$B$2*(1+B582)^1*B582*'DCF Base Case'!$B$4</f>
        <v>23.5856295106899</v>
      </c>
      <c r="L582" s="24" t="n">
        <f aca="false">'DCF Base Case'!$B$2*(1+B582)^3*$I582-'DCF Base Case'!$B$2*(1+B582)^2*B582*'DCF Base Case'!$B$4</f>
        <v>25.4559904703313</v>
      </c>
      <c r="M582" s="24" t="n">
        <f aca="false">'DCF Base Case'!$B$2*(1+B582)^4*$I582-'DCF Base Case'!$B$2*(1+B582)^3*B582*'DCF Base Case'!$B$4</f>
        <v>27.4746726828681</v>
      </c>
      <c r="N582" s="24" t="n">
        <f aca="false">'DCF Base Case'!$B$2*(1+B582)^5*$I582-'DCF Base Case'!$B$2*(1+B582)^4*B582*'DCF Base Case'!$B$4</f>
        <v>29.6534381528197</v>
      </c>
      <c r="O582" s="24" t="n">
        <f aca="false">J582/(1+H582)^1+K582/(1+H582)^2+L582/(1+H582)^3+M582/(1+H582)^4+N582/(1+H582)^5</f>
        <v>96.7737477980147</v>
      </c>
      <c r="P582" s="24" t="n">
        <f aca="false">N582*(1+F582)/(H582-F582)</f>
        <v>414.051496500006</v>
      </c>
      <c r="Q582" s="24" t="n">
        <f aca="false">O582+P582/(1+H582)^5</f>
        <v>358.924987577041</v>
      </c>
      <c r="R582" s="24" t="n">
        <f aca="false">Q582-'DCF Base Case'!$B$5</f>
        <v>173.924987577041</v>
      </c>
      <c r="S582" s="32" t="n">
        <f aca="false">R582/'DCF Base Case'!$B$6</f>
        <v>6.95699950308162</v>
      </c>
    </row>
    <row r="583" customFormat="false" ht="15" hidden="false" customHeight="true" outlineLevel="0" collapsed="false">
      <c r="A583" s="6" t="n">
        <v>582</v>
      </c>
      <c r="B583" s="30" t="n">
        <v>0.105955389433696</v>
      </c>
      <c r="C583" s="30" t="n">
        <v>0.424974810845687</v>
      </c>
      <c r="D583" s="30" t="n">
        <v>0.085984598997402</v>
      </c>
      <c r="E583" s="30" t="n">
        <v>0.273329626203431</v>
      </c>
      <c r="F583" s="30" t="n">
        <v>0.0144407207003205</v>
      </c>
      <c r="G583" s="30" t="n">
        <v>0.146054565402291</v>
      </c>
      <c r="H583" s="31" t="n">
        <f aca="false">MAX(D583,F583+0.015)</f>
        <v>0.085984598997402</v>
      </c>
      <c r="I583" s="25" t="n">
        <f aca="false">(C583-'DCF Base Case'!$B$3)*(1-E583)+'DCF Base Case'!$B$3-G583</f>
        <v>0.198294890655517</v>
      </c>
      <c r="J583" s="24" t="n">
        <f aca="false">'DCF Base Case'!$B$2*(1+B583)^1*$I583-'DCF Base Case'!$B$2*(1+B583)^0*B583*'DCF Base Case'!$B$4</f>
        <v>31.3383629935204</v>
      </c>
      <c r="K583" s="24" t="n">
        <f aca="false">'DCF Base Case'!$B$2*(1+B583)^2*$I583-'DCF Base Case'!$B$2*(1+B583)^1*B583*'DCF Base Case'!$B$4</f>
        <v>34.6588314487133</v>
      </c>
      <c r="L583" s="24" t="n">
        <f aca="false">'DCF Base Case'!$B$2*(1+B583)^3*$I583-'DCF Base Case'!$B$2*(1+B583)^2*B583*'DCF Base Case'!$B$4</f>
        <v>38.3311214321786</v>
      </c>
      <c r="M583" s="24" t="n">
        <f aca="false">'DCF Base Case'!$B$2*(1+B583)^4*$I583-'DCF Base Case'!$B$2*(1+B583)^3*B583*'DCF Base Case'!$B$4</f>
        <v>42.3925103309554</v>
      </c>
      <c r="N583" s="24" t="n">
        <f aca="false">'DCF Base Case'!$B$2*(1+B583)^5*$I583-'DCF Base Case'!$B$2*(1+B583)^4*B583*'DCF Base Case'!$B$4</f>
        <v>46.8842252721437</v>
      </c>
      <c r="O583" s="24" t="n">
        <f aca="false">J583/(1+H583)^1+K583/(1+H583)^2+L583/(1+H583)^3+M583/(1+H583)^4+N583/(1+H583)^5</f>
        <v>149.690670066578</v>
      </c>
      <c r="P583" s="24" t="n">
        <f aca="false">N583*(1+F583)/(H583-F583)</f>
        <v>664.784582645275</v>
      </c>
      <c r="Q583" s="24" t="n">
        <f aca="false">O583+P583/(1+H583)^5</f>
        <v>589.802059316564</v>
      </c>
      <c r="R583" s="24" t="n">
        <f aca="false">Q583-'DCF Base Case'!$B$5</f>
        <v>404.802059316564</v>
      </c>
      <c r="S583" s="32" t="n">
        <f aca="false">R583/'DCF Base Case'!$B$6</f>
        <v>16.1920823726626</v>
      </c>
    </row>
    <row r="584" customFormat="false" ht="15" hidden="false" customHeight="true" outlineLevel="0" collapsed="false">
      <c r="A584" s="6" t="n">
        <v>583</v>
      </c>
      <c r="B584" s="30" t="n">
        <v>0.0841002382602232</v>
      </c>
      <c r="C584" s="30" t="n">
        <v>0.417483102086582</v>
      </c>
      <c r="D584" s="30" t="n">
        <v>0.100848938578047</v>
      </c>
      <c r="E584" s="30" t="n">
        <v>0.278480553045666</v>
      </c>
      <c r="F584" s="30" t="n">
        <v>0.0229488142598056</v>
      </c>
      <c r="G584" s="30" t="n">
        <v>0.190994119435327</v>
      </c>
      <c r="H584" s="31" t="n">
        <f aca="false">MAX(D584,F584+0.015)</f>
        <v>0.100848938578047</v>
      </c>
      <c r="I584" s="25" t="n">
        <f aca="false">(C584-'DCF Base Case'!$B$3)*(1-E584)+'DCF Base Case'!$B$3-G584</f>
        <v>0.1464305293909</v>
      </c>
      <c r="J584" s="24" t="n">
        <f aca="false">'DCF Base Case'!$B$2*(1+B584)^1*$I584-'DCF Base Case'!$B$2*(1+B584)^0*B584*'DCF Base Case'!$B$4</f>
        <v>22.6522428747486</v>
      </c>
      <c r="K584" s="24" t="n">
        <f aca="false">'DCF Base Case'!$B$2*(1+B584)^2*$I584-'DCF Base Case'!$B$2*(1+B584)^1*B584*'DCF Base Case'!$B$4</f>
        <v>24.5573018976434</v>
      </c>
      <c r="L584" s="24" t="n">
        <f aca="false">'DCF Base Case'!$B$2*(1+B584)^3*$I584-'DCF Base Case'!$B$2*(1+B584)^2*B584*'DCF Base Case'!$B$4</f>
        <v>26.6225768382635</v>
      </c>
      <c r="M584" s="24" t="n">
        <f aca="false">'DCF Base Case'!$B$2*(1+B584)^4*$I584-'DCF Base Case'!$B$2*(1+B584)^3*B584*'DCF Base Case'!$B$4</f>
        <v>28.8615418934625</v>
      </c>
      <c r="N584" s="24" t="n">
        <f aca="false">'DCF Base Case'!$B$2*(1+B584)^5*$I584-'DCF Base Case'!$B$2*(1+B584)^4*B584*'DCF Base Case'!$B$4</f>
        <v>31.2888044432601</v>
      </c>
      <c r="O584" s="24" t="n">
        <f aca="false">J584/(1+H584)^1+K584/(1+H584)^2+L584/(1+H584)^3+M584/(1+H584)^4+N584/(1+H584)^5</f>
        <v>99.801940208925</v>
      </c>
      <c r="P584" s="24" t="n">
        <f aca="false">N584*(1+F584)/(H584-F584)</f>
        <v>410.870273763415</v>
      </c>
      <c r="Q584" s="24" t="n">
        <f aca="false">O584+P584/(1+H584)^5</f>
        <v>353.937876624493</v>
      </c>
      <c r="R584" s="24" t="n">
        <f aca="false">Q584-'DCF Base Case'!$B$5</f>
        <v>168.937876624493</v>
      </c>
      <c r="S584" s="32" t="n">
        <f aca="false">R584/'DCF Base Case'!$B$6</f>
        <v>6.75751506497973</v>
      </c>
    </row>
    <row r="585" customFormat="false" ht="15" hidden="false" customHeight="true" outlineLevel="0" collapsed="false">
      <c r="A585" s="6" t="n">
        <v>584</v>
      </c>
      <c r="B585" s="30" t="n">
        <v>0.0851931331239212</v>
      </c>
      <c r="C585" s="30" t="n">
        <v>0.424390314050336</v>
      </c>
      <c r="D585" s="30" t="n">
        <v>0.0823211915410265</v>
      </c>
      <c r="E585" s="30" t="n">
        <v>0.31964693803321</v>
      </c>
      <c r="F585" s="30" t="n">
        <v>0.0216310005971238</v>
      </c>
      <c r="G585" s="30" t="n">
        <v>0.141626664622415</v>
      </c>
      <c r="H585" s="31" t="n">
        <f aca="false">MAX(D585,F585+0.015)</f>
        <v>0.0823211915410265</v>
      </c>
      <c r="I585" s="25" t="n">
        <f aca="false">(C585-'DCF Base Case'!$B$3)*(1-E585)+'DCF Base Case'!$B$3-G585</f>
        <v>0.188662686955096</v>
      </c>
      <c r="J585" s="24" t="n">
        <f aca="false">'DCF Base Case'!$B$2*(1+B585)^1*$I585-'DCF Base Case'!$B$2*(1+B585)^0*B585*'DCF Base Case'!$B$4</f>
        <v>29.3160504631658</v>
      </c>
      <c r="K585" s="24" t="n">
        <f aca="false">'DCF Base Case'!$B$2*(1+B585)^2*$I585-'DCF Base Case'!$B$2*(1+B585)^1*B585*'DCF Base Case'!$B$4</f>
        <v>31.8135766529419</v>
      </c>
      <c r="L585" s="24" t="n">
        <f aca="false">'DCF Base Case'!$B$2*(1+B585)^3*$I585-'DCF Base Case'!$B$2*(1+B585)^2*B585*'DCF Base Case'!$B$4</f>
        <v>34.523874923884</v>
      </c>
      <c r="M585" s="24" t="n">
        <f aca="false">'DCF Base Case'!$B$2*(1+B585)^4*$I585-'DCF Base Case'!$B$2*(1+B585)^3*B585*'DCF Base Case'!$B$4</f>
        <v>37.4650719962281</v>
      </c>
      <c r="N585" s="24" t="n">
        <f aca="false">'DCF Base Case'!$B$2*(1+B585)^5*$I585-'DCF Base Case'!$B$2*(1+B585)^4*B585*'DCF Base Case'!$B$4</f>
        <v>40.6568388623</v>
      </c>
      <c r="O585" s="24" t="n">
        <f aca="false">J585/(1+H585)^1+K585/(1+H585)^2+L585/(1+H585)^3+M585/(1+H585)^4+N585/(1+H585)^5</f>
        <v>136.152024366357</v>
      </c>
      <c r="P585" s="24" t="n">
        <f aca="false">N585*(1+F585)/(H585-F585)</f>
        <v>684.398686542287</v>
      </c>
      <c r="Q585" s="24" t="n">
        <f aca="false">O585+P585/(1+H585)^5</f>
        <v>596.968881829036</v>
      </c>
      <c r="R585" s="24" t="n">
        <f aca="false">Q585-'DCF Base Case'!$B$5</f>
        <v>411.968881829036</v>
      </c>
      <c r="S585" s="32" t="n">
        <f aca="false">R585/'DCF Base Case'!$B$6</f>
        <v>16.4787552731614</v>
      </c>
    </row>
    <row r="586" customFormat="false" ht="15" hidden="false" customHeight="true" outlineLevel="0" collapsed="false">
      <c r="A586" s="6" t="n">
        <v>585</v>
      </c>
      <c r="B586" s="30" t="n">
        <v>0.0933180924588975</v>
      </c>
      <c r="C586" s="30" t="n">
        <v>0.445200717101132</v>
      </c>
      <c r="D586" s="30" t="n">
        <v>0.0830064586199863</v>
      </c>
      <c r="E586" s="30" t="n">
        <v>0.293087115506507</v>
      </c>
      <c r="F586" s="30" t="n">
        <v>0.0213031929222883</v>
      </c>
      <c r="G586" s="30" t="n">
        <v>0.144491289757512</v>
      </c>
      <c r="H586" s="31" t="n">
        <f aca="false">MAX(D586,F586+0.015)</f>
        <v>0.0830064586199863</v>
      </c>
      <c r="I586" s="25" t="n">
        <f aca="false">(C586-'DCF Base Case'!$B$3)*(1-E586)+'DCF Base Case'!$B$3-G586</f>
        <v>0.208328158362867</v>
      </c>
      <c r="J586" s="24" t="n">
        <f aca="false">'DCF Base Case'!$B$2*(1+B586)^1*$I586-'DCF Base Case'!$B$2*(1+B586)^0*B586*'DCF Base Case'!$B$4</f>
        <v>32.6205632802847</v>
      </c>
      <c r="K586" s="24" t="n">
        <f aca="false">'DCF Base Case'!$B$2*(1+B586)^2*$I586-'DCF Base Case'!$B$2*(1+B586)^1*B586*'DCF Base Case'!$B$4</f>
        <v>35.6646520205356</v>
      </c>
      <c r="L586" s="24" t="n">
        <f aca="false">'DCF Base Case'!$B$2*(1+B586)^3*$I586-'DCF Base Case'!$B$2*(1+B586)^2*B586*'DCF Base Case'!$B$4</f>
        <v>38.9928093153023</v>
      </c>
      <c r="M586" s="24" t="n">
        <f aca="false">'DCF Base Case'!$B$2*(1+B586)^4*$I586-'DCF Base Case'!$B$2*(1+B586)^3*B586*'DCF Base Case'!$B$4</f>
        <v>42.6315439002198</v>
      </c>
      <c r="N586" s="24" t="n">
        <f aca="false">'DCF Base Case'!$B$2*(1+B586)^5*$I586-'DCF Base Case'!$B$2*(1+B586)^4*B586*'DCF Base Case'!$B$4</f>
        <v>46.6098382555661</v>
      </c>
      <c r="O586" s="24" t="n">
        <f aca="false">J586/(1+H586)^1+K586/(1+H586)^2+L586/(1+H586)^3+M586/(1+H586)^4+N586/(1+H586)^5</f>
        <v>153.497175762072</v>
      </c>
      <c r="P586" s="24" t="n">
        <f aca="false">N586*(1+F586)/(H586-F586)</f>
        <v>771.4790472391</v>
      </c>
      <c r="Q586" s="24" t="n">
        <f aca="false">O586+P586/(1+H586)^5</f>
        <v>671.305350568106</v>
      </c>
      <c r="R586" s="24" t="n">
        <f aca="false">Q586-'DCF Base Case'!$B$5</f>
        <v>486.305350568106</v>
      </c>
      <c r="S586" s="32" t="n">
        <f aca="false">R586/'DCF Base Case'!$B$6</f>
        <v>19.4522140227242</v>
      </c>
    </row>
    <row r="587" customFormat="false" ht="15" hidden="false" customHeight="true" outlineLevel="0" collapsed="false">
      <c r="A587" s="6" t="n">
        <v>586</v>
      </c>
      <c r="B587" s="30" t="n">
        <v>0.100962979953537</v>
      </c>
      <c r="C587" s="30" t="n">
        <v>0.38791630696904</v>
      </c>
      <c r="D587" s="30" t="n">
        <v>0.0781181348295847</v>
      </c>
      <c r="E587" s="30" t="n">
        <v>0.31263486513123</v>
      </c>
      <c r="F587" s="30" t="n">
        <v>0.0206200564404715</v>
      </c>
      <c r="G587" s="30" t="n">
        <v>0.159006766015748</v>
      </c>
      <c r="H587" s="31" t="n">
        <f aca="false">MAX(D587,F587+0.015)</f>
        <v>0.0781181348295847</v>
      </c>
      <c r="I587" s="25" t="n">
        <f aca="false">(C587-'DCF Base Case'!$B$3)*(1-E587)+'DCF Base Case'!$B$3-G587</f>
        <v>0.148275911108881</v>
      </c>
      <c r="J587" s="24" t="n">
        <f aca="false">'DCF Base Case'!$B$2*(1+B587)^1*$I587-'DCF Base Case'!$B$2*(1+B587)^0*B587*'DCF Base Case'!$B$4</f>
        <v>23.2315229349173</v>
      </c>
      <c r="K587" s="24" t="n">
        <f aca="false">'DCF Base Case'!$B$2*(1+B587)^2*$I587-'DCF Base Case'!$B$2*(1+B587)^1*B587*'DCF Base Case'!$B$4</f>
        <v>25.5770467192855</v>
      </c>
      <c r="L587" s="24" t="n">
        <f aca="false">'DCF Base Case'!$B$2*(1+B587)^3*$I587-'DCF Base Case'!$B$2*(1+B587)^2*B587*'DCF Base Case'!$B$4</f>
        <v>28.1593815744753</v>
      </c>
      <c r="M587" s="24" t="n">
        <f aca="false">'DCF Base Case'!$B$2*(1+B587)^4*$I587-'DCF Base Case'!$B$2*(1+B587)^3*B587*'DCF Base Case'!$B$4</f>
        <v>31.0024366518831</v>
      </c>
      <c r="N587" s="24" t="n">
        <f aca="false">'DCF Base Case'!$B$2*(1+B587)^5*$I587-'DCF Base Case'!$B$2*(1+B587)^4*B587*'DCF Base Case'!$B$4</f>
        <v>34.132535042078</v>
      </c>
      <c r="O587" s="24" t="n">
        <f aca="false">J587/(1+H587)^1+K587/(1+H587)^2+L587/(1+H587)^3+M587/(1+H587)^4+N587/(1+H587)^5</f>
        <v>112.404834090988</v>
      </c>
      <c r="P587" s="24" t="n">
        <f aca="false">N587*(1+F587)/(H587-F587)</f>
        <v>605.869810210874</v>
      </c>
      <c r="Q587" s="24" t="n">
        <f aca="false">O587+P587/(1+H587)^5</f>
        <v>528.360990200101</v>
      </c>
      <c r="R587" s="24" t="n">
        <f aca="false">Q587-'DCF Base Case'!$B$5</f>
        <v>343.360990200101</v>
      </c>
      <c r="S587" s="32" t="n">
        <f aca="false">R587/'DCF Base Case'!$B$6</f>
        <v>13.734439608004</v>
      </c>
    </row>
    <row r="588" customFormat="false" ht="15" hidden="false" customHeight="true" outlineLevel="0" collapsed="false">
      <c r="A588" s="6" t="n">
        <v>587</v>
      </c>
      <c r="B588" s="30" t="n">
        <v>0.0995258025786394</v>
      </c>
      <c r="C588" s="30" t="n">
        <v>0.416911294858998</v>
      </c>
      <c r="D588" s="30" t="n">
        <v>0.0851383635258702</v>
      </c>
      <c r="E588" s="30" t="n">
        <v>0.29969171867286</v>
      </c>
      <c r="F588" s="30" t="n">
        <v>0.0163923831390069</v>
      </c>
      <c r="G588" s="30" t="n">
        <v>0.166116098973349</v>
      </c>
      <c r="H588" s="31" t="n">
        <f aca="false">MAX(D588,F588+0.015)</f>
        <v>0.0851383635258702</v>
      </c>
      <c r="I588" s="25" t="n">
        <f aca="false">(C588-'DCF Base Case'!$B$3)*(1-E588)+'DCF Base Case'!$B$3-G588</f>
        <v>0.1648102568227</v>
      </c>
      <c r="J588" s="24" t="n">
        <f aca="false">'DCF Base Case'!$B$2*(1+B588)^1*$I588-'DCF Base Case'!$B$2*(1+B588)^0*B588*'DCF Base Case'!$B$4</f>
        <v>25.8429665951777</v>
      </c>
      <c r="K588" s="24" t="n">
        <f aca="false">'DCF Base Case'!$B$2*(1+B588)^2*$I588-'DCF Base Case'!$B$2*(1+B588)^1*B588*'DCF Base Case'!$B$4</f>
        <v>28.4150085865758</v>
      </c>
      <c r="L588" s="24" t="n">
        <f aca="false">'DCF Base Case'!$B$2*(1+B588)^3*$I588-'DCF Base Case'!$B$2*(1+B588)^2*B588*'DCF Base Case'!$B$4</f>
        <v>31.2430351214337</v>
      </c>
      <c r="M588" s="24" t="n">
        <f aca="false">'DCF Base Case'!$B$2*(1+B588)^4*$I588-'DCF Base Case'!$B$2*(1+B588)^3*B588*'DCF Base Case'!$B$4</f>
        <v>34.352523266887</v>
      </c>
      <c r="N588" s="24" t="n">
        <f aca="false">'DCF Base Case'!$B$2*(1+B588)^5*$I588-'DCF Base Case'!$B$2*(1+B588)^4*B588*'DCF Base Case'!$B$4</f>
        <v>37.7714857156253</v>
      </c>
      <c r="O588" s="24" t="n">
        <f aca="false">J588/(1+H588)^1+K588/(1+H588)^2+L588/(1+H588)^3+M588/(1+H588)^4+N588/(1+H588)^5</f>
        <v>122.276559561678</v>
      </c>
      <c r="P588" s="24" t="n">
        <f aca="false">N588*(1+F588)/(H588-F588)</f>
        <v>558.442110581078</v>
      </c>
      <c r="Q588" s="24" t="n">
        <f aca="false">O588+P588/(1+H588)^5</f>
        <v>493.429214677465</v>
      </c>
      <c r="R588" s="24" t="n">
        <f aca="false">Q588-'DCF Base Case'!$B$5</f>
        <v>308.429214677465</v>
      </c>
      <c r="S588" s="32" t="n">
        <f aca="false">R588/'DCF Base Case'!$B$6</f>
        <v>12.3371685870986</v>
      </c>
    </row>
    <row r="589" customFormat="false" ht="15" hidden="false" customHeight="true" outlineLevel="0" collapsed="false">
      <c r="A589" s="6" t="n">
        <v>588</v>
      </c>
      <c r="B589" s="30" t="n">
        <v>0.0834406695783228</v>
      </c>
      <c r="C589" s="30" t="n">
        <v>0.37823184581251</v>
      </c>
      <c r="D589" s="30" t="n">
        <v>0.0748749866812577</v>
      </c>
      <c r="E589" s="30" t="n">
        <v>0.325951649671658</v>
      </c>
      <c r="F589" s="30" t="n">
        <v>0.0207201376270443</v>
      </c>
      <c r="G589" s="30" t="n">
        <v>0.139268617621804</v>
      </c>
      <c r="H589" s="31" t="n">
        <f aca="false">MAX(D589,F589+0.015)</f>
        <v>0.0748749866812577</v>
      </c>
      <c r="I589" s="25" t="n">
        <f aca="false">(C589-'DCF Base Case'!$B$3)*(1-E589)+'DCF Base Case'!$B$3-G589</f>
        <v>0.158051648547078</v>
      </c>
      <c r="J589" s="24" t="n">
        <f aca="false">'DCF Base Case'!$B$2*(1+B589)^1*$I589-'DCF Base Case'!$B$2*(1+B589)^0*B589*'DCF Base Case'!$B$4</f>
        <v>24.4667727571558</v>
      </c>
      <c r="K589" s="24" t="n">
        <f aca="false">'DCF Base Case'!$B$2*(1+B589)^2*$I589-'DCF Base Case'!$B$2*(1+B589)^1*B589*'DCF Base Case'!$B$4</f>
        <v>26.5082966584336</v>
      </c>
      <c r="L589" s="24" t="n">
        <f aca="false">'DCF Base Case'!$B$2*(1+B589)^3*$I589-'DCF Base Case'!$B$2*(1+B589)^2*B589*'DCF Base Case'!$B$4</f>
        <v>28.7201666809941</v>
      </c>
      <c r="M589" s="24" t="n">
        <f aca="false">'DCF Base Case'!$B$2*(1+B589)^4*$I589-'DCF Base Case'!$B$2*(1+B589)^3*B589*'DCF Base Case'!$B$4</f>
        <v>31.1165966192573</v>
      </c>
      <c r="N589" s="24" t="n">
        <f aca="false">'DCF Base Case'!$B$2*(1+B589)^5*$I589-'DCF Base Case'!$B$2*(1+B589)^4*B589*'DCF Base Case'!$B$4</f>
        <v>33.7129862761667</v>
      </c>
      <c r="O589" s="24" t="n">
        <f aca="false">J589/(1+H589)^1+K589/(1+H589)^2+L589/(1+H589)^3+M589/(1+H589)^4+N589/(1+H589)^5</f>
        <v>115.640630793836</v>
      </c>
      <c r="P589" s="24" t="n">
        <f aca="false">N589*(1+F589)/(H589-F589)</f>
        <v>635.428305915483</v>
      </c>
      <c r="Q589" s="24" t="n">
        <f aca="false">O589+P589/(1+H589)^5</f>
        <v>558.511152929834</v>
      </c>
      <c r="R589" s="24" t="n">
        <f aca="false">Q589-'DCF Base Case'!$B$5</f>
        <v>373.511152929834</v>
      </c>
      <c r="S589" s="32" t="n">
        <f aca="false">R589/'DCF Base Case'!$B$6</f>
        <v>14.9404461171934</v>
      </c>
    </row>
    <row r="590" customFormat="false" ht="15" hidden="false" customHeight="true" outlineLevel="0" collapsed="false">
      <c r="A590" s="6" t="n">
        <v>589</v>
      </c>
      <c r="B590" s="30" t="n">
        <v>0.0575694334058241</v>
      </c>
      <c r="C590" s="30" t="n">
        <v>0.399475939953072</v>
      </c>
      <c r="D590" s="30" t="n">
        <v>0.102173051864941</v>
      </c>
      <c r="E590" s="30" t="n">
        <v>0.274612062309923</v>
      </c>
      <c r="F590" s="30" t="n">
        <v>0.0239576357972643</v>
      </c>
      <c r="G590" s="30" t="n">
        <v>0.173366636991998</v>
      </c>
      <c r="H590" s="31" t="n">
        <f aca="false">MAX(D590,F590+0.015)</f>
        <v>0.102173051864941</v>
      </c>
      <c r="I590" s="25" t="n">
        <f aca="false">(C590-'DCF Base Case'!$B$3)*(1-E590)+'DCF Base Case'!$B$3-G590</f>
        <v>0.152107959347656</v>
      </c>
      <c r="J590" s="24" t="n">
        <f aca="false">'DCF Base Case'!$B$2*(1+B590)^1*$I590-'DCF Base Case'!$B$2*(1+B590)^0*B590*'DCF Base Case'!$B$4</f>
        <v>23.0749585803381</v>
      </c>
      <c r="K590" s="24" t="n">
        <f aca="false">'DCF Base Case'!$B$2*(1+B590)^2*$I590-'DCF Base Case'!$B$2*(1+B590)^1*B590*'DCF Base Case'!$B$4</f>
        <v>24.403370871671</v>
      </c>
      <c r="L590" s="24" t="n">
        <f aca="false">'DCF Base Case'!$B$2*(1+B590)^3*$I590-'DCF Base Case'!$B$2*(1+B590)^2*B590*'DCF Base Case'!$B$4</f>
        <v>25.8082591059453</v>
      </c>
      <c r="M590" s="24" t="n">
        <f aca="false">'DCF Base Case'!$B$2*(1+B590)^4*$I590-'DCF Base Case'!$B$2*(1+B590)^3*B590*'DCF Base Case'!$B$4</f>
        <v>27.2940259598653</v>
      </c>
      <c r="N590" s="24" t="n">
        <f aca="false">'DCF Base Case'!$B$2*(1+B590)^5*$I590-'DCF Base Case'!$B$2*(1+B590)^4*B590*'DCF Base Case'!$B$4</f>
        <v>28.8653275697386</v>
      </c>
      <c r="O590" s="24" t="n">
        <f aca="false">J590/(1+H590)^1+K590/(1+H590)^2+L590/(1+H590)^3+M590/(1+H590)^4+N590/(1+H590)^5</f>
        <v>96.5428737763212</v>
      </c>
      <c r="P590" s="24" t="n">
        <f aca="false">N590*(1+F590)/(H590-F590)</f>
        <v>377.890626436721</v>
      </c>
      <c r="Q590" s="24" t="n">
        <f aca="false">O590+P590/(1+H590)^5</f>
        <v>328.8792320618</v>
      </c>
      <c r="R590" s="24" t="n">
        <f aca="false">Q590-'DCF Base Case'!$B$5</f>
        <v>143.8792320618</v>
      </c>
      <c r="S590" s="32" t="n">
        <f aca="false">R590/'DCF Base Case'!$B$6</f>
        <v>5.75516928247199</v>
      </c>
    </row>
    <row r="591" customFormat="false" ht="15" hidden="false" customHeight="true" outlineLevel="0" collapsed="false">
      <c r="A591" s="6" t="n">
        <v>590</v>
      </c>
      <c r="B591" s="30" t="n">
        <v>0.100079394736095</v>
      </c>
      <c r="C591" s="30" t="n">
        <v>0.388845126934206</v>
      </c>
      <c r="D591" s="30" t="n">
        <v>0.0953127521392473</v>
      </c>
      <c r="E591" s="30" t="n">
        <v>0.270952532952786</v>
      </c>
      <c r="F591" s="30" t="n">
        <v>0.0224533986154444</v>
      </c>
      <c r="G591" s="30" t="n">
        <v>0.148828721075656</v>
      </c>
      <c r="H591" s="31" t="n">
        <f aca="false">MAX(D591,F591+0.015)</f>
        <v>0.0953127521392473</v>
      </c>
      <c r="I591" s="25" t="n">
        <f aca="false">(C591-'DCF Base Case'!$B$3)*(1-E591)+'DCF Base Case'!$B$3-G591</f>
        <v>0.169881663073241</v>
      </c>
      <c r="J591" s="24" t="n">
        <f aca="false">'DCF Base Case'!$B$2*(1+B591)^1*$I591-'DCF Base Case'!$B$2*(1+B591)^0*B591*'DCF Base Case'!$B$4</f>
        <v>26.662735611002</v>
      </c>
      <c r="K591" s="24" t="n">
        <f aca="false">'DCF Base Case'!$B$2*(1+B591)^2*$I591-'DCF Base Case'!$B$2*(1+B591)^1*B591*'DCF Base Case'!$B$4</f>
        <v>29.3311260529596</v>
      </c>
      <c r="L591" s="24" t="n">
        <f aca="false">'DCF Base Case'!$B$2*(1+B591)^3*$I591-'DCF Base Case'!$B$2*(1+B591)^2*B591*'DCF Base Case'!$B$4</f>
        <v>32.2665673952679</v>
      </c>
      <c r="M591" s="24" t="n">
        <f aca="false">'DCF Base Case'!$B$2*(1+B591)^4*$I591-'DCF Base Case'!$B$2*(1+B591)^3*B591*'DCF Base Case'!$B$4</f>
        <v>35.4957859303978</v>
      </c>
      <c r="N591" s="24" t="n">
        <f aca="false">'DCF Base Case'!$B$2*(1+B591)^5*$I591-'DCF Base Case'!$B$2*(1+B591)^4*B591*'DCF Base Case'!$B$4</f>
        <v>39.048182701994</v>
      </c>
      <c r="O591" s="24" t="n">
        <f aca="false">J591/(1+H591)^1+K591/(1+H591)^2+L591/(1+H591)^3+M591/(1+H591)^4+N591/(1+H591)^5</f>
        <v>122.77686169617</v>
      </c>
      <c r="P591" s="24" t="n">
        <f aca="false">N591*(1+F591)/(H591-F591)</f>
        <v>547.972843327071</v>
      </c>
      <c r="Q591" s="24" t="n">
        <f aca="false">O591+P591/(1+H591)^5</f>
        <v>470.367696286244</v>
      </c>
      <c r="R591" s="24" t="n">
        <f aca="false">Q591-'DCF Base Case'!$B$5</f>
        <v>285.367696286244</v>
      </c>
      <c r="S591" s="32" t="n">
        <f aca="false">R591/'DCF Base Case'!$B$6</f>
        <v>11.4147078514497</v>
      </c>
    </row>
    <row r="592" customFormat="false" ht="15" hidden="false" customHeight="true" outlineLevel="0" collapsed="false">
      <c r="A592" s="6" t="n">
        <v>591</v>
      </c>
      <c r="B592" s="30" t="n">
        <v>0.0936462075959887</v>
      </c>
      <c r="C592" s="30" t="n">
        <v>0.422709907328269</v>
      </c>
      <c r="D592" s="30" t="n">
        <v>0.0833056335176655</v>
      </c>
      <c r="E592" s="30" t="n">
        <v>0.29173535663278</v>
      </c>
      <c r="F592" s="30" t="n">
        <v>0.0183137942020368</v>
      </c>
      <c r="G592" s="30" t="n">
        <v>0.152134086410268</v>
      </c>
      <c r="H592" s="31" t="n">
        <f aca="false">MAX(D592,F592+0.015)</f>
        <v>0.0833056335176655</v>
      </c>
      <c r="I592" s="25" t="n">
        <f aca="false">(C592-'DCF Base Case'!$B$3)*(1-E592)+'DCF Base Case'!$B$3-G592</f>
        <v>0.18518199171364</v>
      </c>
      <c r="J592" s="24" t="n">
        <f aca="false">'DCF Base Case'!$B$2*(1+B592)^1*$I592-'DCF Base Case'!$B$2*(1+B592)^0*B592*'DCF Base Case'!$B$4</f>
        <v>28.9585585250982</v>
      </c>
      <c r="K592" s="24" t="n">
        <f aca="false">'DCF Base Case'!$B$2*(1+B592)^2*$I592-'DCF Base Case'!$B$2*(1+B592)^1*B592*'DCF Base Case'!$B$4</f>
        <v>31.6704177084201</v>
      </c>
      <c r="L592" s="24" t="n">
        <f aca="false">'DCF Base Case'!$B$2*(1+B592)^3*$I592-'DCF Base Case'!$B$2*(1+B592)^2*B592*'DCF Base Case'!$B$4</f>
        <v>34.6362322197945</v>
      </c>
      <c r="M592" s="24" t="n">
        <f aca="false">'DCF Base Case'!$B$2*(1+B592)^4*$I592-'DCF Base Case'!$B$2*(1+B592)^3*B592*'DCF Base Case'!$B$4</f>
        <v>37.8797840125923</v>
      </c>
      <c r="N592" s="24" t="n">
        <f aca="false">'DCF Base Case'!$B$2*(1+B592)^5*$I592-'DCF Base Case'!$B$2*(1+B592)^4*B592*'DCF Base Case'!$B$4</f>
        <v>41.4270821299267</v>
      </c>
      <c r="O592" s="24" t="n">
        <f aca="false">J592/(1+H592)^1+K592/(1+H592)^2+L592/(1+H592)^3+M592/(1+H592)^4+N592/(1+H592)^5</f>
        <v>136.234416982653</v>
      </c>
      <c r="P592" s="24" t="n">
        <f aca="false">N592*(1+F592)/(H592-F592)</f>
        <v>649.093326649405</v>
      </c>
      <c r="Q592" s="24" t="n">
        <f aca="false">O592+P592/(1+H592)^5</f>
        <v>571.297402816872</v>
      </c>
      <c r="R592" s="24" t="n">
        <f aca="false">Q592-'DCF Base Case'!$B$5</f>
        <v>386.297402816872</v>
      </c>
      <c r="S592" s="32" t="n">
        <f aca="false">R592/'DCF Base Case'!$B$6</f>
        <v>15.4518961126749</v>
      </c>
    </row>
    <row r="593" customFormat="false" ht="15" hidden="false" customHeight="true" outlineLevel="0" collapsed="false">
      <c r="A593" s="6" t="n">
        <v>592</v>
      </c>
      <c r="B593" s="30" t="n">
        <v>0.123538874030908</v>
      </c>
      <c r="C593" s="30" t="n">
        <v>0.44435001043455</v>
      </c>
      <c r="D593" s="30" t="n">
        <v>0.0766304878044701</v>
      </c>
      <c r="E593" s="30" t="n">
        <v>0.296894633976863</v>
      </c>
      <c r="F593" s="30" t="n">
        <v>0.0163282431833627</v>
      </c>
      <c r="G593" s="30" t="n">
        <v>0.141732103271686</v>
      </c>
      <c r="H593" s="31" t="n">
        <f aca="false">MAX(D593,F593+0.015)</f>
        <v>0.0766304878044701</v>
      </c>
      <c r="I593" s="25" t="n">
        <f aca="false">(C593-'DCF Base Case'!$B$3)*(1-E593)+'DCF Base Case'!$B$3-G593</f>
        <v>0.209289075874275</v>
      </c>
      <c r="J593" s="24" t="n">
        <f aca="false">'DCF Base Case'!$B$2*(1+B593)^1*$I593-'DCF Base Case'!$B$2*(1+B593)^0*B593*'DCF Base Case'!$B$4</f>
        <v>33.5585457329047</v>
      </c>
      <c r="K593" s="24" t="n">
        <f aca="false">'DCF Base Case'!$B$2*(1+B593)^2*$I593-'DCF Base Case'!$B$2*(1+B593)^1*B593*'DCF Base Case'!$B$4</f>
        <v>37.7043306868624</v>
      </c>
      <c r="L593" s="24" t="n">
        <f aca="false">'DCF Base Case'!$B$2*(1+B593)^3*$I593-'DCF Base Case'!$B$2*(1+B593)^2*B593*'DCF Base Case'!$B$4</f>
        <v>42.3622812460064</v>
      </c>
      <c r="M593" s="24" t="n">
        <f aca="false">'DCF Base Case'!$B$2*(1+B593)^4*$I593-'DCF Base Case'!$B$2*(1+B593)^3*B593*'DCF Base Case'!$B$4</f>
        <v>47.5956697725187</v>
      </c>
      <c r="N593" s="24" t="n">
        <f aca="false">'DCF Base Case'!$B$2*(1+B593)^5*$I593-'DCF Base Case'!$B$2*(1+B593)^4*B593*'DCF Base Case'!$B$4</f>
        <v>53.4755852249626</v>
      </c>
      <c r="O593" s="24" t="n">
        <f aca="false">J593/(1+H593)^1+K593/(1+H593)^2+L593/(1+H593)^3+M593/(1+H593)^4+N593/(1+H593)^5</f>
        <v>170.035223756375</v>
      </c>
      <c r="P593" s="24" t="n">
        <f aca="false">N593*(1+F593)/(H593-F593)</f>
        <v>901.272380926678</v>
      </c>
      <c r="Q593" s="24" t="n">
        <f aca="false">O593+P593/(1+H593)^5</f>
        <v>793.084926181694</v>
      </c>
      <c r="R593" s="24" t="n">
        <f aca="false">Q593-'DCF Base Case'!$B$5</f>
        <v>608.084926181694</v>
      </c>
      <c r="S593" s="32" t="n">
        <f aca="false">R593/'DCF Base Case'!$B$6</f>
        <v>24.3233970472678</v>
      </c>
    </row>
    <row r="594" customFormat="false" ht="15" hidden="false" customHeight="true" outlineLevel="0" collapsed="false">
      <c r="A594" s="6" t="n">
        <v>593</v>
      </c>
      <c r="B594" s="30" t="n">
        <v>0.112558004037597</v>
      </c>
      <c r="C594" s="30" t="n">
        <v>0.385516085112341</v>
      </c>
      <c r="D594" s="30" t="n">
        <v>0.095195415049342</v>
      </c>
      <c r="E594" s="30" t="n">
        <v>0.272944110428584</v>
      </c>
      <c r="F594" s="30" t="n">
        <v>0.0185346539154923</v>
      </c>
      <c r="G594" s="30" t="n">
        <v>0.174767651409284</v>
      </c>
      <c r="H594" s="31" t="n">
        <f aca="false">MAX(D594,F594+0.015)</f>
        <v>0.095195415049342</v>
      </c>
      <c r="I594" s="25" t="n">
        <f aca="false">(C594-'DCF Base Case'!$B$3)*(1-E594)+'DCF Base Case'!$B$3-G594</f>
        <v>0.141006823151875</v>
      </c>
      <c r="J594" s="24" t="n">
        <f aca="false">'DCF Base Case'!$B$2*(1+B594)^1*$I594-'DCF Base Case'!$B$2*(1+B594)^0*B594*'DCF Base Case'!$B$4</f>
        <v>22.2577217920586</v>
      </c>
      <c r="K594" s="24" t="n">
        <f aca="false">'DCF Base Case'!$B$2*(1+B594)^2*$I594-'DCF Base Case'!$B$2*(1+B594)^1*B594*'DCF Base Case'!$B$4</f>
        <v>24.7630065313969</v>
      </c>
      <c r="L594" s="24" t="n">
        <f aca="false">'DCF Base Case'!$B$2*(1+B594)^3*$I594-'DCF Base Case'!$B$2*(1+B594)^2*B594*'DCF Base Case'!$B$4</f>
        <v>27.5502811205409</v>
      </c>
      <c r="M594" s="24" t="n">
        <f aca="false">'DCF Base Case'!$B$2*(1+B594)^4*$I594-'DCF Base Case'!$B$2*(1+B594)^3*B594*'DCF Base Case'!$B$4</f>
        <v>30.6512857741436</v>
      </c>
      <c r="N594" s="24" t="n">
        <f aca="false">'DCF Base Case'!$B$2*(1+B594)^5*$I594-'DCF Base Case'!$B$2*(1+B594)^4*B594*'DCF Base Case'!$B$4</f>
        <v>34.1013333220673</v>
      </c>
      <c r="O594" s="24" t="n">
        <f aca="false">J594/(1+H594)^1+K594/(1+H594)^2+L594/(1+H594)^3+M594/(1+H594)^4+N594/(1+H594)^5</f>
        <v>104.888682009331</v>
      </c>
      <c r="P594" s="24" t="n">
        <f aca="false">N594*(1+F594)/(H594-F594)</f>
        <v>453.079114002066</v>
      </c>
      <c r="Q594" s="24" t="n">
        <f aca="false">O594+P594/(1+H594)^5</f>
        <v>392.440394023495</v>
      </c>
      <c r="R594" s="24" t="n">
        <f aca="false">Q594-'DCF Base Case'!$B$5</f>
        <v>207.440394023495</v>
      </c>
      <c r="S594" s="32" t="n">
        <f aca="false">R594/'DCF Base Case'!$B$6</f>
        <v>8.2976157609398</v>
      </c>
    </row>
    <row r="595" customFormat="false" ht="15" hidden="false" customHeight="true" outlineLevel="0" collapsed="false">
      <c r="A595" s="6" t="n">
        <v>594</v>
      </c>
      <c r="B595" s="30" t="n">
        <v>0.102546479863064</v>
      </c>
      <c r="C595" s="30" t="n">
        <v>0.401287967190388</v>
      </c>
      <c r="D595" s="30" t="n">
        <v>0.0928949816962507</v>
      </c>
      <c r="E595" s="30" t="n">
        <v>0.282894134817402</v>
      </c>
      <c r="F595" s="30" t="n">
        <v>0.0142773717611386</v>
      </c>
      <c r="G595" s="30" t="n">
        <v>0.161650420273724</v>
      </c>
      <c r="H595" s="31" t="n">
        <f aca="false">MAX(D595,F595+0.015)</f>
        <v>0.0928949816962507</v>
      </c>
      <c r="I595" s="25" t="n">
        <f aca="false">(C595-'DCF Base Case'!$B$3)*(1-E595)+'DCF Base Case'!$B$3-G595</f>
        <v>0.162891772151967</v>
      </c>
      <c r="J595" s="24" t="n">
        <f aca="false">'DCF Base Case'!$B$2*(1+B595)^1*$I595-'DCF Base Case'!$B$2*(1+B595)^0*B595*'DCF Base Case'!$B$4</f>
        <v>25.5953065603928</v>
      </c>
      <c r="K595" s="24" t="n">
        <f aca="false">'DCF Base Case'!$B$2*(1+B595)^2*$I595-'DCF Base Case'!$B$2*(1+B595)^1*B595*'DCF Base Case'!$B$4</f>
        <v>28.2200151491771</v>
      </c>
      <c r="L595" s="24" t="n">
        <f aca="false">'DCF Base Case'!$B$2*(1+B595)^3*$I595-'DCF Base Case'!$B$2*(1+B595)^2*B595*'DCF Base Case'!$B$4</f>
        <v>31.1138783644076</v>
      </c>
      <c r="M595" s="24" t="n">
        <f aca="false">'DCF Base Case'!$B$2*(1+B595)^4*$I595-'DCF Base Case'!$B$2*(1+B595)^3*B595*'DCF Base Case'!$B$4</f>
        <v>34.3044970655651</v>
      </c>
      <c r="N595" s="24" t="n">
        <f aca="false">'DCF Base Case'!$B$2*(1+B595)^5*$I595-'DCF Base Case'!$B$2*(1+B595)^4*B595*'DCF Base Case'!$B$4</f>
        <v>37.8223024831116</v>
      </c>
      <c r="O595" s="24" t="n">
        <f aca="false">J595/(1+H595)^1+K595/(1+H595)^2+L595/(1+H595)^3+M595/(1+H595)^4+N595/(1+H595)^5</f>
        <v>119.185227935524</v>
      </c>
      <c r="P595" s="24" t="n">
        <f aca="false">N595*(1+F595)/(H595-F595)</f>
        <v>487.960720100598</v>
      </c>
      <c r="Q595" s="24" t="n">
        <f aca="false">O595+P595/(1+H595)^5</f>
        <v>432.148017792164</v>
      </c>
      <c r="R595" s="24" t="n">
        <f aca="false">Q595-'DCF Base Case'!$B$5</f>
        <v>247.148017792164</v>
      </c>
      <c r="S595" s="32" t="n">
        <f aca="false">R595/'DCF Base Case'!$B$6</f>
        <v>9.88592071168658</v>
      </c>
    </row>
    <row r="596" customFormat="false" ht="15" hidden="false" customHeight="true" outlineLevel="0" collapsed="false">
      <c r="A596" s="6" t="n">
        <v>595</v>
      </c>
      <c r="B596" s="30" t="n">
        <v>0.119555368200586</v>
      </c>
      <c r="C596" s="30" t="n">
        <v>0.451058417344111</v>
      </c>
      <c r="D596" s="30" t="n">
        <v>0.0928908330336955</v>
      </c>
      <c r="E596" s="30" t="n">
        <v>0.256040653234044</v>
      </c>
      <c r="F596" s="30" t="n">
        <v>0.021102296658691</v>
      </c>
      <c r="G596" s="30" t="n">
        <v>0.185582854932545</v>
      </c>
      <c r="H596" s="31" t="n">
        <f aca="false">MAX(D596,F596+0.015)</f>
        <v>0.0928908330336955</v>
      </c>
      <c r="I596" s="25" t="n">
        <f aca="false">(C596-'DCF Base Case'!$B$3)*(1-E596)+'DCF Base Case'!$B$3-G596</f>
        <v>0.183271555508492</v>
      </c>
      <c r="J596" s="24" t="n">
        <f aca="false">'DCF Base Case'!$B$2*(1+B596)^1*$I596-'DCF Base Case'!$B$2*(1+B596)^0*B596*'DCF Base Case'!$B$4</f>
        <v>29.2314189504879</v>
      </c>
      <c r="K596" s="24" t="n">
        <f aca="false">'DCF Base Case'!$B$2*(1+B596)^2*$I596-'DCF Base Case'!$B$2*(1+B596)^1*B596*'DCF Base Case'!$B$4</f>
        <v>32.7261920061391</v>
      </c>
      <c r="L596" s="24" t="n">
        <f aca="false">'DCF Base Case'!$B$2*(1+B596)^3*$I596-'DCF Base Case'!$B$2*(1+B596)^2*B596*'DCF Base Case'!$B$4</f>
        <v>36.6387839412362</v>
      </c>
      <c r="M596" s="24" t="n">
        <f aca="false">'DCF Base Case'!$B$2*(1+B596)^4*$I596-'DCF Base Case'!$B$2*(1+B596)^3*B596*'DCF Base Case'!$B$4</f>
        <v>41.0191472457524</v>
      </c>
      <c r="N596" s="24" t="n">
        <f aca="false">'DCF Base Case'!$B$2*(1+B596)^5*$I596-'DCF Base Case'!$B$2*(1+B596)^4*B596*'DCF Base Case'!$B$4</f>
        <v>45.9232064979923</v>
      </c>
      <c r="O596" s="24" t="n">
        <f aca="false">J596/(1+H596)^1+K596/(1+H596)^2+L596/(1+H596)^3+M596/(1+H596)^4+N596/(1+H596)^5</f>
        <v>140.421312192879</v>
      </c>
      <c r="P596" s="24" t="n">
        <f aca="false">N596*(1+F596)/(H596-F596)</f>
        <v>653.200273927835</v>
      </c>
      <c r="Q596" s="24" t="n">
        <f aca="false">O596+P596/(1+H596)^5</f>
        <v>559.371550909526</v>
      </c>
      <c r="R596" s="24" t="n">
        <f aca="false">Q596-'DCF Base Case'!$B$5</f>
        <v>374.371550909525</v>
      </c>
      <c r="S596" s="32" t="n">
        <f aca="false">R596/'DCF Base Case'!$B$6</f>
        <v>14.974862036381</v>
      </c>
    </row>
    <row r="597" customFormat="false" ht="15" hidden="false" customHeight="true" outlineLevel="0" collapsed="false">
      <c r="A597" s="6" t="n">
        <v>596</v>
      </c>
      <c r="B597" s="30" t="n">
        <v>0.105794086524713</v>
      </c>
      <c r="C597" s="30" t="n">
        <v>0.434602571869676</v>
      </c>
      <c r="D597" s="30" t="n">
        <v>0.0889958938717228</v>
      </c>
      <c r="E597" s="30" t="n">
        <v>0.277641552944764</v>
      </c>
      <c r="F597" s="30" t="n">
        <v>0.0168925742202478</v>
      </c>
      <c r="G597" s="30" t="n">
        <v>0.1307428652379</v>
      </c>
      <c r="H597" s="31" t="n">
        <f aca="false">MAX(D597,F597+0.015)</f>
        <v>0.0889958938717228</v>
      </c>
      <c r="I597" s="25" t="n">
        <f aca="false">(C597-'DCF Base Case'!$B$3)*(1-E597)+'DCF Base Case'!$B$3-G597</f>
        <v>0.21928937554691</v>
      </c>
      <c r="J597" s="24" t="n">
        <f aca="false">'DCF Base Case'!$B$2*(1+B597)^1*$I597-'DCF Base Case'!$B$2*(1+B597)^0*B597*'DCF Base Case'!$B$4</f>
        <v>34.7006854576507</v>
      </c>
      <c r="K597" s="24" t="n">
        <f aca="false">'DCF Base Case'!$B$2*(1+B597)^2*$I597-'DCF Base Case'!$B$2*(1+B597)^1*B597*'DCF Base Case'!$B$4</f>
        <v>38.3718127774242</v>
      </c>
      <c r="L597" s="24" t="n">
        <f aca="false">'DCF Base Case'!$B$2*(1+B597)^3*$I597-'DCF Base Case'!$B$2*(1+B597)^2*B597*'DCF Base Case'!$B$4</f>
        <v>42.4313236585091</v>
      </c>
      <c r="M597" s="24" t="n">
        <f aca="false">'DCF Base Case'!$B$2*(1+B597)^4*$I597-'DCF Base Case'!$B$2*(1+B597)^3*B597*'DCF Base Case'!$B$4</f>
        <v>46.9203067849956</v>
      </c>
      <c r="N597" s="24" t="n">
        <f aca="false">'DCF Base Case'!$B$2*(1+B597)^5*$I597-'DCF Base Case'!$B$2*(1+B597)^4*B597*'DCF Base Case'!$B$4</f>
        <v>51.8841977807735</v>
      </c>
      <c r="O597" s="24" t="n">
        <f aca="false">J597/(1+H597)^1+K597/(1+H597)^2+L597/(1+H597)^3+M597/(1+H597)^4+N597/(1+H597)^5</f>
        <v>164.315910593487</v>
      </c>
      <c r="P597" s="24" t="n">
        <f aca="false">N597*(1+F597)/(H597-F597)</f>
        <v>731.736842321155</v>
      </c>
      <c r="Q597" s="24" t="n">
        <f aca="false">O597+P597/(1+H597)^5</f>
        <v>642.091229246315</v>
      </c>
      <c r="R597" s="24" t="n">
        <f aca="false">Q597-'DCF Base Case'!$B$5</f>
        <v>457.091229246315</v>
      </c>
      <c r="S597" s="32" t="n">
        <f aca="false">R597/'DCF Base Case'!$B$6</f>
        <v>18.2836491698526</v>
      </c>
    </row>
    <row r="598" customFormat="false" ht="15" hidden="false" customHeight="true" outlineLevel="0" collapsed="false">
      <c r="A598" s="6" t="n">
        <v>597</v>
      </c>
      <c r="B598" s="30" t="n">
        <v>0.0971594140842419</v>
      </c>
      <c r="C598" s="30" t="n">
        <v>0.420772453803322</v>
      </c>
      <c r="D598" s="30" t="n">
        <v>0.091133334271073</v>
      </c>
      <c r="E598" s="30" t="n">
        <v>0.254112042833445</v>
      </c>
      <c r="F598" s="30" t="n">
        <v>0.0216644291787534</v>
      </c>
      <c r="G598" s="30" t="n">
        <v>0.209056102588235</v>
      </c>
      <c r="H598" s="31" t="n">
        <f aca="false">MAX(D598,F598+0.015)</f>
        <v>0.091133334271073</v>
      </c>
      <c r="I598" s="25" t="n">
        <f aca="false">(C598-'DCF Base Case'!$B$3)*(1-E598)+'DCF Base Case'!$B$3-G598</f>
        <v>0.137827568979431</v>
      </c>
      <c r="J598" s="24" t="n">
        <f aca="false">'DCF Base Case'!$B$2*(1+B598)^1*$I598-'DCF Base Case'!$B$2*(1+B598)^0*B598*'DCF Base Case'!$B$4</f>
        <v>21.5040846985222</v>
      </c>
      <c r="K598" s="24" t="n">
        <f aca="false">'DCF Base Case'!$B$2*(1+B598)^2*$I598-'DCF Base Case'!$B$2*(1+B598)^1*B598*'DCF Base Case'!$B$4</f>
        <v>23.5934089682485</v>
      </c>
      <c r="L598" s="24" t="n">
        <f aca="false">'DCF Base Case'!$B$2*(1+B598)^3*$I598-'DCF Base Case'!$B$2*(1+B598)^2*B598*'DCF Base Case'!$B$4</f>
        <v>25.8857307598534</v>
      </c>
      <c r="M598" s="24" t="n">
        <f aca="false">'DCF Base Case'!$B$2*(1+B598)^4*$I598-'DCF Base Case'!$B$2*(1+B598)^3*B598*'DCF Base Case'!$B$4</f>
        <v>28.4007731936232</v>
      </c>
      <c r="N598" s="24" t="n">
        <f aca="false">'DCF Base Case'!$B$2*(1+B598)^5*$I598-'DCF Base Case'!$B$2*(1+B598)^4*B598*'DCF Base Case'!$B$4</f>
        <v>31.1601756766551</v>
      </c>
      <c r="O598" s="24" t="n">
        <f aca="false">J598/(1+H598)^1+K598/(1+H598)^2+L598/(1+H598)^3+M598/(1+H598)^4+N598/(1+H598)^5</f>
        <v>99.6345896321448</v>
      </c>
      <c r="P598" s="24" t="n">
        <f aca="false">N598*(1+F598)/(H598-F598)</f>
        <v>458.266083990996</v>
      </c>
      <c r="Q598" s="24" t="n">
        <f aca="false">O598+P598/(1+H598)^5</f>
        <v>395.932506308288</v>
      </c>
      <c r="R598" s="24" t="n">
        <f aca="false">Q598-'DCF Base Case'!$B$5</f>
        <v>210.932506308288</v>
      </c>
      <c r="S598" s="32" t="n">
        <f aca="false">R598/'DCF Base Case'!$B$6</f>
        <v>8.43730025233151</v>
      </c>
    </row>
    <row r="599" customFormat="false" ht="15" hidden="false" customHeight="true" outlineLevel="0" collapsed="false">
      <c r="A599" s="6" t="n">
        <v>598</v>
      </c>
      <c r="B599" s="30" t="n">
        <v>0.0915884828327169</v>
      </c>
      <c r="C599" s="30" t="n">
        <v>0.414106059075103</v>
      </c>
      <c r="D599" s="30" t="n">
        <v>0.0883990259169427</v>
      </c>
      <c r="E599" s="30" t="n">
        <v>0.33556075604604</v>
      </c>
      <c r="F599" s="30" t="n">
        <v>0.0151744706747575</v>
      </c>
      <c r="G599" s="30" t="n">
        <v>0.169831086502827</v>
      </c>
      <c r="H599" s="31" t="n">
        <f aca="false">MAX(D599,F599+0.015)</f>
        <v>0.0883990259169427</v>
      </c>
      <c r="I599" s="25" t="n">
        <f aca="false">(C599-'DCF Base Case'!$B$3)*(1-E599)+'DCF Base Case'!$B$3-G599</f>
        <v>0.148940128591774</v>
      </c>
      <c r="J599" s="24" t="n">
        <f aca="false">'DCF Base Case'!$B$2*(1+B599)^1*$I599-'DCF Base Case'!$B$2*(1+B599)^0*B599*'DCF Base Case'!$B$4</f>
        <v>23.1758828050262</v>
      </c>
      <c r="K599" s="24" t="n">
        <f aca="false">'DCF Base Case'!$B$2*(1+B599)^2*$I599-'DCF Base Case'!$B$2*(1+B599)^1*B599*'DCF Base Case'!$B$4</f>
        <v>25.2985267494474</v>
      </c>
      <c r="L599" s="24" t="n">
        <f aca="false">'DCF Base Case'!$B$2*(1+B599)^3*$I599-'DCF Base Case'!$B$2*(1+B599)^2*B599*'DCF Base Case'!$B$4</f>
        <v>27.6155804323322</v>
      </c>
      <c r="M599" s="24" t="n">
        <f aca="false">'DCF Base Case'!$B$2*(1+B599)^4*$I599-'DCF Base Case'!$B$2*(1+B599)^3*B599*'DCF Base Case'!$B$4</f>
        <v>30.1448495466744</v>
      </c>
      <c r="N599" s="24" t="n">
        <f aca="false">'DCF Base Case'!$B$2*(1+B599)^5*$I599-'DCF Base Case'!$B$2*(1+B599)^4*B599*'DCF Base Case'!$B$4</f>
        <v>32.9057705818748</v>
      </c>
      <c r="O599" s="24" t="n">
        <f aca="false">J599/(1+H599)^1+K599/(1+H599)^2+L599/(1+H599)^3+M599/(1+H599)^4+N599/(1+H599)^5</f>
        <v>107.093587062061</v>
      </c>
      <c r="P599" s="24" t="n">
        <f aca="false">N599*(1+F599)/(H599-F599)</f>
        <v>456.200766561363</v>
      </c>
      <c r="Q599" s="24" t="n">
        <f aca="false">O599+P599/(1+H599)^5</f>
        <v>405.779877092156</v>
      </c>
      <c r="R599" s="24" t="n">
        <f aca="false">Q599-'DCF Base Case'!$B$5</f>
        <v>220.779877092156</v>
      </c>
      <c r="S599" s="32" t="n">
        <f aca="false">R599/'DCF Base Case'!$B$6</f>
        <v>8.83119508368623</v>
      </c>
    </row>
    <row r="600" customFormat="false" ht="15" hidden="false" customHeight="true" outlineLevel="0" collapsed="false">
      <c r="A600" s="6" t="n">
        <v>599</v>
      </c>
      <c r="B600" s="30" t="n">
        <v>0.0725541590314091</v>
      </c>
      <c r="C600" s="30" t="n">
        <v>0.395841048247208</v>
      </c>
      <c r="D600" s="30" t="n">
        <v>0.0844545066132987</v>
      </c>
      <c r="E600" s="30" t="n">
        <v>0.320326999780397</v>
      </c>
      <c r="F600" s="30" t="n">
        <v>0.0253307607968113</v>
      </c>
      <c r="G600" s="30" t="n">
        <v>0.175703816851167</v>
      </c>
      <c r="H600" s="31" t="n">
        <f aca="false">MAX(D600,F600+0.015)</f>
        <v>0.0844545066132987</v>
      </c>
      <c r="I600" s="25" t="n">
        <f aca="false">(C600-'DCF Base Case'!$B$3)*(1-E600)+'DCF Base Case'!$B$3-G600</f>
        <v>0.134981165992537</v>
      </c>
      <c r="J600" s="24" t="n">
        <f aca="false">'DCF Base Case'!$B$2*(1+B600)^1*$I600-'DCF Base Case'!$B$2*(1+B600)^0*B600*'DCF Base Case'!$B$4</f>
        <v>20.6767079997631</v>
      </c>
      <c r="K600" s="24" t="n">
        <f aca="false">'DCF Base Case'!$B$2*(1+B600)^2*$I600-'DCF Base Case'!$B$2*(1+B600)^1*B600*'DCF Base Case'!$B$4</f>
        <v>22.1768891602239</v>
      </c>
      <c r="L600" s="24" t="n">
        <f aca="false">'DCF Base Case'!$B$2*(1+B600)^3*$I600-'DCF Base Case'!$B$2*(1+B600)^2*B600*'DCF Base Case'!$B$4</f>
        <v>23.7859147031767</v>
      </c>
      <c r="M600" s="24" t="n">
        <f aca="false">'DCF Base Case'!$B$2*(1+B600)^4*$I600-'DCF Base Case'!$B$2*(1+B600)^3*B600*'DCF Base Case'!$B$4</f>
        <v>25.5116817412585</v>
      </c>
      <c r="N600" s="24" t="n">
        <f aca="false">'DCF Base Case'!$B$2*(1+B600)^5*$I600-'DCF Base Case'!$B$2*(1+B600)^4*B600*'DCF Base Case'!$B$4</f>
        <v>27.3626603554725</v>
      </c>
      <c r="O600" s="24" t="n">
        <f aca="false">J600/(1+H600)^1+K600/(1+H600)^2+L600/(1+H600)^3+M600/(1+H600)^4+N600/(1+H600)^5</f>
        <v>93.2628587779051</v>
      </c>
      <c r="P600" s="24" t="n">
        <f aca="false">N600*(1+F600)/(H600-F600)</f>
        <v>474.526384826545</v>
      </c>
      <c r="Q600" s="24" t="n">
        <f aca="false">O600+P600/(1+H600)^5</f>
        <v>409.638964431027</v>
      </c>
      <c r="R600" s="24" t="n">
        <f aca="false">Q600-'DCF Base Case'!$B$5</f>
        <v>224.638964431027</v>
      </c>
      <c r="S600" s="32" t="n">
        <f aca="false">R600/'DCF Base Case'!$B$6</f>
        <v>8.98555857724107</v>
      </c>
    </row>
    <row r="601" customFormat="false" ht="15" hidden="false" customHeight="true" outlineLevel="0" collapsed="false">
      <c r="A601" s="6" t="n">
        <v>600</v>
      </c>
      <c r="B601" s="30" t="n">
        <v>0.082026027945703</v>
      </c>
      <c r="C601" s="30" t="n">
        <v>0.452573543182107</v>
      </c>
      <c r="D601" s="30" t="n">
        <v>0.0802969007053753</v>
      </c>
      <c r="E601" s="30" t="n">
        <v>0.265804645024619</v>
      </c>
      <c r="F601" s="30" t="n">
        <v>0.0125771860711037</v>
      </c>
      <c r="G601" s="30" t="n">
        <v>0.197907902615428</v>
      </c>
      <c r="H601" s="31" t="n">
        <f aca="false">MAX(D601,F601+0.015)</f>
        <v>0.0802969007053753</v>
      </c>
      <c r="I601" s="25" t="n">
        <f aca="false">(C601-'DCF Base Case'!$B$3)*(1-E601)+'DCF Base Case'!$B$3-G601</f>
        <v>0.168924094426825</v>
      </c>
      <c r="J601" s="24" t="n">
        <f aca="false">'DCF Base Case'!$B$2*(1+B601)^1*$I601-'DCF Base Case'!$B$2*(1+B601)^0*B601*'DCF Base Case'!$B$4</f>
        <v>26.1463254813987</v>
      </c>
      <c r="K601" s="24" t="n">
        <f aca="false">'DCF Base Case'!$B$2*(1+B601)^2*$I601-'DCF Base Case'!$B$2*(1+B601)^1*B601*'DCF Base Case'!$B$4</f>
        <v>28.2910047060134</v>
      </c>
      <c r="L601" s="24" t="n">
        <f aca="false">'DCF Base Case'!$B$2*(1+B601)^3*$I601-'DCF Base Case'!$B$2*(1+B601)^2*B601*'DCF Base Case'!$B$4</f>
        <v>30.6116034486408</v>
      </c>
      <c r="M601" s="24" t="n">
        <f aca="false">'DCF Base Case'!$B$2*(1+B601)^4*$I601-'DCF Base Case'!$B$2*(1+B601)^3*B601*'DCF Base Case'!$B$4</f>
        <v>33.1225516885818</v>
      </c>
      <c r="N601" s="24" t="n">
        <f aca="false">'DCF Base Case'!$B$2*(1+B601)^5*$I601-'DCF Base Case'!$B$2*(1+B601)^4*B601*'DCF Base Case'!$B$4</f>
        <v>35.8394630390224</v>
      </c>
      <c r="O601" s="24" t="n">
        <f aca="false">J601/(1+H601)^1+K601/(1+H601)^2+L601/(1+H601)^3+M601/(1+H601)^4+N601/(1+H601)^5</f>
        <v>121.402548473141</v>
      </c>
      <c r="P601" s="24" t="n">
        <f aca="false">N601*(1+F601)/(H601-F601)</f>
        <v>535.888593599992</v>
      </c>
      <c r="Q601" s="24" t="n">
        <f aca="false">O601+P601/(1+H601)^5</f>
        <v>485.618416040715</v>
      </c>
      <c r="R601" s="24" t="n">
        <f aca="false">Q601-'DCF Base Case'!$B$5</f>
        <v>300.618416040715</v>
      </c>
      <c r="S601" s="32" t="n">
        <f aca="false">R601/'DCF Base Case'!$B$6</f>
        <v>12.0247366416286</v>
      </c>
    </row>
    <row r="602" customFormat="false" ht="15" hidden="false" customHeight="true" outlineLevel="0" collapsed="false">
      <c r="A602" s="6" t="n">
        <v>601</v>
      </c>
      <c r="B602" s="30" t="n">
        <v>0.111150314993671</v>
      </c>
      <c r="C602" s="30" t="n">
        <v>0.455705676503535</v>
      </c>
      <c r="D602" s="30" t="n">
        <v>0.0697152431256006</v>
      </c>
      <c r="E602" s="30" t="n">
        <v>0.323228230029567</v>
      </c>
      <c r="F602" s="30" t="n">
        <v>0.0196121013720351</v>
      </c>
      <c r="G602" s="30" t="n">
        <v>0.184495701671818</v>
      </c>
      <c r="H602" s="31" t="n">
        <f aca="false">MAX(D602,F602+0.015)</f>
        <v>0.0697152431256006</v>
      </c>
      <c r="I602" s="25" t="n">
        <f aca="false">(C602-'DCF Base Case'!$B$3)*(1-E602)+'DCF Base Case'!$B$3-G602</f>
        <v>0.165932705504897</v>
      </c>
      <c r="J602" s="24" t="n">
        <f aca="false">'DCF Base Case'!$B$2*(1+B602)^1*$I602-'DCF Base Case'!$B$2*(1+B602)^0*B602*'DCF Base Case'!$B$4</f>
        <v>26.2510419382576</v>
      </c>
      <c r="K602" s="24" t="n">
        <f aca="false">'DCF Base Case'!$B$2*(1+B602)^2*$I602-'DCF Base Case'!$B$2*(1+B602)^1*B602*'DCF Base Case'!$B$4</f>
        <v>29.168853518607</v>
      </c>
      <c r="L602" s="24" t="n">
        <f aca="false">'DCF Base Case'!$B$2*(1+B602)^3*$I602-'DCF Base Case'!$B$2*(1+B602)^2*B602*'DCF Base Case'!$B$4</f>
        <v>32.4109807752045</v>
      </c>
      <c r="M602" s="24" t="n">
        <f aca="false">'DCF Base Case'!$B$2*(1+B602)^4*$I602-'DCF Base Case'!$B$2*(1+B602)^3*B602*'DCF Base Case'!$B$4</f>
        <v>36.0134714976223</v>
      </c>
      <c r="N602" s="24" t="n">
        <f aca="false">'DCF Base Case'!$B$2*(1+B602)^5*$I602-'DCF Base Case'!$B$2*(1+B602)^4*B602*'DCF Base Case'!$B$4</f>
        <v>40.0163801985986</v>
      </c>
      <c r="O602" s="24" t="n">
        <f aca="false">J602/(1+H602)^1+K602/(1+H602)^2+L602/(1+H602)^3+M602/(1+H602)^4+N602/(1+H602)^5</f>
        <v>132.582028298698</v>
      </c>
      <c r="P602" s="24" t="n">
        <f aca="false">N602*(1+F602)/(H602-F602)</f>
        <v>814.343853011809</v>
      </c>
      <c r="Q602" s="24" t="n">
        <f aca="false">O602+P602/(1+H602)^5</f>
        <v>713.971148576178</v>
      </c>
      <c r="R602" s="24" t="n">
        <f aca="false">Q602-'DCF Base Case'!$B$5</f>
        <v>528.971148576178</v>
      </c>
      <c r="S602" s="32" t="n">
        <f aca="false">R602/'DCF Base Case'!$B$6</f>
        <v>21.1588459430471</v>
      </c>
    </row>
    <row r="603" customFormat="false" ht="15" hidden="false" customHeight="true" outlineLevel="0" collapsed="false">
      <c r="A603" s="6" t="n">
        <v>602</v>
      </c>
      <c r="B603" s="30" t="n">
        <v>0.0557637568058775</v>
      </c>
      <c r="C603" s="30" t="n">
        <v>0.430859700320082</v>
      </c>
      <c r="D603" s="30" t="n">
        <v>0.0936516842646501</v>
      </c>
      <c r="E603" s="30" t="n">
        <v>0.278560252480367</v>
      </c>
      <c r="F603" s="30" t="n">
        <v>0.0216647789756909</v>
      </c>
      <c r="G603" s="30" t="n">
        <v>0.1497985457186</v>
      </c>
      <c r="H603" s="31" t="n">
        <f aca="false">MAX(D603,F603+0.015)</f>
        <v>0.0936516842646501</v>
      </c>
      <c r="I603" s="25" t="n">
        <f aca="false">(C603-'DCF Base Case'!$B$3)*(1-E603)+'DCF Base Case'!$B$3-G603</f>
        <v>0.197253600519152</v>
      </c>
      <c r="J603" s="24" t="n">
        <f aca="false">'DCF Base Case'!$B$2*(1+B603)^1*$I603-'DCF Base Case'!$B$2*(1+B603)^0*B603*'DCF Base Case'!$B$4</f>
        <v>29.9541419953944</v>
      </c>
      <c r="K603" s="24" t="n">
        <f aca="false">'DCF Base Case'!$B$2*(1+B603)^2*$I603-'DCF Base Case'!$B$2*(1+B603)^1*B603*'DCF Base Case'!$B$4</f>
        <v>31.6244974849543</v>
      </c>
      <c r="L603" s="24" t="n">
        <f aca="false">'DCF Base Case'!$B$2*(1+B603)^3*$I603-'DCF Base Case'!$B$2*(1+B603)^2*B603*'DCF Base Case'!$B$4</f>
        <v>33.3879982718134</v>
      </c>
      <c r="M603" s="24" t="n">
        <f aca="false">'DCF Base Case'!$B$2*(1+B603)^4*$I603-'DCF Base Case'!$B$2*(1+B603)^3*B603*'DCF Base Case'!$B$4</f>
        <v>35.2498384876779</v>
      </c>
      <c r="N603" s="24" t="n">
        <f aca="false">'DCF Base Case'!$B$2*(1+B603)^5*$I603-'DCF Base Case'!$B$2*(1+B603)^4*B603*'DCF Base Case'!$B$4</f>
        <v>37.2155019085512</v>
      </c>
      <c r="O603" s="24" t="n">
        <f aca="false">J603/(1+H603)^1+K603/(1+H603)^2+L603/(1+H603)^3+M603/(1+H603)^4+N603/(1+H603)^5</f>
        <v>127.780046107108</v>
      </c>
      <c r="P603" s="24" t="n">
        <f aca="false">N603*(1+F603)/(H603-F603)</f>
        <v>528.176164529479</v>
      </c>
      <c r="Q603" s="24" t="n">
        <f aca="false">O603+P603/(1+H603)^5</f>
        <v>465.365455483379</v>
      </c>
      <c r="R603" s="24" t="n">
        <f aca="false">Q603-'DCF Base Case'!$B$5</f>
        <v>280.365455483379</v>
      </c>
      <c r="S603" s="32" t="n">
        <f aca="false">R603/'DCF Base Case'!$B$6</f>
        <v>11.2146182193352</v>
      </c>
    </row>
    <row r="604" customFormat="false" ht="15" hidden="false" customHeight="true" outlineLevel="0" collapsed="false">
      <c r="A604" s="6" t="n">
        <v>603</v>
      </c>
      <c r="B604" s="30" t="n">
        <v>0.0774930747911694</v>
      </c>
      <c r="C604" s="30" t="n">
        <v>0.39965476408338</v>
      </c>
      <c r="D604" s="30" t="n">
        <v>0.064619993521407</v>
      </c>
      <c r="E604" s="30" t="n">
        <v>0.306129040064489</v>
      </c>
      <c r="F604" s="30" t="n">
        <v>0.023586149101867</v>
      </c>
      <c r="G604" s="30" t="n">
        <v>0.151083380362701</v>
      </c>
      <c r="H604" s="31" t="n">
        <f aca="false">MAX(D604,F604+0.015)</f>
        <v>0.064619993521407</v>
      </c>
      <c r="I604" s="25" t="n">
        <f aca="false">(C604-'DCF Base Case'!$B$3)*(1-E604)+'DCF Base Case'!$B$3-G604</f>
        <v>0.166022229643018</v>
      </c>
      <c r="J604" s="24" t="n">
        <f aca="false">'DCF Base Case'!$B$2*(1+B604)^1*$I604-'DCF Base Case'!$B$2*(1+B604)^0*B604*'DCF Base Case'!$B$4</f>
        <v>25.6016365164108</v>
      </c>
      <c r="K604" s="24" t="n">
        <f aca="false">'DCF Base Case'!$B$2*(1+B604)^2*$I604-'DCF Base Case'!$B$2*(1+B604)^1*B604*'DCF Base Case'!$B$4</f>
        <v>27.5855860497534</v>
      </c>
      <c r="L604" s="24" t="n">
        <f aca="false">'DCF Base Case'!$B$2*(1+B604)^3*$I604-'DCF Base Case'!$B$2*(1+B604)^2*B604*'DCF Base Case'!$B$4</f>
        <v>29.7232779326652</v>
      </c>
      <c r="M604" s="24" t="n">
        <f aca="false">'DCF Base Case'!$B$2*(1+B604)^4*$I604-'DCF Base Case'!$B$2*(1+B604)^3*B604*'DCF Base Case'!$B$4</f>
        <v>32.0266261325399</v>
      </c>
      <c r="N604" s="24" t="n">
        <f aca="false">'DCF Base Case'!$B$2*(1+B604)^5*$I604-'DCF Base Case'!$B$2*(1+B604)^4*B604*'DCF Base Case'!$B$4</f>
        <v>34.5084678667376</v>
      </c>
      <c r="O604" s="24" t="n">
        <f aca="false">J604/(1+H604)^1+K604/(1+H604)^2+L604/(1+H604)^3+M604/(1+H604)^4+N604/(1+H604)^5</f>
        <v>123.181528746762</v>
      </c>
      <c r="P604" s="24" t="n">
        <f aca="false">N604*(1+F604)/(H604-F604)</f>
        <v>860.811123958428</v>
      </c>
      <c r="Q604" s="24" t="n">
        <f aca="false">O604+P604/(1+H604)^5</f>
        <v>752.593184109769</v>
      </c>
      <c r="R604" s="24" t="n">
        <f aca="false">Q604-'DCF Base Case'!$B$5</f>
        <v>567.593184109769</v>
      </c>
      <c r="S604" s="32" t="n">
        <f aca="false">R604/'DCF Base Case'!$B$6</f>
        <v>22.7037273643907</v>
      </c>
    </row>
    <row r="605" customFormat="false" ht="15" hidden="false" customHeight="true" outlineLevel="0" collapsed="false">
      <c r="A605" s="6" t="n">
        <v>604</v>
      </c>
      <c r="B605" s="30" t="n">
        <v>0.097347692824717</v>
      </c>
      <c r="C605" s="30" t="n">
        <v>0.411933809827144</v>
      </c>
      <c r="D605" s="30" t="n">
        <v>0.0886110135828914</v>
      </c>
      <c r="E605" s="30" t="n">
        <v>0.264705747919042</v>
      </c>
      <c r="F605" s="30" t="n">
        <v>0.0157435248626219</v>
      </c>
      <c r="G605" s="30" t="n">
        <v>0.190363947967346</v>
      </c>
      <c r="H605" s="31" t="n">
        <f aca="false">MAX(D605,F605+0.015)</f>
        <v>0.0886110135828914</v>
      </c>
      <c r="I605" s="25" t="n">
        <f aca="false">(C605-'DCF Base Case'!$B$3)*(1-E605)+'DCF Base Case'!$B$3-G605</f>
        <v>0.146940361865839</v>
      </c>
      <c r="J605" s="24" t="n">
        <f aca="false">'DCF Base Case'!$B$2*(1+B605)^1*$I605-'DCF Base Case'!$B$2*(1+B605)^0*B605*'DCF Base Case'!$B$4</f>
        <v>22.9570142622771</v>
      </c>
      <c r="K605" s="24" t="n">
        <f aca="false">'DCF Base Case'!$B$2*(1+B605)^2*$I605-'DCF Base Case'!$B$2*(1+B605)^1*B605*'DCF Base Case'!$B$4</f>
        <v>25.1918266348539</v>
      </c>
      <c r="L605" s="24" t="n">
        <f aca="false">'DCF Base Case'!$B$2*(1+B605)^3*$I605-'DCF Base Case'!$B$2*(1+B605)^2*B605*'DCF Base Case'!$B$4</f>
        <v>27.6441928357971</v>
      </c>
      <c r="M605" s="24" t="n">
        <f aca="false">'DCF Base Case'!$B$2*(1+B605)^4*$I605-'DCF Base Case'!$B$2*(1+B605)^3*B605*'DCF Base Case'!$B$4</f>
        <v>30.3352912283635</v>
      </c>
      <c r="N605" s="24" t="n">
        <f aca="false">'DCF Base Case'!$B$2*(1+B605)^5*$I605-'DCF Base Case'!$B$2*(1+B605)^4*B605*'DCF Base Case'!$B$4</f>
        <v>33.2883618406106</v>
      </c>
      <c r="O605" s="24" t="n">
        <f aca="false">J605/(1+H605)^1+K605/(1+H605)^2+L605/(1+H605)^3+M605/(1+H605)^4+N605/(1+H605)^5</f>
        <v>107.147858628045</v>
      </c>
      <c r="P605" s="24" t="n">
        <f aca="false">N605*(1+F605)/(H605-F605)</f>
        <v>464.026393481002</v>
      </c>
      <c r="Q605" s="24" t="n">
        <f aca="false">O605+P605/(1+H605)^5</f>
        <v>410.662093652678</v>
      </c>
      <c r="R605" s="24" t="n">
        <f aca="false">Q605-'DCF Base Case'!$B$5</f>
        <v>225.662093652678</v>
      </c>
      <c r="S605" s="32" t="n">
        <f aca="false">R605/'DCF Base Case'!$B$6</f>
        <v>9.02648374610711</v>
      </c>
    </row>
    <row r="606" customFormat="false" ht="15" hidden="false" customHeight="true" outlineLevel="0" collapsed="false">
      <c r="A606" s="6" t="n">
        <v>605</v>
      </c>
      <c r="B606" s="30" t="n">
        <v>0.0887101959067787</v>
      </c>
      <c r="C606" s="30" t="n">
        <v>0.448934139672301</v>
      </c>
      <c r="D606" s="30" t="n">
        <v>0.0855094096127356</v>
      </c>
      <c r="E606" s="30" t="n">
        <v>0.259744517408901</v>
      </c>
      <c r="F606" s="30" t="n">
        <v>0.0237016693288463</v>
      </c>
      <c r="G606" s="30" t="n">
        <v>0.180194050844347</v>
      </c>
      <c r="H606" s="31" t="n">
        <f aca="false">MAX(D606,F606+0.015)</f>
        <v>0.0855094096127356</v>
      </c>
      <c r="I606" s="25" t="n">
        <f aca="false">(C606-'DCF Base Case'!$B$3)*(1-E606)+'DCF Base Case'!$B$3-G606</f>
        <v>0.185898694633549</v>
      </c>
      <c r="J606" s="24" t="n">
        <f aca="false">'DCF Base Case'!$B$2*(1+B606)^1*$I606-'DCF Base Case'!$B$2*(1+B606)^0*B606*'DCF Base Case'!$B$4</f>
        <v>28.9606322645348</v>
      </c>
      <c r="K606" s="24" t="n">
        <f aca="false">'DCF Base Case'!$B$2*(1+B606)^2*$I606-'DCF Base Case'!$B$2*(1+B606)^1*B606*'DCF Base Case'!$B$4</f>
        <v>31.5297356263059</v>
      </c>
      <c r="L606" s="24" t="n">
        <f aca="false">'DCF Base Case'!$B$2*(1+B606)^3*$I606-'DCF Base Case'!$B$2*(1+B606)^2*B606*'DCF Base Case'!$B$4</f>
        <v>34.3267446506044</v>
      </c>
      <c r="M606" s="24" t="n">
        <f aca="false">'DCF Base Case'!$B$2*(1+B606)^4*$I606-'DCF Base Case'!$B$2*(1+B606)^3*B606*'DCF Base Case'!$B$4</f>
        <v>37.3718768934015</v>
      </c>
      <c r="N606" s="24" t="n">
        <f aca="false">'DCF Base Case'!$B$2*(1+B606)^5*$I606-'DCF Base Case'!$B$2*(1+B606)^4*B606*'DCF Base Case'!$B$4</f>
        <v>40.6871434140192</v>
      </c>
      <c r="O606" s="24" t="n">
        <f aca="false">J606/(1+H606)^1+K606/(1+H606)^2+L606/(1+H606)^3+M606/(1+H606)^4+N606/(1+H606)^5</f>
        <v>134.185506959135</v>
      </c>
      <c r="P606" s="24" t="n">
        <f aca="false">N606*(1+F606)/(H606-F606)</f>
        <v>673.888034764643</v>
      </c>
      <c r="Q606" s="24" t="n">
        <f aca="false">O606+P606/(1+H606)^5</f>
        <v>581.301066110961</v>
      </c>
      <c r="R606" s="24" t="n">
        <f aca="false">Q606-'DCF Base Case'!$B$5</f>
        <v>396.301066110961</v>
      </c>
      <c r="S606" s="32" t="n">
        <f aca="false">R606/'DCF Base Case'!$B$6</f>
        <v>15.8520426444385</v>
      </c>
    </row>
    <row r="607" customFormat="false" ht="15" hidden="false" customHeight="true" outlineLevel="0" collapsed="false">
      <c r="A607" s="6" t="n">
        <v>606</v>
      </c>
      <c r="B607" s="30" t="n">
        <v>0.10582018716955</v>
      </c>
      <c r="C607" s="30" t="n">
        <v>0.44151863287439</v>
      </c>
      <c r="D607" s="30" t="n">
        <v>0.0778192407676963</v>
      </c>
      <c r="E607" s="30" t="n">
        <v>0.276167504264118</v>
      </c>
      <c r="F607" s="30" t="n">
        <v>0.0186941722755344</v>
      </c>
      <c r="G607" s="30" t="n">
        <v>0.139838930511544</v>
      </c>
      <c r="H607" s="31" t="n">
        <f aca="false">MAX(D607,F607+0.015)</f>
        <v>0.0778192407676963</v>
      </c>
      <c r="I607" s="25" t="n">
        <f aca="false">(C607-'DCF Base Case'!$B$3)*(1-E607)+'DCF Base Case'!$B$3-G607</f>
        <v>0.215648378990156</v>
      </c>
      <c r="J607" s="24" t="n">
        <f aca="false">'DCF Base Case'!$B$2*(1+B607)^1*$I607-'DCF Base Case'!$B$2*(1+B607)^0*B607*'DCF Base Case'!$B$4</f>
        <v>34.1175901543796</v>
      </c>
      <c r="K607" s="24" t="n">
        <f aca="false">'DCF Base Case'!$B$2*(1+B607)^2*$I607-'DCF Base Case'!$B$2*(1+B607)^1*B607*'DCF Base Case'!$B$4</f>
        <v>37.72791993029</v>
      </c>
      <c r="L607" s="24" t="n">
        <f aca="false">'DCF Base Case'!$B$2*(1+B607)^3*$I607-'DCF Base Case'!$B$2*(1+B607)^2*B607*'DCF Base Case'!$B$4</f>
        <v>41.7202954788311</v>
      </c>
      <c r="M607" s="24" t="n">
        <f aca="false">'DCF Base Case'!$B$2*(1+B607)^4*$I607-'DCF Base Case'!$B$2*(1+B607)^3*B607*'DCF Base Case'!$B$4</f>
        <v>46.1351449551699</v>
      </c>
      <c r="N607" s="24" t="n">
        <f aca="false">'DCF Base Case'!$B$2*(1+B607)^5*$I607-'DCF Base Case'!$B$2*(1+B607)^4*B607*'DCF Base Case'!$B$4</f>
        <v>51.0171746294203</v>
      </c>
      <c r="O607" s="24" t="n">
        <f aca="false">J607/(1+H607)^1+K607/(1+H607)^2+L607/(1+H607)^3+M607/(1+H607)^4+N607/(1+H607)^5</f>
        <v>166.711369769239</v>
      </c>
      <c r="P607" s="24" t="n">
        <f aca="false">N607*(1+F607)/(H607-F607)</f>
        <v>878.999378881792</v>
      </c>
      <c r="Q607" s="24" t="n">
        <f aca="false">O607+P607/(1+H607)^5</f>
        <v>771.020154213251</v>
      </c>
      <c r="R607" s="24" t="n">
        <f aca="false">Q607-'DCF Base Case'!$B$5</f>
        <v>586.020154213251</v>
      </c>
      <c r="S607" s="32" t="n">
        <f aca="false">R607/'DCF Base Case'!$B$6</f>
        <v>23.4408061685301</v>
      </c>
    </row>
    <row r="608" customFormat="false" ht="15" hidden="false" customHeight="true" outlineLevel="0" collapsed="false">
      <c r="A608" s="6" t="n">
        <v>607</v>
      </c>
      <c r="B608" s="30" t="n">
        <v>0.0844998805958581</v>
      </c>
      <c r="C608" s="30" t="n">
        <v>0.43780932063742</v>
      </c>
      <c r="D608" s="30" t="n">
        <v>0.0876107191417323</v>
      </c>
      <c r="E608" s="30" t="n">
        <v>0.254003964189636</v>
      </c>
      <c r="F608" s="30" t="n">
        <v>0.0132369429756518</v>
      </c>
      <c r="G608" s="30" t="n">
        <v>0.203033199291432</v>
      </c>
      <c r="H608" s="31" t="n">
        <f aca="false">MAX(D608,F608+0.015)</f>
        <v>0.0876107191417323</v>
      </c>
      <c r="I608" s="25" t="n">
        <f aca="false">(C608-'DCF Base Case'!$B$3)*(1-E608)+'DCF Base Case'!$B$3-G608</f>
        <v>0.156591333689565</v>
      </c>
      <c r="J608" s="24" t="n">
        <f aca="false">'DCF Base Case'!$B$2*(1+B608)^1*$I608-'DCF Base Case'!$B$2*(1+B608)^0*B608*'DCF Base Case'!$B$4</f>
        <v>24.2568015092665</v>
      </c>
      <c r="K608" s="24" t="n">
        <f aca="false">'DCF Base Case'!$B$2*(1+B608)^2*$I608-'DCF Base Case'!$B$2*(1+B608)^1*B608*'DCF Base Case'!$B$4</f>
        <v>26.3064983404369</v>
      </c>
      <c r="L608" s="24" t="n">
        <f aca="false">'DCF Base Case'!$B$2*(1+B608)^3*$I608-'DCF Base Case'!$B$2*(1+B608)^2*B608*'DCF Base Case'!$B$4</f>
        <v>28.529394309099</v>
      </c>
      <c r="M608" s="24" t="n">
        <f aca="false">'DCF Base Case'!$B$2*(1+B608)^4*$I608-'DCF Base Case'!$B$2*(1+B608)^3*B608*'DCF Base Case'!$B$4</f>
        <v>30.94012472169</v>
      </c>
      <c r="N608" s="24" t="n">
        <f aca="false">'DCF Base Case'!$B$2*(1+B608)^5*$I608-'DCF Base Case'!$B$2*(1+B608)^4*B608*'DCF Base Case'!$B$4</f>
        <v>33.5545615662938</v>
      </c>
      <c r="O608" s="24" t="n">
        <f aca="false">J608/(1+H608)^1+K608/(1+H608)^2+L608/(1+H608)^3+M608/(1+H608)^4+N608/(1+H608)^5</f>
        <v>110.878076026281</v>
      </c>
      <c r="P608" s="24" t="n">
        <f aca="false">N608*(1+F608)/(H608-F608)</f>
        <v>457.133187756917</v>
      </c>
      <c r="Q608" s="24" t="n">
        <f aca="false">O608+P608/(1+H608)^5</f>
        <v>411.261079971275</v>
      </c>
      <c r="R608" s="24" t="n">
        <f aca="false">Q608-'DCF Base Case'!$B$5</f>
        <v>226.261079971275</v>
      </c>
      <c r="S608" s="32" t="n">
        <f aca="false">R608/'DCF Base Case'!$B$6</f>
        <v>9.05044319885101</v>
      </c>
    </row>
    <row r="609" customFormat="false" ht="15" hidden="false" customHeight="true" outlineLevel="0" collapsed="false">
      <c r="A609" s="6" t="n">
        <v>608</v>
      </c>
      <c r="B609" s="30" t="n">
        <v>0.0881672532404332</v>
      </c>
      <c r="C609" s="30" t="n">
        <v>0.399626740264527</v>
      </c>
      <c r="D609" s="30" t="n">
        <v>0.081986090586133</v>
      </c>
      <c r="E609" s="30" t="n">
        <v>0.252391629286669</v>
      </c>
      <c r="F609" s="30" t="n">
        <v>0.0243136619471037</v>
      </c>
      <c r="G609" s="30" t="n">
        <v>0.157263397128001</v>
      </c>
      <c r="H609" s="31" t="n">
        <f aca="false">MAX(D609,F609+0.015)</f>
        <v>0.081986090586133</v>
      </c>
      <c r="I609" s="25" t="n">
        <f aca="false">(C609-'DCF Base Case'!$B$3)*(1-E609)+'DCF Base Case'!$B$3-G609</f>
        <v>0.174311810861908</v>
      </c>
      <c r="J609" s="24" t="n">
        <f aca="false">'DCF Base Case'!$B$2*(1+B609)^1*$I609-'DCF Base Case'!$B$2*(1+B609)^0*B609*'DCF Base Case'!$B$4</f>
        <v>27.1201310911846</v>
      </c>
      <c r="K609" s="24" t="n">
        <f aca="false">'DCF Base Case'!$B$2*(1+B609)^2*$I609-'DCF Base Case'!$B$2*(1+B609)^1*B609*'DCF Base Case'!$B$4</f>
        <v>29.5112385570148</v>
      </c>
      <c r="L609" s="24" t="n">
        <f aca="false">'DCF Base Case'!$B$2*(1+B609)^3*$I609-'DCF Base Case'!$B$2*(1+B609)^2*B609*'DCF Base Case'!$B$4</f>
        <v>32.11316340031</v>
      </c>
      <c r="M609" s="24" t="n">
        <f aca="false">'DCF Base Case'!$B$2*(1+B609)^4*$I609-'DCF Base Case'!$B$2*(1+B609)^3*B609*'DCF Base Case'!$B$4</f>
        <v>34.9444928101765</v>
      </c>
      <c r="N609" s="24" t="n">
        <f aca="false">'DCF Base Case'!$B$2*(1+B609)^5*$I609-'DCF Base Case'!$B$2*(1+B609)^4*B609*'DCF Base Case'!$B$4</f>
        <v>38.0254527571298</v>
      </c>
      <c r="O609" s="24" t="n">
        <f aca="false">J609/(1+H609)^1+K609/(1+H609)^2+L609/(1+H609)^3+M609/(1+H609)^4+N609/(1+H609)^5</f>
        <v>126.765815069448</v>
      </c>
      <c r="P609" s="24" t="n">
        <f aca="false">N609*(1+F609)/(H609-F609)</f>
        <v>675.36588418427</v>
      </c>
      <c r="Q609" s="24" t="n">
        <f aca="false">O609+P609/(1+H609)^5</f>
        <v>582.205352667178</v>
      </c>
      <c r="R609" s="24" t="n">
        <f aca="false">Q609-'DCF Base Case'!$B$5</f>
        <v>397.205352667178</v>
      </c>
      <c r="S609" s="32" t="n">
        <f aca="false">R609/'DCF Base Case'!$B$6</f>
        <v>15.8882141066871</v>
      </c>
    </row>
    <row r="610" customFormat="false" ht="15" hidden="false" customHeight="true" outlineLevel="0" collapsed="false">
      <c r="A610" s="6" t="n">
        <v>609</v>
      </c>
      <c r="B610" s="30" t="n">
        <v>0.119293751924265</v>
      </c>
      <c r="C610" s="30" t="n">
        <v>0.425410673118916</v>
      </c>
      <c r="D610" s="30" t="n">
        <v>0.100724851720253</v>
      </c>
      <c r="E610" s="30" t="n">
        <v>0.287173235311714</v>
      </c>
      <c r="F610" s="30" t="n">
        <v>0.0224181277553728</v>
      </c>
      <c r="G610" s="30" t="n">
        <v>0.182366892568296</v>
      </c>
      <c r="H610" s="31" t="n">
        <f aca="false">MAX(D610,F610+0.015)</f>
        <v>0.100724851720253</v>
      </c>
      <c r="I610" s="25" t="n">
        <f aca="false">(C610-'DCF Base Case'!$B$3)*(1-E610)+'DCF Base Case'!$B$3-G610</f>
        <v>0.15820974180545</v>
      </c>
      <c r="J610" s="24" t="n">
        <f aca="false">'DCF Base Case'!$B$2*(1+B610)^1*$I610-'DCF Base Case'!$B$2*(1+B610)^0*B610*'DCF Base Case'!$B$4</f>
        <v>25.1581326261062</v>
      </c>
      <c r="K610" s="24" t="n">
        <f aca="false">'DCF Base Case'!$B$2*(1+B610)^2*$I610-'DCF Base Case'!$B$2*(1+B610)^1*B610*'DCF Base Case'!$B$4</f>
        <v>28.1593406584826</v>
      </c>
      <c r="L610" s="24" t="n">
        <f aca="false">'DCF Base Case'!$B$2*(1+B610)^3*$I610-'DCF Base Case'!$B$2*(1+B610)^2*B610*'DCF Base Case'!$B$4</f>
        <v>31.5185740573465</v>
      </c>
      <c r="M610" s="24" t="n">
        <f aca="false">'DCF Base Case'!$B$2*(1+B610)^4*$I610-'DCF Base Case'!$B$2*(1+B610)^3*B610*'DCF Base Case'!$B$4</f>
        <v>35.2785430119502</v>
      </c>
      <c r="N610" s="24" t="n">
        <f aca="false">'DCF Base Case'!$B$2*(1+B610)^5*$I610-'DCF Base Case'!$B$2*(1+B610)^4*B610*'DCF Base Case'!$B$4</f>
        <v>39.4870527702673</v>
      </c>
      <c r="O610" s="24" t="n">
        <f aca="false">J610/(1+H610)^1+K610/(1+H610)^2+L610/(1+H610)^3+M610/(1+H610)^4+N610/(1+H610)^5</f>
        <v>118.201172259026</v>
      </c>
      <c r="P610" s="24" t="n">
        <f aca="false">N610*(1+F610)/(H610-F610)</f>
        <v>515.565924863117</v>
      </c>
      <c r="Q610" s="24" t="n">
        <f aca="false">O610+P610/(1+H610)^5</f>
        <v>437.274385829187</v>
      </c>
      <c r="R610" s="24" t="n">
        <f aca="false">Q610-'DCF Base Case'!$B$5</f>
        <v>252.274385829187</v>
      </c>
      <c r="S610" s="32" t="n">
        <f aca="false">R610/'DCF Base Case'!$B$6</f>
        <v>10.0909754331675</v>
      </c>
    </row>
    <row r="611" customFormat="false" ht="15" hidden="false" customHeight="true" outlineLevel="0" collapsed="false">
      <c r="A611" s="6" t="n">
        <v>610</v>
      </c>
      <c r="B611" s="30" t="n">
        <v>0.103493381851395</v>
      </c>
      <c r="C611" s="30" t="n">
        <v>0.425754216544511</v>
      </c>
      <c r="D611" s="30" t="n">
        <v>0.0824386421227286</v>
      </c>
      <c r="E611" s="30" t="n">
        <v>0.33343456617384</v>
      </c>
      <c r="F611" s="30" t="n">
        <v>0.0156469912896612</v>
      </c>
      <c r="G611" s="30" t="n">
        <v>0.165321951132737</v>
      </c>
      <c r="H611" s="31" t="n">
        <f aca="false">MAX(D611,F611+0.015)</f>
        <v>0.0824386421227286</v>
      </c>
      <c r="I611" s="25" t="n">
        <f aca="false">(C611-'DCF Base Case'!$B$3)*(1-E611)+'DCF Base Case'!$B$3-G611</f>
        <v>0.161817586524171</v>
      </c>
      <c r="J611" s="24" t="n">
        <f aca="false">'DCF Base Case'!$B$2*(1+B611)^1*$I611-'DCF Base Case'!$B$2*(1+B611)^0*B611*'DCF Base Case'!$B$4</f>
        <v>25.4416759794517</v>
      </c>
      <c r="K611" s="24" t="n">
        <f aca="false">'DCF Base Case'!$B$2*(1+B611)^2*$I611-'DCF Base Case'!$B$2*(1+B611)^1*B611*'DCF Base Case'!$B$4</f>
        <v>28.0747210665326</v>
      </c>
      <c r="L611" s="24" t="n">
        <f aca="false">'DCF Base Case'!$B$2*(1+B611)^3*$I611-'DCF Base Case'!$B$2*(1+B611)^2*B611*'DCF Base Case'!$B$4</f>
        <v>30.9802688942427</v>
      </c>
      <c r="M611" s="24" t="n">
        <f aca="false">'DCF Base Case'!$B$2*(1+B611)^4*$I611-'DCF Base Case'!$B$2*(1+B611)^3*B611*'DCF Base Case'!$B$4</f>
        <v>34.1865216927734</v>
      </c>
      <c r="N611" s="24" t="n">
        <f aca="false">'DCF Base Case'!$B$2*(1+B611)^5*$I611-'DCF Base Case'!$B$2*(1+B611)^4*B611*'DCF Base Case'!$B$4</f>
        <v>37.7246004364946</v>
      </c>
      <c r="O611" s="24" t="n">
        <f aca="false">J611/(1+H611)^1+K611/(1+H611)^2+L611/(1+H611)^3+M611/(1+H611)^4+N611/(1+H611)^5</f>
        <v>122.181790694474</v>
      </c>
      <c r="P611" s="24" t="n">
        <f aca="false">N611*(1+F611)/(H611-F611)</f>
        <v>573.647700768632</v>
      </c>
      <c r="Q611" s="24" t="n">
        <f aca="false">O611+P611/(1+H611)^5</f>
        <v>508.218689606522</v>
      </c>
      <c r="R611" s="24" t="n">
        <f aca="false">Q611-'DCF Base Case'!$B$5</f>
        <v>323.218689606522</v>
      </c>
      <c r="S611" s="32" t="n">
        <f aca="false">R611/'DCF Base Case'!$B$6</f>
        <v>12.9287475842609</v>
      </c>
    </row>
    <row r="612" customFormat="false" ht="15" hidden="false" customHeight="true" outlineLevel="0" collapsed="false">
      <c r="A612" s="6" t="n">
        <v>611</v>
      </c>
      <c r="B612" s="30" t="n">
        <v>0.0902978061694713</v>
      </c>
      <c r="C612" s="30" t="n">
        <v>0.42252158600539</v>
      </c>
      <c r="D612" s="30" t="n">
        <v>0.0802758008951605</v>
      </c>
      <c r="E612" s="30" t="n">
        <v>0.288949826366921</v>
      </c>
      <c r="F612" s="30" t="n">
        <v>0.0187044839214453</v>
      </c>
      <c r="G612" s="30" t="n">
        <v>0.135077162234871</v>
      </c>
      <c r="H612" s="31" t="n">
        <f aca="false">MAX(D612,F612+0.015)</f>
        <v>0.0802758008951605</v>
      </c>
      <c r="I612" s="25" t="n">
        <f aca="false">(C612-'DCF Base Case'!$B$3)*(1-E612)+'DCF Base Case'!$B$3-G612</f>
        <v>0.202920362285685</v>
      </c>
      <c r="J612" s="24" t="n">
        <f aca="false">'DCF Base Case'!$B$2*(1+B612)^1*$I612-'DCF Base Case'!$B$2*(1+B612)^0*B612*'DCF Base Case'!$B$4</f>
        <v>31.6875302881063</v>
      </c>
      <c r="K612" s="24" t="n">
        <f aca="false">'DCF Base Case'!$B$2*(1+B612)^2*$I612-'DCF Base Case'!$B$2*(1+B612)^1*B612*'DCF Base Case'!$B$4</f>
        <v>34.548844756051</v>
      </c>
      <c r="L612" s="24" t="n">
        <f aca="false">'DCF Base Case'!$B$2*(1+B612)^3*$I612-'DCF Base Case'!$B$2*(1+B612)^2*B612*'DCF Base Case'!$B$4</f>
        <v>37.6685296432121</v>
      </c>
      <c r="M612" s="24" t="n">
        <f aca="false">'DCF Base Case'!$B$2*(1+B612)^4*$I612-'DCF Base Case'!$B$2*(1+B612)^3*B612*'DCF Base Case'!$B$4</f>
        <v>41.0699152316238</v>
      </c>
      <c r="N612" s="24" t="n">
        <f aca="false">'DCF Base Case'!$B$2*(1+B612)^5*$I612-'DCF Base Case'!$B$2*(1+B612)^4*B612*'DCF Base Case'!$B$4</f>
        <v>44.7784384766056</v>
      </c>
      <c r="O612" s="24" t="n">
        <f aca="false">J612/(1+H612)^1+K612/(1+H612)^2+L612/(1+H612)^3+M612/(1+H612)^4+N612/(1+H612)^5</f>
        <v>149.410721813969</v>
      </c>
      <c r="P612" s="24" t="n">
        <f aca="false">N612*(1+F612)/(H612-F612)</f>
        <v>740.864387854367</v>
      </c>
      <c r="Q612" s="24" t="n">
        <f aca="false">O612+P612/(1+H612)^5</f>
        <v>652.9872522674</v>
      </c>
      <c r="R612" s="24" t="n">
        <f aca="false">Q612-'DCF Base Case'!$B$5</f>
        <v>467.9872522674</v>
      </c>
      <c r="S612" s="32" t="n">
        <f aca="false">R612/'DCF Base Case'!$B$6</f>
        <v>18.719490090696</v>
      </c>
    </row>
    <row r="613" customFormat="false" ht="15" hidden="false" customHeight="true" outlineLevel="0" collapsed="false">
      <c r="A613" s="6" t="n">
        <v>612</v>
      </c>
      <c r="B613" s="30" t="n">
        <v>0.0901909020815221</v>
      </c>
      <c r="C613" s="30" t="n">
        <v>0.390205936847781</v>
      </c>
      <c r="D613" s="30" t="n">
        <v>0.0659217566130621</v>
      </c>
      <c r="E613" s="30" t="n">
        <v>0.283583901873603</v>
      </c>
      <c r="F613" s="30" t="n">
        <v>0.0210924161243128</v>
      </c>
      <c r="G613" s="30" t="n">
        <v>0.177630082766093</v>
      </c>
      <c r="H613" s="31" t="n">
        <f aca="false">MAX(D613,F613+0.015)</f>
        <v>0.0659217566130621</v>
      </c>
      <c r="I613" s="25" t="n">
        <f aca="false">(C613-'DCF Base Case'!$B$3)*(1-E613)+'DCF Base Case'!$B$3-G613</f>
        <v>0.138785639219718</v>
      </c>
      <c r="J613" s="24" t="n">
        <f aca="false">'DCF Base Case'!$B$2*(1+B613)^1*$I613-'DCF Base Case'!$B$2*(1+B613)^0*B613*'DCF Base Case'!$B$4</f>
        <v>21.5465815523966</v>
      </c>
      <c r="K613" s="24" t="n">
        <f aca="false">'DCF Base Case'!$B$2*(1+B613)^2*$I613-'DCF Base Case'!$B$2*(1+B613)^1*B613*'DCF Base Case'!$B$4</f>
        <v>23.4898871793803</v>
      </c>
      <c r="L613" s="24" t="n">
        <f aca="false">'DCF Base Case'!$B$2*(1+B613)^3*$I613-'DCF Base Case'!$B$2*(1+B613)^2*B613*'DCF Base Case'!$B$4</f>
        <v>25.6084612938818</v>
      </c>
      <c r="M613" s="24" t="n">
        <f aca="false">'DCF Base Case'!$B$2*(1+B613)^4*$I613-'DCF Base Case'!$B$2*(1+B613)^3*B613*'DCF Base Case'!$B$4</f>
        <v>27.9181115188968</v>
      </c>
      <c r="N613" s="24" t="n">
        <f aca="false">'DCF Base Case'!$B$2*(1+B613)^5*$I613-'DCF Base Case'!$B$2*(1+B613)^4*B613*'DCF Base Case'!$B$4</f>
        <v>30.4360711811986</v>
      </c>
      <c r="O613" s="24" t="n">
        <f aca="false">J613/(1+H613)^1+K613/(1+H613)^2+L613/(1+H613)^3+M613/(1+H613)^4+N613/(1+H613)^5</f>
        <v>105.778547208869</v>
      </c>
      <c r="P613" s="24" t="n">
        <f aca="false">N613*(1+F613)/(H613-F613)</f>
        <v>693.252256689817</v>
      </c>
      <c r="Q613" s="24" t="n">
        <f aca="false">O613+P613/(1+H613)^5</f>
        <v>609.5860819991</v>
      </c>
      <c r="R613" s="24" t="n">
        <f aca="false">Q613-'DCF Base Case'!$B$5</f>
        <v>424.5860819991</v>
      </c>
      <c r="S613" s="32" t="n">
        <f aca="false">R613/'DCF Base Case'!$B$6</f>
        <v>16.983443279964</v>
      </c>
    </row>
    <row r="614" customFormat="false" ht="15" hidden="false" customHeight="true" outlineLevel="0" collapsed="false">
      <c r="A614" s="6" t="n">
        <v>613</v>
      </c>
      <c r="B614" s="30" t="n">
        <v>0.102231024378701</v>
      </c>
      <c r="C614" s="30" t="n">
        <v>0.377916157299145</v>
      </c>
      <c r="D614" s="30" t="n">
        <v>0.0700288137930178</v>
      </c>
      <c r="E614" s="30" t="n">
        <v>0.334515843122168</v>
      </c>
      <c r="F614" s="30" t="n">
        <v>0.0150806288259105</v>
      </c>
      <c r="G614" s="30" t="n">
        <v>0.179702177721386</v>
      </c>
      <c r="H614" s="31" t="n">
        <f aca="false">MAX(D614,F614+0.015)</f>
        <v>0.0700288137930178</v>
      </c>
      <c r="I614" s="25" t="n">
        <f aca="false">(C614-'DCF Base Case'!$B$3)*(1-E614)+'DCF Base Case'!$B$3-G614</f>
        <v>0.115282097195228</v>
      </c>
      <c r="J614" s="24" t="n">
        <f aca="false">'DCF Base Case'!$B$2*(1+B614)^1*$I614-'DCF Base Case'!$B$2*(1+B614)^0*B614*'DCF Base Case'!$B$4</f>
        <v>17.9800831361356</v>
      </c>
      <c r="K614" s="24" t="n">
        <f aca="false">'DCF Base Case'!$B$2*(1+B614)^2*$I614-'DCF Base Case'!$B$2*(1+B614)^1*B614*'DCF Base Case'!$B$4</f>
        <v>19.818205453557</v>
      </c>
      <c r="L614" s="24" t="n">
        <f aca="false">'DCF Base Case'!$B$2*(1+B614)^3*$I614-'DCF Base Case'!$B$2*(1+B614)^2*B614*'DCF Base Case'!$B$4</f>
        <v>21.8442408984217</v>
      </c>
      <c r="M614" s="24" t="n">
        <f aca="false">'DCF Base Case'!$B$2*(1+B614)^4*$I614-'DCF Base Case'!$B$2*(1+B614)^3*B614*'DCF Base Case'!$B$4</f>
        <v>24.0774000222424</v>
      </c>
      <c r="N614" s="24" t="n">
        <f aca="false">'DCF Base Case'!$B$2*(1+B614)^5*$I614-'DCF Base Case'!$B$2*(1+B614)^4*B614*'DCF Base Case'!$B$4</f>
        <v>26.538857290892</v>
      </c>
      <c r="O614" s="24" t="n">
        <f aca="false">J614/(1+H614)^1+K614/(1+H614)^2+L614/(1+H614)^3+M614/(1+H614)^4+N614/(1+H614)^5</f>
        <v>89.2282321877882</v>
      </c>
      <c r="P614" s="24" t="n">
        <f aca="false">N614*(1+F614)/(H614-F614)</f>
        <v>490.263326500882</v>
      </c>
      <c r="Q614" s="24" t="n">
        <f aca="false">O614+P614/(1+H614)^5</f>
        <v>438.732147188482</v>
      </c>
      <c r="R614" s="24" t="n">
        <f aca="false">Q614-'DCF Base Case'!$B$5</f>
        <v>253.732147188482</v>
      </c>
      <c r="S614" s="32" t="n">
        <f aca="false">R614/'DCF Base Case'!$B$6</f>
        <v>10.1492858875393</v>
      </c>
    </row>
    <row r="615" customFormat="false" ht="15" hidden="false" customHeight="true" outlineLevel="0" collapsed="false">
      <c r="A615" s="6" t="n">
        <v>614</v>
      </c>
      <c r="B615" s="30" t="n">
        <v>0.0750757051896793</v>
      </c>
      <c r="C615" s="30" t="n">
        <v>0.411038763958764</v>
      </c>
      <c r="D615" s="30" t="n">
        <v>0.0780342037749905</v>
      </c>
      <c r="E615" s="30" t="n">
        <v>0.296676253123541</v>
      </c>
      <c r="F615" s="30" t="n">
        <v>0.0198498315980782</v>
      </c>
      <c r="G615" s="30" t="n">
        <v>0.156164736416726</v>
      </c>
      <c r="H615" s="31" t="n">
        <f aca="false">MAX(D615,F615+0.015)</f>
        <v>0.0780342037749905</v>
      </c>
      <c r="I615" s="25" t="n">
        <f aca="false">(C615-'DCF Base Case'!$B$3)*(1-E615)+'DCF Base Case'!$B$3-G615</f>
        <v>0.171496500068281</v>
      </c>
      <c r="J615" s="24" t="n">
        <f aca="false">'DCF Base Case'!$B$2*(1+B615)^1*$I615-'DCF Base Case'!$B$2*(1+B615)^0*B615*'DCF Base Case'!$B$4</f>
        <v>26.4073201909529</v>
      </c>
      <c r="K615" s="24" t="n">
        <f aca="false">'DCF Base Case'!$B$2*(1+B615)^2*$I615-'DCF Base Case'!$B$2*(1+B615)^1*B615*'DCF Base Case'!$B$4</f>
        <v>28.3898683764583</v>
      </c>
      <c r="L615" s="24" t="n">
        <f aca="false">'DCF Base Case'!$B$2*(1+B615)^3*$I615-'DCF Base Case'!$B$2*(1+B615)^2*B615*'DCF Base Case'!$B$4</f>
        <v>30.5212577650631</v>
      </c>
      <c r="M615" s="24" t="n">
        <f aca="false">'DCF Base Case'!$B$2*(1+B615)^4*$I615-'DCF Base Case'!$B$2*(1+B615)^3*B615*'DCF Base Case'!$B$4</f>
        <v>32.8126627150512</v>
      </c>
      <c r="N615" s="24" t="n">
        <f aca="false">'DCF Base Case'!$B$2*(1+B615)^5*$I615-'DCF Base Case'!$B$2*(1+B615)^4*B615*'DCF Base Case'!$B$4</f>
        <v>35.2760965075347</v>
      </c>
      <c r="O615" s="24" t="n">
        <f aca="false">J615/(1+H615)^1+K615/(1+H615)^2+L615/(1+H615)^3+M615/(1+H615)^4+N615/(1+H615)^5</f>
        <v>121.80863876848</v>
      </c>
      <c r="P615" s="24" t="n">
        <f aca="false">N615*(1+F615)/(H615-F615)</f>
        <v>618.315876525387</v>
      </c>
      <c r="Q615" s="24" t="n">
        <f aca="false">O615+P615/(1+H615)^5</f>
        <v>546.474839135597</v>
      </c>
      <c r="R615" s="24" t="n">
        <f aca="false">Q615-'DCF Base Case'!$B$5</f>
        <v>361.474839135597</v>
      </c>
      <c r="S615" s="32" t="n">
        <f aca="false">R615/'DCF Base Case'!$B$6</f>
        <v>14.4589935654239</v>
      </c>
    </row>
    <row r="616" customFormat="false" ht="15" hidden="false" customHeight="true" outlineLevel="0" collapsed="false">
      <c r="A616" s="6" t="n">
        <v>615</v>
      </c>
      <c r="B616" s="30" t="n">
        <v>0.067094233031277</v>
      </c>
      <c r="C616" s="30" t="n">
        <v>0.412165496875318</v>
      </c>
      <c r="D616" s="30" t="n">
        <v>0.0716600932105315</v>
      </c>
      <c r="E616" s="30" t="n">
        <v>0.292452684660986</v>
      </c>
      <c r="F616" s="30" t="n">
        <v>0.0267475647504265</v>
      </c>
      <c r="G616" s="30" t="n">
        <v>0.196959072781595</v>
      </c>
      <c r="H616" s="31" t="n">
        <f aca="false">MAX(D616,F616+0.015)</f>
        <v>0.0716600932105315</v>
      </c>
      <c r="I616" s="25" t="n">
        <f aca="false">(C616-'DCF Base Case'!$B$3)*(1-E616)+'DCF Base Case'!$B$3-G616</f>
        <v>0.132686367013835</v>
      </c>
      <c r="J616" s="24" t="n">
        <f aca="false">'DCF Base Case'!$B$2*(1+B616)^1*$I616-'DCF Base Case'!$B$2*(1+B616)^0*B616*'DCF Base Case'!$B$4</f>
        <v>20.2385243574525</v>
      </c>
      <c r="K616" s="24" t="n">
        <f aca="false">'DCF Base Case'!$B$2*(1+B616)^2*$I616-'DCF Base Case'!$B$2*(1+B616)^1*B616*'DCF Base Case'!$B$4</f>
        <v>21.5964126269006</v>
      </c>
      <c r="L616" s="24" t="n">
        <f aca="false">'DCF Base Case'!$B$2*(1+B616)^3*$I616-'DCF Base Case'!$B$2*(1+B616)^2*B616*'DCF Base Case'!$B$4</f>
        <v>23.0454073683295</v>
      </c>
      <c r="M616" s="24" t="n">
        <f aca="false">'DCF Base Case'!$B$2*(1+B616)^4*$I616-'DCF Base Case'!$B$2*(1+B616)^3*B616*'DCF Base Case'!$B$4</f>
        <v>24.5916213006009</v>
      </c>
      <c r="N616" s="24" t="n">
        <f aca="false">'DCF Base Case'!$B$2*(1+B616)^5*$I616-'DCF Base Case'!$B$2*(1+B616)^4*B616*'DCF Base Case'!$B$4</f>
        <v>26.2415772707603</v>
      </c>
      <c r="O616" s="24" t="n">
        <f aca="false">J616/(1+H616)^1+K616/(1+H616)^2+L616/(1+H616)^3+M616/(1+H616)^4+N616/(1+H616)^5</f>
        <v>93.6248500241242</v>
      </c>
      <c r="P616" s="24" t="n">
        <f aca="false">N616*(1+F616)/(H616-F616)</f>
        <v>599.910013569971</v>
      </c>
      <c r="Q616" s="24" t="n">
        <f aca="false">O616+P616/(1+H616)^5</f>
        <v>518.049713863623</v>
      </c>
      <c r="R616" s="24" t="n">
        <f aca="false">Q616-'DCF Base Case'!$B$5</f>
        <v>333.049713863623</v>
      </c>
      <c r="S616" s="32" t="n">
        <f aca="false">R616/'DCF Base Case'!$B$6</f>
        <v>13.3219885545449</v>
      </c>
    </row>
    <row r="617" customFormat="false" ht="15" hidden="false" customHeight="true" outlineLevel="0" collapsed="false">
      <c r="A617" s="6" t="n">
        <v>616</v>
      </c>
      <c r="B617" s="30" t="n">
        <v>0.105629125318952</v>
      </c>
      <c r="C617" s="30" t="n">
        <v>0.418376958101375</v>
      </c>
      <c r="D617" s="30" t="n">
        <v>0.0636737211029612</v>
      </c>
      <c r="E617" s="30" t="n">
        <v>0.254306644652243</v>
      </c>
      <c r="F617" s="30" t="n">
        <v>0.0238811009054321</v>
      </c>
      <c r="G617" s="30" t="n">
        <v>0.149314509482596</v>
      </c>
      <c r="H617" s="31" t="n">
        <f aca="false">MAX(D617,F617+0.015)</f>
        <v>0.0636737211029612</v>
      </c>
      <c r="I617" s="25" t="n">
        <f aca="false">(C617-'DCF Base Case'!$B$3)*(1-E617)+'DCF Base Case'!$B$3-G617</f>
        <v>0.195726272008998</v>
      </c>
      <c r="J617" s="24" t="n">
        <f aca="false">'DCF Base Case'!$B$2*(1+B617)^1*$I617-'DCF Base Case'!$B$2*(1+B617)^0*B617*'DCF Base Case'!$B$4</f>
        <v>30.9186100087335</v>
      </c>
      <c r="K617" s="24" t="n">
        <f aca="false">'DCF Base Case'!$B$2*(1+B617)^2*$I617-'DCF Base Case'!$B$2*(1+B617)^1*B617*'DCF Base Case'!$B$4</f>
        <v>34.1845157400338</v>
      </c>
      <c r="L617" s="24" t="n">
        <f aca="false">'DCF Base Case'!$B$2*(1+B617)^3*$I617-'DCF Base Case'!$B$2*(1+B617)^2*B617*'DCF Base Case'!$B$4</f>
        <v>37.7953962371055</v>
      </c>
      <c r="M617" s="24" t="n">
        <f aca="false">'DCF Base Case'!$B$2*(1+B617)^4*$I617-'DCF Base Case'!$B$2*(1+B617)^3*B617*'DCF Base Case'!$B$4</f>
        <v>41.7876908827142</v>
      </c>
      <c r="N617" s="24" t="n">
        <f aca="false">'DCF Base Case'!$B$2*(1+B617)^5*$I617-'DCF Base Case'!$B$2*(1+B617)^4*B617*'DCF Base Case'!$B$4</f>
        <v>46.201688119754</v>
      </c>
      <c r="O617" s="24" t="n">
        <f aca="false">J617/(1+H617)^1+K617/(1+H617)^2+L617/(1+H617)^3+M617/(1+H617)^4+N617/(1+H617)^5</f>
        <v>157.265467111664</v>
      </c>
      <c r="P617" s="24" t="n">
        <f aca="false">N617*(1+F617)/(H617-F617)</f>
        <v>1188.78915389142</v>
      </c>
      <c r="Q617" s="24" t="n">
        <f aca="false">O617+P617/(1+H617)^5</f>
        <v>1030.36284743372</v>
      </c>
      <c r="R617" s="24" t="n">
        <f aca="false">Q617-'DCF Base Case'!$B$5</f>
        <v>845.362847433723</v>
      </c>
      <c r="S617" s="32" t="n">
        <f aca="false">R617/'DCF Base Case'!$B$6</f>
        <v>33.8145138973489</v>
      </c>
    </row>
    <row r="618" customFormat="false" ht="15" hidden="false" customHeight="true" outlineLevel="0" collapsed="false">
      <c r="A618" s="6" t="n">
        <v>617</v>
      </c>
      <c r="B618" s="30" t="n">
        <v>0.0747992276231475</v>
      </c>
      <c r="C618" s="30" t="n">
        <v>0.405471591334741</v>
      </c>
      <c r="D618" s="30" t="n">
        <v>0.0733174911526879</v>
      </c>
      <c r="E618" s="30" t="n">
        <v>0.255553150089173</v>
      </c>
      <c r="F618" s="30" t="n">
        <v>0.0191639322004115</v>
      </c>
      <c r="G618" s="30" t="n">
        <v>0.147300007218134</v>
      </c>
      <c r="H618" s="31" t="n">
        <f aca="false">MAX(D618,F618+0.015)</f>
        <v>0.0733174911526879</v>
      </c>
      <c r="I618" s="25" t="n">
        <f aca="false">(C618-'DCF Base Case'!$B$3)*(1-E618)+'DCF Base Case'!$B$3-G618</f>
        <v>0.187773951190937</v>
      </c>
      <c r="J618" s="24" t="n">
        <f aca="false">'DCF Base Case'!$B$2*(1+B618)^1*$I618-'DCF Base Case'!$B$2*(1+B618)^0*B618*'DCF Base Case'!$B$4</f>
        <v>28.9384215274653</v>
      </c>
      <c r="K618" s="24" t="n">
        <f aca="false">'DCF Base Case'!$B$2*(1+B618)^2*$I618-'DCF Base Case'!$B$2*(1+B618)^1*B618*'DCF Base Case'!$B$4</f>
        <v>31.1029931063527</v>
      </c>
      <c r="L618" s="24" t="n">
        <f aca="false">'DCF Base Case'!$B$2*(1+B618)^3*$I618-'DCF Base Case'!$B$2*(1+B618)^2*B618*'DCF Base Case'!$B$4</f>
        <v>33.429472967476</v>
      </c>
      <c r="M618" s="24" t="n">
        <f aca="false">'DCF Base Case'!$B$2*(1+B618)^4*$I618-'DCF Base Case'!$B$2*(1+B618)^3*B618*'DCF Base Case'!$B$4</f>
        <v>35.9299717252921</v>
      </c>
      <c r="N618" s="24" t="n">
        <f aca="false">'DCF Base Case'!$B$2*(1+B618)^5*$I618-'DCF Base Case'!$B$2*(1+B618)^4*B618*'DCF Base Case'!$B$4</f>
        <v>38.6175058588655</v>
      </c>
      <c r="O618" s="24" t="n">
        <f aca="false">J618/(1+H618)^1+K618/(1+H618)^2+L618/(1+H618)^3+M618/(1+H618)^4+N618/(1+H618)^5</f>
        <v>135.181026570241</v>
      </c>
      <c r="P618" s="24" t="n">
        <f aca="false">N618*(1+F618)/(H618-F618)</f>
        <v>726.777147880127</v>
      </c>
      <c r="Q618" s="24" t="n">
        <f aca="false">O618+P618/(1+H618)^5</f>
        <v>645.404258188579</v>
      </c>
      <c r="R618" s="24" t="n">
        <f aca="false">Q618-'DCF Base Case'!$B$5</f>
        <v>460.404258188579</v>
      </c>
      <c r="S618" s="32" t="n">
        <f aca="false">R618/'DCF Base Case'!$B$6</f>
        <v>18.4161703275431</v>
      </c>
    </row>
    <row r="619" customFormat="false" ht="15" hidden="false" customHeight="true" outlineLevel="0" collapsed="false">
      <c r="A619" s="6" t="n">
        <v>618</v>
      </c>
      <c r="B619" s="30" t="n">
        <v>0.0738630393986917</v>
      </c>
      <c r="C619" s="30" t="n">
        <v>0.391062133215894</v>
      </c>
      <c r="D619" s="30" t="n">
        <v>0.0907459623521792</v>
      </c>
      <c r="E619" s="30" t="n">
        <v>0.273458376935193</v>
      </c>
      <c r="F619" s="30" t="n">
        <v>0.0186659655039548</v>
      </c>
      <c r="G619" s="30" t="n">
        <v>0.179359742765914</v>
      </c>
      <c r="H619" s="31" t="n">
        <f aca="false">MAX(D619,F619+0.015)</f>
        <v>0.0907459623521792</v>
      </c>
      <c r="I619" s="25" t="n">
        <f aca="false">(C619-'DCF Base Case'!$B$3)*(1-E619)+'DCF Base Case'!$B$3-G619</f>
        <v>0.140312763221522</v>
      </c>
      <c r="J619" s="24" t="n">
        <f aca="false">'DCF Base Case'!$B$2*(1+B619)^1*$I619-'DCF Base Case'!$B$2*(1+B619)^0*B619*'DCF Base Case'!$B$4</f>
        <v>21.5268158836422</v>
      </c>
      <c r="K619" s="24" t="n">
        <f aca="false">'DCF Base Case'!$B$2*(1+B619)^2*$I619-'DCF Base Case'!$B$2*(1+B619)^1*B619*'DCF Base Case'!$B$4</f>
        <v>23.116851933384</v>
      </c>
      <c r="L619" s="24" t="n">
        <f aca="false">'DCF Base Case'!$B$2*(1+B619)^3*$I619-'DCF Base Case'!$B$2*(1+B619)^2*B619*'DCF Base Case'!$B$4</f>
        <v>24.8243328785133</v>
      </c>
      <c r="M619" s="24" t="n">
        <f aca="false">'DCF Base Case'!$B$2*(1+B619)^4*$I619-'DCF Base Case'!$B$2*(1+B619)^3*B619*'DCF Base Case'!$B$4</f>
        <v>26.6579335559652</v>
      </c>
      <c r="N619" s="24" t="n">
        <f aca="false">'DCF Base Case'!$B$2*(1+B619)^5*$I619-'DCF Base Case'!$B$2*(1+B619)^4*B619*'DCF Base Case'!$B$4</f>
        <v>28.6269695524971</v>
      </c>
      <c r="O619" s="24" t="n">
        <f aca="false">J619/(1+H619)^1+K619/(1+H619)^2+L619/(1+H619)^3+M619/(1+H619)^4+N619/(1+H619)^5</f>
        <v>95.6714649943117</v>
      </c>
      <c r="P619" s="24" t="n">
        <f aca="false">N619*(1+F619)/(H619-F619)</f>
        <v>404.568824275207</v>
      </c>
      <c r="Q619" s="24" t="n">
        <f aca="false">O619+P619/(1+H619)^5</f>
        <v>357.715539279563</v>
      </c>
      <c r="R619" s="24" t="n">
        <f aca="false">Q619-'DCF Base Case'!$B$5</f>
        <v>172.715539279563</v>
      </c>
      <c r="S619" s="32" t="n">
        <f aca="false">R619/'DCF Base Case'!$B$6</f>
        <v>6.90862157118253</v>
      </c>
    </row>
    <row r="620" customFormat="false" ht="15" hidden="false" customHeight="true" outlineLevel="0" collapsed="false">
      <c r="A620" s="6" t="n">
        <v>619</v>
      </c>
      <c r="B620" s="30" t="n">
        <v>0.0870916319529144</v>
      </c>
      <c r="C620" s="30" t="n">
        <v>0.407632377477504</v>
      </c>
      <c r="D620" s="30" t="n">
        <v>0.0901749539112719</v>
      </c>
      <c r="E620" s="30" t="n">
        <v>0.300051664758575</v>
      </c>
      <c r="F620" s="30" t="n">
        <v>0.0187902773328288</v>
      </c>
      <c r="G620" s="30" t="n">
        <v>0.167016402096114</v>
      </c>
      <c r="H620" s="31" t="n">
        <f aca="false">MAX(D620,F620+0.015)</f>
        <v>0.0901749539112719</v>
      </c>
      <c r="I620" s="25" t="n">
        <f aca="false">(C620-'DCF Base Case'!$B$3)*(1-E620)+'DCF Base Case'!$B$3-G620</f>
        <v>0.157311918328384</v>
      </c>
      <c r="J620" s="24" t="n">
        <f aca="false">'DCF Base Case'!$B$2*(1+B620)^1*$I620-'DCF Base Case'!$B$2*(1+B620)^0*B620*'DCF Base Case'!$B$4</f>
        <v>24.4179595540856</v>
      </c>
      <c r="K620" s="24" t="n">
        <f aca="false">'DCF Base Case'!$B$2*(1+B620)^2*$I620-'DCF Base Case'!$B$2*(1+B620)^1*B620*'DCF Base Case'!$B$4</f>
        <v>26.5445595006111</v>
      </c>
      <c r="L620" s="24" t="n">
        <f aca="false">'DCF Base Case'!$B$2*(1+B620)^3*$I620-'DCF Base Case'!$B$2*(1+B620)^2*B620*'DCF Base Case'!$B$4</f>
        <v>28.8563685069906</v>
      </c>
      <c r="M620" s="24" t="n">
        <f aca="false">'DCF Base Case'!$B$2*(1+B620)^4*$I620-'DCF Base Case'!$B$2*(1+B620)^3*B620*'DCF Base Case'!$B$4</f>
        <v>31.3695167324991</v>
      </c>
      <c r="N620" s="24" t="n">
        <f aca="false">'DCF Base Case'!$B$2*(1+B620)^5*$I620-'DCF Base Case'!$B$2*(1+B620)^4*B620*'DCF Base Case'!$B$4</f>
        <v>34.1015391383067</v>
      </c>
      <c r="O620" s="24" t="n">
        <f aca="false">J620/(1+H620)^1+K620/(1+H620)^2+L620/(1+H620)^3+M620/(1+H620)^4+N620/(1+H620)^5</f>
        <v>111.359318162055</v>
      </c>
      <c r="P620" s="24" t="n">
        <f aca="false">N620*(1+F620)/(H620-F620)</f>
        <v>486.691516743292</v>
      </c>
      <c r="Q620" s="24" t="n">
        <f aca="false">O620+P620/(1+H620)^5</f>
        <v>427.421675936928</v>
      </c>
      <c r="R620" s="24" t="n">
        <f aca="false">Q620-'DCF Base Case'!$B$5</f>
        <v>242.421675936928</v>
      </c>
      <c r="S620" s="32" t="n">
        <f aca="false">R620/'DCF Base Case'!$B$6</f>
        <v>9.6968670374771</v>
      </c>
    </row>
    <row r="621" customFormat="false" ht="15" hidden="false" customHeight="true" outlineLevel="0" collapsed="false">
      <c r="A621" s="6" t="n">
        <v>620</v>
      </c>
      <c r="B621" s="30" t="n">
        <v>0.0729521571326058</v>
      </c>
      <c r="C621" s="30" t="n">
        <v>0.388993079674096</v>
      </c>
      <c r="D621" s="30" t="n">
        <v>0.0934606225216349</v>
      </c>
      <c r="E621" s="30" t="n">
        <v>0.29300008736716</v>
      </c>
      <c r="F621" s="30" t="n">
        <v>0.0209743808865624</v>
      </c>
      <c r="G621" s="30" t="n">
        <v>0.171662991933677</v>
      </c>
      <c r="H621" s="31" t="n">
        <f aca="false">MAX(D621,F621+0.015)</f>
        <v>0.0934606225216349</v>
      </c>
      <c r="I621" s="25" t="n">
        <f aca="false">(C621-'DCF Base Case'!$B$3)*(1-E621)+'DCF Base Case'!$B$3-G621</f>
        <v>0.141445092768419</v>
      </c>
      <c r="J621" s="24" t="n">
        <f aca="false">'DCF Base Case'!$B$2*(1+B621)^1*$I621-'DCF Base Case'!$B$2*(1+B621)^0*B621*'DCF Base Case'!$B$4</f>
        <v>21.6884116397192</v>
      </c>
      <c r="K621" s="24" t="n">
        <f aca="false">'DCF Base Case'!$B$2*(1+B621)^2*$I621-'DCF Base Case'!$B$2*(1+B621)^1*B621*'DCF Base Case'!$B$4</f>
        <v>23.2706280536166</v>
      </c>
      <c r="L621" s="24" t="n">
        <f aca="false">'DCF Base Case'!$B$2*(1+B621)^3*$I621-'DCF Base Case'!$B$2*(1+B621)^2*B621*'DCF Base Case'!$B$4</f>
        <v>24.9682705679585</v>
      </c>
      <c r="M621" s="24" t="n">
        <f aca="false">'DCF Base Case'!$B$2*(1+B621)^4*$I621-'DCF Base Case'!$B$2*(1+B621)^3*B621*'DCF Base Case'!$B$4</f>
        <v>26.7897597657616</v>
      </c>
      <c r="N621" s="24" t="n">
        <f aca="false">'DCF Base Case'!$B$2*(1+B621)^5*$I621-'DCF Base Case'!$B$2*(1+B621)^4*B621*'DCF Base Case'!$B$4</f>
        <v>28.7441305297382</v>
      </c>
      <c r="O621" s="24" t="n">
        <f aca="false">J621/(1+H621)^1+K621/(1+H621)^2+L621/(1+H621)^3+M621/(1+H621)^4+N621/(1+H621)^5</f>
        <v>95.5222839621078</v>
      </c>
      <c r="P621" s="24" t="n">
        <f aca="false">N621*(1+F621)/(H621-F621)</f>
        <v>404.8633259187</v>
      </c>
      <c r="Q621" s="24" t="n">
        <f aca="false">O621+P621/(1+H621)^5</f>
        <v>354.518070490597</v>
      </c>
      <c r="R621" s="24" t="n">
        <f aca="false">Q621-'DCF Base Case'!$B$5</f>
        <v>169.518070490597</v>
      </c>
      <c r="S621" s="32" t="n">
        <f aca="false">R621/'DCF Base Case'!$B$6</f>
        <v>6.78072281962387</v>
      </c>
    </row>
    <row r="622" customFormat="false" ht="15" hidden="false" customHeight="true" outlineLevel="0" collapsed="false">
      <c r="A622" s="6" t="n">
        <v>621</v>
      </c>
      <c r="B622" s="30" t="n">
        <v>0.0909299421351925</v>
      </c>
      <c r="C622" s="30" t="n">
        <v>0.428257527160572</v>
      </c>
      <c r="D622" s="30" t="n">
        <v>0.0952861963712506</v>
      </c>
      <c r="E622" s="30" t="n">
        <v>0.30765891483531</v>
      </c>
      <c r="F622" s="30" t="n">
        <v>0.0189708467456217</v>
      </c>
      <c r="G622" s="30" t="n">
        <v>0.197721491541808</v>
      </c>
      <c r="H622" s="31" t="n">
        <f aca="false">MAX(D622,F622+0.015)</f>
        <v>0.0952861963712506</v>
      </c>
      <c r="I622" s="25" t="n">
        <f aca="false">(C622-'DCF Base Case'!$B$3)*(1-E622)+'DCF Base Case'!$B$3-G622</f>
        <v>0.138774448471079</v>
      </c>
      <c r="J622" s="24" t="n">
        <f aca="false">'DCF Base Case'!$B$2*(1+B622)^1*$I622-'DCF Base Case'!$B$2*(1+B622)^0*B622*'DCF Base Case'!$B$4</f>
        <v>21.5564689025696</v>
      </c>
      <c r="K622" s="24" t="n">
        <f aca="false">'DCF Base Case'!$B$2*(1+B622)^2*$I622-'DCF Base Case'!$B$2*(1+B622)^1*B622*'DCF Base Case'!$B$4</f>
        <v>23.5165973725194</v>
      </c>
      <c r="L622" s="24" t="n">
        <f aca="false">'DCF Base Case'!$B$2*(1+B622)^3*$I622-'DCF Base Case'!$B$2*(1+B622)^2*B622*'DCF Base Case'!$B$4</f>
        <v>25.6549602108192</v>
      </c>
      <c r="M622" s="24" t="n">
        <f aca="false">'DCF Base Case'!$B$2*(1+B622)^4*$I622-'DCF Base Case'!$B$2*(1+B622)^3*B622*'DCF Base Case'!$B$4</f>
        <v>27.9877642582696</v>
      </c>
      <c r="N622" s="24" t="n">
        <f aca="false">'DCF Base Case'!$B$2*(1+B622)^5*$I622-'DCF Base Case'!$B$2*(1+B622)^4*B622*'DCF Base Case'!$B$4</f>
        <v>30.5326900427675</v>
      </c>
      <c r="O622" s="24" t="n">
        <f aca="false">J622/(1+H622)^1+K622/(1+H622)^2+L622/(1+H622)^3+M622/(1+H622)^4+N622/(1+H622)^5</f>
        <v>97.6259794314852</v>
      </c>
      <c r="P622" s="24" t="n">
        <f aca="false">N622*(1+F622)/(H622-F622)</f>
        <v>407.67579758099</v>
      </c>
      <c r="Q622" s="24" t="n">
        <f aca="false">O622+P622/(1+H622)^5</f>
        <v>356.25476323529</v>
      </c>
      <c r="R622" s="24" t="n">
        <f aca="false">Q622-'DCF Base Case'!$B$5</f>
        <v>171.25476323529</v>
      </c>
      <c r="S622" s="32" t="n">
        <f aca="false">R622/'DCF Base Case'!$B$6</f>
        <v>6.8501905294116</v>
      </c>
    </row>
    <row r="623" customFormat="false" ht="15" hidden="false" customHeight="true" outlineLevel="0" collapsed="false">
      <c r="A623" s="6" t="n">
        <v>622</v>
      </c>
      <c r="B623" s="30" t="n">
        <v>0.0947427320944862</v>
      </c>
      <c r="C623" s="30" t="n">
        <v>0.428334004915178</v>
      </c>
      <c r="D623" s="30" t="n">
        <v>0.0881029667991837</v>
      </c>
      <c r="E623" s="30" t="n">
        <v>0.286878925756194</v>
      </c>
      <c r="F623" s="30" t="n">
        <v>0.0163572512772878</v>
      </c>
      <c r="G623" s="30" t="n">
        <v>0.181930953744938</v>
      </c>
      <c r="H623" s="31" t="n">
        <f aca="false">MAX(D623,F623+0.015)</f>
        <v>0.0881029667991837</v>
      </c>
      <c r="I623" s="25" t="n">
        <f aca="false">(C623-'DCF Base Case'!$B$3)*(1-E623)+'DCF Base Case'!$B$3-G623</f>
        <v>0.160817312323631</v>
      </c>
      <c r="J623" s="24" t="n">
        <f aca="false">'DCF Base Case'!$B$2*(1+B623)^1*$I623-'DCF Base Case'!$B$2*(1+B623)^0*B623*'DCF Base Case'!$B$4</f>
        <v>25.1156387752722</v>
      </c>
      <c r="K623" s="24" t="n">
        <f aca="false">'DCF Base Case'!$B$2*(1+B623)^2*$I623-'DCF Base Case'!$B$2*(1+B623)^1*B623*'DCF Base Case'!$B$4</f>
        <v>27.4951630111397</v>
      </c>
      <c r="L623" s="24" t="n">
        <f aca="false">'DCF Base Case'!$B$2*(1+B623)^3*$I623-'DCF Base Case'!$B$2*(1+B623)^2*B623*'DCF Base Case'!$B$4</f>
        <v>30.1001298741984</v>
      </c>
      <c r="M623" s="24" t="n">
        <f aca="false">'DCF Base Case'!$B$2*(1+B623)^4*$I623-'DCF Base Case'!$B$2*(1+B623)^3*B623*'DCF Base Case'!$B$4</f>
        <v>32.9518984148788</v>
      </c>
      <c r="N623" s="24" t="n">
        <f aca="false">'DCF Base Case'!$B$2*(1+B623)^5*$I623-'DCF Base Case'!$B$2*(1+B623)^4*B623*'DCF Base Case'!$B$4</f>
        <v>36.0738512984044</v>
      </c>
      <c r="O623" s="24" t="n">
        <f aca="false">J623/(1+H623)^1+K623/(1+H623)^2+L623/(1+H623)^3+M623/(1+H623)^4+N623/(1+H623)^5</f>
        <v>116.827333326105</v>
      </c>
      <c r="P623" s="24" t="n">
        <f aca="false">N623*(1+F623)/(H623-F623)</f>
        <v>511.025920947746</v>
      </c>
      <c r="Q623" s="24" t="n">
        <f aca="false">O623+P623/(1+H623)^5</f>
        <v>451.864476911272</v>
      </c>
      <c r="R623" s="24" t="n">
        <f aca="false">Q623-'DCF Base Case'!$B$5</f>
        <v>266.864476911272</v>
      </c>
      <c r="S623" s="32" t="n">
        <f aca="false">R623/'DCF Base Case'!$B$6</f>
        <v>10.6745790764509</v>
      </c>
    </row>
    <row r="624" customFormat="false" ht="15" hidden="false" customHeight="true" outlineLevel="0" collapsed="false">
      <c r="A624" s="6" t="n">
        <v>623</v>
      </c>
      <c r="B624" s="30" t="n">
        <v>0.136669444721997</v>
      </c>
      <c r="C624" s="30" t="n">
        <v>0.427779502719537</v>
      </c>
      <c r="D624" s="30" t="n">
        <v>0.0857809418696744</v>
      </c>
      <c r="E624" s="30" t="n">
        <v>0.268418583328654</v>
      </c>
      <c r="F624" s="30" t="n">
        <v>0.0173982685572855</v>
      </c>
      <c r="G624" s="30" t="n">
        <v>0.200831316044377</v>
      </c>
      <c r="H624" s="31" t="n">
        <f aca="false">MAX(D624,F624+0.015)</f>
        <v>0.0857809418696744</v>
      </c>
      <c r="I624" s="25" t="n">
        <f aca="false">(C624-'DCF Base Case'!$B$3)*(1-E624)+'DCF Base Case'!$B$3-G624</f>
        <v>0.147018634410871</v>
      </c>
      <c r="J624" s="24" t="n">
        <f aca="false">'DCF Base Case'!$B$2*(1+B624)^1*$I624-'DCF Base Case'!$B$2*(1+B624)^0*B624*'DCF Base Case'!$B$4</f>
        <v>23.6366683987</v>
      </c>
      <c r="K624" s="24" t="n">
        <f aca="false">'DCF Base Case'!$B$2*(1+B624)^2*$I624-'DCF Base Case'!$B$2*(1+B624)^1*B624*'DCF Base Case'!$B$4</f>
        <v>26.8670787438283</v>
      </c>
      <c r="L624" s="24" t="n">
        <f aca="false">'DCF Base Case'!$B$2*(1+B624)^3*$I624-'DCF Base Case'!$B$2*(1+B624)^2*B624*'DCF Base Case'!$B$4</f>
        <v>30.5389874770495</v>
      </c>
      <c r="M624" s="24" t="n">
        <f aca="false">'DCF Base Case'!$B$2*(1+B624)^4*$I624-'DCF Base Case'!$B$2*(1+B624)^3*B624*'DCF Base Case'!$B$4</f>
        <v>34.7127339379098</v>
      </c>
      <c r="N624" s="24" t="n">
        <f aca="false">'DCF Base Case'!$B$2*(1+B624)^5*$I624-'DCF Base Case'!$B$2*(1+B624)^4*B624*'DCF Base Case'!$B$4</f>
        <v>39.4569040099864</v>
      </c>
      <c r="O624" s="24" t="n">
        <f aca="false">J624/(1+H624)^1+K624/(1+H624)^2+L624/(1+H624)^3+M624/(1+H624)^4+N624/(1+H624)^5</f>
        <v>119.538745047379</v>
      </c>
      <c r="P624" s="24" t="n">
        <f aca="false">N624*(1+F624)/(H624-F624)</f>
        <v>587.040311205827</v>
      </c>
      <c r="Q624" s="24" t="n">
        <f aca="false">O624+P624/(1+H624)^5</f>
        <v>508.54523992986</v>
      </c>
      <c r="R624" s="24" t="n">
        <f aca="false">Q624-'DCF Base Case'!$B$5</f>
        <v>323.54523992986</v>
      </c>
      <c r="S624" s="32" t="n">
        <f aca="false">R624/'DCF Base Case'!$B$6</f>
        <v>12.9418095971944</v>
      </c>
    </row>
    <row r="625" customFormat="false" ht="15" hidden="false" customHeight="true" outlineLevel="0" collapsed="false">
      <c r="A625" s="6" t="n">
        <v>624</v>
      </c>
      <c r="B625" s="30" t="n">
        <v>0.075389466277893</v>
      </c>
      <c r="C625" s="30" t="n">
        <v>0.398603206762914</v>
      </c>
      <c r="D625" s="30" t="n">
        <v>0.0675375789389557</v>
      </c>
      <c r="E625" s="30" t="n">
        <v>0.262370000130215</v>
      </c>
      <c r="F625" s="30" t="n">
        <v>0.0127679757265285</v>
      </c>
      <c r="G625" s="30" t="n">
        <v>0.180218804595612</v>
      </c>
      <c r="H625" s="31" t="n">
        <f aca="false">MAX(D625,F625+0.015)</f>
        <v>0.0675375789389557</v>
      </c>
      <c r="I625" s="25" t="n">
        <f aca="false">(C625-'DCF Base Case'!$B$3)*(1-E625)+'DCF Base Case'!$B$3-G625</f>
        <v>0.14791097877394</v>
      </c>
      <c r="J625" s="24" t="n">
        <f aca="false">'DCF Base Case'!$B$2*(1+B625)^1*$I625-'DCF Base Case'!$B$2*(1+B625)^0*B625*'DCF Base Case'!$B$4</f>
        <v>22.7360325571417</v>
      </c>
      <c r="K625" s="24" t="n">
        <f aca="false">'DCF Base Case'!$B$2*(1+B625)^2*$I625-'DCF Base Case'!$B$2*(1+B625)^1*B625*'DCF Base Case'!$B$4</f>
        <v>24.4500899169014</v>
      </c>
      <c r="L625" s="24" t="n">
        <f aca="false">'DCF Base Case'!$B$2*(1+B625)^3*$I625-'DCF Base Case'!$B$2*(1+B625)^2*B625*'DCF Base Case'!$B$4</f>
        <v>26.2933691461831</v>
      </c>
      <c r="M625" s="24" t="n">
        <f aca="false">'DCF Base Case'!$B$2*(1+B625)^4*$I625-'DCF Base Case'!$B$2*(1+B625)^3*B625*'DCF Base Case'!$B$4</f>
        <v>28.2756122127614</v>
      </c>
      <c r="N625" s="24" t="n">
        <f aca="false">'DCF Base Case'!$B$2*(1+B625)^5*$I625-'DCF Base Case'!$B$2*(1+B625)^4*B625*'DCF Base Case'!$B$4</f>
        <v>30.4072955261622</v>
      </c>
      <c r="O625" s="24" t="n">
        <f aca="false">J625/(1+H625)^1+K625/(1+H625)^2+L625/(1+H625)^3+M625/(1+H625)^4+N625/(1+H625)^5</f>
        <v>108.066242281681</v>
      </c>
      <c r="P625" s="24" t="n">
        <f aca="false">N625*(1+F625)/(H625-F625)</f>
        <v>562.274205601002</v>
      </c>
      <c r="Q625" s="24" t="n">
        <f aca="false">O625+P625/(1+H625)^5</f>
        <v>513.604939533202</v>
      </c>
      <c r="R625" s="24" t="n">
        <f aca="false">Q625-'DCF Base Case'!$B$5</f>
        <v>328.604939533202</v>
      </c>
      <c r="S625" s="32" t="n">
        <f aca="false">R625/'DCF Base Case'!$B$6</f>
        <v>13.1441975813281</v>
      </c>
    </row>
    <row r="626" customFormat="false" ht="15" hidden="false" customHeight="true" outlineLevel="0" collapsed="false">
      <c r="A626" s="6" t="n">
        <v>625</v>
      </c>
      <c r="B626" s="30" t="n">
        <v>0.136424019034957</v>
      </c>
      <c r="C626" s="30" t="n">
        <v>0.427611400995234</v>
      </c>
      <c r="D626" s="30" t="n">
        <v>0.0666656627371074</v>
      </c>
      <c r="E626" s="30" t="n">
        <v>0.307312810763567</v>
      </c>
      <c r="F626" s="30" t="n">
        <v>0.0163942390927333</v>
      </c>
      <c r="G626" s="30" t="n">
        <v>0.195886213774241</v>
      </c>
      <c r="H626" s="31" t="n">
        <f aca="false">MAX(D626,F626+0.015)</f>
        <v>0.0666656627371074</v>
      </c>
      <c r="I626" s="25" t="n">
        <f aca="false">(C626-'DCF Base Case'!$B$3)*(1-E626)+'DCF Base Case'!$B$3-G626</f>
        <v>0.140265391065865</v>
      </c>
      <c r="J626" s="24" t="n">
        <f aca="false">'DCF Base Case'!$B$2*(1+B626)^1*$I626-'DCF Base Case'!$B$2*(1+B626)^0*B626*'DCF Base Case'!$B$4</f>
        <v>22.519694636952</v>
      </c>
      <c r="K626" s="24" t="n">
        <f aca="false">'DCF Base Case'!$B$2*(1+B626)^2*$I626-'DCF Base Case'!$B$2*(1+B626)^1*B626*'DCF Base Case'!$B$4</f>
        <v>25.591921886765</v>
      </c>
      <c r="L626" s="24" t="n">
        <f aca="false">'DCF Base Case'!$B$2*(1+B626)^3*$I626-'DCF Base Case'!$B$2*(1+B626)^2*B626*'DCF Base Case'!$B$4</f>
        <v>29.0832747253861</v>
      </c>
      <c r="M626" s="24" t="n">
        <f aca="false">'DCF Base Case'!$B$2*(1+B626)^4*$I626-'DCF Base Case'!$B$2*(1+B626)^3*B626*'DCF Base Case'!$B$4</f>
        <v>33.0509319501211</v>
      </c>
      <c r="N626" s="24" t="n">
        <f aca="false">'DCF Base Case'!$B$2*(1+B626)^5*$I626-'DCF Base Case'!$B$2*(1+B626)^4*B626*'DCF Base Case'!$B$4</f>
        <v>37.5598729196075</v>
      </c>
      <c r="O626" s="24" t="n">
        <f aca="false">J626/(1+H626)^1+K626/(1+H626)^2+L626/(1+H626)^3+M626/(1+H626)^4+N626/(1+H626)^5</f>
        <v>120.301131972995</v>
      </c>
      <c r="P626" s="24" t="n">
        <f aca="false">N626*(1+F626)/(H626-F626)</f>
        <v>759.390438723262</v>
      </c>
      <c r="Q626" s="24" t="n">
        <f aca="false">O626+P626/(1+H626)^5</f>
        <v>670.251567743799</v>
      </c>
      <c r="R626" s="24" t="n">
        <f aca="false">Q626-'DCF Base Case'!$B$5</f>
        <v>485.251567743799</v>
      </c>
      <c r="S626" s="32" t="n">
        <f aca="false">R626/'DCF Base Case'!$B$6</f>
        <v>19.410062709752</v>
      </c>
    </row>
    <row r="627" customFormat="false" ht="15" hidden="false" customHeight="true" outlineLevel="0" collapsed="false">
      <c r="A627" s="6" t="n">
        <v>626</v>
      </c>
      <c r="B627" s="30" t="n">
        <v>0.0840999216859714</v>
      </c>
      <c r="C627" s="30" t="n">
        <v>0.398334318927628</v>
      </c>
      <c r="D627" s="30" t="n">
        <v>0.0830424668867975</v>
      </c>
      <c r="E627" s="30" t="n">
        <v>0.302877882561363</v>
      </c>
      <c r="F627" s="30" t="n">
        <v>0.0184710365043104</v>
      </c>
      <c r="G627" s="30" t="n">
        <v>0.15519611341953</v>
      </c>
      <c r="H627" s="31" t="n">
        <f aca="false">MAX(D627,F627+0.015)</f>
        <v>0.0830424668867975</v>
      </c>
      <c r="I627" s="25" t="n">
        <f aca="false">(C627-'DCF Base Case'!$B$3)*(1-E627)+'DCF Base Case'!$B$3-G627</f>
        <v>0.161865675172753</v>
      </c>
      <c r="J627" s="24" t="n">
        <f aca="false">'DCF Base Case'!$B$2*(1+B627)^1*$I627-'DCF Base Case'!$B$2*(1+B627)^0*B627*'DCF Base Case'!$B$4</f>
        <v>25.0785573785381</v>
      </c>
      <c r="K627" s="24" t="n">
        <f aca="false">'DCF Base Case'!$B$2*(1+B627)^2*$I627-'DCF Base Case'!$B$2*(1+B627)^1*B627*'DCF Base Case'!$B$4</f>
        <v>27.1876620900703</v>
      </c>
      <c r="L627" s="24" t="n">
        <f aca="false">'DCF Base Case'!$B$2*(1+B627)^3*$I627-'DCF Base Case'!$B$2*(1+B627)^2*B627*'DCF Base Case'!$B$4</f>
        <v>29.4741423426698</v>
      </c>
      <c r="M627" s="24" t="n">
        <f aca="false">'DCF Base Case'!$B$2*(1+B627)^4*$I627-'DCF Base Case'!$B$2*(1+B627)^3*B627*'DCF Base Case'!$B$4</f>
        <v>31.9529154054496</v>
      </c>
      <c r="N627" s="24" t="n">
        <f aca="false">'DCF Base Case'!$B$2*(1+B627)^5*$I627-'DCF Base Case'!$B$2*(1+B627)^4*B627*'DCF Base Case'!$B$4</f>
        <v>34.6401530886863</v>
      </c>
      <c r="O627" s="24" t="n">
        <f aca="false">J627/(1+H627)^1+K627/(1+H627)^2+L627/(1+H627)^3+M627/(1+H627)^4+N627/(1+H627)^5</f>
        <v>116.00458016014</v>
      </c>
      <c r="P627" s="24" t="n">
        <f aca="false">N627*(1+F627)/(H627-F627)</f>
        <v>546.371551813585</v>
      </c>
      <c r="Q627" s="24" t="n">
        <f aca="false">O627+P627/(1+H627)^5</f>
        <v>482.662144229715</v>
      </c>
      <c r="R627" s="24" t="n">
        <f aca="false">Q627-'DCF Base Case'!$B$5</f>
        <v>297.662144229715</v>
      </c>
      <c r="S627" s="32" t="n">
        <f aca="false">R627/'DCF Base Case'!$B$6</f>
        <v>11.9064857691886</v>
      </c>
    </row>
    <row r="628" customFormat="false" ht="15" hidden="false" customHeight="true" outlineLevel="0" collapsed="false">
      <c r="A628" s="6" t="n">
        <v>627</v>
      </c>
      <c r="B628" s="30" t="n">
        <v>0.085891025100945</v>
      </c>
      <c r="C628" s="30" t="n">
        <v>0.384938432898634</v>
      </c>
      <c r="D628" s="30" t="n">
        <v>0.0893673476252338</v>
      </c>
      <c r="E628" s="30" t="n">
        <v>0.249021078512475</v>
      </c>
      <c r="F628" s="30" t="n">
        <v>0.0175817902170149</v>
      </c>
      <c r="G628" s="30" t="n">
        <v>0.183354857390787</v>
      </c>
      <c r="H628" s="31" t="n">
        <f aca="false">MAX(D628,F628+0.015)</f>
        <v>0.0893673476252338</v>
      </c>
      <c r="I628" s="25" t="n">
        <f aca="false">(C628-'DCF Base Case'!$B$3)*(1-E628)+'DCF Base Case'!$B$3-G628</f>
        <v>0.138098531993149</v>
      </c>
      <c r="J628" s="24" t="n">
        <f aca="false">'DCF Base Case'!$B$2*(1+B628)^1*$I628-'DCF Base Case'!$B$2*(1+B628)^0*B628*'DCF Base Case'!$B$4</f>
        <v>21.3705677291024</v>
      </c>
      <c r="K628" s="24" t="n">
        <f aca="false">'DCF Base Case'!$B$2*(1+B628)^2*$I628-'DCF Base Case'!$B$2*(1+B628)^1*B628*'DCF Base Case'!$B$4</f>
        <v>23.2061076983442</v>
      </c>
      <c r="L628" s="24" t="n">
        <f aca="false">'DCF Base Case'!$B$2*(1+B628)^3*$I628-'DCF Base Case'!$B$2*(1+B628)^2*B628*'DCF Base Case'!$B$4</f>
        <v>25.1993040771579</v>
      </c>
      <c r="M628" s="24" t="n">
        <f aca="false">'DCF Base Case'!$B$2*(1+B628)^4*$I628-'DCF Base Case'!$B$2*(1+B628)^3*B628*'DCF Base Case'!$B$4</f>
        <v>27.3636981361754</v>
      </c>
      <c r="N628" s="24" t="n">
        <f aca="false">'DCF Base Case'!$B$2*(1+B628)^5*$I628-'DCF Base Case'!$B$2*(1+B628)^4*B628*'DCF Base Case'!$B$4</f>
        <v>29.7139942196444</v>
      </c>
      <c r="O628" s="24" t="n">
        <f aca="false">J628/(1+H628)^1+K628/(1+H628)^2+L628/(1+H628)^3+M628/(1+H628)^4+N628/(1+H628)^5</f>
        <v>97.4630340714444</v>
      </c>
      <c r="P628" s="24" t="n">
        <f aca="false">N628*(1+F628)/(H628-F628)</f>
        <v>421.204773274658</v>
      </c>
      <c r="Q628" s="24" t="n">
        <f aca="false">O628+P628/(1+H628)^5</f>
        <v>372.013076755739</v>
      </c>
      <c r="R628" s="24" t="n">
        <f aca="false">Q628-'DCF Base Case'!$B$5</f>
        <v>187.013076755739</v>
      </c>
      <c r="S628" s="32" t="n">
        <f aca="false">R628/'DCF Base Case'!$B$6</f>
        <v>7.48052307022956</v>
      </c>
    </row>
    <row r="629" customFormat="false" ht="15" hidden="false" customHeight="true" outlineLevel="0" collapsed="false">
      <c r="A629" s="6" t="n">
        <v>628</v>
      </c>
      <c r="B629" s="30" t="n">
        <v>0.0963579026019813</v>
      </c>
      <c r="C629" s="30" t="n">
        <v>0.428066820678027</v>
      </c>
      <c r="D629" s="30" t="n">
        <v>0.0842844976000931</v>
      </c>
      <c r="E629" s="30" t="n">
        <v>0.315381934168788</v>
      </c>
      <c r="F629" s="30" t="n">
        <v>0.0226724843524791</v>
      </c>
      <c r="G629" s="30" t="n">
        <v>0.175654919265921</v>
      </c>
      <c r="H629" s="31" t="n">
        <f aca="false">MAX(D629,F629+0.015)</f>
        <v>0.0842844976000931</v>
      </c>
      <c r="I629" s="25" t="n">
        <f aca="false">(C629-'DCF Base Case'!$B$3)*(1-E629)+'DCF Base Case'!$B$3-G629</f>
        <v>0.158407010995129</v>
      </c>
      <c r="J629" s="24" t="n">
        <f aca="false">'DCF Base Case'!$B$2*(1+B629)^1*$I629-'DCF Base Case'!$B$2*(1+B629)^0*B629*'DCF Base Case'!$B$4</f>
        <v>24.7631059818313</v>
      </c>
      <c r="K629" s="24" t="n">
        <f aca="false">'DCF Base Case'!$B$2*(1+B629)^2*$I629-'DCF Base Case'!$B$2*(1+B629)^1*B629*'DCF Base Case'!$B$4</f>
        <v>27.1492269361511</v>
      </c>
      <c r="L629" s="24" t="n">
        <f aca="false">'DCF Base Case'!$B$2*(1+B629)^3*$I629-'DCF Base Case'!$B$2*(1+B629)^2*B629*'DCF Base Case'!$B$4</f>
        <v>29.7652695009838</v>
      </c>
      <c r="M629" s="24" t="n">
        <f aca="false">'DCF Base Case'!$B$2*(1+B629)^4*$I629-'DCF Base Case'!$B$2*(1+B629)^3*B629*'DCF Base Case'!$B$4</f>
        <v>32.6333884404814</v>
      </c>
      <c r="N629" s="24" t="n">
        <f aca="false">'DCF Base Case'!$B$2*(1+B629)^5*$I629-'DCF Base Case'!$B$2*(1+B629)^4*B629*'DCF Base Case'!$B$4</f>
        <v>35.7778733054019</v>
      </c>
      <c r="O629" s="24" t="n">
        <f aca="false">J629/(1+H629)^1+K629/(1+H629)^2+L629/(1+H629)^3+M629/(1+H629)^4+N629/(1+H629)^5</f>
        <v>116.762485006661</v>
      </c>
      <c r="P629" s="24" t="n">
        <f aca="false">N629*(1+F629)/(H629-F629)</f>
        <v>593.862213705548</v>
      </c>
      <c r="Q629" s="24" t="n">
        <f aca="false">O629+P629/(1+H629)^5</f>
        <v>513.012644531622</v>
      </c>
      <c r="R629" s="24" t="n">
        <f aca="false">Q629-'DCF Base Case'!$B$5</f>
        <v>328.012644531622</v>
      </c>
      <c r="S629" s="32" t="n">
        <f aca="false">R629/'DCF Base Case'!$B$6</f>
        <v>13.1205057812649</v>
      </c>
    </row>
    <row r="630" customFormat="false" ht="15" hidden="false" customHeight="true" outlineLevel="0" collapsed="false">
      <c r="A630" s="6" t="n">
        <v>629</v>
      </c>
      <c r="B630" s="30" t="n">
        <v>0.110266044852745</v>
      </c>
      <c r="C630" s="30" t="n">
        <v>0.435336748172557</v>
      </c>
      <c r="D630" s="30" t="n">
        <v>0.0801659013531842</v>
      </c>
      <c r="E630" s="30" t="n">
        <v>0.254031364360242</v>
      </c>
      <c r="F630" s="30" t="n">
        <v>0.0208482522113632</v>
      </c>
      <c r="G630" s="30" t="n">
        <v>0.178107115088484</v>
      </c>
      <c r="H630" s="31" t="n">
        <f aca="false">MAX(D630,F630+0.015)</f>
        <v>0.0801659013531842</v>
      </c>
      <c r="I630" s="25" t="n">
        <f aca="false">(C630-'DCF Base Case'!$B$3)*(1-E630)+'DCF Base Case'!$B$3-G630</f>
        <v>0.179664522356479</v>
      </c>
      <c r="J630" s="24" t="n">
        <f aca="false">'DCF Base Case'!$B$2*(1+B630)^1*$I630-'DCF Base Case'!$B$2*(1+B630)^0*B630*'DCF Base Case'!$B$4</f>
        <v>28.4442784072679</v>
      </c>
      <c r="K630" s="24" t="n">
        <f aca="false">'DCF Base Case'!$B$2*(1+B630)^2*$I630-'DCF Base Case'!$B$2*(1+B630)^1*B630*'DCF Base Case'!$B$4</f>
        <v>31.5807164859277</v>
      </c>
      <c r="L630" s="24" t="n">
        <f aca="false">'DCF Base Case'!$B$2*(1+B630)^3*$I630-'DCF Base Case'!$B$2*(1+B630)^2*B630*'DCF Base Case'!$B$4</f>
        <v>35.0629971864468</v>
      </c>
      <c r="M630" s="24" t="n">
        <f aca="false">'DCF Base Case'!$B$2*(1+B630)^4*$I630-'DCF Base Case'!$B$2*(1+B630)^3*B630*'DCF Base Case'!$B$4</f>
        <v>38.9292552068792</v>
      </c>
      <c r="N630" s="24" t="n">
        <f aca="false">'DCF Base Case'!$B$2*(1+B630)^5*$I630-'DCF Base Case'!$B$2*(1+B630)^4*B630*'DCF Base Case'!$B$4</f>
        <v>43.2218302076049</v>
      </c>
      <c r="O630" s="24" t="n">
        <f aca="false">J630/(1+H630)^1+K630/(1+H630)^2+L630/(1+H630)^3+M630/(1+H630)^4+N630/(1+H630)^5</f>
        <v>139.211680149711</v>
      </c>
      <c r="P630" s="24" t="n">
        <f aca="false">N630*(1+F630)/(H630-F630)</f>
        <v>743.841511980987</v>
      </c>
      <c r="Q630" s="24" t="n">
        <f aca="false">O630+P630/(1+H630)^5</f>
        <v>645.069065331796</v>
      </c>
      <c r="R630" s="24" t="n">
        <f aca="false">Q630-'DCF Base Case'!$B$5</f>
        <v>460.069065331796</v>
      </c>
      <c r="S630" s="32" t="n">
        <f aca="false">R630/'DCF Base Case'!$B$6</f>
        <v>18.4027626132718</v>
      </c>
    </row>
    <row r="631" customFormat="false" ht="15" hidden="false" customHeight="true" outlineLevel="0" collapsed="false">
      <c r="A631" s="6" t="n">
        <v>630</v>
      </c>
      <c r="B631" s="30" t="n">
        <v>0.113755701346539</v>
      </c>
      <c r="C631" s="30" t="n">
        <v>0.403137947418072</v>
      </c>
      <c r="D631" s="30" t="n">
        <v>0.0750292583479512</v>
      </c>
      <c r="E631" s="30" t="n">
        <v>0.293469834116647</v>
      </c>
      <c r="F631" s="30" t="n">
        <v>0.019084914678323</v>
      </c>
      <c r="G631" s="30" t="n">
        <v>0.130892849608156</v>
      </c>
      <c r="H631" s="31" t="n">
        <f aca="false">MAX(D631,F631+0.015)</f>
        <v>0.0750292583479512</v>
      </c>
      <c r="I631" s="25" t="n">
        <f aca="false">(C631-'DCF Base Case'!$B$3)*(1-E631)+'DCF Base Case'!$B$3-G631</f>
        <v>0.192087349690173</v>
      </c>
      <c r="J631" s="24" t="n">
        <f aca="false">'DCF Base Case'!$B$2*(1+B631)^1*$I631-'DCF Base Case'!$B$2*(1+B631)^0*B631*'DCF Base Case'!$B$4</f>
        <v>30.5262279258691</v>
      </c>
      <c r="K631" s="24" t="n">
        <f aca="false">'DCF Base Case'!$B$2*(1+B631)^2*$I631-'DCF Base Case'!$B$2*(1+B631)^1*B631*'DCF Base Case'!$B$4</f>
        <v>33.9987603930407</v>
      </c>
      <c r="L631" s="24" t="n">
        <f aca="false">'DCF Base Case'!$B$2*(1+B631)^3*$I631-'DCF Base Case'!$B$2*(1+B631)^2*B631*'DCF Base Case'!$B$4</f>
        <v>37.866313226464</v>
      </c>
      <c r="M631" s="24" t="n">
        <f aca="false">'DCF Base Case'!$B$2*(1+B631)^4*$I631-'DCF Base Case'!$B$2*(1+B631)^3*B631*'DCF Base Case'!$B$4</f>
        <v>42.1738222449481</v>
      </c>
      <c r="N631" s="24" t="n">
        <f aca="false">'DCF Base Case'!$B$2*(1+B631)^5*$I631-'DCF Base Case'!$B$2*(1+B631)^4*B631*'DCF Base Case'!$B$4</f>
        <v>46.9713349728864</v>
      </c>
      <c r="O631" s="24" t="n">
        <f aca="false">J631/(1+H631)^1+K631/(1+H631)^2+L631/(1+H631)^3+M631/(1+H631)^4+N631/(1+H631)^5</f>
        <v>152.582932753319</v>
      </c>
      <c r="P631" s="24" t="n">
        <f aca="false">N631*(1+F631)/(H631-F631)</f>
        <v>855.632147118351</v>
      </c>
      <c r="Q631" s="24" t="n">
        <f aca="false">O631+P631/(1+H631)^5</f>
        <v>748.499790982533</v>
      </c>
      <c r="R631" s="24" t="n">
        <f aca="false">Q631-'DCF Base Case'!$B$5</f>
        <v>563.499790982533</v>
      </c>
      <c r="S631" s="32" t="n">
        <f aca="false">R631/'DCF Base Case'!$B$6</f>
        <v>22.5399916393013</v>
      </c>
    </row>
    <row r="632" customFormat="false" ht="15" hidden="false" customHeight="true" outlineLevel="0" collapsed="false">
      <c r="A632" s="6" t="n">
        <v>631</v>
      </c>
      <c r="B632" s="30" t="n">
        <v>0.0979411119440795</v>
      </c>
      <c r="C632" s="30" t="n">
        <v>0.378059978453098</v>
      </c>
      <c r="D632" s="30" t="n">
        <v>0.0746021779293929</v>
      </c>
      <c r="E632" s="30" t="n">
        <v>0.320443909785631</v>
      </c>
      <c r="F632" s="30" t="n">
        <v>0.025387237403903</v>
      </c>
      <c r="G632" s="30" t="n">
        <v>0.141171483253436</v>
      </c>
      <c r="H632" s="31" t="n">
        <f aca="false">MAX(D632,F632+0.015)</f>
        <v>0.0746021779293929</v>
      </c>
      <c r="I632" s="25" t="n">
        <f aca="false">(C632-'DCF Base Case'!$B$3)*(1-E632)+'DCF Base Case'!$B$3-G632</f>
        <v>0.157399185842812</v>
      </c>
      <c r="J632" s="24" t="n">
        <f aca="false">'DCF Base Case'!$B$2*(1+B632)^1*$I632-'DCF Base Case'!$B$2*(1+B632)^0*B632*'DCF Base Case'!$B$4</f>
        <v>24.632136545929</v>
      </c>
      <c r="K632" s="24" t="n">
        <f aca="false">'DCF Base Case'!$B$2*(1+B632)^2*$I632-'DCF Base Case'!$B$2*(1+B632)^1*B632*'DCF Base Case'!$B$4</f>
        <v>27.0446353887956</v>
      </c>
      <c r="L632" s="24" t="n">
        <f aca="false">'DCF Base Case'!$B$2*(1+B632)^3*$I632-'DCF Base Case'!$B$2*(1+B632)^2*B632*'DCF Base Case'!$B$4</f>
        <v>29.6934170508965</v>
      </c>
      <c r="M632" s="24" t="n">
        <f aca="false">'DCF Base Case'!$B$2*(1+B632)^4*$I632-'DCF Base Case'!$B$2*(1+B632)^3*B632*'DCF Base Case'!$B$4</f>
        <v>32.6016233342806</v>
      </c>
      <c r="N632" s="24" t="n">
        <f aca="false">'DCF Base Case'!$B$2*(1+B632)^5*$I632-'DCF Base Case'!$B$2*(1+B632)^4*B632*'DCF Base Case'!$B$4</f>
        <v>35.7946625748221</v>
      </c>
      <c r="O632" s="24" t="n">
        <f aca="false">J632/(1+H632)^1+K632/(1+H632)^2+L632/(1+H632)^3+M632/(1+H632)^4+N632/(1+H632)^5</f>
        <v>119.698169174858</v>
      </c>
      <c r="P632" s="24" t="n">
        <f aca="false">N632*(1+F632)/(H632-F632)</f>
        <v>745.777395634398</v>
      </c>
      <c r="Q632" s="24" t="n">
        <f aca="false">O632+P632/(1+H632)^5</f>
        <v>640.138127820053</v>
      </c>
      <c r="R632" s="24" t="n">
        <f aca="false">Q632-'DCF Base Case'!$B$5</f>
        <v>455.138127820053</v>
      </c>
      <c r="S632" s="32" t="n">
        <f aca="false">R632/'DCF Base Case'!$B$6</f>
        <v>18.2055251128021</v>
      </c>
    </row>
    <row r="633" customFormat="false" ht="15" hidden="false" customHeight="true" outlineLevel="0" collapsed="false">
      <c r="A633" s="6" t="n">
        <v>632</v>
      </c>
      <c r="B633" s="30" t="n">
        <v>0.0830656406954951</v>
      </c>
      <c r="C633" s="30" t="n">
        <v>0.413101637372838</v>
      </c>
      <c r="D633" s="30" t="n">
        <v>0.104593496203397</v>
      </c>
      <c r="E633" s="30" t="n">
        <v>0.267413201344318</v>
      </c>
      <c r="F633" s="30" t="n">
        <v>0.0174448916772701</v>
      </c>
      <c r="G633" s="30" t="n">
        <v>0.200912225864055</v>
      </c>
      <c r="H633" s="31" t="n">
        <f aca="false">MAX(D633,F633+0.015)</f>
        <v>0.104593496203397</v>
      </c>
      <c r="I633" s="25" t="n">
        <f aca="false">(C633-'DCF Base Case'!$B$3)*(1-E633)+'DCF Base Case'!$B$3-G633</f>
        <v>0.136484296353094</v>
      </c>
      <c r="J633" s="24" t="n">
        <f aca="false">'DCF Base Case'!$B$2*(1+B633)^1*$I633-'DCF Base Case'!$B$2*(1+B633)^0*B633*'DCF Base Case'!$B$4</f>
        <v>21.0727749847826</v>
      </c>
      <c r="K633" s="24" t="n">
        <f aca="false">'DCF Base Case'!$B$2*(1+B633)^2*$I633-'DCF Base Case'!$B$2*(1+B633)^1*B633*'DCF Base Case'!$B$4</f>
        <v>22.8231985401255</v>
      </c>
      <c r="L633" s="24" t="n">
        <f aca="false">'DCF Base Case'!$B$2*(1+B633)^3*$I633-'DCF Base Case'!$B$2*(1+B633)^2*B633*'DCF Base Case'!$B$4</f>
        <v>24.7190221495815</v>
      </c>
      <c r="M633" s="24" t="n">
        <f aca="false">'DCF Base Case'!$B$2*(1+B633)^4*$I633-'DCF Base Case'!$B$2*(1+B633)^3*B633*'DCF Base Case'!$B$4</f>
        <v>26.7723235618027</v>
      </c>
      <c r="N633" s="24" t="n">
        <f aca="false">'DCF Base Case'!$B$2*(1+B633)^5*$I633-'DCF Base Case'!$B$2*(1+B633)^4*B633*'DCF Base Case'!$B$4</f>
        <v>28.9961837713709</v>
      </c>
      <c r="O633" s="24" t="n">
        <f aca="false">J633/(1+H633)^1+K633/(1+H633)^2+L633/(1+H633)^3+M633/(1+H633)^4+N633/(1+H633)^5</f>
        <v>91.7407034357227</v>
      </c>
      <c r="P633" s="24" t="n">
        <f aca="false">N633*(1+F633)/(H633-F633)</f>
        <v>338.525432698949</v>
      </c>
      <c r="Q633" s="24" t="n">
        <f aca="false">O633+P633/(1+H633)^5</f>
        <v>297.603985739308</v>
      </c>
      <c r="R633" s="24" t="n">
        <f aca="false">Q633-'DCF Base Case'!$B$5</f>
        <v>112.603985739308</v>
      </c>
      <c r="S633" s="32" t="n">
        <f aca="false">R633/'DCF Base Case'!$B$6</f>
        <v>4.5041594295723</v>
      </c>
    </row>
    <row r="634" customFormat="false" ht="15" hidden="false" customHeight="true" outlineLevel="0" collapsed="false">
      <c r="A634" s="6" t="n">
        <v>633</v>
      </c>
      <c r="B634" s="30" t="n">
        <v>0.0820659387784321</v>
      </c>
      <c r="C634" s="30" t="n">
        <v>0.425779668285529</v>
      </c>
      <c r="D634" s="30" t="n">
        <v>0.0687514273837633</v>
      </c>
      <c r="E634" s="30" t="n">
        <v>0.275013346321573</v>
      </c>
      <c r="F634" s="30" t="n">
        <v>0.0129132651220328</v>
      </c>
      <c r="G634" s="30" t="n">
        <v>0.144134082950524</v>
      </c>
      <c r="H634" s="31" t="n">
        <f aca="false">MAX(D634,F634+0.015)</f>
        <v>0.0687514273837633</v>
      </c>
      <c r="I634" s="25" t="n">
        <f aca="false">(C634-'DCF Base Case'!$B$3)*(1-E634)+'DCF Base Case'!$B$3-G634</f>
        <v>0.200302228985917</v>
      </c>
      <c r="J634" s="24" t="n">
        <f aca="false">'DCF Base Case'!$B$2*(1+B634)^1*$I634-'DCF Base Case'!$B$2*(1+B634)^0*B634*'DCF Base Case'!$B$4</f>
        <v>31.0703449861373</v>
      </c>
      <c r="K634" s="24" t="n">
        <f aca="false">'DCF Base Case'!$B$2*(1+B634)^2*$I634-'DCF Base Case'!$B$2*(1+B634)^1*B634*'DCF Base Case'!$B$4</f>
        <v>33.6201620155944</v>
      </c>
      <c r="L634" s="24" t="n">
        <f aca="false">'DCF Base Case'!$B$2*(1+B634)^3*$I634-'DCF Base Case'!$B$2*(1+B634)^2*B634*'DCF Base Case'!$B$4</f>
        <v>36.3792321732872</v>
      </c>
      <c r="M634" s="24" t="n">
        <f aca="false">'DCF Base Case'!$B$2*(1+B634)^4*$I634-'DCF Base Case'!$B$2*(1+B634)^3*B634*'DCF Base Case'!$B$4</f>
        <v>39.3647280136265</v>
      </c>
      <c r="N634" s="24" t="n">
        <f aca="false">'DCF Base Case'!$B$2*(1+B634)^5*$I634-'DCF Base Case'!$B$2*(1+B634)^4*B634*'DCF Base Case'!$B$4</f>
        <v>42.5952313728224</v>
      </c>
      <c r="O634" s="24" t="n">
        <f aca="false">J634/(1+H634)^1+K634/(1+H634)^2+L634/(1+H634)^3+M634/(1+H634)^4+N634/(1+H634)^5</f>
        <v>149.025291657959</v>
      </c>
      <c r="P634" s="24" t="n">
        <f aca="false">N634*(1+F634)/(H634-F634)</f>
        <v>772.684363898635</v>
      </c>
      <c r="Q634" s="24" t="n">
        <f aca="false">O634+P634/(1+H634)^5</f>
        <v>703.164123811399</v>
      </c>
      <c r="R634" s="24" t="n">
        <f aca="false">Q634-'DCF Base Case'!$B$5</f>
        <v>518.164123811399</v>
      </c>
      <c r="S634" s="32" t="n">
        <f aca="false">R634/'DCF Base Case'!$B$6</f>
        <v>20.726564952456</v>
      </c>
    </row>
    <row r="635" customFormat="false" ht="15" hidden="false" customHeight="true" outlineLevel="0" collapsed="false">
      <c r="A635" s="6" t="n">
        <v>634</v>
      </c>
      <c r="B635" s="30" t="n">
        <v>0.108323655238105</v>
      </c>
      <c r="C635" s="30" t="n">
        <v>0.419876618333867</v>
      </c>
      <c r="D635" s="30" t="n">
        <v>0.0814898368539173</v>
      </c>
      <c r="E635" s="30" t="n">
        <v>0.262520518021211</v>
      </c>
      <c r="F635" s="30" t="n">
        <v>0.0184981774942368</v>
      </c>
      <c r="G635" s="30" t="n">
        <v>0.172146216424757</v>
      </c>
      <c r="H635" s="31" t="n">
        <f aca="false">MAX(D635,F635+0.015)</f>
        <v>0.0814898368539173</v>
      </c>
      <c r="I635" s="25" t="n">
        <f aca="false">(C635-'DCF Base Case'!$B$3)*(1-E635)+'DCF Base Case'!$B$3-G635</f>
        <v>0.171631841901866</v>
      </c>
      <c r="J635" s="24" t="n">
        <f aca="false">'DCF Base Case'!$B$2*(1+B635)^1*$I635-'DCF Base Case'!$B$2*(1+B635)^0*B635*'DCF Base Case'!$B$4</f>
        <v>27.1112185036434</v>
      </c>
      <c r="K635" s="24" t="n">
        <f aca="false">'DCF Base Case'!$B$2*(1+B635)^2*$I635-'DCF Base Case'!$B$2*(1+B635)^1*B635*'DCF Base Case'!$B$4</f>
        <v>30.048004789917</v>
      </c>
      <c r="L635" s="24" t="n">
        <f aca="false">'DCF Base Case'!$B$2*(1+B635)^3*$I635-'DCF Base Case'!$B$2*(1+B635)^2*B635*'DCF Base Case'!$B$4</f>
        <v>33.3029145013729</v>
      </c>
      <c r="M635" s="24" t="n">
        <f aca="false">'DCF Base Case'!$B$2*(1+B635)^4*$I635-'DCF Base Case'!$B$2*(1+B635)^3*B635*'DCF Base Case'!$B$4</f>
        <v>36.9104079302437</v>
      </c>
      <c r="N635" s="24" t="n">
        <f aca="false">'DCF Base Case'!$B$2*(1+B635)^5*$I635-'DCF Base Case'!$B$2*(1+B635)^4*B635*'DCF Base Case'!$B$4</f>
        <v>40.9086782335772</v>
      </c>
      <c r="O635" s="24" t="n">
        <f aca="false">J635/(1+H635)^1+K635/(1+H635)^2+L635/(1+H635)^3+M635/(1+H635)^4+N635/(1+H635)^5</f>
        <v>131.71819286633</v>
      </c>
      <c r="P635" s="24" t="n">
        <f aca="false">N635*(1+F635)/(H635-F635)</f>
        <v>661.443350566276</v>
      </c>
      <c r="Q635" s="24" t="n">
        <f aca="false">O635+P635/(1+H635)^5</f>
        <v>578.793251334454</v>
      </c>
      <c r="R635" s="24" t="n">
        <f aca="false">Q635-'DCF Base Case'!$B$5</f>
        <v>393.793251334454</v>
      </c>
      <c r="S635" s="32" t="n">
        <f aca="false">R635/'DCF Base Case'!$B$6</f>
        <v>15.7517300533781</v>
      </c>
    </row>
    <row r="636" customFormat="false" ht="15" hidden="false" customHeight="true" outlineLevel="0" collapsed="false">
      <c r="A636" s="6" t="n">
        <v>635</v>
      </c>
      <c r="B636" s="30" t="n">
        <v>0.111467182016832</v>
      </c>
      <c r="C636" s="30" t="n">
        <v>0.370162095651798</v>
      </c>
      <c r="D636" s="30" t="n">
        <v>0.0758506270831091</v>
      </c>
      <c r="E636" s="30" t="n">
        <v>0.284240699580835</v>
      </c>
      <c r="F636" s="30" t="n">
        <v>0.0189782575440114</v>
      </c>
      <c r="G636" s="30" t="n">
        <v>0.174612618671315</v>
      </c>
      <c r="H636" s="31" t="n">
        <f aca="false">MAX(D636,F636+0.015)</f>
        <v>0.0758506270831091</v>
      </c>
      <c r="I636" s="25" t="n">
        <f aca="false">(C636-'DCF Base Case'!$B$3)*(1-E636)+'DCF Base Case'!$B$3-G636</f>
        <v>0.127285634899616</v>
      </c>
      <c r="J636" s="24" t="n">
        <f aca="false">'DCF Base Case'!$B$2*(1+B636)^1*$I636-'DCF Base Case'!$B$2*(1+B636)^0*B636*'DCF Base Case'!$B$4</f>
        <v>20.0288196185263</v>
      </c>
      <c r="K636" s="24" t="n">
        <f aca="false">'DCF Base Case'!$B$2*(1+B636)^2*$I636-'DCF Base Case'!$B$2*(1+B636)^1*B636*'DCF Base Case'!$B$4</f>
        <v>22.2613757005269</v>
      </c>
      <c r="L636" s="24" t="n">
        <f aca="false">'DCF Base Case'!$B$2*(1+B636)^3*$I636-'DCF Base Case'!$B$2*(1+B636)^2*B636*'DCF Base Case'!$B$4</f>
        <v>24.7427885176826</v>
      </c>
      <c r="M636" s="24" t="n">
        <f aca="false">'DCF Base Case'!$B$2*(1+B636)^4*$I636-'DCF Base Case'!$B$2*(1+B636)^3*B636*'DCF Base Case'!$B$4</f>
        <v>27.5007974289871</v>
      </c>
      <c r="N636" s="24" t="n">
        <f aca="false">'DCF Base Case'!$B$2*(1+B636)^5*$I636-'DCF Base Case'!$B$2*(1+B636)^4*B636*'DCF Base Case'!$B$4</f>
        <v>30.566233821612</v>
      </c>
      <c r="O636" s="24" t="n">
        <f aca="false">J636/(1+H636)^1+K636/(1+H636)^2+L636/(1+H636)^3+M636/(1+H636)^4+N636/(1+H636)^5</f>
        <v>99.45423736724</v>
      </c>
      <c r="P636" s="24" t="n">
        <f aca="false">N636*(1+F636)/(H636-F636)</f>
        <v>547.653068293858</v>
      </c>
      <c r="Q636" s="24" t="n">
        <f aca="false">O636+P636/(1+H636)^5</f>
        <v>479.42102615033</v>
      </c>
      <c r="R636" s="24" t="n">
        <f aca="false">Q636-'DCF Base Case'!$B$5</f>
        <v>294.42102615033</v>
      </c>
      <c r="S636" s="32" t="n">
        <f aca="false">R636/'DCF Base Case'!$B$6</f>
        <v>11.7768410460132</v>
      </c>
    </row>
    <row r="637" customFormat="false" ht="15" hidden="false" customHeight="true" outlineLevel="0" collapsed="false">
      <c r="A637" s="6" t="n">
        <v>636</v>
      </c>
      <c r="B637" s="30" t="n">
        <v>0.095585666717557</v>
      </c>
      <c r="C637" s="30" t="n">
        <v>0.410431676880406</v>
      </c>
      <c r="D637" s="30" t="n">
        <v>0.0792046148441411</v>
      </c>
      <c r="E637" s="30" t="n">
        <v>0.273123718653687</v>
      </c>
      <c r="F637" s="30" t="n">
        <v>0.0234441758748481</v>
      </c>
      <c r="G637" s="30" t="n">
        <v>0.150468466513593</v>
      </c>
      <c r="H637" s="31" t="n">
        <f aca="false">MAX(D637,F637+0.015)</f>
        <v>0.0792046148441411</v>
      </c>
      <c r="I637" s="25" t="n">
        <f aca="false">(C637-'DCF Base Case'!$B$3)*(1-E637)+'DCF Base Case'!$B$3-G637</f>
        <v>0.183370667948947</v>
      </c>
      <c r="J637" s="24" t="n">
        <f aca="false">'DCF Base Case'!$B$2*(1+B637)^1*$I637-'DCF Base Case'!$B$2*(1+B637)^0*B637*'DCF Base Case'!$B$4</f>
        <v>28.7144522974659</v>
      </c>
      <c r="K637" s="24" t="n">
        <f aca="false">'DCF Base Case'!$B$2*(1+B637)^2*$I637-'DCF Base Case'!$B$2*(1+B637)^1*B637*'DCF Base Case'!$B$4</f>
        <v>31.4591423647486</v>
      </c>
      <c r="L637" s="24" t="n">
        <f aca="false">'DCF Base Case'!$B$2*(1+B637)^3*$I637-'DCF Base Case'!$B$2*(1+B637)^2*B637*'DCF Base Case'!$B$4</f>
        <v>34.4661854620457</v>
      </c>
      <c r="M637" s="24" t="n">
        <f aca="false">'DCF Base Case'!$B$2*(1+B637)^4*$I637-'DCF Base Case'!$B$2*(1+B637)^3*B637*'DCF Base Case'!$B$4</f>
        <v>37.7606587786463</v>
      </c>
      <c r="N637" s="24" t="n">
        <f aca="false">'DCF Base Case'!$B$2*(1+B637)^5*$I637-'DCF Base Case'!$B$2*(1+B637)^4*B637*'DCF Base Case'!$B$4</f>
        <v>41.3700365236973</v>
      </c>
      <c r="O637" s="24" t="n">
        <f aca="false">J637/(1+H637)^1+K637/(1+H637)^2+L637/(1+H637)^3+M637/(1+H637)^4+N637/(1+H637)^5</f>
        <v>137.135659925505</v>
      </c>
      <c r="P637" s="24" t="n">
        <f aca="false">N637*(1+F637)/(H637-F637)</f>
        <v>759.318321708769</v>
      </c>
      <c r="Q637" s="24" t="n">
        <f aca="false">O637+P637/(1+H637)^5</f>
        <v>655.822118888332</v>
      </c>
      <c r="R637" s="24" t="n">
        <f aca="false">Q637-'DCF Base Case'!$B$5</f>
        <v>470.822118888332</v>
      </c>
      <c r="S637" s="32" t="n">
        <f aca="false">R637/'DCF Base Case'!$B$6</f>
        <v>18.8328847555333</v>
      </c>
    </row>
    <row r="638" customFormat="false" ht="15" hidden="false" customHeight="true" outlineLevel="0" collapsed="false">
      <c r="A638" s="6" t="n">
        <v>637</v>
      </c>
      <c r="B638" s="30" t="n">
        <v>0.0887319302959219</v>
      </c>
      <c r="C638" s="30" t="n">
        <v>0.417940885107427</v>
      </c>
      <c r="D638" s="30" t="n">
        <v>0.102163860228619</v>
      </c>
      <c r="E638" s="30" t="n">
        <v>0.271779242341969</v>
      </c>
      <c r="F638" s="30" t="n">
        <v>0.0227926987346492</v>
      </c>
      <c r="G638" s="30" t="n">
        <v>0.19442911158394</v>
      </c>
      <c r="H638" s="31" t="n">
        <f aca="false">MAX(D638,F638+0.015)</f>
        <v>0.102163860228619</v>
      </c>
      <c r="I638" s="25" t="n">
        <f aca="false">(C638-'DCF Base Case'!$B$3)*(1-E638)+'DCF Base Case'!$B$3-G638</f>
        <v>0.145255417929715</v>
      </c>
      <c r="J638" s="24" t="n">
        <f aca="false">'DCF Base Case'!$B$2*(1+B638)^1*$I638-'DCF Base Case'!$B$2*(1+B638)^0*B638*'DCF Base Case'!$B$4</f>
        <v>22.5449267777538</v>
      </c>
      <c r="K638" s="24" t="n">
        <f aca="false">'DCF Base Case'!$B$2*(1+B638)^2*$I638-'DCF Base Case'!$B$2*(1+B638)^1*B638*'DCF Base Case'!$B$4</f>
        <v>24.5453816491241</v>
      </c>
      <c r="L638" s="24" t="n">
        <f aca="false">'DCF Base Case'!$B$2*(1+B638)^3*$I638-'DCF Base Case'!$B$2*(1+B638)^2*B638*'DCF Base Case'!$B$4</f>
        <v>26.723340742701</v>
      </c>
      <c r="M638" s="24" t="n">
        <f aca="false">'DCF Base Case'!$B$2*(1+B638)^4*$I638-'DCF Base Case'!$B$2*(1+B638)^3*B638*'DCF Base Case'!$B$4</f>
        <v>29.0945543507565</v>
      </c>
      <c r="N638" s="24" t="n">
        <f aca="false">'DCF Base Case'!$B$2*(1+B638)^5*$I638-'DCF Base Case'!$B$2*(1+B638)^4*B638*'DCF Base Case'!$B$4</f>
        <v>31.6761703193988</v>
      </c>
      <c r="O638" s="24" t="n">
        <f aca="false">J638/(1+H638)^1+K638/(1+H638)^2+L638/(1+H638)^3+M638/(1+H638)^4+N638/(1+H638)^5</f>
        <v>99.8131009719965</v>
      </c>
      <c r="P638" s="24" t="n">
        <f aca="false">N638*(1+F638)/(H638-F638)</f>
        <v>408.18548093211</v>
      </c>
      <c r="Q638" s="24" t="n">
        <f aca="false">O638+P638/(1+H638)^5</f>
        <v>350.785938280482</v>
      </c>
      <c r="R638" s="24" t="n">
        <f aca="false">Q638-'DCF Base Case'!$B$5</f>
        <v>165.785938280482</v>
      </c>
      <c r="S638" s="32" t="n">
        <f aca="false">R638/'DCF Base Case'!$B$6</f>
        <v>6.6314375312193</v>
      </c>
    </row>
    <row r="639" customFormat="false" ht="15" hidden="false" customHeight="true" outlineLevel="0" collapsed="false">
      <c r="A639" s="6" t="n">
        <v>638</v>
      </c>
      <c r="B639" s="30" t="n">
        <v>0.0887125726937965</v>
      </c>
      <c r="C639" s="30" t="n">
        <v>0.409782556054965</v>
      </c>
      <c r="D639" s="30" t="n">
        <v>0.0813804096074696</v>
      </c>
      <c r="E639" s="30" t="n">
        <v>0.272867209811222</v>
      </c>
      <c r="F639" s="30" t="n">
        <v>0.0224217331540342</v>
      </c>
      <c r="G639" s="30" t="n">
        <v>0.170483122546124</v>
      </c>
      <c r="H639" s="31" t="n">
        <f aca="false">MAX(D639,F639+0.015)</f>
        <v>0.0813804096074696</v>
      </c>
      <c r="I639" s="25" t="n">
        <f aca="false">(C639-'DCF Base Case'!$B$3)*(1-E639)+'DCF Base Case'!$B$3-G639</f>
        <v>0.162955948084271</v>
      </c>
      <c r="J639" s="24" t="n">
        <f aca="false">'DCF Base Case'!$B$2*(1+B639)^1*$I639-'DCF Base Case'!$B$2*(1+B639)^0*B639*'DCF Base Case'!$B$4</f>
        <v>25.3388677825966</v>
      </c>
      <c r="K639" s="24" t="n">
        <f aca="false">'DCF Base Case'!$B$2*(1+B639)^2*$I639-'DCF Base Case'!$B$2*(1+B639)^1*B639*'DCF Base Case'!$B$4</f>
        <v>27.5867439327387</v>
      </c>
      <c r="L639" s="24" t="n">
        <f aca="false">'DCF Base Case'!$B$2*(1+B639)^3*$I639-'DCF Base Case'!$B$2*(1+B639)^2*B639*'DCF Base Case'!$B$4</f>
        <v>30.0340349592569</v>
      </c>
      <c r="M639" s="24" t="n">
        <f aca="false">'DCF Base Case'!$B$2*(1+B639)^4*$I639-'DCF Base Case'!$B$2*(1+B639)^3*B639*'DCF Base Case'!$B$4</f>
        <v>32.698431468868</v>
      </c>
      <c r="N639" s="24" t="n">
        <f aca="false">'DCF Base Case'!$B$2*(1+B639)^5*$I639-'DCF Base Case'!$B$2*(1+B639)^4*B639*'DCF Base Case'!$B$4</f>
        <v>35.5991934475231</v>
      </c>
      <c r="O639" s="24" t="n">
        <f aca="false">J639/(1+H639)^1+K639/(1+H639)^2+L639/(1+H639)^3+M639/(1+H639)^4+N639/(1+H639)^5</f>
        <v>118.759408209541</v>
      </c>
      <c r="P639" s="24" t="n">
        <f aca="false">N639*(1+F639)/(H639-F639)</f>
        <v>617.337281854492</v>
      </c>
      <c r="Q639" s="24" t="n">
        <f aca="false">O639+P639/(1+H639)^5</f>
        <v>536.233969939495</v>
      </c>
      <c r="R639" s="24" t="n">
        <f aca="false">Q639-'DCF Base Case'!$B$5</f>
        <v>351.233969939495</v>
      </c>
      <c r="S639" s="32" t="n">
        <f aca="false">R639/'DCF Base Case'!$B$6</f>
        <v>14.0493587975798</v>
      </c>
    </row>
    <row r="640" customFormat="false" ht="15" hidden="false" customHeight="true" outlineLevel="0" collapsed="false">
      <c r="A640" s="6" t="n">
        <v>639</v>
      </c>
      <c r="B640" s="30" t="n">
        <v>0.0948894723528732</v>
      </c>
      <c r="C640" s="30" t="n">
        <v>0.3915213797172</v>
      </c>
      <c r="D640" s="30" t="n">
        <v>0.0743576091488724</v>
      </c>
      <c r="E640" s="30" t="n">
        <v>0.337399114271052</v>
      </c>
      <c r="F640" s="30" t="n">
        <v>0.0186689235954596</v>
      </c>
      <c r="G640" s="30" t="n">
        <v>0.14961332132423</v>
      </c>
      <c r="H640" s="31" t="n">
        <f aca="false">MAX(D640,F640+0.015)</f>
        <v>0.0743576091488724</v>
      </c>
      <c r="I640" s="25" t="n">
        <f aca="false">(C640-'DCF Base Case'!$B$3)*(1-E640)+'DCF Base Case'!$B$3-G640</f>
        <v>0.153670976513443</v>
      </c>
      <c r="J640" s="24" t="n">
        <f aca="false">'DCF Base Case'!$B$2*(1+B640)^1*$I640-'DCF Base Case'!$B$2*(1+B640)^0*B640*'DCF Base Case'!$B$4</f>
        <v>23.9838772819244</v>
      </c>
      <c r="K640" s="24" t="n">
        <f aca="false">'DCF Base Case'!$B$2*(1+B640)^2*$I640-'DCF Base Case'!$B$2*(1+B640)^1*B640*'DCF Base Case'!$B$4</f>
        <v>26.2596947421823</v>
      </c>
      <c r="L640" s="24" t="n">
        <f aca="false">'DCF Base Case'!$B$2*(1+B640)^3*$I640-'DCF Base Case'!$B$2*(1+B640)^2*B640*'DCF Base Case'!$B$4</f>
        <v>28.7514633204155</v>
      </c>
      <c r="M640" s="24" t="n">
        <f aca="false">'DCF Base Case'!$B$2*(1+B640)^4*$I640-'DCF Base Case'!$B$2*(1+B640)^3*B640*'DCF Base Case'!$B$4</f>
        <v>31.4796745042627</v>
      </c>
      <c r="N640" s="24" t="n">
        <f aca="false">'DCF Base Case'!$B$2*(1+B640)^5*$I640-'DCF Base Case'!$B$2*(1+B640)^4*B640*'DCF Base Case'!$B$4</f>
        <v>34.4667642078124</v>
      </c>
      <c r="O640" s="24" t="n">
        <f aca="false">J640/(1+H640)^1+K640/(1+H640)^2+L640/(1+H640)^3+M640/(1+H640)^4+N640/(1+H640)^5</f>
        <v>115.96821937045</v>
      </c>
      <c r="P640" s="24" t="n">
        <f aca="false">N640*(1+F640)/(H640-F640)</f>
        <v>630.473160687469</v>
      </c>
      <c r="Q640" s="24" t="n">
        <f aca="false">O640+P640/(1+H640)^5</f>
        <v>556.444252610658</v>
      </c>
      <c r="R640" s="24" t="n">
        <f aca="false">Q640-'DCF Base Case'!$B$5</f>
        <v>371.444252610658</v>
      </c>
      <c r="S640" s="32" t="n">
        <f aca="false">R640/'DCF Base Case'!$B$6</f>
        <v>14.8577701044263</v>
      </c>
    </row>
    <row r="641" customFormat="false" ht="15" hidden="false" customHeight="true" outlineLevel="0" collapsed="false">
      <c r="A641" s="6" t="n">
        <v>640</v>
      </c>
      <c r="B641" s="30" t="n">
        <v>0.120480663663388</v>
      </c>
      <c r="C641" s="30" t="n">
        <v>0.430188938785642</v>
      </c>
      <c r="D641" s="30" t="n">
        <v>0.0913597040855097</v>
      </c>
      <c r="E641" s="30" t="n">
        <v>0.275881890905568</v>
      </c>
      <c r="F641" s="30" t="n">
        <v>0.0181007877358999</v>
      </c>
      <c r="G641" s="30" t="n">
        <v>0.161656245590699</v>
      </c>
      <c r="H641" s="31" t="n">
        <f aca="false">MAX(D641,F641+0.015)</f>
        <v>0.0913597040855097</v>
      </c>
      <c r="I641" s="25" t="n">
        <f aca="false">(C641-'DCF Base Case'!$B$3)*(1-E641)+'DCF Base Case'!$B$3-G641</f>
        <v>0.185716001133824</v>
      </c>
      <c r="J641" s="24" t="n">
        <f aca="false">'DCF Base Case'!$B$2*(1+B641)^1*$I641-'DCF Base Case'!$B$2*(1+B641)^0*B641*'DCF Base Case'!$B$4</f>
        <v>29.6491314025483</v>
      </c>
      <c r="K641" s="24" t="n">
        <f aca="false">'DCF Base Case'!$B$2*(1+B641)^2*$I641-'DCF Base Case'!$B$2*(1+B641)^1*B641*'DCF Base Case'!$B$4</f>
        <v>33.2212784309703</v>
      </c>
      <c r="L641" s="24" t="n">
        <f aca="false">'DCF Base Case'!$B$2*(1+B641)^3*$I641-'DCF Base Case'!$B$2*(1+B641)^2*B641*'DCF Base Case'!$B$4</f>
        <v>37.2238001040798</v>
      </c>
      <c r="M641" s="24" t="n">
        <f aca="false">'DCF Base Case'!$B$2*(1+B641)^4*$I641-'DCF Base Case'!$B$2*(1+B641)^3*B641*'DCF Base Case'!$B$4</f>
        <v>41.7085482446926</v>
      </c>
      <c r="N641" s="24" t="n">
        <f aca="false">'DCF Base Case'!$B$2*(1+B641)^5*$I641-'DCF Base Case'!$B$2*(1+B641)^4*B641*'DCF Base Case'!$B$4</f>
        <v>46.7336218176496</v>
      </c>
      <c r="O641" s="24" t="n">
        <f aca="false">J641/(1+H641)^1+K641/(1+H641)^2+L641/(1+H641)^3+M641/(1+H641)^4+N641/(1+H641)^5</f>
        <v>143.280828413114</v>
      </c>
      <c r="P641" s="24" t="n">
        <f aca="false">N641*(1+F641)/(H641-F641)</f>
        <v>649.47093892625</v>
      </c>
      <c r="Q641" s="24" t="n">
        <f aca="false">O641+P641/(1+H641)^5</f>
        <v>562.769416713953</v>
      </c>
      <c r="R641" s="24" t="n">
        <f aca="false">Q641-'DCF Base Case'!$B$5</f>
        <v>377.769416713953</v>
      </c>
      <c r="S641" s="32" t="n">
        <f aca="false">R641/'DCF Base Case'!$B$6</f>
        <v>15.1107766685581</v>
      </c>
    </row>
    <row r="642" customFormat="false" ht="15" hidden="false" customHeight="true" outlineLevel="0" collapsed="false">
      <c r="A642" s="6" t="n">
        <v>641</v>
      </c>
      <c r="B642" s="30" t="n">
        <v>0.0604172208854067</v>
      </c>
      <c r="C642" s="30" t="n">
        <v>0.401394685213924</v>
      </c>
      <c r="D642" s="30" t="n">
        <v>0.0882563638474688</v>
      </c>
      <c r="E642" s="30" t="n">
        <v>0.332166836470727</v>
      </c>
      <c r="F642" s="30" t="n">
        <v>0.0196693652044481</v>
      </c>
      <c r="G642" s="30" t="n">
        <v>0.126258826328724</v>
      </c>
      <c r="H642" s="31" t="n">
        <f aca="false">MAX(D642,F642+0.015)</f>
        <v>0.0882563638474688</v>
      </c>
      <c r="I642" s="25" t="n">
        <f aca="false">(C642-'DCF Base Case'!$B$3)*(1-E642)+'DCF Base Case'!$B$3-G642</f>
        <v>0.184987544862722</v>
      </c>
      <c r="J642" s="24" t="n">
        <f aca="false">'DCF Base Case'!$B$2*(1+B642)^1*$I642-'DCF Base Case'!$B$2*(1+B642)^0*B642*'DCF Base Case'!$B$4</f>
        <v>28.1809619313011</v>
      </c>
      <c r="K642" s="24" t="n">
        <f aca="false">'DCF Base Case'!$B$2*(1+B642)^2*$I642-'DCF Base Case'!$B$2*(1+B642)^1*B642*'DCF Base Case'!$B$4</f>
        <v>29.8835773330678</v>
      </c>
      <c r="L642" s="24" t="n">
        <f aca="false">'DCF Base Case'!$B$2*(1+B642)^3*$I642-'DCF Base Case'!$B$2*(1+B642)^2*B642*'DCF Base Case'!$B$4</f>
        <v>31.6890600256459</v>
      </c>
      <c r="M642" s="24" t="n">
        <f aca="false">'DCF Base Case'!$B$2*(1+B642)^4*$I642-'DCF Base Case'!$B$2*(1+B642)^3*B642*'DCF Base Case'!$B$4</f>
        <v>33.6036249648662</v>
      </c>
      <c r="N642" s="24" t="n">
        <f aca="false">'DCF Base Case'!$B$2*(1+B642)^5*$I642-'DCF Base Case'!$B$2*(1+B642)^4*B642*'DCF Base Case'!$B$4</f>
        <v>35.6338625969189</v>
      </c>
      <c r="O642" s="24" t="n">
        <f aca="false">J642/(1+H642)^1+K642/(1+H642)^2+L642/(1+H642)^3+M642/(1+H642)^4+N642/(1+H642)^5</f>
        <v>123.020453539845</v>
      </c>
      <c r="P642" s="24" t="n">
        <f aca="false">N642*(1+F642)/(H642-F642)</f>
        <v>529.761598741137</v>
      </c>
      <c r="Q642" s="24" t="n">
        <f aca="false">O642+P642/(1+H642)^5</f>
        <v>470.096304104708</v>
      </c>
      <c r="R642" s="24" t="n">
        <f aca="false">Q642-'DCF Base Case'!$B$5</f>
        <v>285.096304104708</v>
      </c>
      <c r="S642" s="32" t="n">
        <f aca="false">R642/'DCF Base Case'!$B$6</f>
        <v>11.4038521641883</v>
      </c>
    </row>
    <row r="643" customFormat="false" ht="15" hidden="false" customHeight="true" outlineLevel="0" collapsed="false">
      <c r="A643" s="6" t="n">
        <v>642</v>
      </c>
      <c r="B643" s="30" t="n">
        <v>0.0880915982387933</v>
      </c>
      <c r="C643" s="30" t="n">
        <v>0.455246412068338</v>
      </c>
      <c r="D643" s="30" t="n">
        <v>0.0945300285848355</v>
      </c>
      <c r="E643" s="30" t="n">
        <v>0.261491671454055</v>
      </c>
      <c r="F643" s="30" t="n">
        <v>0.0214679423699515</v>
      </c>
      <c r="G643" s="30" t="n">
        <v>0.150268108687547</v>
      </c>
      <c r="H643" s="31" t="n">
        <f aca="false">MAX(D643,F643+0.015)</f>
        <v>0.0945300285848355</v>
      </c>
      <c r="I643" s="25" t="n">
        <f aca="false">(C643-'DCF Base Case'!$B$3)*(1-E643)+'DCF Base Case'!$B$3-G643</f>
        <v>0.219929075454607</v>
      </c>
      <c r="J643" s="24" t="n">
        <f aca="false">'DCF Base Case'!$B$2*(1+B643)^1*$I643-'DCF Base Case'!$B$2*(1+B643)^0*B643*'DCF Base Case'!$B$4</f>
        <v>34.3157335331958</v>
      </c>
      <c r="K643" s="24" t="n">
        <f aca="false">'DCF Base Case'!$B$2*(1+B643)^2*$I643-'DCF Base Case'!$B$2*(1+B643)^1*B643*'DCF Base Case'!$B$4</f>
        <v>37.3386613448716</v>
      </c>
      <c r="L643" s="24" t="n">
        <f aca="false">'DCF Base Case'!$B$2*(1+B643)^3*$I643-'DCF Base Case'!$B$2*(1+B643)^2*B643*'DCF Base Case'!$B$4</f>
        <v>40.6278836988384</v>
      </c>
      <c r="M643" s="24" t="n">
        <f aca="false">'DCF Base Case'!$B$2*(1+B643)^4*$I643-'DCF Base Case'!$B$2*(1+B643)^3*B643*'DCF Base Case'!$B$4</f>
        <v>44.2068589069289</v>
      </c>
      <c r="N643" s="24" t="n">
        <f aca="false">'DCF Base Case'!$B$2*(1+B643)^5*$I643-'DCF Base Case'!$B$2*(1+B643)^4*B643*'DCF Base Case'!$B$4</f>
        <v>48.1011117611571</v>
      </c>
      <c r="O643" s="24" t="n">
        <f aca="false">J643/(1+H643)^1+K643/(1+H643)^2+L643/(1+H643)^3+M643/(1+H643)^4+N643/(1+H643)^5</f>
        <v>154.926702827043</v>
      </c>
      <c r="P643" s="24" t="n">
        <f aca="false">N643*(1+F643)/(H643-F643)</f>
        <v>672.493028899671</v>
      </c>
      <c r="Q643" s="24" t="n">
        <f aca="false">O643+P643/(1+H643)^5</f>
        <v>583.030797552938</v>
      </c>
      <c r="R643" s="24" t="n">
        <f aca="false">Q643-'DCF Base Case'!$B$5</f>
        <v>398.030797552938</v>
      </c>
      <c r="S643" s="32" t="n">
        <f aca="false">R643/'DCF Base Case'!$B$6</f>
        <v>15.9212319021175</v>
      </c>
    </row>
    <row r="644" customFormat="false" ht="15" hidden="false" customHeight="true" outlineLevel="0" collapsed="false">
      <c r="A644" s="6" t="n">
        <v>643</v>
      </c>
      <c r="B644" s="30" t="n">
        <v>0.0609641237614393</v>
      </c>
      <c r="C644" s="30" t="n">
        <v>0.395648860036324</v>
      </c>
      <c r="D644" s="30" t="n">
        <v>0.0860067908316275</v>
      </c>
      <c r="E644" s="30" t="n">
        <v>0.24820387728571</v>
      </c>
      <c r="F644" s="30" t="n">
        <v>0.0146816558591713</v>
      </c>
      <c r="G644" s="30" t="n">
        <v>0.165454049814969</v>
      </c>
      <c r="H644" s="31" t="n">
        <f aca="false">MAX(D644,F644+0.015)</f>
        <v>0.0860067908316275</v>
      </c>
      <c r="I644" s="25" t="n">
        <f aca="false">(C644-'DCF Base Case'!$B$3)*(1-E644)+'DCF Base Case'!$B$3-G644</f>
        <v>0.164259733163811</v>
      </c>
      <c r="J644" s="24" t="n">
        <f aca="false">'DCF Base Case'!$B$2*(1+B644)^1*$I644-'DCF Base Case'!$B$2*(1+B644)^0*B644*'DCF Base Case'!$B$4</f>
        <v>25.0044902221251</v>
      </c>
      <c r="K644" s="24" t="n">
        <f aca="false">'DCF Base Case'!$B$2*(1+B644)^2*$I644-'DCF Base Case'!$B$2*(1+B644)^1*B644*'DCF Base Case'!$B$4</f>
        <v>26.5288670586184</v>
      </c>
      <c r="L644" s="24" t="n">
        <f aca="false">'DCF Base Case'!$B$2*(1+B644)^3*$I644-'DCF Base Case'!$B$2*(1+B644)^2*B644*'DCF Base Case'!$B$4</f>
        <v>28.1461761932308</v>
      </c>
      <c r="M644" s="24" t="n">
        <f aca="false">'DCF Base Case'!$B$2*(1+B644)^4*$I644-'DCF Base Case'!$B$2*(1+B644)^3*B644*'DCF Base Case'!$B$4</f>
        <v>29.8620831620862</v>
      </c>
      <c r="N644" s="24" t="n">
        <f aca="false">'DCF Base Case'!$B$2*(1+B644)^5*$I644-'DCF Base Case'!$B$2*(1+B644)^4*B644*'DCF Base Case'!$B$4</f>
        <v>31.682598895754</v>
      </c>
      <c r="O644" s="24" t="n">
        <f aca="false">J644/(1+H644)^1+K644/(1+H644)^2+L644/(1+H644)^3+M644/(1+H644)^4+N644/(1+H644)^5</f>
        <v>109.933011660154</v>
      </c>
      <c r="P644" s="24" t="n">
        <f aca="false">N644*(1+F644)/(H644-F644)</f>
        <v>450.721220813395</v>
      </c>
      <c r="Q644" s="24" t="n">
        <f aca="false">O644+P644/(1+H644)^5</f>
        <v>408.296242565099</v>
      </c>
      <c r="R644" s="24" t="n">
        <f aca="false">Q644-'DCF Base Case'!$B$5</f>
        <v>223.296242565099</v>
      </c>
      <c r="S644" s="32" t="n">
        <f aca="false">R644/'DCF Base Case'!$B$6</f>
        <v>8.93184970260395</v>
      </c>
    </row>
    <row r="645" customFormat="false" ht="15" hidden="false" customHeight="true" outlineLevel="0" collapsed="false">
      <c r="A645" s="6" t="n">
        <v>644</v>
      </c>
      <c r="B645" s="30" t="n">
        <v>0.0813263396601473</v>
      </c>
      <c r="C645" s="30" t="n">
        <v>0.419486798123199</v>
      </c>
      <c r="D645" s="30" t="n">
        <v>0.0716386483996058</v>
      </c>
      <c r="E645" s="30" t="n">
        <v>0.301502305382204</v>
      </c>
      <c r="F645" s="30" t="n">
        <v>0.0145491195100185</v>
      </c>
      <c r="G645" s="30" t="n">
        <v>0.202641608507595</v>
      </c>
      <c r="H645" s="31" t="n">
        <f aca="false">MAX(D645,F645+0.015)</f>
        <v>0.0716386483996058</v>
      </c>
      <c r="I645" s="25" t="n">
        <f aca="false">(C645-'DCF Base Case'!$B$3)*(1-E645)+'DCF Base Case'!$B$3-G645</f>
        <v>0.129564252603747</v>
      </c>
      <c r="J645" s="24" t="n">
        <f aca="false">'DCF Base Case'!$B$2*(1+B645)^1*$I645-'DCF Base Case'!$B$2*(1+B645)^0*B645*'DCF Base Case'!$B$4</f>
        <v>19.9609100802061</v>
      </c>
      <c r="K645" s="24" t="n">
        <f aca="false">'DCF Base Case'!$B$2*(1+B645)^2*$I645-'DCF Base Case'!$B$2*(1+B645)^1*B645*'DCF Base Case'!$B$4</f>
        <v>21.5842578333146</v>
      </c>
      <c r="L645" s="24" t="n">
        <f aca="false">'DCF Base Case'!$B$2*(1+B645)^3*$I645-'DCF Base Case'!$B$2*(1+B645)^2*B645*'DCF Base Case'!$B$4</f>
        <v>23.339626517179</v>
      </c>
      <c r="M645" s="24" t="n">
        <f aca="false">'DCF Base Case'!$B$2*(1+B645)^4*$I645-'DCF Base Case'!$B$2*(1+B645)^3*B645*'DCF Base Case'!$B$4</f>
        <v>25.2377529108561</v>
      </c>
      <c r="N645" s="24" t="n">
        <f aca="false">'DCF Base Case'!$B$2*(1+B645)^5*$I645-'DCF Base Case'!$B$2*(1+B645)^4*B645*'DCF Base Case'!$B$4</f>
        <v>27.2902469763432</v>
      </c>
      <c r="O645" s="24" t="n">
        <f aca="false">J645/(1+H645)^1+K645/(1+H645)^2+L645/(1+H645)^3+M645/(1+H645)^4+N645/(1+H645)^5</f>
        <v>94.8317959926107</v>
      </c>
      <c r="P645" s="24" t="n">
        <f aca="false">N645*(1+F645)/(H645-F645)</f>
        <v>484.980285870075</v>
      </c>
      <c r="Q645" s="24" t="n">
        <f aca="false">O645+P645/(1+H645)^5</f>
        <v>437.980407106458</v>
      </c>
      <c r="R645" s="24" t="n">
        <f aca="false">Q645-'DCF Base Case'!$B$5</f>
        <v>252.980407106458</v>
      </c>
      <c r="S645" s="32" t="n">
        <f aca="false">R645/'DCF Base Case'!$B$6</f>
        <v>10.1192162842583</v>
      </c>
    </row>
    <row r="646" customFormat="false" ht="15" hidden="false" customHeight="true" outlineLevel="0" collapsed="false">
      <c r="A646" s="6" t="n">
        <v>645</v>
      </c>
      <c r="B646" s="30" t="n">
        <v>0.0546804540275333</v>
      </c>
      <c r="C646" s="30" t="n">
        <v>0.377696034970222</v>
      </c>
      <c r="D646" s="30" t="n">
        <v>0.0895910788333501</v>
      </c>
      <c r="E646" s="30" t="n">
        <v>0.328193445107618</v>
      </c>
      <c r="F646" s="30" t="n">
        <v>0.0204716403622364</v>
      </c>
      <c r="G646" s="30" t="n">
        <v>0.178519945655291</v>
      </c>
      <c r="H646" s="31" t="n">
        <f aca="false">MAX(D646,F646+0.015)</f>
        <v>0.0895910788333501</v>
      </c>
      <c r="I646" s="25" t="n">
        <f aca="false">(C646-'DCF Base Case'!$B$3)*(1-E646)+'DCF Base Case'!$B$3-G646</f>
        <v>0.117883874258557</v>
      </c>
      <c r="J646" s="24" t="n">
        <f aca="false">'DCF Base Case'!$B$2*(1+B646)^1*$I646-'DCF Base Case'!$B$2*(1+B646)^0*B646*'DCF Base Case'!$B$4</f>
        <v>17.7899636386834</v>
      </c>
      <c r="K646" s="24" t="n">
        <f aca="false">'DCF Base Case'!$B$2*(1+B646)^2*$I646-'DCF Base Case'!$B$2*(1+B646)^1*B646*'DCF Base Case'!$B$4</f>
        <v>18.7627269275799</v>
      </c>
      <c r="L646" s="24" t="n">
        <f aca="false">'DCF Base Case'!$B$2*(1+B646)^3*$I646-'DCF Base Case'!$B$2*(1+B646)^2*B646*'DCF Base Case'!$B$4</f>
        <v>19.7886813547746</v>
      </c>
      <c r="M646" s="24" t="n">
        <f aca="false">'DCF Base Case'!$B$2*(1+B646)^4*$I646-'DCF Base Case'!$B$2*(1+B646)^3*B646*'DCF Base Case'!$B$4</f>
        <v>20.8707354358599</v>
      </c>
      <c r="N646" s="24" t="n">
        <f aca="false">'DCF Base Case'!$B$2*(1+B646)^5*$I646-'DCF Base Case'!$B$2*(1+B646)^4*B646*'DCF Base Case'!$B$4</f>
        <v>22.0119567253812</v>
      </c>
      <c r="O646" s="24" t="n">
        <f aca="false">J646/(1+H646)^1+K646/(1+H646)^2+L646/(1+H646)^3+M646/(1+H646)^4+N646/(1+H646)^5</f>
        <v>76.5696545359358</v>
      </c>
      <c r="P646" s="24" t="n">
        <f aca="false">N646*(1+F646)/(H646-F646)</f>
        <v>324.982061255024</v>
      </c>
      <c r="Q646" s="24" t="n">
        <f aca="false">O646+P646/(1+H646)^5</f>
        <v>288.182338345279</v>
      </c>
      <c r="R646" s="24" t="n">
        <f aca="false">Q646-'DCF Base Case'!$B$5</f>
        <v>103.182338345279</v>
      </c>
      <c r="S646" s="32" t="n">
        <f aca="false">R646/'DCF Base Case'!$B$6</f>
        <v>4.12729353381115</v>
      </c>
    </row>
    <row r="647" customFormat="false" ht="15" hidden="false" customHeight="true" outlineLevel="0" collapsed="false">
      <c r="A647" s="6" t="n">
        <v>646</v>
      </c>
      <c r="B647" s="30" t="n">
        <v>0.0903510248320915</v>
      </c>
      <c r="C647" s="30" t="n">
        <v>0.39190950572486</v>
      </c>
      <c r="D647" s="30" t="n">
        <v>0.0796084781693668</v>
      </c>
      <c r="E647" s="30" t="n">
        <v>0.255751242335119</v>
      </c>
      <c r="F647" s="30" t="n">
        <v>0.0141937370833176</v>
      </c>
      <c r="G647" s="30" t="n">
        <v>0.17457306465175</v>
      </c>
      <c r="H647" s="31" t="n">
        <f aca="false">MAX(D647,F647+0.015)</f>
        <v>0.0796084781693668</v>
      </c>
      <c r="I647" s="25" t="n">
        <f aca="false">(C647-'DCF Base Case'!$B$3)*(1-E647)+'DCF Base Case'!$B$3-G647</f>
        <v>0.1503527596046</v>
      </c>
      <c r="J647" s="24" t="n">
        <f aca="false">'DCF Base Case'!$B$2*(1+B647)^1*$I647-'DCF Base Case'!$B$2*(1+B647)^0*B647*'DCF Base Case'!$B$4</f>
        <v>23.3778794425557</v>
      </c>
      <c r="K647" s="24" t="n">
        <f aca="false">'DCF Base Case'!$B$2*(1+B647)^2*$I647-'DCF Base Case'!$B$2*(1+B647)^1*B647*'DCF Base Case'!$B$4</f>
        <v>25.4900948085917</v>
      </c>
      <c r="L647" s="24" t="n">
        <f aca="false">'DCF Base Case'!$B$2*(1+B647)^3*$I647-'DCF Base Case'!$B$2*(1+B647)^2*B647*'DCF Base Case'!$B$4</f>
        <v>27.7931509976151</v>
      </c>
      <c r="M647" s="24" t="n">
        <f aca="false">'DCF Base Case'!$B$2*(1+B647)^4*$I647-'DCF Base Case'!$B$2*(1+B647)^3*B647*'DCF Base Case'!$B$4</f>
        <v>30.3042906735627</v>
      </c>
      <c r="N647" s="24" t="n">
        <f aca="false">'DCF Base Case'!$B$2*(1+B647)^5*$I647-'DCF Base Case'!$B$2*(1+B647)^4*B647*'DCF Base Case'!$B$4</f>
        <v>33.0423143927287</v>
      </c>
      <c r="O647" s="24" t="n">
        <f aca="false">J647/(1+H647)^1+K647/(1+H647)^2+L647/(1+H647)^3+M647/(1+H647)^4+N647/(1+H647)^5</f>
        <v>110.446385318932</v>
      </c>
      <c r="P647" s="24" t="n">
        <f aca="false">N647*(1+F647)/(H647-F647)</f>
        <v>512.28985637597</v>
      </c>
      <c r="Q647" s="24" t="n">
        <f aca="false">O647+P647/(1+H647)^5</f>
        <v>459.734915470188</v>
      </c>
      <c r="R647" s="24" t="n">
        <f aca="false">Q647-'DCF Base Case'!$B$5</f>
        <v>274.734915470188</v>
      </c>
      <c r="S647" s="32" t="n">
        <f aca="false">R647/'DCF Base Case'!$B$6</f>
        <v>10.9893966188075</v>
      </c>
    </row>
    <row r="648" customFormat="false" ht="15" hidden="false" customHeight="true" outlineLevel="0" collapsed="false">
      <c r="A648" s="6" t="n">
        <v>647</v>
      </c>
      <c r="B648" s="30" t="n">
        <v>0.065561783573027</v>
      </c>
      <c r="C648" s="30" t="n">
        <v>0.412686574904665</v>
      </c>
      <c r="D648" s="30" t="n">
        <v>0.0706799497255679</v>
      </c>
      <c r="E648" s="30" t="n">
        <v>0.288385544910255</v>
      </c>
      <c r="F648" s="30" t="n">
        <v>0.0173954928202045</v>
      </c>
      <c r="G648" s="30" t="n">
        <v>0.198122516753699</v>
      </c>
      <c r="H648" s="31" t="n">
        <f aca="false">MAX(D648,F648+0.015)</f>
        <v>0.0706799497255679</v>
      </c>
      <c r="I648" s="25" t="n">
        <f aca="false">(C648-'DCF Base Case'!$B$3)*(1-E648)+'DCF Base Case'!$B$3-G648</f>
        <v>0.133041336208271</v>
      </c>
      <c r="J648" s="24" t="n">
        <f aca="false">'DCF Base Case'!$B$2*(1+B648)^1*$I648-'DCF Base Case'!$B$2*(1+B648)^0*B648*'DCF Base Case'!$B$4</f>
        <v>20.2705519488157</v>
      </c>
      <c r="K648" s="24" t="n">
        <f aca="false">'DCF Base Case'!$B$2*(1+B648)^2*$I648-'DCF Base Case'!$B$2*(1+B648)^1*B648*'DCF Base Case'!$B$4</f>
        <v>21.5995254885898</v>
      </c>
      <c r="L648" s="24" t="n">
        <f aca="false">'DCF Base Case'!$B$2*(1+B648)^3*$I648-'DCF Base Case'!$B$2*(1+B648)^2*B648*'DCF Base Case'!$B$4</f>
        <v>23.0156289039528</v>
      </c>
      <c r="M648" s="24" t="n">
        <f aca="false">'DCF Base Case'!$B$2*(1+B648)^4*$I648-'DCF Base Case'!$B$2*(1+B648)^3*B648*'DCF Base Case'!$B$4</f>
        <v>24.5245745849509</v>
      </c>
      <c r="N648" s="24" t="n">
        <f aca="false">'DCF Base Case'!$B$2*(1+B648)^5*$I648-'DCF Base Case'!$B$2*(1+B648)^4*B648*'DCF Base Case'!$B$4</f>
        <v>26.13244943611</v>
      </c>
      <c r="O648" s="24" t="n">
        <f aca="false">J648/(1+H648)^1+K648/(1+H648)^2+L648/(1+H648)^3+M648/(1+H648)^4+N648/(1+H648)^5</f>
        <v>93.7613416311637</v>
      </c>
      <c r="P648" s="24" t="n">
        <f aca="false">N648*(1+F648)/(H648-F648)</f>
        <v>498.964197380682</v>
      </c>
      <c r="Q648" s="24" t="n">
        <f aca="false">O648+P648/(1+H648)^5</f>
        <v>448.387718605634</v>
      </c>
      <c r="R648" s="24" t="n">
        <f aca="false">Q648-'DCF Base Case'!$B$5</f>
        <v>263.387718605634</v>
      </c>
      <c r="S648" s="32" t="n">
        <f aca="false">R648/'DCF Base Case'!$B$6</f>
        <v>10.5355087442253</v>
      </c>
    </row>
    <row r="649" customFormat="false" ht="15" hidden="false" customHeight="true" outlineLevel="0" collapsed="false">
      <c r="A649" s="6" t="n">
        <v>648</v>
      </c>
      <c r="B649" s="30" t="n">
        <v>0.0968099877302538</v>
      </c>
      <c r="C649" s="30" t="n">
        <v>0.439813033814813</v>
      </c>
      <c r="D649" s="30" t="n">
        <v>0.0766878861193229</v>
      </c>
      <c r="E649" s="30" t="n">
        <v>0.281236807023477</v>
      </c>
      <c r="F649" s="30" t="n">
        <v>0.0153453815796405</v>
      </c>
      <c r="G649" s="30" t="n">
        <v>0.156855480815256</v>
      </c>
      <c r="H649" s="31" t="n">
        <f aca="false">MAX(D649,F649+0.015)</f>
        <v>0.0766878861193229</v>
      </c>
      <c r="I649" s="25" t="n">
        <f aca="false">(C649-'DCF Base Case'!$B$3)*(1-E649)+'DCF Base Case'!$B$3-G649</f>
        <v>0.195826724595223</v>
      </c>
      <c r="J649" s="24" t="n">
        <f aca="false">'DCF Base Case'!$B$2*(1+B649)^1*$I649-'DCF Base Case'!$B$2*(1+B649)^0*B649*'DCF Base Case'!$B$4</f>
        <v>30.722659126452</v>
      </c>
      <c r="K649" s="24" t="n">
        <f aca="false">'DCF Base Case'!$B$2*(1+B649)^2*$I649-'DCF Base Case'!$B$2*(1+B649)^1*B649*'DCF Base Case'!$B$4</f>
        <v>33.6969193795245</v>
      </c>
      <c r="L649" s="24" t="n">
        <f aca="false">'DCF Base Case'!$B$2*(1+B649)^3*$I649-'DCF Base Case'!$B$2*(1+B649)^2*B649*'DCF Base Case'!$B$4</f>
        <v>36.9591177312037</v>
      </c>
      <c r="M649" s="24" t="n">
        <f aca="false">'DCF Base Case'!$B$2*(1+B649)^4*$I649-'DCF Base Case'!$B$2*(1+B649)^3*B649*'DCF Base Case'!$B$4</f>
        <v>40.5371294652825</v>
      </c>
      <c r="N649" s="24" t="n">
        <f aca="false">'DCF Base Case'!$B$2*(1+B649)^5*$I649-'DCF Base Case'!$B$2*(1+B649)^4*B649*'DCF Base Case'!$B$4</f>
        <v>44.4615284714362</v>
      </c>
      <c r="O649" s="24" t="n">
        <f aca="false">J649/(1+H649)^1+K649/(1+H649)^2+L649/(1+H649)^3+M649/(1+H649)^4+N649/(1+H649)^5</f>
        <v>148.105439481969</v>
      </c>
      <c r="P649" s="24" t="n">
        <f aca="false">N649*(1+F649)/(H649-F649)</f>
        <v>735.930297111377</v>
      </c>
      <c r="Q649" s="24" t="n">
        <f aca="false">O649+P649/(1+H649)^5</f>
        <v>656.718547307017</v>
      </c>
      <c r="R649" s="24" t="n">
        <f aca="false">Q649-'DCF Base Case'!$B$5</f>
        <v>471.718547307017</v>
      </c>
      <c r="S649" s="32" t="n">
        <f aca="false">R649/'DCF Base Case'!$B$6</f>
        <v>18.8687418922807</v>
      </c>
    </row>
    <row r="650" customFormat="false" ht="15" hidden="false" customHeight="true" outlineLevel="0" collapsed="false">
      <c r="A650" s="6" t="n">
        <v>649</v>
      </c>
      <c r="B650" s="30" t="n">
        <v>0.0845320415903619</v>
      </c>
      <c r="C650" s="30" t="n">
        <v>0.396344255668922</v>
      </c>
      <c r="D650" s="30" t="n">
        <v>0.0716294685526974</v>
      </c>
      <c r="E650" s="30" t="n">
        <v>0.25316259999063</v>
      </c>
      <c r="F650" s="30" t="n">
        <v>0.0112994096983191</v>
      </c>
      <c r="G650" s="30" t="n">
        <v>0.144116797279326</v>
      </c>
      <c r="H650" s="31" t="n">
        <f aca="false">MAX(D650,F650+0.015)</f>
        <v>0.0716294685526974</v>
      </c>
      <c r="I650" s="25" t="n">
        <f aca="false">(C650-'DCF Base Case'!$B$3)*(1-E650)+'DCF Base Case'!$B$3-G650</f>
        <v>0.184799054131883</v>
      </c>
      <c r="J650" s="24" t="n">
        <f aca="false">'DCF Base Case'!$B$2*(1+B650)^1*$I650-'DCF Base Case'!$B$2*(1+B650)^0*B650*'DCF Base Case'!$B$4</f>
        <v>28.6932574610166</v>
      </c>
      <c r="K650" s="24" t="n">
        <f aca="false">'DCF Base Case'!$B$2*(1+B650)^2*$I650-'DCF Base Case'!$B$2*(1+B650)^1*B650*'DCF Base Case'!$B$4</f>
        <v>31.1187570940742</v>
      </c>
      <c r="L650" s="24" t="n">
        <f aca="false">'DCF Base Case'!$B$2*(1+B650)^3*$I650-'DCF Base Case'!$B$2*(1+B650)^2*B650*'DCF Base Case'!$B$4</f>
        <v>33.7492891629909</v>
      </c>
      <c r="M650" s="24" t="n">
        <f aca="false">'DCF Base Case'!$B$2*(1+B650)^4*$I650-'DCF Base Case'!$B$2*(1+B650)^3*B650*'DCF Base Case'!$B$4</f>
        <v>36.602185478162</v>
      </c>
      <c r="N650" s="24" t="n">
        <f aca="false">'DCF Base Case'!$B$2*(1+B650)^5*$I650-'DCF Base Case'!$B$2*(1+B650)^4*B650*'DCF Base Case'!$B$4</f>
        <v>39.6962429433001</v>
      </c>
      <c r="O650" s="24" t="n">
        <f aca="false">J650/(1+H650)^1+K650/(1+H650)^2+L650/(1+H650)^3+M650/(1+H650)^4+N650/(1+H650)^5</f>
        <v>137.139605919774</v>
      </c>
      <c r="P650" s="24" t="n">
        <f aca="false">N650*(1+F650)/(H650-F650)</f>
        <v>665.419325260397</v>
      </c>
      <c r="Q650" s="24" t="n">
        <f aca="false">O650+P650/(1+H650)^5</f>
        <v>607.978326756025</v>
      </c>
      <c r="R650" s="24" t="n">
        <f aca="false">Q650-'DCF Base Case'!$B$5</f>
        <v>422.978326756025</v>
      </c>
      <c r="S650" s="32" t="n">
        <f aca="false">R650/'DCF Base Case'!$B$6</f>
        <v>16.919133070241</v>
      </c>
    </row>
    <row r="651" customFormat="false" ht="15" hidden="false" customHeight="true" outlineLevel="0" collapsed="false">
      <c r="A651" s="6" t="n">
        <v>650</v>
      </c>
      <c r="B651" s="30" t="n">
        <v>0.103587930034725</v>
      </c>
      <c r="C651" s="30" t="n">
        <v>0.384576237311575</v>
      </c>
      <c r="D651" s="30" t="n">
        <v>0.0699506486912137</v>
      </c>
      <c r="E651" s="30" t="n">
        <v>0.330950527921961</v>
      </c>
      <c r="F651" s="30" t="n">
        <v>0.0167741900656732</v>
      </c>
      <c r="G651" s="30" t="n">
        <v>0.172623565206456</v>
      </c>
      <c r="H651" s="31" t="n">
        <f aca="false">MAX(D651,F651+0.015)</f>
        <v>0.0699506486912137</v>
      </c>
      <c r="I651" s="25" t="n">
        <f aca="false">(C651-'DCF Base Case'!$B$3)*(1-E651)+'DCF Base Case'!$B$3-G651</f>
        <v>0.127700531970467</v>
      </c>
      <c r="J651" s="24" t="n">
        <f aca="false">'DCF Base Case'!$B$2*(1+B651)^1*$I651-'DCF Base Case'!$B$2*(1+B651)^0*B651*'DCF Base Case'!$B$4</f>
        <v>19.9840635368839</v>
      </c>
      <c r="K651" s="24" t="n">
        <f aca="false">'DCF Base Case'!$B$2*(1+B651)^2*$I651-'DCF Base Case'!$B$2*(1+B651)^1*B651*'DCF Base Case'!$B$4</f>
        <v>22.0541713123522</v>
      </c>
      <c r="L651" s="24" t="n">
        <f aca="false">'DCF Base Case'!$B$2*(1+B651)^3*$I651-'DCF Base Case'!$B$2*(1+B651)^2*B651*'DCF Base Case'!$B$4</f>
        <v>24.33871726723</v>
      </c>
      <c r="M651" s="24" t="n">
        <f aca="false">'DCF Base Case'!$B$2*(1+B651)^4*$I651-'DCF Base Case'!$B$2*(1+B651)^3*B651*'DCF Base Case'!$B$4</f>
        <v>26.8599146086427</v>
      </c>
      <c r="N651" s="24" t="n">
        <f aca="false">'DCF Base Case'!$B$2*(1+B651)^5*$I651-'DCF Base Case'!$B$2*(1+B651)^4*B651*'DCF Base Case'!$B$4</f>
        <v>29.6422775638615</v>
      </c>
      <c r="O651" s="24" t="n">
        <f aca="false">J651/(1+H651)^1+K651/(1+H651)^2+L651/(1+H651)^3+M651/(1+H651)^4+N651/(1+H651)^5</f>
        <v>99.4471832377281</v>
      </c>
      <c r="P651" s="24" t="n">
        <f aca="false">N651*(1+F651)/(H651-F651)</f>
        <v>566.78281218263</v>
      </c>
      <c r="Q651" s="24" t="n">
        <f aca="false">O651+P651/(1+H651)^5</f>
        <v>503.648700858684</v>
      </c>
      <c r="R651" s="24" t="n">
        <f aca="false">Q651-'DCF Base Case'!$B$5</f>
        <v>318.648700858684</v>
      </c>
      <c r="S651" s="32" t="n">
        <f aca="false">R651/'DCF Base Case'!$B$6</f>
        <v>12.7459480343474</v>
      </c>
    </row>
    <row r="652" customFormat="false" ht="15" hidden="false" customHeight="true" outlineLevel="0" collapsed="false">
      <c r="A652" s="6" t="n">
        <v>651</v>
      </c>
      <c r="B652" s="30" t="n">
        <v>0.103921360772409</v>
      </c>
      <c r="C652" s="30" t="n">
        <v>0.431791150395035</v>
      </c>
      <c r="D652" s="30" t="n">
        <v>0.0682545434633114</v>
      </c>
      <c r="E652" s="30" t="n">
        <v>0.273485156798176</v>
      </c>
      <c r="F652" s="30" t="n">
        <v>0.0130399329691616</v>
      </c>
      <c r="G652" s="30" t="n">
        <v>0.213419946060955</v>
      </c>
      <c r="H652" s="31" t="n">
        <f aca="false">MAX(D652,F652+0.015)</f>
        <v>0.0682545434633114</v>
      </c>
      <c r="I652" s="25" t="n">
        <f aca="false">(C652-'DCF Base Case'!$B$3)*(1-E652)+'DCF Base Case'!$B$3-G652</f>
        <v>0.135835804247992</v>
      </c>
      <c r="J652" s="24" t="n">
        <f aca="false">'DCF Base Case'!$B$2*(1+B652)^1*$I652-'DCF Base Case'!$B$2*(1+B652)^0*B652*'DCF Base Case'!$B$4</f>
        <v>21.2909887313634</v>
      </c>
      <c r="K652" s="24" t="n">
        <f aca="false">'DCF Base Case'!$B$2*(1+B652)^2*$I652-'DCF Base Case'!$B$2*(1+B652)^1*B652*'DCF Base Case'!$B$4</f>
        <v>23.5035772525167</v>
      </c>
      <c r="L652" s="24" t="n">
        <f aca="false">'DCF Base Case'!$B$2*(1+B652)^3*$I652-'DCF Base Case'!$B$2*(1+B652)^2*B652*'DCF Base Case'!$B$4</f>
        <v>25.9461009836177</v>
      </c>
      <c r="M652" s="24" t="n">
        <f aca="false">'DCF Base Case'!$B$2*(1+B652)^4*$I652-'DCF Base Case'!$B$2*(1+B652)^3*B652*'DCF Base Case'!$B$4</f>
        <v>28.6424551045736</v>
      </c>
      <c r="N652" s="24" t="n">
        <f aca="false">'DCF Base Case'!$B$2*(1+B652)^5*$I652-'DCF Base Case'!$B$2*(1+B652)^4*B652*'DCF Base Case'!$B$4</f>
        <v>31.6190180149035</v>
      </c>
      <c r="O652" s="24" t="n">
        <f aca="false">J652/(1+H652)^1+K652/(1+H652)^2+L652/(1+H652)^3+M652/(1+H652)^4+N652/(1+H652)^5</f>
        <v>106.533501332928</v>
      </c>
      <c r="P652" s="24" t="n">
        <f aca="false">N652*(1+F652)/(H652-F652)</f>
        <v>580.124130256473</v>
      </c>
      <c r="Q652" s="24" t="n">
        <f aca="false">O652+P652/(1+H652)^5</f>
        <v>523.544190407689</v>
      </c>
      <c r="R652" s="24" t="n">
        <f aca="false">Q652-'DCF Base Case'!$B$5</f>
        <v>338.544190407689</v>
      </c>
      <c r="S652" s="32" t="n">
        <f aca="false">R652/'DCF Base Case'!$B$6</f>
        <v>13.5417676163075</v>
      </c>
    </row>
    <row r="653" customFormat="false" ht="15" hidden="false" customHeight="true" outlineLevel="0" collapsed="false">
      <c r="A653" s="6" t="n">
        <v>652</v>
      </c>
      <c r="B653" s="30" t="n">
        <v>0.0566388199785348</v>
      </c>
      <c r="C653" s="30" t="n">
        <v>0.379257440716733</v>
      </c>
      <c r="D653" s="30" t="n">
        <v>0.0735533905967435</v>
      </c>
      <c r="E653" s="30" t="n">
        <v>0.252162639013514</v>
      </c>
      <c r="F653" s="30" t="n">
        <v>0.0240996813649434</v>
      </c>
      <c r="G653" s="30" t="n">
        <v>0.213199337648009</v>
      </c>
      <c r="H653" s="31" t="n">
        <f aca="false">MAX(D653,F653+0.015)</f>
        <v>0.0735533905967435</v>
      </c>
      <c r="I653" s="25" t="n">
        <f aca="false">(C653-'DCF Base Case'!$B$3)*(1-E653)+'DCF Base Case'!$B$3-G653</f>
        <v>0.103204689023838</v>
      </c>
      <c r="J653" s="24" t="n">
        <f aca="false">'DCF Base Case'!$B$2*(1+B653)^1*$I653-'DCF Base Case'!$B$2*(1+B653)^0*B653*'DCF Base Case'!$B$4</f>
        <v>15.5658828529214</v>
      </c>
      <c r="K653" s="24" t="n">
        <f aca="false">'DCF Base Case'!$B$2*(1+B653)^2*$I653-'DCF Base Case'!$B$2*(1+B653)^1*B653*'DCF Base Case'!$B$4</f>
        <v>16.4475160896349</v>
      </c>
      <c r="L653" s="24" t="n">
        <f aca="false">'DCF Base Case'!$B$2*(1+B653)^3*$I653-'DCF Base Case'!$B$2*(1+B653)^2*B653*'DCF Base Case'!$B$4</f>
        <v>17.3790839925298</v>
      </c>
      <c r="M653" s="24" t="n">
        <f aca="false">'DCF Base Case'!$B$2*(1+B653)^4*$I653-'DCF Base Case'!$B$2*(1+B653)^3*B653*'DCF Base Case'!$B$4</f>
        <v>18.3634148021746</v>
      </c>
      <c r="N653" s="24" t="n">
        <f aca="false">'DCF Base Case'!$B$2*(1+B653)^5*$I653-'DCF Base Case'!$B$2*(1+B653)^4*B653*'DCF Base Case'!$B$4</f>
        <v>19.4034969473461</v>
      </c>
      <c r="O653" s="24" t="n">
        <f aca="false">J653/(1+H653)^1+K653/(1+H653)^2+L653/(1+H653)^3+M653/(1+H653)^4+N653/(1+H653)^5</f>
        <v>70.2482436227334</v>
      </c>
      <c r="P653" s="24" t="n">
        <f aca="false">N653*(1+F653)/(H653-F653)</f>
        <v>401.812429235644</v>
      </c>
      <c r="Q653" s="24" t="n">
        <f aca="false">O653+P653/(1+H653)^5</f>
        <v>352.024975083387</v>
      </c>
      <c r="R653" s="24" t="n">
        <f aca="false">Q653-'DCF Base Case'!$B$5</f>
        <v>167.024975083387</v>
      </c>
      <c r="S653" s="32" t="n">
        <f aca="false">R653/'DCF Base Case'!$B$6</f>
        <v>6.6809990033355</v>
      </c>
    </row>
    <row r="654" customFormat="false" ht="15" hidden="false" customHeight="true" outlineLevel="0" collapsed="false">
      <c r="A654" s="6" t="n">
        <v>653</v>
      </c>
      <c r="B654" s="30" t="n">
        <v>0.0798200051003495</v>
      </c>
      <c r="C654" s="30" t="n">
        <v>0.381942573374159</v>
      </c>
      <c r="D654" s="30" t="n">
        <v>0.0603938195140138</v>
      </c>
      <c r="E654" s="30" t="n">
        <v>0.273158447249099</v>
      </c>
      <c r="F654" s="30" t="n">
        <v>0.0181102374422042</v>
      </c>
      <c r="G654" s="30" t="n">
        <v>0.152089105579402</v>
      </c>
      <c r="H654" s="31" t="n">
        <f aca="false">MAX(D654,F654+0.015)</f>
        <v>0.0603938195140138</v>
      </c>
      <c r="I654" s="25" t="n">
        <f aca="false">(C654-'DCF Base Case'!$B$3)*(1-E654)+'DCF Base Case'!$B$3-G654</f>
        <v>0.16103322565593</v>
      </c>
      <c r="J654" s="24" t="n">
        <f aca="false">'DCF Base Case'!$B$2*(1+B654)^1*$I654-'DCF Base Case'!$B$2*(1+B654)^0*B654*'DCF Base Case'!$B$4</f>
        <v>24.8663832674347</v>
      </c>
      <c r="K654" s="24" t="n">
        <f aca="false">'DCF Base Case'!$B$2*(1+B654)^2*$I654-'DCF Base Case'!$B$2*(1+B654)^1*B654*'DCF Base Case'!$B$4</f>
        <v>26.8512181066685</v>
      </c>
      <c r="L654" s="24" t="n">
        <f aca="false">'DCF Base Case'!$B$2*(1+B654)^3*$I654-'DCF Base Case'!$B$2*(1+B654)^2*B654*'DCF Base Case'!$B$4</f>
        <v>28.9944824728934</v>
      </c>
      <c r="M654" s="24" t="n">
        <f aca="false">'DCF Base Case'!$B$2*(1+B654)^4*$I654-'DCF Base Case'!$B$2*(1+B654)^3*B654*'DCF Base Case'!$B$4</f>
        <v>31.3088222117618</v>
      </c>
      <c r="N654" s="24" t="n">
        <f aca="false">'DCF Base Case'!$B$2*(1+B654)^5*$I654-'DCF Base Case'!$B$2*(1+B654)^4*B654*'DCF Base Case'!$B$4</f>
        <v>33.8078925603905</v>
      </c>
      <c r="O654" s="24" t="n">
        <f aca="false">J654/(1+H654)^1+K654/(1+H654)^2+L654/(1+H654)^3+M654/(1+H654)^4+N654/(1+H654)^5</f>
        <v>121.626139324937</v>
      </c>
      <c r="P654" s="24" t="n">
        <f aca="false">N654*(1+F654)/(H654-F654)</f>
        <v>814.031352964005</v>
      </c>
      <c r="Q654" s="24" t="n">
        <f aca="false">O654+P654/(1+H654)^5</f>
        <v>728.788992872463</v>
      </c>
      <c r="R654" s="24" t="n">
        <f aca="false">Q654-'DCF Base Case'!$B$5</f>
        <v>543.788992872463</v>
      </c>
      <c r="S654" s="32" t="n">
        <f aca="false">R654/'DCF Base Case'!$B$6</f>
        <v>21.7515597148985</v>
      </c>
    </row>
    <row r="655" customFormat="false" ht="15" hidden="false" customHeight="true" outlineLevel="0" collapsed="false">
      <c r="A655" s="6" t="n">
        <v>654</v>
      </c>
      <c r="B655" s="30" t="n">
        <v>0.0945907427137139</v>
      </c>
      <c r="C655" s="30" t="n">
        <v>0.423822691144591</v>
      </c>
      <c r="D655" s="30" t="n">
        <v>0.0885539158373169</v>
      </c>
      <c r="E655" s="30" t="n">
        <v>0.271399384596987</v>
      </c>
      <c r="F655" s="30" t="n">
        <v>0.0148661879300213</v>
      </c>
      <c r="G655" s="30" t="n">
        <v>0.181057049924717</v>
      </c>
      <c r="H655" s="31" t="n">
        <f aca="false">MAX(D655,F655+0.015)</f>
        <v>0.0885539158373169</v>
      </c>
      <c r="I655" s="25" t="n">
        <f aca="false">(C655-'DCF Base Case'!$B$3)*(1-E655)+'DCF Base Case'!$B$3-G655</f>
        <v>0.163022343662601</v>
      </c>
      <c r="J655" s="24" t="n">
        <f aca="false">'DCF Base Case'!$B$2*(1+B655)^1*$I655-'DCF Base Case'!$B$2*(1+B655)^0*B655*'DCF Base Case'!$B$4</f>
        <v>25.462728762339</v>
      </c>
      <c r="K655" s="24" t="n">
        <f aca="false">'DCF Base Case'!$B$2*(1+B655)^2*$I655-'DCF Base Case'!$B$2*(1+B655)^1*B655*'DCF Base Case'!$B$4</f>
        <v>27.8712671874865</v>
      </c>
      <c r="L655" s="24" t="n">
        <f aca="false">'DCF Base Case'!$B$2*(1+B655)^3*$I655-'DCF Base Case'!$B$2*(1+B655)^2*B655*'DCF Base Case'!$B$4</f>
        <v>30.5076310511232</v>
      </c>
      <c r="M655" s="24" t="n">
        <f aca="false">'DCF Base Case'!$B$2*(1+B655)^4*$I655-'DCF Base Case'!$B$2*(1+B655)^3*B655*'DCF Base Case'!$B$4</f>
        <v>33.393370530685</v>
      </c>
      <c r="N655" s="24" t="n">
        <f aca="false">'DCF Base Case'!$B$2*(1+B655)^5*$I655-'DCF Base Case'!$B$2*(1+B655)^4*B655*'DCF Base Case'!$B$4</f>
        <v>36.5520742508967</v>
      </c>
      <c r="O655" s="24" t="n">
        <f aca="false">J655/(1+H655)^1+K655/(1+H655)^2+L655/(1+H655)^3+M655/(1+H655)^4+N655/(1+H655)^5</f>
        <v>118.26110690533</v>
      </c>
      <c r="P655" s="24" t="n">
        <f aca="false">N655*(1+F655)/(H655-F655)</f>
        <v>503.41441254114</v>
      </c>
      <c r="Q655" s="24" t="n">
        <f aca="false">O655+P655/(1+H655)^5</f>
        <v>447.624951126649</v>
      </c>
      <c r="R655" s="24" t="n">
        <f aca="false">Q655-'DCF Base Case'!$B$5</f>
        <v>262.624951126649</v>
      </c>
      <c r="S655" s="32" t="n">
        <f aca="false">R655/'DCF Base Case'!$B$6</f>
        <v>10.504998045066</v>
      </c>
    </row>
    <row r="656" customFormat="false" ht="15" hidden="false" customHeight="true" outlineLevel="0" collapsed="false">
      <c r="A656" s="6" t="n">
        <v>655</v>
      </c>
      <c r="B656" s="30" t="n">
        <v>0.0902502330372162</v>
      </c>
      <c r="C656" s="30" t="n">
        <v>0.431615270785739</v>
      </c>
      <c r="D656" s="30" t="n">
        <v>0.0936908310441946</v>
      </c>
      <c r="E656" s="30" t="n">
        <v>0.253061579840046</v>
      </c>
      <c r="F656" s="30" t="n">
        <v>0.0136410198289153</v>
      </c>
      <c r="G656" s="30" t="n">
        <v>0.149997486899532</v>
      </c>
      <c r="H656" s="31" t="n">
        <f aca="false">MAX(D656,F656+0.015)</f>
        <v>0.0936908310441946</v>
      </c>
      <c r="I656" s="25" t="n">
        <f aca="false">(C656-'DCF Base Case'!$B$3)*(1-E656)+'DCF Base Case'!$B$3-G656</f>
        <v>0.205290546957285</v>
      </c>
      <c r="J656" s="24" t="n">
        <f aca="false">'DCF Base Case'!$B$2*(1+B656)^1*$I656-'DCF Base Case'!$B$2*(1+B656)^0*B656*'DCF Base Case'!$B$4</f>
        <v>32.0610311520631</v>
      </c>
      <c r="K656" s="24" t="n">
        <f aca="false">'DCF Base Case'!$B$2*(1+B656)^2*$I656-'DCF Base Case'!$B$2*(1+B656)^1*B656*'DCF Base Case'!$B$4</f>
        <v>34.9545466849502</v>
      </c>
      <c r="L656" s="24" t="n">
        <f aca="false">'DCF Base Case'!$B$2*(1+B656)^3*$I656-'DCF Base Case'!$B$2*(1+B656)^2*B656*'DCF Base Case'!$B$4</f>
        <v>38.1092026689773</v>
      </c>
      <c r="M656" s="24" t="n">
        <f aca="false">'DCF Base Case'!$B$2*(1+B656)^4*$I656-'DCF Base Case'!$B$2*(1+B656)^3*B656*'DCF Base Case'!$B$4</f>
        <v>41.5485670907149</v>
      </c>
      <c r="N656" s="24" t="n">
        <f aca="false">'DCF Base Case'!$B$2*(1+B656)^5*$I656-'DCF Base Case'!$B$2*(1+B656)^4*B656*'DCF Base Case'!$B$4</f>
        <v>45.2983349530144</v>
      </c>
      <c r="O656" s="24" t="n">
        <f aca="false">J656/(1+H656)^1+K656/(1+H656)^2+L656/(1+H656)^3+M656/(1+H656)^4+N656/(1+H656)^5</f>
        <v>145.653345591637</v>
      </c>
      <c r="P656" s="24" t="n">
        <f aca="false">N656*(1+F656)/(H656-F656)</f>
        <v>573.59598656444</v>
      </c>
      <c r="Q656" s="24" t="n">
        <f aca="false">O656+P656/(1+H656)^5</f>
        <v>512.203365821773</v>
      </c>
      <c r="R656" s="24" t="n">
        <f aca="false">Q656-'DCF Base Case'!$B$5</f>
        <v>327.203365821773</v>
      </c>
      <c r="S656" s="32" t="n">
        <f aca="false">R656/'DCF Base Case'!$B$6</f>
        <v>13.0881346328709</v>
      </c>
    </row>
    <row r="657" customFormat="false" ht="15" hidden="false" customHeight="true" outlineLevel="0" collapsed="false">
      <c r="A657" s="6" t="n">
        <v>656</v>
      </c>
      <c r="B657" s="30" t="n">
        <v>0.0669651152013105</v>
      </c>
      <c r="C657" s="30" t="n">
        <v>0.421645802997571</v>
      </c>
      <c r="D657" s="30" t="n">
        <v>0.0888644064358671</v>
      </c>
      <c r="E657" s="30" t="n">
        <v>0.31332773931574</v>
      </c>
      <c r="F657" s="30" t="n">
        <v>0.0207623574807181</v>
      </c>
      <c r="G657" s="30" t="n">
        <v>0.169958363288542</v>
      </c>
      <c r="H657" s="31" t="n">
        <f aca="false">MAX(D657,F657+0.015)</f>
        <v>0.0888644064358671</v>
      </c>
      <c r="I657" s="25" t="n">
        <f aca="false">(C657-'DCF Base Case'!$B$3)*(1-E657)+'DCF Base Case'!$B$3-G657</f>
        <v>0.160306719574876</v>
      </c>
      <c r="J657" s="24" t="n">
        <f aca="false">'DCF Base Case'!$B$2*(1+B657)^1*$I657-'DCF Base Case'!$B$2*(1+B657)^0*B657*'DCF Base Case'!$B$4</f>
        <v>24.5097449890934</v>
      </c>
      <c r="K657" s="24" t="n">
        <f aca="false">'DCF Base Case'!$B$2*(1+B657)^2*$I657-'DCF Base Case'!$B$2*(1+B657)^1*B657*'DCF Base Case'!$B$4</f>
        <v>26.1510428858427</v>
      </c>
      <c r="L657" s="24" t="n">
        <f aca="false">'DCF Base Case'!$B$2*(1+B657)^3*$I657-'DCF Base Case'!$B$2*(1+B657)^2*B657*'DCF Base Case'!$B$4</f>
        <v>27.9022504853276</v>
      </c>
      <c r="M657" s="24" t="n">
        <f aca="false">'DCF Base Case'!$B$2*(1+B657)^4*$I657-'DCF Base Case'!$B$2*(1+B657)^3*B657*'DCF Base Case'!$B$4</f>
        <v>29.7707279034534</v>
      </c>
      <c r="N657" s="24" t="n">
        <f aca="false">'DCF Base Case'!$B$2*(1+B657)^5*$I657-'DCF Base Case'!$B$2*(1+B657)^4*B657*'DCF Base Case'!$B$4</f>
        <v>31.764328127135</v>
      </c>
      <c r="O657" s="24" t="n">
        <f aca="false">J657/(1+H657)^1+K657/(1+H657)^2+L657/(1+H657)^3+M657/(1+H657)^4+N657/(1+H657)^5</f>
        <v>108.110303371014</v>
      </c>
      <c r="P657" s="24" t="n">
        <f aca="false">N657*(1+F657)/(H657-F657)</f>
        <v>476.106533655093</v>
      </c>
      <c r="Q657" s="24" t="n">
        <f aca="false">O657+P657/(1+H657)^5</f>
        <v>419.163833005358</v>
      </c>
      <c r="R657" s="24" t="n">
        <f aca="false">Q657-'DCF Base Case'!$B$5</f>
        <v>234.163833005358</v>
      </c>
      <c r="S657" s="32" t="n">
        <f aca="false">R657/'DCF Base Case'!$B$6</f>
        <v>9.36655332021434</v>
      </c>
    </row>
    <row r="658" customFormat="false" ht="15" hidden="false" customHeight="true" outlineLevel="0" collapsed="false">
      <c r="A658" s="6" t="n">
        <v>657</v>
      </c>
      <c r="B658" s="30" t="n">
        <v>0.116008110576858</v>
      </c>
      <c r="C658" s="30" t="n">
        <v>0.432077541736023</v>
      </c>
      <c r="D658" s="30" t="n">
        <v>0.0857491105978149</v>
      </c>
      <c r="E658" s="30" t="n">
        <v>0.323792666875916</v>
      </c>
      <c r="F658" s="30" t="n">
        <v>0.0197736173856057</v>
      </c>
      <c r="G658" s="30" t="n">
        <v>0.159009445346472</v>
      </c>
      <c r="H658" s="31" t="n">
        <f aca="false">MAX(D658,F658+0.015)</f>
        <v>0.0857491105978149</v>
      </c>
      <c r="I658" s="25" t="n">
        <f aca="false">(C658-'DCF Base Case'!$B$3)*(1-E658)+'DCF Base Case'!$B$3-G658</f>
        <v>0.175257603547523</v>
      </c>
      <c r="J658" s="24" t="n">
        <f aca="false">'DCF Base Case'!$B$2*(1+B658)^1*$I658-'DCF Base Case'!$B$2*(1+B658)^0*B658*'DCF Base Case'!$B$4</f>
        <v>27.8557562338891</v>
      </c>
      <c r="K658" s="24" t="n">
        <f aca="false">'DCF Base Case'!$B$2*(1+B658)^2*$I658-'DCF Base Case'!$B$2*(1+B658)^1*B658*'DCF Base Case'!$B$4</f>
        <v>31.0872498832721</v>
      </c>
      <c r="L658" s="24" t="n">
        <f aca="false">'DCF Base Case'!$B$2*(1+B658)^3*$I658-'DCF Base Case'!$B$2*(1+B658)^2*B658*'DCF Base Case'!$B$4</f>
        <v>34.6936230052612</v>
      </c>
      <c r="M658" s="24" t="n">
        <f aca="false">'DCF Base Case'!$B$2*(1+B658)^4*$I658-'DCF Base Case'!$B$2*(1+B658)^3*B658*'DCF Base Case'!$B$4</f>
        <v>38.7183646591673</v>
      </c>
      <c r="N658" s="24" t="n">
        <f aca="false">'DCF Base Case'!$B$2*(1+B658)^5*$I658-'DCF Base Case'!$B$2*(1+B658)^4*B658*'DCF Base Case'!$B$4</f>
        <v>43.2100089879031</v>
      </c>
      <c r="O658" s="24" t="n">
        <f aca="false">J658/(1+H658)^1+K658/(1+H658)^2+L658/(1+H658)^3+M658/(1+H658)^4+N658/(1+H658)^5</f>
        <v>135.631106992832</v>
      </c>
      <c r="P658" s="24" t="n">
        <f aca="false">N658*(1+F658)/(H658-F658)</f>
        <v>667.890833815003</v>
      </c>
      <c r="Q658" s="24" t="n">
        <f aca="false">O658+P658/(1+H658)^5</f>
        <v>578.278664158593</v>
      </c>
      <c r="R658" s="24" t="n">
        <f aca="false">Q658-'DCF Base Case'!$B$5</f>
        <v>393.278664158593</v>
      </c>
      <c r="S658" s="32" t="n">
        <f aca="false">R658/'DCF Base Case'!$B$6</f>
        <v>15.7311465663437</v>
      </c>
    </row>
    <row r="659" customFormat="false" ht="15" hidden="false" customHeight="true" outlineLevel="0" collapsed="false">
      <c r="A659" s="6" t="n">
        <v>658</v>
      </c>
      <c r="B659" s="30" t="n">
        <v>0.071706859426972</v>
      </c>
      <c r="C659" s="30" t="n">
        <v>0.422188044400578</v>
      </c>
      <c r="D659" s="30" t="n">
        <v>0.0986075559602672</v>
      </c>
      <c r="E659" s="30" t="n">
        <v>0.2782385116915</v>
      </c>
      <c r="F659" s="30" t="n">
        <v>0.0239605171096211</v>
      </c>
      <c r="G659" s="30" t="n">
        <v>0.129882980097936</v>
      </c>
      <c r="H659" s="31" t="n">
        <f aca="false">MAX(D659,F659+0.015)</f>
        <v>0.0986075559602672</v>
      </c>
      <c r="I659" s="25" t="n">
        <f aca="false">(C659-'DCF Base Case'!$B$3)*(1-E659)+'DCF Base Case'!$B$3-G659</f>
        <v>0.211007097694575</v>
      </c>
      <c r="J659" s="24" t="n">
        <f aca="false">'DCF Base Case'!$B$2*(1+B659)^1*$I659-'DCF Base Case'!$B$2*(1+B659)^0*B659*'DCF Base Case'!$B$4</f>
        <v>32.4780494896154</v>
      </c>
      <c r="K659" s="24" t="n">
        <f aca="false">'DCF Base Case'!$B$2*(1+B659)^2*$I659-'DCF Base Case'!$B$2*(1+B659)^1*B659*'DCF Base Case'!$B$4</f>
        <v>34.8069484188295</v>
      </c>
      <c r="L659" s="24" t="n">
        <f aca="false">'DCF Base Case'!$B$2*(1+B659)^3*$I659-'DCF Base Case'!$B$2*(1+B659)^2*B659*'DCF Base Case'!$B$4</f>
        <v>37.3028453761804</v>
      </c>
      <c r="M659" s="24" t="n">
        <f aca="false">'DCF Base Case'!$B$2*(1+B659)^4*$I659-'DCF Base Case'!$B$2*(1+B659)^3*B659*'DCF Base Case'!$B$4</f>
        <v>39.9777152657963</v>
      </c>
      <c r="N659" s="24" t="n">
        <f aca="false">'DCF Base Case'!$B$2*(1+B659)^5*$I659-'DCF Base Case'!$B$2*(1+B659)^4*B659*'DCF Base Case'!$B$4</f>
        <v>42.8443916745722</v>
      </c>
      <c r="O659" s="24" t="n">
        <f aca="false">J659/(1+H659)^1+K659/(1+H659)^2+L659/(1+H659)^3+M659/(1+H659)^4+N659/(1+H659)^5</f>
        <v>140.750873042985</v>
      </c>
      <c r="P659" s="24" t="n">
        <f aca="false">N659*(1+F659)/(H659-F659)</f>
        <v>587.712066410554</v>
      </c>
      <c r="Q659" s="24" t="n">
        <f aca="false">O659+P659/(1+H659)^5</f>
        <v>507.992327741731</v>
      </c>
      <c r="R659" s="24" t="n">
        <f aca="false">Q659-'DCF Base Case'!$B$5</f>
        <v>322.992327741731</v>
      </c>
      <c r="S659" s="32" t="n">
        <f aca="false">R659/'DCF Base Case'!$B$6</f>
        <v>12.9196931096692</v>
      </c>
    </row>
    <row r="660" customFormat="false" ht="15" hidden="false" customHeight="true" outlineLevel="0" collapsed="false">
      <c r="A660" s="6" t="n">
        <v>659</v>
      </c>
      <c r="B660" s="30" t="n">
        <v>0.0888819310755476</v>
      </c>
      <c r="C660" s="30" t="n">
        <v>0.413513671771142</v>
      </c>
      <c r="D660" s="30" t="n">
        <v>0.0770030619035192</v>
      </c>
      <c r="E660" s="30" t="n">
        <v>0.340791104968906</v>
      </c>
      <c r="F660" s="30" t="n">
        <v>0.0191039628975696</v>
      </c>
      <c r="G660" s="30" t="n">
        <v>0.156972188018857</v>
      </c>
      <c r="H660" s="31" t="n">
        <f aca="false">MAX(D660,F660+0.015)</f>
        <v>0.0770030619035192</v>
      </c>
      <c r="I660" s="25" t="n">
        <f aca="false">(C660-'DCF Base Case'!$B$3)*(1-E660)+'DCF Base Case'!$B$3-G660</f>
        <v>0.159922546275606</v>
      </c>
      <c r="J660" s="24" t="n">
        <f aca="false">'DCF Base Case'!$B$2*(1+B660)^1*$I660-'DCF Base Case'!$B$2*(1+B660)^0*B660*'DCF Base Case'!$B$4</f>
        <v>24.8631953964309</v>
      </c>
      <c r="K660" s="24" t="n">
        <f aca="false">'DCF Base Case'!$B$2*(1+B660)^2*$I660-'DCF Base Case'!$B$2*(1+B660)^1*B660*'DCF Base Case'!$B$4</f>
        <v>27.0730842159743</v>
      </c>
      <c r="L660" s="24" t="n">
        <f aca="false">'DCF Base Case'!$B$2*(1+B660)^3*$I660-'DCF Base Case'!$B$2*(1+B660)^2*B660*'DCF Base Case'!$B$4</f>
        <v>29.4793922212611</v>
      </c>
      <c r="M660" s="24" t="n">
        <f aca="false">'DCF Base Case'!$B$2*(1+B660)^4*$I660-'DCF Base Case'!$B$2*(1+B660)^3*B660*'DCF Base Case'!$B$4</f>
        <v>32.0995775288202</v>
      </c>
      <c r="N660" s="24" t="n">
        <f aca="false">'DCF Base Case'!$B$2*(1+B660)^5*$I660-'DCF Base Case'!$B$2*(1+B660)^4*B660*'DCF Base Case'!$B$4</f>
        <v>34.952649966291</v>
      </c>
      <c r="O660" s="24" t="n">
        <f aca="false">J660/(1+H660)^1+K660/(1+H660)^2+L660/(1+H660)^3+M660/(1+H660)^4+N660/(1+H660)^5</f>
        <v>118.002163509164</v>
      </c>
      <c r="P660" s="24" t="n">
        <f aca="false">N660*(1+F660)/(H660-F660)</f>
        <v>615.214825549505</v>
      </c>
      <c r="Q660" s="24" t="n">
        <f aca="false">O660+P660/(1+H660)^5</f>
        <v>542.565123684552</v>
      </c>
      <c r="R660" s="24" t="n">
        <f aca="false">Q660-'DCF Base Case'!$B$5</f>
        <v>357.565123684552</v>
      </c>
      <c r="S660" s="32" t="n">
        <f aca="false">R660/'DCF Base Case'!$B$6</f>
        <v>14.3026049473821</v>
      </c>
    </row>
    <row r="661" customFormat="false" ht="15" hidden="false" customHeight="true" outlineLevel="0" collapsed="false">
      <c r="A661" s="6" t="n">
        <v>660</v>
      </c>
      <c r="B661" s="30" t="n">
        <v>0.0905205204817791</v>
      </c>
      <c r="C661" s="30" t="n">
        <v>0.373626609106427</v>
      </c>
      <c r="D661" s="30" t="n">
        <v>0.0766414528212059</v>
      </c>
      <c r="E661" s="30" t="n">
        <v>0.309860589571313</v>
      </c>
      <c r="F661" s="30" t="n">
        <v>0.0168059659694997</v>
      </c>
      <c r="G661" s="30" t="n">
        <v>0.148536820111192</v>
      </c>
      <c r="H661" s="31" t="n">
        <f aca="false">MAX(D661,F661+0.015)</f>
        <v>0.0766414528212059</v>
      </c>
      <c r="I661" s="25" t="n">
        <f aca="false">(C661-'DCF Base Case'!$B$3)*(1-E661)+'DCF Base Case'!$B$3-G661</f>
        <v>0.149599504262258</v>
      </c>
      <c r="J661" s="24" t="n">
        <f aca="false">'DCF Base Case'!$B$2*(1+B661)^1*$I661-'DCF Base Case'!$B$2*(1+B661)^0*B661*'DCF Base Case'!$B$4</f>
        <v>23.2617284774288</v>
      </c>
      <c r="K661" s="24" t="n">
        <f aca="false">'DCF Base Case'!$B$2*(1+B661)^2*$I661-'DCF Base Case'!$B$2*(1+B661)^1*B661*'DCF Base Case'!$B$4</f>
        <v>25.3673922465115</v>
      </c>
      <c r="L661" s="24" t="n">
        <f aca="false">'DCF Base Case'!$B$2*(1+B661)^3*$I661-'DCF Base Case'!$B$2*(1+B661)^2*B661*'DCF Base Case'!$B$4</f>
        <v>27.6636617959312</v>
      </c>
      <c r="M661" s="24" t="n">
        <f aca="false">'DCF Base Case'!$B$2*(1+B661)^4*$I661-'DCF Base Case'!$B$2*(1+B661)^3*B661*'DCF Base Case'!$B$4</f>
        <v>30.1677908601308</v>
      </c>
      <c r="N661" s="24" t="n">
        <f aca="false">'DCF Base Case'!$B$2*(1+B661)^5*$I661-'DCF Base Case'!$B$2*(1+B661)^4*B661*'DCF Base Case'!$B$4</f>
        <v>32.8985949905753</v>
      </c>
      <c r="O661" s="24" t="n">
        <f aca="false">J661/(1+H661)^1+K661/(1+H661)^2+L661/(1+H661)^3+M661/(1+H661)^4+N661/(1+H661)^5</f>
        <v>110.850492956583</v>
      </c>
      <c r="P661" s="24" t="n">
        <f aca="false">N661*(1+F661)/(H661-F661)</f>
        <v>559.057666587322</v>
      </c>
      <c r="Q661" s="24" t="n">
        <f aca="false">O661+P661/(1+H661)^5</f>
        <v>497.307443417207</v>
      </c>
      <c r="R661" s="24" t="n">
        <f aca="false">Q661-'DCF Base Case'!$B$5</f>
        <v>312.307443417207</v>
      </c>
      <c r="S661" s="32" t="n">
        <f aca="false">R661/'DCF Base Case'!$B$6</f>
        <v>12.4922977366883</v>
      </c>
    </row>
    <row r="662" customFormat="false" ht="15" hidden="false" customHeight="true" outlineLevel="0" collapsed="false">
      <c r="A662" s="6" t="n">
        <v>661</v>
      </c>
      <c r="B662" s="30" t="n">
        <v>0.118185076234975</v>
      </c>
      <c r="C662" s="30" t="n">
        <v>0.446842313106385</v>
      </c>
      <c r="D662" s="30" t="n">
        <v>0.0906868951937726</v>
      </c>
      <c r="E662" s="30" t="n">
        <v>0.268223920974394</v>
      </c>
      <c r="F662" s="30" t="n">
        <v>0.0184225755514424</v>
      </c>
      <c r="G662" s="30" t="n">
        <v>0.149027930457028</v>
      </c>
      <c r="H662" s="31" t="n">
        <f aca="false">MAX(D662,F662+0.015)</f>
        <v>0.0906868951937726</v>
      </c>
      <c r="I662" s="25" t="n">
        <f aca="false">(C662-'DCF Base Case'!$B$3)*(1-E662)+'DCF Base Case'!$B$3-G662</f>
        <v>0.212829695097366</v>
      </c>
      <c r="J662" s="24" t="n">
        <f aca="false">'DCF Base Case'!$B$2*(1+B662)^1*$I662-'DCF Base Case'!$B$2*(1+B662)^0*B662*'DCF Base Case'!$B$4</f>
        <v>33.9934282998175</v>
      </c>
      <c r="K662" s="24" t="n">
        <f aca="false">'DCF Base Case'!$B$2*(1+B662)^2*$I662-'DCF Base Case'!$B$2*(1+B662)^1*B662*'DCF Base Case'!$B$4</f>
        <v>38.0109442149195</v>
      </c>
      <c r="L662" s="24" t="n">
        <f aca="false">'DCF Base Case'!$B$2*(1+B662)^3*$I662-'DCF Base Case'!$B$2*(1+B662)^2*B662*'DCF Base Case'!$B$4</f>
        <v>42.5032705547232</v>
      </c>
      <c r="M662" s="24" t="n">
        <f aca="false">'DCF Base Case'!$B$2*(1+B662)^4*$I662-'DCF Base Case'!$B$2*(1+B662)^3*B662*'DCF Base Case'!$B$4</f>
        <v>47.5265228254689</v>
      </c>
      <c r="N662" s="24" t="n">
        <f aca="false">'DCF Base Case'!$B$2*(1+B662)^5*$I662-'DCF Base Case'!$B$2*(1+B662)^4*B662*'DCF Base Case'!$B$4</f>
        <v>53.1434485487802</v>
      </c>
      <c r="O662" s="24" t="n">
        <f aca="false">J662/(1+H662)^1+K662/(1+H662)^2+L662/(1+H662)^3+M662/(1+H662)^4+N662/(1+H662)^5</f>
        <v>163.89333130466</v>
      </c>
      <c r="P662" s="24" t="n">
        <f aca="false">N662*(1+F662)/(H662-F662)</f>
        <v>748.951737352704</v>
      </c>
      <c r="Q662" s="24" t="n">
        <f aca="false">O662+P662/(1+H662)^5</f>
        <v>649.129714938411</v>
      </c>
      <c r="R662" s="24" t="n">
        <f aca="false">Q662-'DCF Base Case'!$B$5</f>
        <v>464.129714938411</v>
      </c>
      <c r="S662" s="32" t="n">
        <f aca="false">R662/'DCF Base Case'!$B$6</f>
        <v>18.5651885975364</v>
      </c>
    </row>
    <row r="663" customFormat="false" ht="15" hidden="false" customHeight="true" outlineLevel="0" collapsed="false">
      <c r="A663" s="6" t="n">
        <v>662</v>
      </c>
      <c r="B663" s="30" t="n">
        <v>0.0682774920605192</v>
      </c>
      <c r="C663" s="30" t="n">
        <v>0.383537102055132</v>
      </c>
      <c r="D663" s="30" t="n">
        <v>0.0782014015253627</v>
      </c>
      <c r="E663" s="30" t="n">
        <v>0.258190083927094</v>
      </c>
      <c r="F663" s="30" t="n">
        <v>0.0132117126389791</v>
      </c>
      <c r="G663" s="30" t="n">
        <v>0.170210350758505</v>
      </c>
      <c r="H663" s="31" t="n">
        <f aca="false">MAX(D663,F663+0.015)</f>
        <v>0.0782014015253627</v>
      </c>
      <c r="I663" s="25" t="n">
        <f aca="false">(C663-'DCF Base Case'!$B$3)*(1-E663)+'DCF Base Case'!$B$3-G663</f>
        <v>0.14786598563838</v>
      </c>
      <c r="J663" s="24" t="n">
        <f aca="false">'DCF Base Case'!$B$2*(1+B663)^1*$I663-'DCF Base Case'!$B$2*(1+B663)^0*B663*'DCF Base Case'!$B$4</f>
        <v>22.6074690328665</v>
      </c>
      <c r="K663" s="24" t="n">
        <f aca="false">'DCF Base Case'!$B$2*(1+B663)^2*$I663-'DCF Base Case'!$B$2*(1+B663)^1*B663*'DCF Base Case'!$B$4</f>
        <v>24.1510503202664</v>
      </c>
      <c r="L663" s="24" t="n">
        <f aca="false">'DCF Base Case'!$B$2*(1+B663)^3*$I663-'DCF Base Case'!$B$2*(1+B663)^2*B663*'DCF Base Case'!$B$4</f>
        <v>25.8000234667616</v>
      </c>
      <c r="M663" s="24" t="n">
        <f aca="false">'DCF Base Case'!$B$2*(1+B663)^4*$I663-'DCF Base Case'!$B$2*(1+B663)^3*B663*'DCF Base Case'!$B$4</f>
        <v>27.5615843641746</v>
      </c>
      <c r="N663" s="24" t="n">
        <f aca="false">'DCF Base Case'!$B$2*(1+B663)^5*$I663-'DCF Base Case'!$B$2*(1+B663)^4*B663*'DCF Base Case'!$B$4</f>
        <v>29.4434202217749</v>
      </c>
      <c r="O663" s="24" t="n">
        <f aca="false">J663/(1+H663)^1+K663/(1+H663)^2+L663/(1+H663)^3+M663/(1+H663)^4+N663/(1+H663)^5</f>
        <v>102.926584583681</v>
      </c>
      <c r="P663" s="24" t="n">
        <f aca="false">N663*(1+F663)/(H663-F663)</f>
        <v>459.033098019709</v>
      </c>
      <c r="Q663" s="24" t="n">
        <f aca="false">O663+P663/(1+H663)^5</f>
        <v>417.951236837821</v>
      </c>
      <c r="R663" s="24" t="n">
        <f aca="false">Q663-'DCF Base Case'!$B$5</f>
        <v>232.951236837821</v>
      </c>
      <c r="S663" s="32" t="n">
        <f aca="false">R663/'DCF Base Case'!$B$6</f>
        <v>9.31804947351286</v>
      </c>
    </row>
    <row r="664" customFormat="false" ht="15" hidden="false" customHeight="true" outlineLevel="0" collapsed="false">
      <c r="A664" s="6" t="n">
        <v>663</v>
      </c>
      <c r="B664" s="30" t="n">
        <v>0.0948745459916465</v>
      </c>
      <c r="C664" s="30" t="n">
        <v>0.446298148059677</v>
      </c>
      <c r="D664" s="30" t="n">
        <v>0.0776482779480983</v>
      </c>
      <c r="E664" s="30" t="n">
        <v>0.288376882135194</v>
      </c>
      <c r="F664" s="30" t="n">
        <v>0.0204633815402716</v>
      </c>
      <c r="G664" s="30" t="n">
        <v>0.159990525227714</v>
      </c>
      <c r="H664" s="31" t="n">
        <f aca="false">MAX(D664,F664+0.015)</f>
        <v>0.0776482779480983</v>
      </c>
      <c r="I664" s="25" t="n">
        <f aca="false">(C664-'DCF Base Case'!$B$3)*(1-E664)+'DCF Base Case'!$B$3-G664</f>
        <v>0.195094549069377</v>
      </c>
      <c r="J664" s="24" t="n">
        <f aca="false">'DCF Base Case'!$B$2*(1+B664)^1*$I664-'DCF Base Case'!$B$2*(1+B664)^0*B664*'DCF Base Case'!$B$4</f>
        <v>30.5598838214144</v>
      </c>
      <c r="K664" s="24" t="n">
        <f aca="false">'DCF Base Case'!$B$2*(1+B664)^2*$I664-'DCF Base Case'!$B$2*(1+B664)^1*B664*'DCF Base Case'!$B$4</f>
        <v>33.4592389245285</v>
      </c>
      <c r="L664" s="24" t="n">
        <f aca="false">'DCF Base Case'!$B$2*(1+B664)^3*$I664-'DCF Base Case'!$B$2*(1+B664)^2*B664*'DCF Base Case'!$B$4</f>
        <v>36.6336690267192</v>
      </c>
      <c r="M664" s="24" t="n">
        <f aca="false">'DCF Base Case'!$B$2*(1+B664)^4*$I664-'DCF Base Case'!$B$2*(1+B664)^3*B664*'DCF Base Case'!$B$4</f>
        <v>40.1092717436374</v>
      </c>
      <c r="N664" s="24" t="n">
        <f aca="false">'DCF Base Case'!$B$2*(1+B664)^5*$I664-'DCF Base Case'!$B$2*(1+B664)^4*B664*'DCF Base Case'!$B$4</f>
        <v>43.9146206903706</v>
      </c>
      <c r="O664" s="24" t="n">
        <f aca="false">J664/(1+H664)^1+K664/(1+H664)^2+L664/(1+H664)^3+M664/(1+H664)^4+N664/(1+H664)^5</f>
        <v>146.395767719711</v>
      </c>
      <c r="P664" s="24" t="n">
        <f aca="false">N664*(1+F664)/(H664-F664)</f>
        <v>783.655565433891</v>
      </c>
      <c r="Q664" s="24" t="n">
        <f aca="false">O664+P664/(1+H664)^5</f>
        <v>685.583529124381</v>
      </c>
      <c r="R664" s="24" t="n">
        <f aca="false">Q664-'DCF Base Case'!$B$5</f>
        <v>500.583529124381</v>
      </c>
      <c r="S664" s="32" t="n">
        <f aca="false">R664/'DCF Base Case'!$B$6</f>
        <v>20.0233411649753</v>
      </c>
    </row>
    <row r="665" customFormat="false" ht="15" hidden="false" customHeight="true" outlineLevel="0" collapsed="false">
      <c r="A665" s="6" t="n">
        <v>664</v>
      </c>
      <c r="B665" s="30" t="n">
        <v>0.106211145124362</v>
      </c>
      <c r="C665" s="30" t="n">
        <v>0.434552657584734</v>
      </c>
      <c r="D665" s="30" t="n">
        <v>0.088601522047173</v>
      </c>
      <c r="E665" s="30" t="n">
        <v>0.272871755046424</v>
      </c>
      <c r="F665" s="30" t="n">
        <v>0.0179410837831437</v>
      </c>
      <c r="G665" s="30" t="n">
        <v>0.138514271387567</v>
      </c>
      <c r="H665" s="31" t="n">
        <f aca="false">MAX(D665,F665+0.015)</f>
        <v>0.088601522047173</v>
      </c>
      <c r="I665" s="25" t="n">
        <f aca="false">(C665-'DCF Base Case'!$B$3)*(1-E665)+'DCF Base Case'!$B$3-G665</f>
        <v>0.212934568017968</v>
      </c>
      <c r="J665" s="24" t="n">
        <f aca="false">'DCF Base Case'!$B$2*(1+B665)^1*$I665-'DCF Base Case'!$B$2*(1+B665)^0*B665*'DCF Base Case'!$B$4</f>
        <v>33.6928174056481</v>
      </c>
      <c r="K665" s="24" t="n">
        <f aca="false">'DCF Base Case'!$B$2*(1+B665)^2*$I665-'DCF Base Case'!$B$2*(1+B665)^1*B665*'DCF Base Case'!$B$4</f>
        <v>37.271370124768</v>
      </c>
      <c r="L665" s="24" t="n">
        <f aca="false">'DCF Base Case'!$B$2*(1+B665)^3*$I665-'DCF Base Case'!$B$2*(1+B665)^2*B665*'DCF Base Case'!$B$4</f>
        <v>41.2300050260736</v>
      </c>
      <c r="M665" s="24" t="n">
        <f aca="false">'DCF Base Case'!$B$2*(1+B665)^4*$I665-'DCF Base Case'!$B$2*(1+B665)^3*B665*'DCF Base Case'!$B$4</f>
        <v>45.609091073376</v>
      </c>
      <c r="N665" s="24" t="n">
        <f aca="false">'DCF Base Case'!$B$2*(1+B665)^5*$I665-'DCF Base Case'!$B$2*(1+B665)^4*B665*'DCF Base Case'!$B$4</f>
        <v>50.4532848643606</v>
      </c>
      <c r="O665" s="24" t="n">
        <f aca="false">J665/(1+H665)^1+K665/(1+H665)^2+L665/(1+H665)^3+M665/(1+H665)^4+N665/(1+H665)^5</f>
        <v>159.841080545294</v>
      </c>
      <c r="P665" s="24" t="n">
        <f aca="false">N665*(1+F665)/(H665-F665)</f>
        <v>726.834884371099</v>
      </c>
      <c r="Q665" s="24" t="n">
        <f aca="false">O665+P665/(1+H665)^5</f>
        <v>635.276000775813</v>
      </c>
      <c r="R665" s="24" t="n">
        <f aca="false">Q665-'DCF Base Case'!$B$5</f>
        <v>450.276000775812</v>
      </c>
      <c r="S665" s="32" t="n">
        <f aca="false">R665/'DCF Base Case'!$B$6</f>
        <v>18.0110400310325</v>
      </c>
    </row>
    <row r="666" customFormat="false" ht="15" hidden="false" customHeight="true" outlineLevel="0" collapsed="false">
      <c r="A666" s="6" t="n">
        <v>665</v>
      </c>
      <c r="B666" s="30" t="n">
        <v>0.0724148985570104</v>
      </c>
      <c r="C666" s="30" t="n">
        <v>0.394081522195118</v>
      </c>
      <c r="D666" s="30" t="n">
        <v>0.0726363106132762</v>
      </c>
      <c r="E666" s="30" t="n">
        <v>0.29284266210263</v>
      </c>
      <c r="F666" s="30" t="n">
        <v>0.0236026915170129</v>
      </c>
      <c r="G666" s="30" t="n">
        <v>0.146975738631591</v>
      </c>
      <c r="H666" s="31" t="n">
        <f aca="false">MAX(D666,F666+0.015)</f>
        <v>0.0726363106132762</v>
      </c>
      <c r="I666" s="25" t="n">
        <f aca="false">(C666-'DCF Base Case'!$B$3)*(1-E666)+'DCF Base Case'!$B$3-G666</f>
        <v>0.169771447591794</v>
      </c>
      <c r="J666" s="24" t="n">
        <f aca="false">'DCF Base Case'!$B$2*(1+B666)^1*$I666-'DCF Base Case'!$B$2*(1+B666)^0*B666*'DCF Base Case'!$B$4</f>
        <v>26.0844825045964</v>
      </c>
      <c r="K666" s="24" t="n">
        <f aca="false">'DCF Base Case'!$B$2*(1+B666)^2*$I666-'DCF Base Case'!$B$2*(1+B666)^1*B666*'DCF Base Case'!$B$4</f>
        <v>27.9733876590789</v>
      </c>
      <c r="L666" s="24" t="n">
        <f aca="false">'DCF Base Case'!$B$2*(1+B666)^3*$I666-'DCF Base Case'!$B$2*(1+B666)^2*B666*'DCF Base Case'!$B$4</f>
        <v>29.999077688707</v>
      </c>
      <c r="M666" s="24" t="n">
        <f aca="false">'DCF Base Case'!$B$2*(1+B666)^4*$I666-'DCF Base Case'!$B$2*(1+B666)^3*B666*'DCF Base Case'!$B$4</f>
        <v>32.1714578563386</v>
      </c>
      <c r="N666" s="24" t="n">
        <f aca="false">'DCF Base Case'!$B$2*(1+B666)^5*$I666-'DCF Base Case'!$B$2*(1+B666)^4*B666*'DCF Base Case'!$B$4</f>
        <v>34.5011507134365</v>
      </c>
      <c r="O666" s="24" t="n">
        <f aca="false">J666/(1+H666)^1+K666/(1+H666)^2+L666/(1+H666)^3+M666/(1+H666)^4+N666/(1+H666)^5</f>
        <v>121.540338630765</v>
      </c>
      <c r="P666" s="24" t="n">
        <f aca="false">N666*(1+F666)/(H666-F666)</f>
        <v>720.229739954051</v>
      </c>
      <c r="Q666" s="24" t="n">
        <f aca="false">O666+P666/(1+H666)^5</f>
        <v>628.774597001716</v>
      </c>
      <c r="R666" s="24" t="n">
        <f aca="false">Q666-'DCF Base Case'!$B$5</f>
        <v>443.774597001716</v>
      </c>
      <c r="S666" s="32" t="n">
        <f aca="false">R666/'DCF Base Case'!$B$6</f>
        <v>17.7509838800686</v>
      </c>
    </row>
    <row r="667" customFormat="false" ht="15" hidden="false" customHeight="true" outlineLevel="0" collapsed="false">
      <c r="A667" s="6" t="n">
        <v>666</v>
      </c>
      <c r="B667" s="30" t="n">
        <v>0.0959307797612134</v>
      </c>
      <c r="C667" s="30" t="n">
        <v>0.393966499634168</v>
      </c>
      <c r="D667" s="30" t="n">
        <v>0.0816458561196692</v>
      </c>
      <c r="E667" s="30" t="n">
        <v>0.263544435724369</v>
      </c>
      <c r="F667" s="30" t="n">
        <v>0.0215072659568816</v>
      </c>
      <c r="G667" s="30" t="n">
        <v>0.151536394470142</v>
      </c>
      <c r="H667" s="31" t="n">
        <f aca="false">MAX(D667,F667+0.015)</f>
        <v>0.0816458561196692</v>
      </c>
      <c r="I667" s="25" t="n">
        <f aca="false">(C667-'DCF Base Case'!$B$3)*(1-E667)+'DCF Base Case'!$B$3-G667</f>
        <v>0.172863202967802</v>
      </c>
      <c r="J667" s="24" t="n">
        <f aca="false">'DCF Base Case'!$B$2*(1+B667)^1*$I667-'DCF Base Case'!$B$2*(1+B667)^0*B667*'DCF Base Case'!$B$4</f>
        <v>27.0523863070148</v>
      </c>
      <c r="K667" s="24" t="n">
        <f aca="false">'DCF Base Case'!$B$2*(1+B667)^2*$I667-'DCF Base Case'!$B$2*(1+B667)^1*B667*'DCF Base Case'!$B$4</f>
        <v>29.6475428198483</v>
      </c>
      <c r="L667" s="24" t="n">
        <f aca="false">'DCF Base Case'!$B$2*(1+B667)^3*$I667-'DCF Base Case'!$B$2*(1+B667)^2*B667*'DCF Base Case'!$B$4</f>
        <v>32.4916547205603</v>
      </c>
      <c r="M667" s="24" t="n">
        <f aca="false">'DCF Base Case'!$B$2*(1+B667)^4*$I667-'DCF Base Case'!$B$2*(1+B667)^3*B667*'DCF Base Case'!$B$4</f>
        <v>35.6086044936357</v>
      </c>
      <c r="N667" s="24" t="n">
        <f aca="false">'DCF Base Case'!$B$2*(1+B667)^5*$I667-'DCF Base Case'!$B$2*(1+B667)^4*B667*'DCF Base Case'!$B$4</f>
        <v>39.0245656889189</v>
      </c>
      <c r="O667" s="24" t="n">
        <f aca="false">J667/(1+H667)^1+K667/(1+H667)^2+L667/(1+H667)^3+M667/(1+H667)^4+N667/(1+H667)^5</f>
        <v>128.398904397006</v>
      </c>
      <c r="P667" s="24" t="n">
        <f aca="false">N667*(1+F667)/(H667-F667)</f>
        <v>662.866842972803</v>
      </c>
      <c r="Q667" s="24" t="n">
        <f aca="false">O667+P667/(1+H667)^5</f>
        <v>576.113076459682</v>
      </c>
      <c r="R667" s="24" t="n">
        <f aca="false">Q667-'DCF Base Case'!$B$5</f>
        <v>391.113076459682</v>
      </c>
      <c r="S667" s="32" t="n">
        <f aca="false">R667/'DCF Base Case'!$B$6</f>
        <v>15.6445230583873</v>
      </c>
    </row>
    <row r="668" customFormat="false" ht="15" hidden="false" customHeight="true" outlineLevel="0" collapsed="false">
      <c r="A668" s="6" t="n">
        <v>667</v>
      </c>
      <c r="B668" s="30" t="n">
        <v>0.112084930179961</v>
      </c>
      <c r="C668" s="30" t="n">
        <v>0.417409250701315</v>
      </c>
      <c r="D668" s="30" t="n">
        <v>0.0778543591944569</v>
      </c>
      <c r="E668" s="30" t="n">
        <v>0.255202108322761</v>
      </c>
      <c r="F668" s="30" t="n">
        <v>0.0202538126817629</v>
      </c>
      <c r="G668" s="30" t="n">
        <v>0.186653170341516</v>
      </c>
      <c r="H668" s="31" t="n">
        <f aca="false">MAX(D668,F668+0.015)</f>
        <v>0.0778543591944569</v>
      </c>
      <c r="I668" s="25" t="n">
        <f aca="false">(C668-'DCF Base Case'!$B$3)*(1-E668)+'DCF Base Case'!$B$3-G668</f>
        <v>0.157408633629358</v>
      </c>
      <c r="J668" s="24" t="n">
        <f aca="false">'DCF Base Case'!$B$2*(1+B668)^1*$I668-'DCF Base Case'!$B$2*(1+B668)^0*B668*'DCF Base Case'!$B$4</f>
        <v>24.8949371079342</v>
      </c>
      <c r="K668" s="24" t="n">
        <f aca="false">'DCF Base Case'!$B$2*(1+B668)^2*$I668-'DCF Base Case'!$B$2*(1+B668)^1*B668*'DCF Base Case'!$B$4</f>
        <v>27.6852843955116</v>
      </c>
      <c r="L668" s="24" t="n">
        <f aca="false">'DCF Base Case'!$B$2*(1+B668)^3*$I668-'DCF Base Case'!$B$2*(1+B668)^2*B668*'DCF Base Case'!$B$4</f>
        <v>30.7883875639949</v>
      </c>
      <c r="M668" s="24" t="n">
        <f aca="false">'DCF Base Case'!$B$2*(1+B668)^4*$I668-'DCF Base Case'!$B$2*(1+B668)^3*B668*'DCF Base Case'!$B$4</f>
        <v>34.2393018344588</v>
      </c>
      <c r="N668" s="24" t="n">
        <f aca="false">'DCF Base Case'!$B$2*(1+B668)^5*$I668-'DCF Base Case'!$B$2*(1+B668)^4*B668*'DCF Base Case'!$B$4</f>
        <v>38.0770115899847</v>
      </c>
      <c r="O668" s="24" t="n">
        <f aca="false">J668/(1+H668)^1+K668/(1+H668)^2+L668/(1+H668)^3+M668/(1+H668)^4+N668/(1+H668)^5</f>
        <v>123.055523768121</v>
      </c>
      <c r="P668" s="24" t="n">
        <f aca="false">N668*(1+F668)/(H668-F668)</f>
        <v>674.441799638971</v>
      </c>
      <c r="Q668" s="24" t="n">
        <f aca="false">O668+P668/(1+H668)^5</f>
        <v>586.656205691088</v>
      </c>
      <c r="R668" s="24" t="n">
        <f aca="false">Q668-'DCF Base Case'!$B$5</f>
        <v>401.656205691088</v>
      </c>
      <c r="S668" s="32" t="n">
        <f aca="false">R668/'DCF Base Case'!$B$6</f>
        <v>16.0662482276435</v>
      </c>
    </row>
    <row r="669" customFormat="false" ht="15" hidden="false" customHeight="true" outlineLevel="0" collapsed="false">
      <c r="A669" s="6" t="n">
        <v>668</v>
      </c>
      <c r="B669" s="30" t="n">
        <v>0.0957109980683562</v>
      </c>
      <c r="C669" s="30" t="n">
        <v>0.452474643168867</v>
      </c>
      <c r="D669" s="30" t="n">
        <v>0.100727661977175</v>
      </c>
      <c r="E669" s="30" t="n">
        <v>0.271605398021579</v>
      </c>
      <c r="F669" s="30" t="n">
        <v>0.0181034320588481</v>
      </c>
      <c r="G669" s="30" t="n">
        <v>0.176231116807723</v>
      </c>
      <c r="H669" s="31" t="n">
        <f aca="false">MAX(D669,F669+0.015)</f>
        <v>0.100727661977175</v>
      </c>
      <c r="I669" s="25" t="n">
        <f aca="false">(C669-'DCF Base Case'!$B$3)*(1-E669)+'DCF Base Case'!$B$3-G669</f>
        <v>0.188657672551397</v>
      </c>
      <c r="J669" s="24" t="n">
        <f aca="false">'DCF Base Case'!$B$2*(1+B669)^1*$I669-'DCF Base Case'!$B$2*(1+B669)^0*B669*'DCF Base Case'!$B$4</f>
        <v>29.5572287276616</v>
      </c>
      <c r="K669" s="24" t="n">
        <f aca="false">'DCF Base Case'!$B$2*(1+B669)^2*$I669-'DCF Base Case'!$B$2*(1+B669)^1*B669*'DCF Base Case'!$B$4</f>
        <v>32.3861805893208</v>
      </c>
      <c r="L669" s="24" t="n">
        <f aca="false">'DCF Base Case'!$B$2*(1+B669)^3*$I669-'DCF Base Case'!$B$2*(1+B669)^2*B669*'DCF Base Case'!$B$4</f>
        <v>35.4858942571467</v>
      </c>
      <c r="M669" s="24" t="n">
        <f aca="false">'DCF Base Case'!$B$2*(1+B669)^4*$I669-'DCF Base Case'!$B$2*(1+B669)^3*B669*'DCF Base Case'!$B$4</f>
        <v>38.8822846138464</v>
      </c>
      <c r="N669" s="24" t="n">
        <f aca="false">'DCF Base Case'!$B$2*(1+B669)^5*$I669-'DCF Base Case'!$B$2*(1+B669)^4*B669*'DCF Base Case'!$B$4</f>
        <v>42.6037468814155</v>
      </c>
      <c r="O669" s="24" t="n">
        <f aca="false">J669/(1+H669)^1+K669/(1+H669)^2+L669/(1+H669)^3+M669/(1+H669)^4+N669/(1+H669)^5</f>
        <v>133.043964759188</v>
      </c>
      <c r="P669" s="24" t="n">
        <f aca="false">N669*(1+F669)/(H669-F669)</f>
        <v>524.967324493206</v>
      </c>
      <c r="Q669" s="24" t="n">
        <f aca="false">O669+P669/(1+H669)^5</f>
        <v>457.931365045287</v>
      </c>
      <c r="R669" s="24" t="n">
        <f aca="false">Q669-'DCF Base Case'!$B$5</f>
        <v>272.931365045287</v>
      </c>
      <c r="S669" s="32" t="n">
        <f aca="false">R669/'DCF Base Case'!$B$6</f>
        <v>10.9172546018115</v>
      </c>
    </row>
    <row r="670" customFormat="false" ht="15" hidden="false" customHeight="true" outlineLevel="0" collapsed="false">
      <c r="A670" s="6" t="n">
        <v>669</v>
      </c>
      <c r="B670" s="30" t="n">
        <v>0.0717025208499744</v>
      </c>
      <c r="C670" s="30" t="n">
        <v>0.430873839223744</v>
      </c>
      <c r="D670" s="30" t="n">
        <v>0.0889776057402794</v>
      </c>
      <c r="E670" s="30" t="n">
        <v>0.287166070510278</v>
      </c>
      <c r="F670" s="30" t="n">
        <v>0.0218171446324189</v>
      </c>
      <c r="G670" s="30" t="n">
        <v>0.204038863477476</v>
      </c>
      <c r="H670" s="31" t="n">
        <f aca="false">MAX(D670,F670+0.015)</f>
        <v>0.0889776057402794</v>
      </c>
      <c r="I670" s="25" t="n">
        <f aca="false">(C670-'DCF Base Case'!$B$3)*(1-E670)+'DCF Base Case'!$B$3-G670</f>
        <v>0.140434217617044</v>
      </c>
      <c r="J670" s="24" t="n">
        <f aca="false">'DCF Base Case'!$B$2*(1+B670)^1*$I670-'DCF Base Case'!$B$2*(1+B670)^0*B670*'DCF Base Case'!$B$4</f>
        <v>21.5111312642008</v>
      </c>
      <c r="K670" s="24" t="n">
        <f aca="false">'DCF Base Case'!$B$2*(1+B670)^2*$I670-'DCF Base Case'!$B$2*(1+B670)^1*B670*'DCF Base Case'!$B$4</f>
        <v>23.0535336021786</v>
      </c>
      <c r="L670" s="24" t="n">
        <f aca="false">'DCF Base Case'!$B$2*(1+B670)^3*$I670-'DCF Base Case'!$B$2*(1+B670)^2*B670*'DCF Base Case'!$B$4</f>
        <v>24.7065300759544</v>
      </c>
      <c r="M670" s="24" t="n">
        <f aca="false">'DCF Base Case'!$B$2*(1+B670)^4*$I670-'DCF Base Case'!$B$2*(1+B670)^3*B670*'DCF Base Case'!$B$4</f>
        <v>26.4780505638561</v>
      </c>
      <c r="N670" s="24" t="n">
        <f aca="false">'DCF Base Case'!$B$2*(1+B670)^5*$I670-'DCF Base Case'!$B$2*(1+B670)^4*B670*'DCF Base Case'!$B$4</f>
        <v>28.3765935364777</v>
      </c>
      <c r="O670" s="24" t="n">
        <f aca="false">J670/(1+H670)^1+K670/(1+H670)^2+L670/(1+H670)^3+M670/(1+H670)^4+N670/(1+H670)^5</f>
        <v>95.6832586769938</v>
      </c>
      <c r="P670" s="24" t="n">
        <f aca="false">N670*(1+F670)/(H670-F670)</f>
        <v>431.737503041722</v>
      </c>
      <c r="Q670" s="24" t="n">
        <f aca="false">O670+P670/(1+H670)^5</f>
        <v>377.60270345331</v>
      </c>
      <c r="R670" s="24" t="n">
        <f aca="false">Q670-'DCF Base Case'!$B$5</f>
        <v>192.60270345331</v>
      </c>
      <c r="S670" s="32" t="n">
        <f aca="false">R670/'DCF Base Case'!$B$6</f>
        <v>7.70410813813241</v>
      </c>
    </row>
    <row r="671" customFormat="false" ht="15" hidden="false" customHeight="true" outlineLevel="0" collapsed="false">
      <c r="A671" s="6" t="n">
        <v>670</v>
      </c>
      <c r="B671" s="30" t="n">
        <v>0.0935172378058106</v>
      </c>
      <c r="C671" s="30" t="n">
        <v>0.413756827138192</v>
      </c>
      <c r="D671" s="30" t="n">
        <v>0.101595915856548</v>
      </c>
      <c r="E671" s="30" t="n">
        <v>0.309383731011698</v>
      </c>
      <c r="F671" s="30" t="n">
        <v>0.0180913377122812</v>
      </c>
      <c r="G671" s="30" t="n">
        <v>0.165341190154509</v>
      </c>
      <c r="H671" s="31" t="n">
        <f aca="false">MAX(D671,F671+0.015)</f>
        <v>0.101595915856548</v>
      </c>
      <c r="I671" s="25" t="n">
        <f aca="false">(C671-'DCF Base Case'!$B$3)*(1-E671)+'DCF Base Case'!$B$3-G671</f>
        <v>0.160625891103628</v>
      </c>
      <c r="J671" s="24" t="n">
        <f aca="false">'DCF Base Case'!$B$2*(1+B671)^1*$I671-'DCF Base Case'!$B$2*(1+B671)^0*B671*'DCF Base Case'!$B$4</f>
        <v>25.0620412257064</v>
      </c>
      <c r="K671" s="24" t="n">
        <f aca="false">'DCF Base Case'!$B$2*(1+B671)^2*$I671-'DCF Base Case'!$B$2*(1+B671)^1*B671*'DCF Base Case'!$B$4</f>
        <v>27.4057740949099</v>
      </c>
      <c r="L671" s="24" t="n">
        <f aca="false">'DCF Base Case'!$B$2*(1+B671)^3*$I671-'DCF Base Case'!$B$2*(1+B671)^2*B671*'DCF Base Case'!$B$4</f>
        <v>29.9686863881959</v>
      </c>
      <c r="M671" s="24" t="n">
        <f aca="false">'DCF Base Case'!$B$2*(1+B671)^4*$I671-'DCF Base Case'!$B$2*(1+B671)^3*B671*'DCF Base Case'!$B$4</f>
        <v>32.7712751598885</v>
      </c>
      <c r="N671" s="24" t="n">
        <f aca="false">'DCF Base Case'!$B$2*(1+B671)^5*$I671-'DCF Base Case'!$B$2*(1+B671)^4*B671*'DCF Base Case'!$B$4</f>
        <v>35.8359542922155</v>
      </c>
      <c r="O671" s="24" t="n">
        <f aca="false">J671/(1+H671)^1+K671/(1+H671)^2+L671/(1+H671)^3+M671/(1+H671)^4+N671/(1+H671)^5</f>
        <v>112.097077286075</v>
      </c>
      <c r="P671" s="24" t="n">
        <f aca="false">N671*(1+F671)/(H671-F671)</f>
        <v>436.913465756641</v>
      </c>
      <c r="Q671" s="24" t="n">
        <f aca="false">O671+P671/(1+H671)^5</f>
        <v>381.42652739095</v>
      </c>
      <c r="R671" s="24" t="n">
        <f aca="false">Q671-'DCF Base Case'!$B$5</f>
        <v>196.42652739095</v>
      </c>
      <c r="S671" s="32" t="n">
        <f aca="false">R671/'DCF Base Case'!$B$6</f>
        <v>7.85706109563801</v>
      </c>
    </row>
    <row r="672" customFormat="false" ht="15" hidden="false" customHeight="true" outlineLevel="0" collapsed="false">
      <c r="A672" s="6" t="n">
        <v>671</v>
      </c>
      <c r="B672" s="30" t="n">
        <v>0.09403548228298</v>
      </c>
      <c r="C672" s="30" t="n">
        <v>0.423019485496419</v>
      </c>
      <c r="D672" s="30" t="n">
        <v>0.0700774016396698</v>
      </c>
      <c r="E672" s="30" t="n">
        <v>0.251629766249964</v>
      </c>
      <c r="F672" s="30" t="n">
        <v>0.0157272186482349</v>
      </c>
      <c r="G672" s="30" t="n">
        <v>0.145871831593409</v>
      </c>
      <c r="H672" s="31" t="n">
        <f aca="false">MAX(D672,F672+0.015)</f>
        <v>0.0700774016396698</v>
      </c>
      <c r="I672" s="25" t="n">
        <f aca="false">(C672-'DCF Base Case'!$B$3)*(1-E672)+'DCF Base Case'!$B$3-G672</f>
        <v>0.203415229260861</v>
      </c>
      <c r="J672" s="24" t="n">
        <f aca="false">'DCF Base Case'!$B$2*(1+B672)^1*$I672-'DCF Base Case'!$B$2*(1+B672)^0*B672*'DCF Base Case'!$B$4</f>
        <v>31.8597500270449</v>
      </c>
      <c r="K672" s="24" t="n">
        <f aca="false">'DCF Base Case'!$B$2*(1+B672)^2*$I672-'DCF Base Case'!$B$2*(1+B672)^1*B672*'DCF Base Case'!$B$4</f>
        <v>34.8556969862533</v>
      </c>
      <c r="L672" s="24" t="n">
        <f aca="false">'DCF Base Case'!$B$2*(1+B672)^3*$I672-'DCF Base Case'!$B$2*(1+B672)^2*B672*'DCF Base Case'!$B$4</f>
        <v>38.133369262665</v>
      </c>
      <c r="M672" s="24" t="n">
        <f aca="false">'DCF Base Case'!$B$2*(1+B672)^4*$I672-'DCF Base Case'!$B$2*(1+B672)^3*B672*'DCF Base Case'!$B$4</f>
        <v>41.7192590323547</v>
      </c>
      <c r="N672" s="24" t="n">
        <f aca="false">'DCF Base Case'!$B$2*(1+B672)^5*$I672-'DCF Base Case'!$B$2*(1+B672)^4*B672*'DCF Base Case'!$B$4</f>
        <v>45.6423496759507</v>
      </c>
      <c r="O672" s="24" t="n">
        <f aca="false">J672/(1+H672)^1+K672/(1+H672)^2+L672/(1+H672)^3+M672/(1+H672)^4+N672/(1+H672)^5</f>
        <v>155.683471366056</v>
      </c>
      <c r="P672" s="24" t="n">
        <f aca="false">N672*(1+F672)/(H672-F672)</f>
        <v>852.990263091286</v>
      </c>
      <c r="Q672" s="24" t="n">
        <f aca="false">O672+P672/(1+H672)^5</f>
        <v>763.633818865823</v>
      </c>
      <c r="R672" s="24" t="n">
        <f aca="false">Q672-'DCF Base Case'!$B$5</f>
        <v>578.633818865823</v>
      </c>
      <c r="S672" s="32" t="n">
        <f aca="false">R672/'DCF Base Case'!$B$6</f>
        <v>23.1453527546329</v>
      </c>
    </row>
    <row r="673" customFormat="false" ht="15" hidden="false" customHeight="true" outlineLevel="0" collapsed="false">
      <c r="A673" s="6" t="n">
        <v>672</v>
      </c>
      <c r="B673" s="30" t="n">
        <v>0.0760447485723559</v>
      </c>
      <c r="C673" s="30" t="n">
        <v>0.422265166446854</v>
      </c>
      <c r="D673" s="30" t="n">
        <v>0.0831417792804279</v>
      </c>
      <c r="E673" s="30" t="n">
        <v>0.285352559778826</v>
      </c>
      <c r="F673" s="30" t="n">
        <v>0.0143958283309171</v>
      </c>
      <c r="G673" s="30" t="n">
        <v>0.155898131560518</v>
      </c>
      <c r="H673" s="31" t="n">
        <f aca="false">MAX(D673,F673+0.015)</f>
        <v>0.0831417792804279</v>
      </c>
      <c r="I673" s="25" t="n">
        <f aca="false">(C673-'DCF Base Case'!$B$3)*(1-E673)+'DCF Base Case'!$B$3-G673</f>
        <v>0.182968421506542</v>
      </c>
      <c r="J673" s="24" t="n">
        <f aca="false">'DCF Base Case'!$B$2*(1+B673)^1*$I673-'DCF Base Case'!$B$2*(1+B673)^0*B673*'DCF Base Case'!$B$4</f>
        <v>28.2171256656299</v>
      </c>
      <c r="K673" s="24" t="n">
        <f aca="false">'DCF Base Case'!$B$2*(1+B673)^2*$I673-'DCF Base Case'!$B$2*(1+B673)^1*B673*'DCF Base Case'!$B$4</f>
        <v>30.3628898923073</v>
      </c>
      <c r="L673" s="24" t="n">
        <f aca="false">'DCF Base Case'!$B$2*(1+B673)^3*$I673-'DCF Base Case'!$B$2*(1+B673)^2*B673*'DCF Base Case'!$B$4</f>
        <v>32.671828220098</v>
      </c>
      <c r="M673" s="24" t="n">
        <f aca="false">'DCF Base Case'!$B$2*(1+B673)^4*$I673-'DCF Base Case'!$B$2*(1+B673)^3*B673*'DCF Base Case'!$B$4</f>
        <v>35.1563491824945</v>
      </c>
      <c r="N673" s="24" t="n">
        <f aca="false">'DCF Base Case'!$B$2*(1+B673)^5*$I673-'DCF Base Case'!$B$2*(1+B673)^4*B673*'DCF Base Case'!$B$4</f>
        <v>37.8298049167993</v>
      </c>
      <c r="O673" s="24" t="n">
        <f aca="false">J673/(1+H673)^1+K673/(1+H673)^2+L673/(1+H673)^3+M673/(1+H673)^4+N673/(1+H673)^5</f>
        <v>128.560124868103</v>
      </c>
      <c r="P673" s="24" t="n">
        <f aca="false">N673*(1+F673)/(H673-F673)</f>
        <v>558.2059126996</v>
      </c>
      <c r="Q673" s="24" t="n">
        <f aca="false">O673+P673/(1+H673)^5</f>
        <v>502.987758223278</v>
      </c>
      <c r="R673" s="24" t="n">
        <f aca="false">Q673-'DCF Base Case'!$B$5</f>
        <v>317.987758223278</v>
      </c>
      <c r="S673" s="32" t="n">
        <f aca="false">R673/'DCF Base Case'!$B$6</f>
        <v>12.7195103289311</v>
      </c>
    </row>
    <row r="674" customFormat="false" ht="15" hidden="false" customHeight="true" outlineLevel="0" collapsed="false">
      <c r="A674" s="6" t="n">
        <v>673</v>
      </c>
      <c r="B674" s="30" t="n">
        <v>0.102682756287468</v>
      </c>
      <c r="C674" s="30" t="n">
        <v>0.430148840262503</v>
      </c>
      <c r="D674" s="30" t="n">
        <v>0.077029687889933</v>
      </c>
      <c r="E674" s="30" t="n">
        <v>0.284316820688302</v>
      </c>
      <c r="F674" s="30" t="n">
        <v>0.0261471516234183</v>
      </c>
      <c r="G674" s="30" t="n">
        <v>0.164844572578121</v>
      </c>
      <c r="H674" s="31" t="n">
        <f aca="false">MAX(D674,F674+0.015)</f>
        <v>0.077029687889933</v>
      </c>
      <c r="I674" s="25" t="n">
        <f aca="false">(C674-'DCF Base Case'!$B$3)*(1-E674)+'DCF Base Case'!$B$3-G674</f>
        <v>0.179966903687666</v>
      </c>
      <c r="J674" s="24" t="n">
        <f aca="false">'DCF Base Case'!$B$2*(1+B674)^1*$I674-'DCF Base Case'!$B$2*(1+B674)^0*B674*'DCF Base Case'!$B$4</f>
        <v>28.3280582129809</v>
      </c>
      <c r="K674" s="24" t="n">
        <f aca="false">'DCF Base Case'!$B$2*(1+B674)^2*$I674-'DCF Base Case'!$B$2*(1+B674)^1*B674*'DCF Base Case'!$B$4</f>
        <v>31.2368613105616</v>
      </c>
      <c r="L674" s="24" t="n">
        <f aca="false">'DCF Base Case'!$B$2*(1+B674)^3*$I674-'DCF Base Case'!$B$2*(1+B674)^2*B674*'DCF Base Case'!$B$4</f>
        <v>34.4443483276994</v>
      </c>
      <c r="M674" s="24" t="n">
        <f aca="false">'DCF Base Case'!$B$2*(1+B674)^4*$I674-'DCF Base Case'!$B$2*(1+B674)^3*B674*'DCF Base Case'!$B$4</f>
        <v>37.9811889525132</v>
      </c>
      <c r="N674" s="24" t="n">
        <f aca="false">'DCF Base Case'!$B$2*(1+B674)^5*$I674-'DCF Base Case'!$B$2*(1+B674)^4*B674*'DCF Base Case'!$B$4</f>
        <v>41.8812021212324</v>
      </c>
      <c r="O674" s="24" t="n">
        <f aca="false">J674/(1+H674)^1+K674/(1+H674)^2+L674/(1+H674)^3+M674/(1+H674)^4+N674/(1+H674)^5</f>
        <v>137.925816102861</v>
      </c>
      <c r="P674" s="24" t="n">
        <f aca="false">N674*(1+F674)/(H674-F674)</f>
        <v>844.617415259419</v>
      </c>
      <c r="Q674" s="24" t="n">
        <f aca="false">O674+P674/(1+H674)^5</f>
        <v>720.728655361405</v>
      </c>
      <c r="R674" s="24" t="n">
        <f aca="false">Q674-'DCF Base Case'!$B$5</f>
        <v>535.728655361405</v>
      </c>
      <c r="S674" s="32" t="n">
        <f aca="false">R674/'DCF Base Case'!$B$6</f>
        <v>21.4291462144562</v>
      </c>
    </row>
    <row r="675" customFormat="false" ht="15" hidden="false" customHeight="true" outlineLevel="0" collapsed="false">
      <c r="A675" s="6" t="n">
        <v>674</v>
      </c>
      <c r="B675" s="30" t="n">
        <v>0.0749353774549538</v>
      </c>
      <c r="C675" s="30" t="n">
        <v>0.405338488509921</v>
      </c>
      <c r="D675" s="30" t="n">
        <v>0.0860139481827952</v>
      </c>
      <c r="E675" s="30" t="n">
        <v>0.275536736012078</v>
      </c>
      <c r="F675" s="30" t="n">
        <v>0.0192364134469008</v>
      </c>
      <c r="G675" s="30" t="n">
        <v>0.137256572632539</v>
      </c>
      <c r="H675" s="31" t="n">
        <f aca="false">MAX(D675,F675+0.015)</f>
        <v>0.0860139481827952</v>
      </c>
      <c r="I675" s="25" t="n">
        <f aca="false">(C675-'DCF Base Case'!$B$3)*(1-E675)+'DCF Base Case'!$B$3-G675</f>
        <v>0.192216047454859</v>
      </c>
      <c r="J675" s="24" t="n">
        <f aca="false">'DCF Base Case'!$B$2*(1+B675)^1*$I675-'DCF Base Case'!$B$2*(1+B675)^0*B675*'DCF Base Case'!$B$4</f>
        <v>29.6339063890203</v>
      </c>
      <c r="K675" s="24" t="n">
        <f aca="false">'DCF Base Case'!$B$2*(1+B675)^2*$I675-'DCF Base Case'!$B$2*(1+B675)^1*B675*'DCF Base Case'!$B$4</f>
        <v>31.8545343497463</v>
      </c>
      <c r="L675" s="24" t="n">
        <f aca="false">'DCF Base Case'!$B$2*(1+B675)^3*$I675-'DCF Base Case'!$B$2*(1+B675)^2*B675*'DCF Base Case'!$B$4</f>
        <v>34.2415659048963</v>
      </c>
      <c r="M675" s="24" t="n">
        <f aca="false">'DCF Base Case'!$B$2*(1+B675)^4*$I675-'DCF Base Case'!$B$2*(1+B675)^3*B675*'DCF Base Case'!$B$4</f>
        <v>36.8074705706284</v>
      </c>
      <c r="N675" s="24" t="n">
        <f aca="false">'DCF Base Case'!$B$2*(1+B675)^5*$I675-'DCF Base Case'!$B$2*(1+B675)^4*B675*'DCF Base Case'!$B$4</f>
        <v>39.5656522710005</v>
      </c>
      <c r="O675" s="24" t="n">
        <f aca="false">J675/(1+H675)^1+K675/(1+H675)^2+L675/(1+H675)^3+M675/(1+H675)^4+N675/(1+H675)^5</f>
        <v>133.678963805142</v>
      </c>
      <c r="P675" s="24" t="n">
        <f aca="false">N675*(1+F675)/(H675-F675)</f>
        <v>603.897009314201</v>
      </c>
      <c r="Q675" s="24" t="n">
        <f aca="false">O675+P675/(1+H675)^5</f>
        <v>533.426562115117</v>
      </c>
      <c r="R675" s="24" t="n">
        <f aca="false">Q675-'DCF Base Case'!$B$5</f>
        <v>348.426562115117</v>
      </c>
      <c r="S675" s="32" t="n">
        <f aca="false">R675/'DCF Base Case'!$B$6</f>
        <v>13.9370624846047</v>
      </c>
    </row>
    <row r="676" customFormat="false" ht="15" hidden="false" customHeight="true" outlineLevel="0" collapsed="false">
      <c r="A676" s="6" t="n">
        <v>675</v>
      </c>
      <c r="B676" s="30" t="n">
        <v>0.0689712356610118</v>
      </c>
      <c r="C676" s="30" t="n">
        <v>0.403594625905627</v>
      </c>
      <c r="D676" s="30" t="n">
        <v>0.0831820523297532</v>
      </c>
      <c r="E676" s="30" t="n">
        <v>0.265903402827319</v>
      </c>
      <c r="F676" s="30" t="n">
        <v>0.0186721421990669</v>
      </c>
      <c r="G676" s="30" t="n">
        <v>0.166576764094955</v>
      </c>
      <c r="H676" s="31" t="n">
        <f aca="false">MAX(D676,F676+0.015)</f>
        <v>0.0831820523297532</v>
      </c>
      <c r="I676" s="25" t="n">
        <f aca="false">(C676-'DCF Base Case'!$B$3)*(1-E676)+'DCF Base Case'!$B$3-G676</f>
        <v>0.164268119787098</v>
      </c>
      <c r="J676" s="24" t="n">
        <f aca="false">'DCF Base Case'!$B$2*(1+B676)^1*$I676-'DCF Base Case'!$B$2*(1+B676)^0*B676*'DCF Base Case'!$B$4</f>
        <v>25.1616698982108</v>
      </c>
      <c r="K676" s="24" t="n">
        <f aca="false">'DCF Base Case'!$B$2*(1+B676)^2*$I676-'DCF Base Case'!$B$2*(1+B676)^1*B676*'DCF Base Case'!$B$4</f>
        <v>26.8971013623849</v>
      </c>
      <c r="L676" s="24" t="n">
        <f aca="false">'DCF Base Case'!$B$2*(1+B676)^3*$I676-'DCF Base Case'!$B$2*(1+B676)^2*B676*'DCF Base Case'!$B$4</f>
        <v>28.7522276790481</v>
      </c>
      <c r="M676" s="24" t="n">
        <f aca="false">'DCF Base Case'!$B$2*(1+B676)^4*$I676-'DCF Base Case'!$B$2*(1+B676)^3*B676*'DCF Base Case'!$B$4</f>
        <v>30.7353043500788</v>
      </c>
      <c r="N676" s="24" t="n">
        <f aca="false">'DCF Base Case'!$B$2*(1+B676)^5*$I676-'DCF Base Case'!$B$2*(1+B676)^4*B676*'DCF Base Case'!$B$4</f>
        <v>32.855156269521</v>
      </c>
      <c r="O676" s="24" t="n">
        <f aca="false">J676/(1+H676)^1+K676/(1+H676)^2+L676/(1+H676)^3+M676/(1+H676)^4+N676/(1+H676)^5</f>
        <v>113.139141276605</v>
      </c>
      <c r="P676" s="24" t="n">
        <f aca="false">N676*(1+F676)/(H676-F676)</f>
        <v>518.813812506577</v>
      </c>
      <c r="Q676" s="24" t="n">
        <f aca="false">O676+P676/(1+H676)^5</f>
        <v>461.079056145618</v>
      </c>
      <c r="R676" s="24" t="n">
        <f aca="false">Q676-'DCF Base Case'!$B$5</f>
        <v>276.079056145618</v>
      </c>
      <c r="S676" s="32" t="n">
        <f aca="false">R676/'DCF Base Case'!$B$6</f>
        <v>11.0431622458247</v>
      </c>
    </row>
    <row r="677" customFormat="false" ht="15" hidden="false" customHeight="true" outlineLevel="0" collapsed="false">
      <c r="A677" s="6" t="n">
        <v>676</v>
      </c>
      <c r="B677" s="30" t="n">
        <v>0.10943118764115</v>
      </c>
      <c r="C677" s="30" t="n">
        <v>0.419317364922968</v>
      </c>
      <c r="D677" s="30" t="n">
        <v>0.0893901352582808</v>
      </c>
      <c r="E677" s="30" t="n">
        <v>0.266400147885753</v>
      </c>
      <c r="F677" s="30" t="n">
        <v>0.0213986682681296</v>
      </c>
      <c r="G677" s="30" t="n">
        <v>0.173941860286389</v>
      </c>
      <c r="H677" s="31" t="n">
        <f aca="false">MAX(D677,F677+0.015)</f>
        <v>0.0893901352582808</v>
      </c>
      <c r="I677" s="25" t="n">
        <f aca="false">(C677-'DCF Base Case'!$B$3)*(1-E677)+'DCF Base Case'!$B$3-G677</f>
        <v>0.168301315835184</v>
      </c>
      <c r="J677" s="24" t="n">
        <f aca="false">'DCF Base Case'!$B$2*(1+B677)^1*$I677-'DCF Base Case'!$B$2*(1+B677)^0*B677*'DCF Base Case'!$B$4</f>
        <v>26.5981899965075</v>
      </c>
      <c r="K677" s="24" t="n">
        <f aca="false">'DCF Base Case'!$B$2*(1+B677)^2*$I677-'DCF Base Case'!$B$2*(1+B677)^1*B677*'DCF Base Case'!$B$4</f>
        <v>29.5088615169302</v>
      </c>
      <c r="L677" s="24" t="n">
        <f aca="false">'DCF Base Case'!$B$2*(1+B677)^3*$I677-'DCF Base Case'!$B$2*(1+B677)^2*B677*'DCF Base Case'!$B$4</f>
        <v>32.7380512786662</v>
      </c>
      <c r="M677" s="24" t="n">
        <f aca="false">'DCF Base Case'!$B$2*(1+B677)^4*$I677-'DCF Base Case'!$B$2*(1+B677)^3*B677*'DCF Base Case'!$B$4</f>
        <v>36.3206151111475</v>
      </c>
      <c r="N677" s="24" t="n">
        <f aca="false">'DCF Base Case'!$B$2*(1+B677)^5*$I677-'DCF Base Case'!$B$2*(1+B677)^4*B677*'DCF Base Case'!$B$4</f>
        <v>40.2952231586174</v>
      </c>
      <c r="O677" s="24" t="n">
        <f aca="false">J677/(1+H677)^1+K677/(1+H677)^2+L677/(1+H677)^3+M677/(1+H677)^4+N677/(1+H677)^5</f>
        <v>126.65339177495</v>
      </c>
      <c r="P677" s="24" t="n">
        <f aca="false">N677*(1+F677)/(H677-F677)</f>
        <v>605.333126254516</v>
      </c>
      <c r="Q677" s="24" t="n">
        <f aca="false">O677+P677/(1+H677)^5</f>
        <v>521.180863547907</v>
      </c>
      <c r="R677" s="24" t="n">
        <f aca="false">Q677-'DCF Base Case'!$B$5</f>
        <v>336.180863547907</v>
      </c>
      <c r="S677" s="32" t="n">
        <f aca="false">R677/'DCF Base Case'!$B$6</f>
        <v>13.4472345419163</v>
      </c>
    </row>
    <row r="678" customFormat="false" ht="15" hidden="false" customHeight="true" outlineLevel="0" collapsed="false">
      <c r="A678" s="6" t="n">
        <v>677</v>
      </c>
      <c r="B678" s="30" t="n">
        <v>0.108911797925607</v>
      </c>
      <c r="C678" s="30" t="n">
        <v>0.434256490170193</v>
      </c>
      <c r="D678" s="30" t="n">
        <v>0.0914760918516926</v>
      </c>
      <c r="E678" s="30" t="n">
        <v>0.276937863539322</v>
      </c>
      <c r="F678" s="30" t="n">
        <v>0.0202249198362432</v>
      </c>
      <c r="G678" s="30" t="n">
        <v>0.190629033807062</v>
      </c>
      <c r="H678" s="31" t="n">
        <f aca="false">MAX(D678,F678+0.015)</f>
        <v>0.0914760918516926</v>
      </c>
      <c r="I678" s="25" t="n">
        <f aca="false">(C678-'DCF Base Case'!$B$3)*(1-E678)+'DCF Base Case'!$B$3-G678</f>
        <v>0.159367314007425</v>
      </c>
      <c r="J678" s="24" t="n">
        <f aca="false">'DCF Base Case'!$B$2*(1+B678)^1*$I678-'DCF Base Case'!$B$2*(1+B678)^0*B678*'DCF Base Case'!$B$4</f>
        <v>25.1512564114731</v>
      </c>
      <c r="K678" s="24" t="n">
        <f aca="false">'DCF Base Case'!$B$2*(1+B678)^2*$I678-'DCF Base Case'!$B$2*(1+B678)^1*B678*'DCF Base Case'!$B$4</f>
        <v>27.8905249673346</v>
      </c>
      <c r="L678" s="24" t="n">
        <f aca="false">'DCF Base Case'!$B$2*(1+B678)^3*$I678-'DCF Base Case'!$B$2*(1+B678)^2*B678*'DCF Base Case'!$B$4</f>
        <v>30.9281321866161</v>
      </c>
      <c r="M678" s="24" t="n">
        <f aca="false">'DCF Base Case'!$B$2*(1+B678)^4*$I678-'DCF Base Case'!$B$2*(1+B678)^3*B678*'DCF Base Case'!$B$4</f>
        <v>34.2965706695412</v>
      </c>
      <c r="N678" s="24" t="n">
        <f aca="false">'DCF Base Case'!$B$2*(1+B678)^5*$I678-'DCF Base Case'!$B$2*(1+B678)^4*B678*'DCF Base Case'!$B$4</f>
        <v>38.0318718438436</v>
      </c>
      <c r="O678" s="24" t="n">
        <f aca="false">J678/(1+H678)^1+K678/(1+H678)^2+L678/(1+H678)^3+M678/(1+H678)^4+N678/(1+H678)^5</f>
        <v>118.957023584708</v>
      </c>
      <c r="P678" s="24" t="n">
        <f aca="false">N678*(1+F678)/(H678-F678)</f>
        <v>544.567370691031</v>
      </c>
      <c r="Q678" s="24" t="n">
        <f aca="false">O678+P678/(1+H678)^5</f>
        <v>470.501662974685</v>
      </c>
      <c r="R678" s="24" t="n">
        <f aca="false">Q678-'DCF Base Case'!$B$5</f>
        <v>285.501662974685</v>
      </c>
      <c r="S678" s="32" t="n">
        <f aca="false">R678/'DCF Base Case'!$B$6</f>
        <v>11.4200665189874</v>
      </c>
    </row>
    <row r="679" customFormat="false" ht="15" hidden="false" customHeight="true" outlineLevel="0" collapsed="false">
      <c r="A679" s="6" t="n">
        <v>678</v>
      </c>
      <c r="B679" s="30" t="n">
        <v>0.0758592062282785</v>
      </c>
      <c r="C679" s="30" t="n">
        <v>0.395241725254602</v>
      </c>
      <c r="D679" s="30" t="n">
        <v>0.086995745377454</v>
      </c>
      <c r="E679" s="30" t="n">
        <v>0.292070827921355</v>
      </c>
      <c r="F679" s="30" t="n">
        <v>0.015988690730349</v>
      </c>
      <c r="G679" s="30" t="n">
        <v>0.16361924872326</v>
      </c>
      <c r="H679" s="31" t="n">
        <f aca="false">MAX(D679,F679+0.015)</f>
        <v>0.086995745377454</v>
      </c>
      <c r="I679" s="25" t="n">
        <f aca="false">(C679-'DCF Base Case'!$B$3)*(1-E679)+'DCF Base Case'!$B$3-G679</f>
        <v>0.154153106236942</v>
      </c>
      <c r="J679" s="24" t="n">
        <f aca="false">'DCF Base Case'!$B$2*(1+B679)^1*$I679-'DCF Base Case'!$B$2*(1+B679)^0*B679*'DCF Base Case'!$B$4</f>
        <v>23.7178330373934</v>
      </c>
      <c r="K679" s="24" t="n">
        <f aca="false">'DCF Base Case'!$B$2*(1+B679)^2*$I679-'DCF Base Case'!$B$2*(1+B679)^1*B679*'DCF Base Case'!$B$4</f>
        <v>25.517049025065</v>
      </c>
      <c r="L679" s="24" t="n">
        <f aca="false">'DCF Base Case'!$B$2*(1+B679)^3*$I679-'DCF Base Case'!$B$2*(1+B679)^2*B679*'DCF Base Case'!$B$4</f>
        <v>27.4527521093944</v>
      </c>
      <c r="M679" s="24" t="n">
        <f aca="false">'DCF Base Case'!$B$2*(1+B679)^4*$I679-'DCF Base Case'!$B$2*(1+B679)^3*B679*'DCF Base Case'!$B$4</f>
        <v>29.5352960931948</v>
      </c>
      <c r="N679" s="24" t="n">
        <f aca="false">'DCF Base Case'!$B$2*(1+B679)^5*$I679-'DCF Base Case'!$B$2*(1+B679)^4*B679*'DCF Base Case'!$B$4</f>
        <v>31.7758202105418</v>
      </c>
      <c r="O679" s="24" t="n">
        <f aca="false">J679/(1+H679)^1+K679/(1+H679)^2+L679/(1+H679)^3+M679/(1+H679)^4+N679/(1+H679)^5</f>
        <v>106.885407269414</v>
      </c>
      <c r="P679" s="24" t="n">
        <f aca="false">N679*(1+F679)/(H679-F679)</f>
        <v>454.657275013554</v>
      </c>
      <c r="Q679" s="24" t="n">
        <f aca="false">O679+P679/(1+H679)^5</f>
        <v>406.487555880742</v>
      </c>
      <c r="R679" s="24" t="n">
        <f aca="false">Q679-'DCF Base Case'!$B$5</f>
        <v>221.487555880742</v>
      </c>
      <c r="S679" s="32" t="n">
        <f aca="false">R679/'DCF Base Case'!$B$6</f>
        <v>8.85950223522969</v>
      </c>
    </row>
    <row r="680" customFormat="false" ht="15" hidden="false" customHeight="true" outlineLevel="0" collapsed="false">
      <c r="A680" s="6" t="n">
        <v>679</v>
      </c>
      <c r="B680" s="30" t="n">
        <v>0.0880913227737083</v>
      </c>
      <c r="C680" s="30" t="n">
        <v>0.370250694452921</v>
      </c>
      <c r="D680" s="30" t="n">
        <v>0.0825844661181537</v>
      </c>
      <c r="E680" s="30" t="n">
        <v>0.275375755380827</v>
      </c>
      <c r="F680" s="30" t="n">
        <v>0.0187382436912847</v>
      </c>
      <c r="G680" s="30" t="n">
        <v>0.198311251416615</v>
      </c>
      <c r="H680" s="31" t="n">
        <f aca="false">MAX(D680,F680+0.015)</f>
        <v>0.0825844661181537</v>
      </c>
      <c r="I680" s="25" t="n">
        <f aca="false">(C680-'DCF Base Case'!$B$3)*(1-E680)+'DCF Base Case'!$B$3-G680</f>
        <v>0.105780226570565</v>
      </c>
      <c r="J680" s="24" t="n">
        <f aca="false">'DCF Base Case'!$B$2*(1+B680)^1*$I680-'DCF Base Case'!$B$2*(1+B680)^0*B680*'DCF Base Case'!$B$4</f>
        <v>16.3060920105423</v>
      </c>
      <c r="K680" s="24" t="n">
        <f aca="false">'DCF Base Case'!$B$2*(1+B680)^2*$I680-'DCF Base Case'!$B$2*(1+B680)^1*B680*'DCF Base Case'!$B$4</f>
        <v>17.7425172250207</v>
      </c>
      <c r="L680" s="24" t="n">
        <f aca="false">'DCF Base Case'!$B$2*(1+B680)^3*$I680-'DCF Base Case'!$B$2*(1+B680)^2*B680*'DCF Base Case'!$B$4</f>
        <v>19.3054790367081</v>
      </c>
      <c r="M680" s="24" t="n">
        <f aca="false">'DCF Base Case'!$B$2*(1+B680)^4*$I680-'DCF Base Case'!$B$2*(1+B680)^3*B680*'DCF Base Case'!$B$4</f>
        <v>21.0061242218318</v>
      </c>
      <c r="N680" s="24" t="n">
        <f aca="false">'DCF Base Case'!$B$2*(1+B680)^5*$I680-'DCF Base Case'!$B$2*(1+B680)^4*B680*'DCF Base Case'!$B$4</f>
        <v>22.8565814908818</v>
      </c>
      <c r="O680" s="24" t="n">
        <f aca="false">J680/(1+H680)^1+K680/(1+H680)^2+L680/(1+H680)^3+M680/(1+H680)^4+N680/(1+H680)^5</f>
        <v>76.0810318040617</v>
      </c>
      <c r="P680" s="24" t="n">
        <f aca="false">N680*(1+F680)/(H680-F680)</f>
        <v>364.702449099142</v>
      </c>
      <c r="Q680" s="24" t="n">
        <f aca="false">O680+P680/(1+H680)^5</f>
        <v>321.342726030046</v>
      </c>
      <c r="R680" s="24" t="n">
        <f aca="false">Q680-'DCF Base Case'!$B$5</f>
        <v>136.342726030046</v>
      </c>
      <c r="S680" s="32" t="n">
        <f aca="false">R680/'DCF Base Case'!$B$6</f>
        <v>5.45370904120183</v>
      </c>
    </row>
    <row r="681" customFormat="false" ht="15" hidden="false" customHeight="true" outlineLevel="0" collapsed="false">
      <c r="A681" s="6" t="n">
        <v>680</v>
      </c>
      <c r="B681" s="30" t="n">
        <v>0.0636675815801707</v>
      </c>
      <c r="C681" s="30" t="n">
        <v>0.386320289685673</v>
      </c>
      <c r="D681" s="30" t="n">
        <v>0.0562658462184873</v>
      </c>
      <c r="E681" s="30" t="n">
        <v>0.267667441736064</v>
      </c>
      <c r="F681" s="30" t="n">
        <v>0.0177834568257622</v>
      </c>
      <c r="G681" s="30" t="n">
        <v>0.154930429478539</v>
      </c>
      <c r="H681" s="31" t="n">
        <f aca="false">MAX(D681,F681+0.015)</f>
        <v>0.0562658462184873</v>
      </c>
      <c r="I681" s="25" t="n">
        <f aca="false">(C681-'DCF Base Case'!$B$3)*(1-E681)+'DCF Base Case'!$B$3-G681</f>
        <v>0.162781264001923</v>
      </c>
      <c r="J681" s="24" t="n">
        <f aca="false">'DCF Base Case'!$B$2*(1+B681)^1*$I681-'DCF Base Case'!$B$2*(1+B681)^0*B681*'DCF Base Case'!$B$4</f>
        <v>24.8290932642121</v>
      </c>
      <c r="K681" s="24" t="n">
        <f aca="false">'DCF Base Case'!$B$2*(1+B681)^2*$I681-'DCF Base Case'!$B$2*(1+B681)^1*B681*'DCF Base Case'!$B$4</f>
        <v>26.409901585173</v>
      </c>
      <c r="L681" s="24" t="n">
        <f aca="false">'DCF Base Case'!$B$2*(1+B681)^3*$I681-'DCF Base Case'!$B$2*(1+B681)^2*B681*'DCF Base Case'!$B$4</f>
        <v>28.0913561488713</v>
      </c>
      <c r="M681" s="24" t="n">
        <f aca="false">'DCF Base Case'!$B$2*(1+B681)^4*$I681-'DCF Base Case'!$B$2*(1+B681)^3*B681*'DCF Base Case'!$B$4</f>
        <v>29.8798648581772</v>
      </c>
      <c r="N681" s="24" t="n">
        <f aca="false">'DCF Base Case'!$B$2*(1+B681)^5*$I681-'DCF Base Case'!$B$2*(1+B681)^4*B681*'DCF Base Case'!$B$4</f>
        <v>31.7822435916397</v>
      </c>
      <c r="O681" s="24" t="n">
        <f aca="false">J681/(1+H681)^1+K681/(1+H681)^2+L681/(1+H681)^3+M681/(1+H681)^4+N681/(1+H681)^5</f>
        <v>119.191195346424</v>
      </c>
      <c r="P681" s="24" t="n">
        <f aca="false">N681*(1+F681)/(H681-F681)</f>
        <v>840.577787887895</v>
      </c>
      <c r="Q681" s="24" t="n">
        <f aca="false">O681+P681/(1+H681)^5</f>
        <v>758.501527006505</v>
      </c>
      <c r="R681" s="24" t="n">
        <f aca="false">Q681-'DCF Base Case'!$B$5</f>
        <v>573.501527006505</v>
      </c>
      <c r="S681" s="32" t="n">
        <f aca="false">R681/'DCF Base Case'!$B$6</f>
        <v>22.9400610802602</v>
      </c>
    </row>
    <row r="682" customFormat="false" ht="15" hidden="false" customHeight="true" outlineLevel="0" collapsed="false">
      <c r="A682" s="6" t="n">
        <v>681</v>
      </c>
      <c r="B682" s="30" t="n">
        <v>0.114115584359266</v>
      </c>
      <c r="C682" s="30" t="n">
        <v>0.438434809673782</v>
      </c>
      <c r="D682" s="30" t="n">
        <v>0.0858564239669404</v>
      </c>
      <c r="E682" s="30" t="n">
        <v>0.270119354675768</v>
      </c>
      <c r="F682" s="30" t="n">
        <v>0.0230275684746034</v>
      </c>
      <c r="G682" s="30" t="n">
        <v>0.164797731956769</v>
      </c>
      <c r="H682" s="31" t="n">
        <f aca="false">MAX(D682,F682+0.015)</f>
        <v>0.0858564239669404</v>
      </c>
      <c r="I682" s="25" t="n">
        <f aca="false">(C682-'DCF Base Case'!$B$3)*(1-E682)+'DCF Base Case'!$B$3-G682</f>
        <v>0.190322865968388</v>
      </c>
      <c r="J682" s="24" t="n">
        <f aca="false">'DCF Base Case'!$B$2*(1+B682)^1*$I682-'DCF Base Case'!$B$2*(1+B682)^0*B682*'DCF Base Case'!$B$4</f>
        <v>30.2496395081558</v>
      </c>
      <c r="K682" s="24" t="n">
        <f aca="false">'DCF Base Case'!$B$2*(1+B682)^2*$I682-'DCF Base Case'!$B$2*(1+B682)^1*B682*'DCF Base Case'!$B$4</f>
        <v>33.7015947972861</v>
      </c>
      <c r="L682" s="24" t="n">
        <f aca="false">'DCF Base Case'!$B$2*(1+B682)^3*$I682-'DCF Base Case'!$B$2*(1+B682)^2*B682*'DCF Base Case'!$B$4</f>
        <v>37.5474719814176</v>
      </c>
      <c r="M682" s="24" t="n">
        <f aca="false">'DCF Base Case'!$B$2*(1+B682)^4*$I682-'DCF Base Case'!$B$2*(1+B682)^3*B682*'DCF Base Case'!$B$4</f>
        <v>41.8322236877903</v>
      </c>
      <c r="N682" s="24" t="n">
        <f aca="false">'DCF Base Case'!$B$2*(1+B682)^5*$I682-'DCF Base Case'!$B$2*(1+B682)^4*B682*'DCF Base Case'!$B$4</f>
        <v>46.60593233897</v>
      </c>
      <c r="O682" s="24" t="n">
        <f aca="false">J682/(1+H682)^1+K682/(1+H682)^2+L682/(1+H682)^3+M682/(1+H682)^4+N682/(1+H682)^5</f>
        <v>146.730405015798</v>
      </c>
      <c r="P682" s="24" t="n">
        <f aca="false">N682*(1+F682)/(H682-F682)</f>
        <v>758.873502686096</v>
      </c>
      <c r="Q682" s="24" t="n">
        <f aca="false">O682+P682/(1+H682)^5</f>
        <v>649.428644201908</v>
      </c>
      <c r="R682" s="24" t="n">
        <f aca="false">Q682-'DCF Base Case'!$B$5</f>
        <v>464.428644201908</v>
      </c>
      <c r="S682" s="32" t="n">
        <f aca="false">R682/'DCF Base Case'!$B$6</f>
        <v>18.5771457680763</v>
      </c>
    </row>
    <row r="683" customFormat="false" ht="15" hidden="false" customHeight="true" outlineLevel="0" collapsed="false">
      <c r="A683" s="6" t="n">
        <v>682</v>
      </c>
      <c r="B683" s="30" t="n">
        <v>0.072140434429336</v>
      </c>
      <c r="C683" s="30" t="n">
        <v>0.37321511315276</v>
      </c>
      <c r="D683" s="30" t="n">
        <v>0.0801455405671475</v>
      </c>
      <c r="E683" s="30" t="n">
        <v>0.302779336256019</v>
      </c>
      <c r="F683" s="30" t="n">
        <v>0.0262764172209195</v>
      </c>
      <c r="G683" s="30" t="n">
        <v>0.166590081327642</v>
      </c>
      <c r="H683" s="31" t="n">
        <f aca="false">MAX(D683,F683+0.015)</f>
        <v>0.0801455405671475</v>
      </c>
      <c r="I683" s="25" t="n">
        <f aca="false">(C683-'DCF Base Case'!$B$3)*(1-E683)+'DCF Base Case'!$B$3-G683</f>
        <v>0.132984521297293</v>
      </c>
      <c r="J683" s="24" t="n">
        <f aca="false">'DCF Base Case'!$B$2*(1+B683)^1*$I683-'DCF Base Case'!$B$2*(1+B683)^0*B683*'DCF Base Case'!$B$4</f>
        <v>20.3600110634606</v>
      </c>
      <c r="K683" s="24" t="n">
        <f aca="false">'DCF Base Case'!$B$2*(1+B683)^2*$I683-'DCF Base Case'!$B$2*(1+B683)^1*B683*'DCF Base Case'!$B$4</f>
        <v>21.8287911065648</v>
      </c>
      <c r="L683" s="24" t="n">
        <f aca="false">'DCF Base Case'!$B$2*(1+B683)^3*$I683-'DCF Base Case'!$B$2*(1+B683)^2*B683*'DCF Base Case'!$B$4</f>
        <v>23.4035295800596</v>
      </c>
      <c r="M683" s="24" t="n">
        <f aca="false">'DCF Base Case'!$B$2*(1+B683)^4*$I683-'DCF Base Case'!$B$2*(1+B683)^3*B683*'DCF Base Case'!$B$4</f>
        <v>25.0918703711449</v>
      </c>
      <c r="N683" s="24" t="n">
        <f aca="false">'DCF Base Case'!$B$2*(1+B683)^5*$I683-'DCF Base Case'!$B$2*(1+B683)^4*B683*'DCF Base Case'!$B$4</f>
        <v>26.9020088003639</v>
      </c>
      <c r="O683" s="24" t="n">
        <f aca="false">J683/(1+H683)^1+K683/(1+H683)^2+L683/(1+H683)^3+M683/(1+H683)^4+N683/(1+H683)^5</f>
        <v>92.8599755021194</v>
      </c>
      <c r="P683" s="24" t="n">
        <f aca="false">N683*(1+F683)/(H683-F683)</f>
        <v>512.518034315037</v>
      </c>
      <c r="Q683" s="24" t="n">
        <f aca="false">O683+P683/(1+H683)^5</f>
        <v>441.436204235885</v>
      </c>
      <c r="R683" s="24" t="n">
        <f aca="false">Q683-'DCF Base Case'!$B$5</f>
        <v>256.436204235885</v>
      </c>
      <c r="S683" s="32" t="n">
        <f aca="false">R683/'DCF Base Case'!$B$6</f>
        <v>10.2574481694354</v>
      </c>
    </row>
    <row r="684" customFormat="false" ht="15" hidden="false" customHeight="true" outlineLevel="0" collapsed="false">
      <c r="A684" s="6" t="n">
        <v>683</v>
      </c>
      <c r="B684" s="30" t="n">
        <v>0.0733189088483308</v>
      </c>
      <c r="C684" s="30" t="n">
        <v>0.382465786040954</v>
      </c>
      <c r="D684" s="30" t="n">
        <v>0.0910715038593616</v>
      </c>
      <c r="E684" s="30" t="n">
        <v>0.249240733052865</v>
      </c>
      <c r="F684" s="30" t="n">
        <v>0.0213194517334989</v>
      </c>
      <c r="G684" s="30" t="n">
        <v>0.184778335575264</v>
      </c>
      <c r="H684" s="31" t="n">
        <f aca="false">MAX(D684,F684+0.015)</f>
        <v>0.0910715038593616</v>
      </c>
      <c r="I684" s="25" t="n">
        <f aca="false">(C684-'DCF Base Case'!$B$3)*(1-E684)+'DCF Base Case'!$B$3-G684</f>
        <v>0.134762692882075</v>
      </c>
      <c r="J684" s="24" t="n">
        <f aca="false">'DCF Base Case'!$B$2*(1+B684)^1*$I684-'DCF Base Case'!$B$2*(1+B684)^0*B684*'DCF Base Case'!$B$4</f>
        <v>20.6543479857692</v>
      </c>
      <c r="K684" s="24" t="n">
        <f aca="false">'DCF Base Case'!$B$2*(1+B684)^2*$I684-'DCF Base Case'!$B$2*(1+B684)^1*B684*'DCF Base Case'!$B$4</f>
        <v>22.1687022430595</v>
      </c>
      <c r="L684" s="24" t="n">
        <f aca="false">'DCF Base Case'!$B$2*(1+B684)^3*$I684-'DCF Base Case'!$B$2*(1+B684)^2*B684*'DCF Base Case'!$B$4</f>
        <v>23.7940873021042</v>
      </c>
      <c r="M684" s="24" t="n">
        <f aca="false">'DCF Base Case'!$B$2*(1+B684)^4*$I684-'DCF Base Case'!$B$2*(1+B684)^3*B684*'DCF Base Case'!$B$4</f>
        <v>25.5386438201364</v>
      </c>
      <c r="N684" s="24" t="n">
        <f aca="false">'DCF Base Case'!$B$2*(1+B684)^5*$I684-'DCF Base Case'!$B$2*(1+B684)^4*B684*'DCF Base Case'!$B$4</f>
        <v>27.411109318495</v>
      </c>
      <c r="O684" s="24" t="n">
        <f aca="false">J684/(1+H684)^1+K684/(1+H684)^2+L684/(1+H684)^3+M684/(1+H684)^4+N684/(1+H684)^5</f>
        <v>91.6212646753994</v>
      </c>
      <c r="P684" s="24" t="n">
        <f aca="false">N684*(1+F684)/(H684-F684)</f>
        <v>401.357354907012</v>
      </c>
      <c r="Q684" s="24" t="n">
        <f aca="false">O684+P684/(1+H684)^5</f>
        <v>351.197637677387</v>
      </c>
      <c r="R684" s="24" t="n">
        <f aca="false">Q684-'DCF Base Case'!$B$5</f>
        <v>166.197637677387</v>
      </c>
      <c r="S684" s="32" t="n">
        <f aca="false">R684/'DCF Base Case'!$B$6</f>
        <v>6.64790550709548</v>
      </c>
    </row>
    <row r="685" customFormat="false" ht="15" hidden="false" customHeight="true" outlineLevel="0" collapsed="false">
      <c r="A685" s="6" t="n">
        <v>684</v>
      </c>
      <c r="B685" s="30" t="n">
        <v>0.0992988333249916</v>
      </c>
      <c r="C685" s="30" t="n">
        <v>0.413600633698877</v>
      </c>
      <c r="D685" s="30" t="n">
        <v>0.091214347189015</v>
      </c>
      <c r="E685" s="30" t="n">
        <v>0.284592450641109</v>
      </c>
      <c r="F685" s="30" t="n">
        <v>0.016180080965851</v>
      </c>
      <c r="G685" s="30" t="n">
        <v>0.206116108866831</v>
      </c>
      <c r="H685" s="31" t="n">
        <f aca="false">MAX(D685,F685+0.015)</f>
        <v>0.091214347189015</v>
      </c>
      <c r="I685" s="25" t="n">
        <f aca="false">(C685-'DCF Base Case'!$B$3)*(1-E685)+'DCF Base Case'!$B$3-G685</f>
        <v>0.126773925484311</v>
      </c>
      <c r="J685" s="24" t="n">
        <f aca="false">'DCF Base Case'!$B$2*(1+B685)^1*$I685-'DCF Base Case'!$B$2*(1+B685)^0*B685*'DCF Base Case'!$B$4</f>
        <v>19.7756021902715</v>
      </c>
      <c r="K685" s="24" t="n">
        <f aca="false">'DCF Base Case'!$B$2*(1+B685)^2*$I685-'DCF Base Case'!$B$2*(1+B685)^1*B685*'DCF Base Case'!$B$4</f>
        <v>21.7392964160646</v>
      </c>
      <c r="L685" s="24" t="n">
        <f aca="false">'DCF Base Case'!$B$2*(1+B685)^3*$I685-'DCF Base Case'!$B$2*(1+B685)^2*B685*'DCF Base Case'!$B$4</f>
        <v>23.897983187486</v>
      </c>
      <c r="M685" s="24" t="n">
        <f aca="false">'DCF Base Case'!$B$2*(1+B685)^4*$I685-'DCF Base Case'!$B$2*(1+B685)^3*B685*'DCF Base Case'!$B$4</f>
        <v>26.2710250368236</v>
      </c>
      <c r="N685" s="24" t="n">
        <f aca="false">'DCF Base Case'!$B$2*(1+B685)^5*$I685-'DCF Base Case'!$B$2*(1+B685)^4*B685*'DCF Base Case'!$B$4</f>
        <v>28.8797071732319</v>
      </c>
      <c r="O685" s="24" t="n">
        <f aca="false">J685/(1+H685)^1+K685/(1+H685)^2+L685/(1+H685)^3+M685/(1+H685)^4+N685/(1+H685)^5</f>
        <v>91.9654532525432</v>
      </c>
      <c r="P685" s="24" t="n">
        <f aca="false">N685*(1+F685)/(H685-F685)</f>
        <v>391.114415462959</v>
      </c>
      <c r="Q685" s="24" t="n">
        <f aca="false">O685+P685/(1+H685)^5</f>
        <v>344.751725840117</v>
      </c>
      <c r="R685" s="24" t="n">
        <f aca="false">Q685-'DCF Base Case'!$B$5</f>
        <v>159.751725840117</v>
      </c>
      <c r="S685" s="32" t="n">
        <f aca="false">R685/'DCF Base Case'!$B$6</f>
        <v>6.39006903360466</v>
      </c>
    </row>
    <row r="686" customFormat="false" ht="15" hidden="false" customHeight="true" outlineLevel="0" collapsed="false">
      <c r="A686" s="6" t="n">
        <v>685</v>
      </c>
      <c r="B686" s="30" t="n">
        <v>0.0825757773445407</v>
      </c>
      <c r="C686" s="30" t="n">
        <v>0.426951218631329</v>
      </c>
      <c r="D686" s="30" t="n">
        <v>0.0583952428903471</v>
      </c>
      <c r="E686" s="30" t="n">
        <v>0.318395315049778</v>
      </c>
      <c r="F686" s="30" t="n">
        <v>0.0244484458368597</v>
      </c>
      <c r="G686" s="30" t="n">
        <v>0.165883469830685</v>
      </c>
      <c r="H686" s="31" t="n">
        <f aca="false">MAX(D686,F686+0.015)</f>
        <v>0.0583952428903471</v>
      </c>
      <c r="I686" s="25" t="n">
        <f aca="false">(C686-'DCF Base Case'!$B$3)*(1-E686)+'DCF Base Case'!$B$3-G686</f>
        <v>0.166519871990107</v>
      </c>
      <c r="J686" s="24" t="n">
        <f aca="false">'DCF Base Case'!$B$2*(1+B686)^1*$I686-'DCF Base Case'!$B$2*(1+B686)^0*B686*'DCF Base Case'!$B$4</f>
        <v>25.7800004486867</v>
      </c>
      <c r="K686" s="24" t="n">
        <f aca="false">'DCF Base Case'!$B$2*(1+B686)^2*$I686-'DCF Base Case'!$B$2*(1+B686)^1*B686*'DCF Base Case'!$B$4</f>
        <v>27.9088040256796</v>
      </c>
      <c r="L686" s="24" t="n">
        <f aca="false">'DCF Base Case'!$B$2*(1+B686)^3*$I686-'DCF Base Case'!$B$2*(1+B686)^2*B686*'DCF Base Case'!$B$4</f>
        <v>30.2133952128565</v>
      </c>
      <c r="M686" s="24" t="n">
        <f aca="false">'DCF Base Case'!$B$2*(1+B686)^4*$I686-'DCF Base Case'!$B$2*(1+B686)^3*B686*'DCF Base Case'!$B$4</f>
        <v>32.708289808776</v>
      </c>
      <c r="N686" s="24" t="n">
        <f aca="false">'DCF Base Case'!$B$2*(1+B686)^5*$I686-'DCF Base Case'!$B$2*(1+B686)^4*B686*'DCF Base Case'!$B$4</f>
        <v>35.4092022653462</v>
      </c>
      <c r="O686" s="24" t="n">
        <f aca="false">J686/(1+H686)^1+K686/(1+H686)^2+L686/(1+H686)^3+M686/(1+H686)^4+N686/(1+H686)^5</f>
        <v>127.481593944344</v>
      </c>
      <c r="P686" s="24" t="n">
        <f aca="false">N686*(1+F686)/(H686-F686)</f>
        <v>1068.58099666668</v>
      </c>
      <c r="Q686" s="24" t="n">
        <f aca="false">O686+P686/(1+H686)^5</f>
        <v>932.059403811102</v>
      </c>
      <c r="R686" s="24" t="n">
        <f aca="false">Q686-'DCF Base Case'!$B$5</f>
        <v>747.059403811102</v>
      </c>
      <c r="S686" s="32" t="n">
        <f aca="false">R686/'DCF Base Case'!$B$6</f>
        <v>29.8823761524441</v>
      </c>
    </row>
    <row r="687" customFormat="false" ht="15" hidden="false" customHeight="true" outlineLevel="0" collapsed="false">
      <c r="A687" s="6" t="n">
        <v>686</v>
      </c>
      <c r="B687" s="30" t="n">
        <v>0.102042194713621</v>
      </c>
      <c r="C687" s="30" t="n">
        <v>0.42926599432059</v>
      </c>
      <c r="D687" s="30" t="n">
        <v>0.077929380733952</v>
      </c>
      <c r="E687" s="30" t="n">
        <v>0.296220275107857</v>
      </c>
      <c r="F687" s="30" t="n">
        <v>0.0160529890661223</v>
      </c>
      <c r="G687" s="30" t="n">
        <v>0.152944971388933</v>
      </c>
      <c r="H687" s="31" t="n">
        <f aca="false">MAX(D687,F687+0.015)</f>
        <v>0.077929380733952</v>
      </c>
      <c r="I687" s="25" t="n">
        <f aca="false">(C687-'DCF Base Case'!$B$3)*(1-E687)+'DCF Base Case'!$B$3-G687</f>
        <v>0.187672367763585</v>
      </c>
      <c r="J687" s="24" t="n">
        <f aca="false">'DCF Base Case'!$B$2*(1+B687)^1*$I687-'DCF Base Case'!$B$2*(1+B687)^0*B687*'DCF Base Case'!$B$4</f>
        <v>29.5454323213019</v>
      </c>
      <c r="K687" s="24" t="n">
        <f aca="false">'DCF Base Case'!$B$2*(1+B687)^2*$I687-'DCF Base Case'!$B$2*(1+B687)^1*B687*'DCF Base Case'!$B$4</f>
        <v>32.5603130791303</v>
      </c>
      <c r="L687" s="24" t="n">
        <f aca="false">'DCF Base Case'!$B$2*(1+B687)^3*$I687-'DCF Base Case'!$B$2*(1+B687)^2*B687*'DCF Base Case'!$B$4</f>
        <v>35.8828388862873</v>
      </c>
      <c r="M687" s="24" t="n">
        <f aca="false">'DCF Base Case'!$B$2*(1+B687)^4*$I687-'DCF Base Case'!$B$2*(1+B687)^3*B687*'DCF Base Case'!$B$4</f>
        <v>39.5444025187993</v>
      </c>
      <c r="N687" s="24" t="n">
        <f aca="false">'DCF Base Case'!$B$2*(1+B687)^5*$I687-'DCF Base Case'!$B$2*(1+B687)^4*B687*'DCF Base Case'!$B$4</f>
        <v>43.5796001404565</v>
      </c>
      <c r="O687" s="24" t="n">
        <f aca="false">J687/(1+H687)^1+K687/(1+H687)^2+L687/(1+H687)^3+M687/(1+H687)^4+N687/(1+H687)^5</f>
        <v>143.317229684656</v>
      </c>
      <c r="P687" s="24" t="n">
        <f aca="false">N687*(1+F687)/(H687-F687)</f>
        <v>715.607064205046</v>
      </c>
      <c r="Q687" s="24" t="n">
        <f aca="false">O687+P687/(1+H687)^5</f>
        <v>635.043115815377</v>
      </c>
      <c r="R687" s="24" t="n">
        <f aca="false">Q687-'DCF Base Case'!$B$5</f>
        <v>450.043115815377</v>
      </c>
      <c r="S687" s="32" t="n">
        <f aca="false">R687/'DCF Base Case'!$B$6</f>
        <v>18.0017246326151</v>
      </c>
    </row>
    <row r="688" customFormat="false" ht="15" hidden="false" customHeight="true" outlineLevel="0" collapsed="false">
      <c r="A688" s="6" t="n">
        <v>687</v>
      </c>
      <c r="B688" s="30" t="n">
        <v>0.114516352262237</v>
      </c>
      <c r="C688" s="30" t="n">
        <v>0.440451947190316</v>
      </c>
      <c r="D688" s="30" t="n">
        <v>0.0772298694767263</v>
      </c>
      <c r="E688" s="30" t="n">
        <v>0.262781163540766</v>
      </c>
      <c r="F688" s="30" t="n">
        <v>0.0167358968108141</v>
      </c>
      <c r="G688" s="30" t="n">
        <v>0.182699398441336</v>
      </c>
      <c r="H688" s="31" t="n">
        <f aca="false">MAX(D688,F688+0.015)</f>
        <v>0.0772298694767263</v>
      </c>
      <c r="I688" s="25" t="n">
        <f aca="false">(C688-'DCF Base Case'!$B$3)*(1-E688)+'DCF Base Case'!$B$3-G688</f>
        <v>0.176171624842812</v>
      </c>
      <c r="J688" s="24" t="n">
        <f aca="false">'DCF Base Case'!$B$2*(1+B688)^1*$I688-'DCF Base Case'!$B$2*(1+B688)^0*B688*'DCF Base Case'!$B$4</f>
        <v>27.972046587988</v>
      </c>
      <c r="K688" s="24" t="n">
        <f aca="false">'DCF Base Case'!$B$2*(1+B688)^2*$I688-'DCF Base Case'!$B$2*(1+B688)^1*B688*'DCF Base Case'!$B$4</f>
        <v>31.1753033285538</v>
      </c>
      <c r="L688" s="24" t="n">
        <f aca="false">'DCF Base Case'!$B$2*(1+B688)^3*$I688-'DCF Base Case'!$B$2*(1+B688)^2*B688*'DCF Base Case'!$B$4</f>
        <v>34.7453853464085</v>
      </c>
      <c r="M688" s="24" t="n">
        <f aca="false">'DCF Base Case'!$B$2*(1+B688)^4*$I688-'DCF Base Case'!$B$2*(1+B688)^3*B688*'DCF Base Case'!$B$4</f>
        <v>38.724300134225</v>
      </c>
      <c r="N688" s="24" t="n">
        <f aca="false">'DCF Base Case'!$B$2*(1+B688)^5*$I688-'DCF Base Case'!$B$2*(1+B688)^4*B688*'DCF Base Case'!$B$4</f>
        <v>43.1588657295045</v>
      </c>
      <c r="O688" s="24" t="n">
        <f aca="false">J688/(1+H688)^1+K688/(1+H688)^2+L688/(1+H688)^3+M688/(1+H688)^4+N688/(1+H688)^5</f>
        <v>139.137665895363</v>
      </c>
      <c r="P688" s="24" t="n">
        <f aca="false">N688*(1+F688)/(H688-F688)</f>
        <v>725.380829180556</v>
      </c>
      <c r="Q688" s="24" t="n">
        <f aca="false">O688+P688/(1+H688)^5</f>
        <v>639.19999389599</v>
      </c>
      <c r="R688" s="24" t="n">
        <f aca="false">Q688-'DCF Base Case'!$B$5</f>
        <v>454.19999389599</v>
      </c>
      <c r="S688" s="32" t="n">
        <f aca="false">R688/'DCF Base Case'!$B$6</f>
        <v>18.1679997558396</v>
      </c>
    </row>
    <row r="689" customFormat="false" ht="15" hidden="false" customHeight="true" outlineLevel="0" collapsed="false">
      <c r="A689" s="6" t="n">
        <v>688</v>
      </c>
      <c r="B689" s="30" t="n">
        <v>0.068165487440999</v>
      </c>
      <c r="C689" s="30" t="n">
        <v>0.414424957706249</v>
      </c>
      <c r="D689" s="30" t="n">
        <v>0.0932153149169773</v>
      </c>
      <c r="E689" s="30" t="n">
        <v>0.277212115642178</v>
      </c>
      <c r="F689" s="30" t="n">
        <v>0.0229717000126831</v>
      </c>
      <c r="G689" s="30" t="n">
        <v>0.159010039687254</v>
      </c>
      <c r="H689" s="31" t="n">
        <f aca="false">MAX(D689,F689+0.015)</f>
        <v>0.0932153149169773</v>
      </c>
      <c r="I689" s="25" t="n">
        <f aca="false">(C689-'DCF Base Case'!$B$3)*(1-E689)+'DCF Base Case'!$B$3-G689</f>
        <v>0.176568873751809</v>
      </c>
      <c r="J689" s="24" t="n">
        <f aca="false">'DCF Base Case'!$B$2*(1+B689)^1*$I689-'DCF Base Case'!$B$2*(1+B689)^0*B689*'DCF Base Case'!$B$4</f>
        <v>27.0511728088429</v>
      </c>
      <c r="K689" s="24" t="n">
        <f aca="false">'DCF Base Case'!$B$2*(1+B689)^2*$I689-'DCF Base Case'!$B$2*(1+B689)^1*B689*'DCF Base Case'!$B$4</f>
        <v>28.8951291892084</v>
      </c>
      <c r="L689" s="24" t="n">
        <f aca="false">'DCF Base Case'!$B$2*(1+B689)^3*$I689-'DCF Base Case'!$B$2*(1+B689)^2*B689*'DCF Base Case'!$B$4</f>
        <v>30.8647797550614</v>
      </c>
      <c r="M689" s="24" t="n">
        <f aca="false">'DCF Base Case'!$B$2*(1+B689)^4*$I689-'DCF Base Case'!$B$2*(1+B689)^3*B689*'DCF Base Case'!$B$4</f>
        <v>32.9686925118243</v>
      </c>
      <c r="N689" s="24" t="n">
        <f aca="false">'DCF Base Case'!$B$2*(1+B689)^5*$I689-'DCF Base Case'!$B$2*(1+B689)^4*B689*'DCF Base Case'!$B$4</f>
        <v>35.2160195071852</v>
      </c>
      <c r="O689" s="24" t="n">
        <f aca="false">J689/(1+H689)^1+K689/(1+H689)^2+L689/(1+H689)^3+M689/(1+H689)^4+N689/(1+H689)^5</f>
        <v>118.181473378758</v>
      </c>
      <c r="P689" s="24" t="n">
        <f aca="false">N689*(1+F689)/(H689-F689)</f>
        <v>512.857878855303</v>
      </c>
      <c r="Q689" s="24" t="n">
        <f aca="false">O689+P689/(1+H689)^5</f>
        <v>446.630891050845</v>
      </c>
      <c r="R689" s="24" t="n">
        <f aca="false">Q689-'DCF Base Case'!$B$5</f>
        <v>261.630891050845</v>
      </c>
      <c r="S689" s="32" t="n">
        <f aca="false">R689/'DCF Base Case'!$B$6</f>
        <v>10.4652356420338</v>
      </c>
    </row>
    <row r="690" customFormat="false" ht="15" hidden="false" customHeight="true" outlineLevel="0" collapsed="false">
      <c r="A690" s="6" t="n">
        <v>689</v>
      </c>
      <c r="B690" s="30" t="n">
        <v>0.0855702661959545</v>
      </c>
      <c r="C690" s="30" t="n">
        <v>0.391082231790484</v>
      </c>
      <c r="D690" s="30" t="n">
        <v>0.0961889508238223</v>
      </c>
      <c r="E690" s="30" t="n">
        <v>0.262219963074424</v>
      </c>
      <c r="F690" s="30" t="n">
        <v>0.0205951310275401</v>
      </c>
      <c r="G690" s="30" t="n">
        <v>0.163692261848066</v>
      </c>
      <c r="H690" s="31" t="n">
        <f aca="false">MAX(D690,F690+0.015)</f>
        <v>0.0961889508238223</v>
      </c>
      <c r="I690" s="25" t="n">
        <f aca="false">(C690-'DCF Base Case'!$B$3)*(1-E690)+'DCF Base Case'!$B$3-G690</f>
        <v>0.158928996762929</v>
      </c>
      <c r="J690" s="24" t="n">
        <f aca="false">'DCF Base Case'!$B$2*(1+B690)^1*$I690-'DCF Base Case'!$B$2*(1+B690)^0*B690*'DCF Base Case'!$B$4</f>
        <v>24.644415373765</v>
      </c>
      <c r="K690" s="24" t="n">
        <f aca="false">'DCF Base Case'!$B$2*(1+B690)^2*$I690-'DCF Base Case'!$B$2*(1+B690)^1*B690*'DCF Base Case'!$B$4</f>
        <v>26.7532445575417</v>
      </c>
      <c r="L690" s="24" t="n">
        <f aca="false">'DCF Base Case'!$B$2*(1+B690)^3*$I690-'DCF Base Case'!$B$2*(1+B690)^2*B690*'DCF Base Case'!$B$4</f>
        <v>29.0425268159361</v>
      </c>
      <c r="M690" s="24" t="n">
        <f aca="false">'DCF Base Case'!$B$2*(1+B690)^4*$I690-'DCF Base Case'!$B$2*(1+B690)^3*B690*'DCF Base Case'!$B$4</f>
        <v>31.5277035665789</v>
      </c>
      <c r="N690" s="24" t="n">
        <f aca="false">'DCF Base Case'!$B$2*(1+B690)^5*$I690-'DCF Base Case'!$B$2*(1+B690)^4*B690*'DCF Base Case'!$B$4</f>
        <v>34.2255375533182</v>
      </c>
      <c r="O690" s="24" t="n">
        <f aca="false">J690/(1+H690)^1+K690/(1+H690)^2+L690/(1+H690)^3+M690/(1+H690)^4+N690/(1+H690)^5</f>
        <v>110.252714951751</v>
      </c>
      <c r="P690" s="24" t="n">
        <f aca="false">N690*(1+F690)/(H690-F690)</f>
        <v>462.080327172919</v>
      </c>
      <c r="Q690" s="24" t="n">
        <f aca="false">O690+P690/(1+H690)^5</f>
        <v>402.190546528507</v>
      </c>
      <c r="R690" s="24" t="n">
        <f aca="false">Q690-'DCF Base Case'!$B$5</f>
        <v>217.190546528507</v>
      </c>
      <c r="S690" s="32" t="n">
        <f aca="false">R690/'DCF Base Case'!$B$6</f>
        <v>8.68762186114029</v>
      </c>
    </row>
    <row r="691" customFormat="false" ht="15" hidden="false" customHeight="true" outlineLevel="0" collapsed="false">
      <c r="A691" s="6" t="n">
        <v>690</v>
      </c>
      <c r="B691" s="30" t="n">
        <v>0.0670388807615058</v>
      </c>
      <c r="C691" s="30" t="n">
        <v>0.392297264306958</v>
      </c>
      <c r="D691" s="30" t="n">
        <v>0.100211594629448</v>
      </c>
      <c r="E691" s="30" t="n">
        <v>0.285510364703926</v>
      </c>
      <c r="F691" s="30" t="n">
        <v>0.0152324919567334</v>
      </c>
      <c r="G691" s="30" t="n">
        <v>0.172247006364733</v>
      </c>
      <c r="H691" s="31" t="n">
        <f aca="false">MAX(D691,F691+0.015)</f>
        <v>0.100211594629448</v>
      </c>
      <c r="I691" s="25" t="n">
        <f aca="false">(C691-'DCF Base Case'!$B$3)*(1-E691)+'DCF Base Case'!$B$3-G691</f>
        <v>0.145161670349103</v>
      </c>
      <c r="J691" s="24" t="n">
        <f aca="false">'DCF Base Case'!$B$2*(1+B691)^1*$I691-'DCF Base Case'!$B$2*(1+B691)^0*B691*'DCF Base Case'!$B$4</f>
        <v>22.1678870762102</v>
      </c>
      <c r="K691" s="24" t="n">
        <f aca="false">'DCF Base Case'!$B$2*(1+B691)^2*$I691-'DCF Base Case'!$B$2*(1+B691)^1*B691*'DCF Base Case'!$B$4</f>
        <v>23.6539974146468</v>
      </c>
      <c r="L691" s="24" t="n">
        <f aca="false">'DCF Base Case'!$B$2*(1+B691)^3*$I691-'DCF Base Case'!$B$2*(1+B691)^2*B691*'DCF Base Case'!$B$4</f>
        <v>25.2397349268603</v>
      </c>
      <c r="M691" s="24" t="n">
        <f aca="false">'DCF Base Case'!$B$2*(1+B691)^4*$I691-'DCF Base Case'!$B$2*(1+B691)^3*B691*'DCF Base Case'!$B$4</f>
        <v>26.9317785070741</v>
      </c>
      <c r="N691" s="24" t="n">
        <f aca="false">'DCF Base Case'!$B$2*(1+B691)^5*$I691-'DCF Base Case'!$B$2*(1+B691)^4*B691*'DCF Base Case'!$B$4</f>
        <v>28.7372547951051</v>
      </c>
      <c r="O691" s="24" t="n">
        <f aca="false">J691/(1+H691)^1+K691/(1+H691)^2+L691/(1+H691)^3+M691/(1+H691)^4+N691/(1+H691)^5</f>
        <v>94.8490786333357</v>
      </c>
      <c r="P691" s="24" t="n">
        <f aca="false">N691*(1+F691)/(H691-F691)</f>
        <v>343.319638358547</v>
      </c>
      <c r="Q691" s="24" t="n">
        <f aca="false">O691+P691/(1+H691)^5</f>
        <v>307.818651089154</v>
      </c>
      <c r="R691" s="24" t="n">
        <f aca="false">Q691-'DCF Base Case'!$B$5</f>
        <v>122.818651089154</v>
      </c>
      <c r="S691" s="32" t="n">
        <f aca="false">R691/'DCF Base Case'!$B$6</f>
        <v>4.91274604356615</v>
      </c>
    </row>
    <row r="692" customFormat="false" ht="15" hidden="false" customHeight="true" outlineLevel="0" collapsed="false">
      <c r="A692" s="6" t="n">
        <v>691</v>
      </c>
      <c r="B692" s="30" t="n">
        <v>0.0870061530463502</v>
      </c>
      <c r="C692" s="30" t="n">
        <v>0.458296850754196</v>
      </c>
      <c r="D692" s="30" t="n">
        <v>0.088136362254765</v>
      </c>
      <c r="E692" s="30" t="n">
        <v>0.269889040231818</v>
      </c>
      <c r="F692" s="30" t="n">
        <v>0.0243044999292435</v>
      </c>
      <c r="G692" s="30" t="n">
        <v>0.13145567621681</v>
      </c>
      <c r="H692" s="31" t="n">
        <f aca="false">MAX(D692,F692+0.015)</f>
        <v>0.088136362254765</v>
      </c>
      <c r="I692" s="25" t="n">
        <f aca="false">(C692-'DCF Base Case'!$B$3)*(1-E692)+'DCF Base Case'!$B$3-G692</f>
        <v>0.238237452576208</v>
      </c>
      <c r="J692" s="24" t="n">
        <f aca="false">'DCF Base Case'!$B$2*(1+B692)^1*$I692-'DCF Base Case'!$B$2*(1+B692)^0*B692*'DCF Base Case'!$B$4</f>
        <v>37.1715318755301</v>
      </c>
      <c r="K692" s="24" t="n">
        <f aca="false">'DCF Base Case'!$B$2*(1+B692)^2*$I692-'DCF Base Case'!$B$2*(1+B692)^1*B692*'DCF Base Case'!$B$4</f>
        <v>40.4056838668598</v>
      </c>
      <c r="L692" s="24" t="n">
        <f aca="false">'DCF Base Case'!$B$2*(1+B692)^3*$I692-'DCF Base Case'!$B$2*(1+B692)^2*B692*'DCF Base Case'!$B$4</f>
        <v>43.9212269813222</v>
      </c>
      <c r="M692" s="24" t="n">
        <f aca="false">'DCF Base Case'!$B$2*(1+B692)^4*$I692-'DCF Base Case'!$B$2*(1+B692)^3*B692*'DCF Base Case'!$B$4</f>
        <v>47.7426439780426</v>
      </c>
      <c r="N692" s="24" t="n">
        <f aca="false">'DCF Base Case'!$B$2*(1+B692)^5*$I692-'DCF Base Case'!$B$2*(1+B692)^4*B692*'DCF Base Case'!$B$4</f>
        <v>51.8965477668336</v>
      </c>
      <c r="O692" s="24" t="n">
        <f aca="false">J692/(1+H692)^1+K692/(1+H692)^2+L692/(1+H692)^3+M692/(1+H692)^4+N692/(1+H692)^5</f>
        <v>170.449200035018</v>
      </c>
      <c r="P692" s="24" t="n">
        <f aca="false">N692*(1+F692)/(H692-F692)</f>
        <v>832.779515930038</v>
      </c>
      <c r="Q692" s="24" t="n">
        <f aca="false">O692+P692/(1+H692)^5</f>
        <v>716.349606135558</v>
      </c>
      <c r="R692" s="24" t="n">
        <f aca="false">Q692-'DCF Base Case'!$B$5</f>
        <v>531.349606135558</v>
      </c>
      <c r="S692" s="32" t="n">
        <f aca="false">R692/'DCF Base Case'!$B$6</f>
        <v>21.2539842454223</v>
      </c>
    </row>
    <row r="693" customFormat="false" ht="15" hidden="false" customHeight="true" outlineLevel="0" collapsed="false">
      <c r="A693" s="6" t="n">
        <v>692</v>
      </c>
      <c r="B693" s="30" t="n">
        <v>0.0919153132792197</v>
      </c>
      <c r="C693" s="30" t="n">
        <v>0.449298249605554</v>
      </c>
      <c r="D693" s="30" t="n">
        <v>0.0837218078720427</v>
      </c>
      <c r="E693" s="30" t="n">
        <v>0.249557530681134</v>
      </c>
      <c r="F693" s="30" t="n">
        <v>0.017782318770725</v>
      </c>
      <c r="G693" s="30" t="n">
        <v>0.199085693744022</v>
      </c>
      <c r="H693" s="31" t="n">
        <f aca="false">MAX(D693,F693+0.015)</f>
        <v>0.0837218078720427</v>
      </c>
      <c r="I693" s="25" t="n">
        <f aca="false">(C693-'DCF Base Case'!$B$3)*(1-E693)+'DCF Base Case'!$B$3-G693</f>
        <v>0.170529273139162</v>
      </c>
      <c r="J693" s="24" t="n">
        <f aca="false">'DCF Base Case'!$B$2*(1+B693)^1*$I693-'DCF Base Case'!$B$2*(1+B693)^0*B693*'DCF Base Case'!$B$4</f>
        <v>26.5996794691741</v>
      </c>
      <c r="K693" s="24" t="n">
        <f aca="false">'DCF Base Case'!$B$2*(1+B693)^2*$I693-'DCF Base Case'!$B$2*(1+B693)^1*B693*'DCF Base Case'!$B$4</f>
        <v>29.04459734071</v>
      </c>
      <c r="L693" s="24" t="n">
        <f aca="false">'DCF Base Case'!$B$2*(1+B693)^3*$I693-'DCF Base Case'!$B$2*(1+B693)^2*B693*'DCF Base Case'!$B$4</f>
        <v>31.7142406043502</v>
      </c>
      <c r="M693" s="24" t="n">
        <f aca="false">'DCF Base Case'!$B$2*(1+B693)^4*$I693-'DCF Base Case'!$B$2*(1+B693)^3*B693*'DCF Base Case'!$B$4</f>
        <v>34.6292649649116</v>
      </c>
      <c r="N693" s="24" t="n">
        <f aca="false">'DCF Base Case'!$B$2*(1+B693)^5*$I693-'DCF Base Case'!$B$2*(1+B693)^4*B693*'DCF Base Case'!$B$4</f>
        <v>37.8122247027905</v>
      </c>
      <c r="O693" s="24" t="n">
        <f aca="false">J693/(1+H693)^1+K693/(1+H693)^2+L693/(1+H693)^3+M693/(1+H693)^4+N693/(1+H693)^5</f>
        <v>124.593538700593</v>
      </c>
      <c r="P693" s="24" t="n">
        <f aca="false">N693*(1+F693)/(H693-F693)</f>
        <v>583.635303524315</v>
      </c>
      <c r="Q693" s="24" t="n">
        <f aca="false">O693+P693/(1+H693)^5</f>
        <v>515.031907758916</v>
      </c>
      <c r="R693" s="24" t="n">
        <f aca="false">Q693-'DCF Base Case'!$B$5</f>
        <v>330.031907758916</v>
      </c>
      <c r="S693" s="32" t="n">
        <f aca="false">R693/'DCF Base Case'!$B$6</f>
        <v>13.2012763103566</v>
      </c>
    </row>
    <row r="694" customFormat="false" ht="15" hidden="false" customHeight="true" outlineLevel="0" collapsed="false">
      <c r="A694" s="6" t="n">
        <v>693</v>
      </c>
      <c r="B694" s="30" t="n">
        <v>0.0979623633919786</v>
      </c>
      <c r="C694" s="30" t="n">
        <v>0.399230083111298</v>
      </c>
      <c r="D694" s="30" t="n">
        <v>0.0774623291210307</v>
      </c>
      <c r="E694" s="30" t="n">
        <v>0.266033550104938</v>
      </c>
      <c r="F694" s="30" t="n">
        <v>0.0206359218572836</v>
      </c>
      <c r="G694" s="30" t="n">
        <v>0.196708423665241</v>
      </c>
      <c r="H694" s="31" t="n">
        <f aca="false">MAX(D694,F694+0.015)</f>
        <v>0.0774623291210307</v>
      </c>
      <c r="I694" s="25" t="n">
        <f aca="false">(C694-'DCF Base Case'!$B$3)*(1-E694)+'DCF Base Case'!$B$3-G694</f>
        <v>0.130897424640911</v>
      </c>
      <c r="J694" s="24" t="n">
        <f aca="false">'DCF Base Case'!$B$2*(1+B694)^1*$I694-'DCF Base Case'!$B$2*(1+B694)^0*B694*'DCF Base Case'!$B$4</f>
        <v>20.4133283487403</v>
      </c>
      <c r="K694" s="24" t="n">
        <f aca="false">'DCF Base Case'!$B$2*(1+B694)^2*$I694-'DCF Base Case'!$B$2*(1+B694)^1*B694*'DCF Base Case'!$B$4</f>
        <v>22.4130662384794</v>
      </c>
      <c r="L694" s="24" t="n">
        <f aca="false">'DCF Base Case'!$B$2*(1+B694)^3*$I694-'DCF Base Case'!$B$2*(1+B694)^2*B694*'DCF Base Case'!$B$4</f>
        <v>24.6087031780618</v>
      </c>
      <c r="M694" s="24" t="n">
        <f aca="false">'DCF Base Case'!$B$2*(1+B694)^4*$I694-'DCF Base Case'!$B$2*(1+B694)^3*B694*'DCF Base Case'!$B$4</f>
        <v>27.0194299013964</v>
      </c>
      <c r="N694" s="24" t="n">
        <f aca="false">'DCF Base Case'!$B$2*(1+B694)^5*$I694-'DCF Base Case'!$B$2*(1+B694)^4*B694*'DCF Base Case'!$B$4</f>
        <v>29.6663171120411</v>
      </c>
      <c r="O694" s="24" t="n">
        <f aca="false">J694/(1+H694)^1+K694/(1+H694)^2+L694/(1+H694)^3+M694/(1+H694)^4+N694/(1+H694)^5</f>
        <v>98.4026306366766</v>
      </c>
      <c r="P694" s="24" t="n">
        <f aca="false">N694*(1+F694)/(H694-F694)</f>
        <v>532.82462101163</v>
      </c>
      <c r="Q694" s="24" t="n">
        <f aca="false">O694+P694/(1+H694)^5</f>
        <v>465.324679180389</v>
      </c>
      <c r="R694" s="24" t="n">
        <f aca="false">Q694-'DCF Base Case'!$B$5</f>
        <v>280.324679180389</v>
      </c>
      <c r="S694" s="32" t="n">
        <f aca="false">R694/'DCF Base Case'!$B$6</f>
        <v>11.2129871672156</v>
      </c>
    </row>
    <row r="695" customFormat="false" ht="15" hidden="false" customHeight="true" outlineLevel="0" collapsed="false">
      <c r="A695" s="6" t="n">
        <v>694</v>
      </c>
      <c r="B695" s="30" t="n">
        <v>0.112953488440366</v>
      </c>
      <c r="C695" s="30" t="n">
        <v>0.430800252237427</v>
      </c>
      <c r="D695" s="30" t="n">
        <v>0.0703519076393677</v>
      </c>
      <c r="E695" s="30" t="n">
        <v>0.254234480762543</v>
      </c>
      <c r="F695" s="30" t="n">
        <v>0.0212572437380495</v>
      </c>
      <c r="G695" s="30" t="n">
        <v>0.138893022452547</v>
      </c>
      <c r="H695" s="31" t="n">
        <f aca="false">MAX(D695,F695+0.015)</f>
        <v>0.0703519076393677</v>
      </c>
      <c r="I695" s="25" t="n">
        <f aca="false">(C695-'DCF Base Case'!$B$3)*(1-E695)+'DCF Base Case'!$B$3-G695</f>
        <v>0.215433433844056</v>
      </c>
      <c r="J695" s="24" t="n">
        <f aca="false">'DCF Base Case'!$B$2*(1+B695)^1*$I695-'DCF Base Case'!$B$2*(1+B695)^0*B695*'DCF Base Case'!$B$4</f>
        <v>34.2749241251816</v>
      </c>
      <c r="K695" s="24" t="n">
        <f aca="false">'DCF Base Case'!$B$2*(1+B695)^2*$I695-'DCF Base Case'!$B$2*(1+B695)^1*B695*'DCF Base Case'!$B$4</f>
        <v>38.1463963711497</v>
      </c>
      <c r="L695" s="24" t="n">
        <f aca="false">'DCF Base Case'!$B$2*(1+B695)^3*$I695-'DCF Base Case'!$B$2*(1+B695)^2*B695*'DCF Base Case'!$B$4</f>
        <v>42.4551649127</v>
      </c>
      <c r="M695" s="24" t="n">
        <f aca="false">'DCF Base Case'!$B$2*(1+B695)^4*$I695-'DCF Base Case'!$B$2*(1+B695)^3*B695*'DCF Base Case'!$B$4</f>
        <v>47.2506238919005</v>
      </c>
      <c r="N695" s="24" t="n">
        <f aca="false">'DCF Base Case'!$B$2*(1+B695)^5*$I695-'DCF Base Case'!$B$2*(1+B695)^4*B695*'DCF Base Case'!$B$4</f>
        <v>52.5877466914743</v>
      </c>
      <c r="O695" s="24" t="n">
        <f aca="false">J695/(1+H695)^1+K695/(1+H695)^2+L695/(1+H695)^3+M695/(1+H695)^4+N695/(1+H695)^5</f>
        <v>173.373264955466</v>
      </c>
      <c r="P695" s="24" t="n">
        <f aca="false">N695*(1+F695)/(H695-F695)</f>
        <v>1093.91964365984</v>
      </c>
      <c r="Q695" s="24" t="n">
        <f aca="false">O695+P695/(1+H695)^5</f>
        <v>952.041545725102</v>
      </c>
      <c r="R695" s="24" t="n">
        <f aca="false">Q695-'DCF Base Case'!$B$5</f>
        <v>767.041545725102</v>
      </c>
      <c r="S695" s="32" t="n">
        <f aca="false">R695/'DCF Base Case'!$B$6</f>
        <v>30.6816618290041</v>
      </c>
    </row>
    <row r="696" customFormat="false" ht="15" hidden="false" customHeight="true" outlineLevel="0" collapsed="false">
      <c r="A696" s="6" t="n">
        <v>695</v>
      </c>
      <c r="B696" s="30" t="n">
        <v>0.0853193720488133</v>
      </c>
      <c r="C696" s="30" t="n">
        <v>0.419072360694478</v>
      </c>
      <c r="D696" s="30" t="n">
        <v>0.0724864660510104</v>
      </c>
      <c r="E696" s="30" t="n">
        <v>0.258338007573009</v>
      </c>
      <c r="F696" s="30" t="n">
        <v>0.0189965902658117</v>
      </c>
      <c r="G696" s="30" t="n">
        <v>0.177063751399875</v>
      </c>
      <c r="H696" s="31" t="n">
        <f aca="false">MAX(D696,F696+0.015)</f>
        <v>0.0724864660510104</v>
      </c>
      <c r="I696" s="25" t="n">
        <f aca="false">(C696-'DCF Base Case'!$B$3)*(1-E696)+'DCF Base Case'!$B$3-G696</f>
        <v>0.167330231588365</v>
      </c>
      <c r="J696" s="24" t="n">
        <f aca="false">'DCF Base Case'!$B$2*(1+B696)^1*$I696-'DCF Base Case'!$B$2*(1+B696)^0*B696*'DCF Base Case'!$B$4</f>
        <v>25.9618383030664</v>
      </c>
      <c r="K696" s="24" t="n">
        <f aca="false">'DCF Base Case'!$B$2*(1+B696)^2*$I696-'DCF Base Case'!$B$2*(1+B696)^1*B696*'DCF Base Case'!$B$4</f>
        <v>28.1768860443169</v>
      </c>
      <c r="L696" s="24" t="n">
        <f aca="false">'DCF Base Case'!$B$2*(1+B696)^3*$I696-'DCF Base Case'!$B$2*(1+B696)^2*B696*'DCF Base Case'!$B$4</f>
        <v>30.5809202679089</v>
      </c>
      <c r="M696" s="24" t="n">
        <f aca="false">'DCF Base Case'!$B$2*(1+B696)^4*$I696-'DCF Base Case'!$B$2*(1+B696)^3*B696*'DCF Base Case'!$B$4</f>
        <v>33.1900651818417</v>
      </c>
      <c r="N696" s="24" t="n">
        <f aca="false">'DCF Base Case'!$B$2*(1+B696)^5*$I696-'DCF Base Case'!$B$2*(1+B696)^4*B696*'DCF Base Case'!$B$4</f>
        <v>36.0218207014157</v>
      </c>
      <c r="O696" s="24" t="n">
        <f aca="false">J696/(1+H696)^1+K696/(1+H696)^2+L696/(1+H696)^3+M696/(1+H696)^4+N696/(1+H696)^5</f>
        <v>123.967126807152</v>
      </c>
      <c r="P696" s="24" t="n">
        <f aca="false">N696*(1+F696)/(H696-F696)</f>
        <v>686.225419877793</v>
      </c>
      <c r="Q696" s="24" t="n">
        <f aca="false">O696+P696/(1+H696)^5</f>
        <v>607.590965027201</v>
      </c>
      <c r="R696" s="24" t="n">
        <f aca="false">Q696-'DCF Base Case'!$B$5</f>
        <v>422.590965027201</v>
      </c>
      <c r="S696" s="32" t="n">
        <f aca="false">R696/'DCF Base Case'!$B$6</f>
        <v>16.903638601088</v>
      </c>
    </row>
    <row r="697" customFormat="false" ht="15" hidden="false" customHeight="true" outlineLevel="0" collapsed="false">
      <c r="A697" s="6" t="n">
        <v>696</v>
      </c>
      <c r="B697" s="30" t="n">
        <v>0.11314603347842</v>
      </c>
      <c r="C697" s="30" t="n">
        <v>0.433651535874336</v>
      </c>
      <c r="D697" s="30" t="n">
        <v>0.0858102225449142</v>
      </c>
      <c r="E697" s="30" t="n">
        <v>0.262564145774462</v>
      </c>
      <c r="F697" s="30" t="n">
        <v>0.0149868310951032</v>
      </c>
      <c r="G697" s="30" t="n">
        <v>0.154912379622363</v>
      </c>
      <c r="H697" s="31" t="n">
        <f aca="false">MAX(D697,F697+0.015)</f>
        <v>0.0858102225449142</v>
      </c>
      <c r="I697" s="25" t="n">
        <f aca="false">(C697-'DCF Base Case'!$B$3)*(1-E697)+'DCF Base Case'!$B$3-G697</f>
        <v>0.199011150122025</v>
      </c>
      <c r="J697" s="24" t="n">
        <f aca="false">'DCF Base Case'!$B$2*(1+B697)^1*$I697-'DCF Base Case'!$B$2*(1+B697)^0*B697*'DCF Base Case'!$B$4</f>
        <v>31.6294432489338</v>
      </c>
      <c r="K697" s="24" t="n">
        <f aca="false">'DCF Base Case'!$B$2*(1+B697)^2*$I697-'DCF Base Case'!$B$2*(1+B697)^1*B697*'DCF Base Case'!$B$4</f>
        <v>35.2081892936815</v>
      </c>
      <c r="L697" s="24" t="n">
        <f aca="false">'DCF Base Case'!$B$2*(1+B697)^3*$I697-'DCF Base Case'!$B$2*(1+B697)^2*B697*'DCF Base Case'!$B$4</f>
        <v>39.1918562582189</v>
      </c>
      <c r="M697" s="24" t="n">
        <f aca="false">'DCF Base Case'!$B$2*(1+B697)^4*$I697-'DCF Base Case'!$B$2*(1+B697)^3*B697*'DCF Base Case'!$B$4</f>
        <v>43.6262593384928</v>
      </c>
      <c r="N697" s="24" t="n">
        <f aca="false">'DCF Base Case'!$B$2*(1+B697)^5*$I697-'DCF Base Case'!$B$2*(1+B697)^4*B697*'DCF Base Case'!$B$4</f>
        <v>48.5623975381441</v>
      </c>
      <c r="O697" s="24" t="n">
        <f aca="false">J697/(1+H697)^1+K697/(1+H697)^2+L697/(1+H697)^3+M697/(1+H697)^4+N697/(1+H697)^5</f>
        <v>153.169575456984</v>
      </c>
      <c r="P697" s="24" t="n">
        <f aca="false">N697*(1+F697)/(H697-F697)</f>
        <v>695.959244235727</v>
      </c>
      <c r="Q697" s="24" t="n">
        <f aca="false">O697+P697/(1+H697)^5</f>
        <v>614.289807242955</v>
      </c>
      <c r="R697" s="24" t="n">
        <f aca="false">Q697-'DCF Base Case'!$B$5</f>
        <v>429.289807242955</v>
      </c>
      <c r="S697" s="32" t="n">
        <f aca="false">R697/'DCF Base Case'!$B$6</f>
        <v>17.1715922897182</v>
      </c>
    </row>
    <row r="698" customFormat="false" ht="15" hidden="false" customHeight="true" outlineLevel="0" collapsed="false">
      <c r="A698" s="6" t="n">
        <v>697</v>
      </c>
      <c r="B698" s="30" t="n">
        <v>0.0987127985731529</v>
      </c>
      <c r="C698" s="30" t="n">
        <v>0.424045281464356</v>
      </c>
      <c r="D698" s="30" t="n">
        <v>0.0619010781570237</v>
      </c>
      <c r="E698" s="30" t="n">
        <v>0.261901650336187</v>
      </c>
      <c r="F698" s="30" t="n">
        <v>0.0236285246810848</v>
      </c>
      <c r="G698" s="30" t="n">
        <v>0.166985051849856</v>
      </c>
      <c r="H698" s="31" t="n">
        <f aca="false">MAX(D698,F698+0.015)</f>
        <v>0.0619010781570237</v>
      </c>
      <c r="I698" s="25" t="n">
        <f aca="false">(C698-'DCF Base Case'!$B$3)*(1-E698)+'DCF Base Case'!$B$3-G698</f>
        <v>0.180049285125417</v>
      </c>
      <c r="J698" s="24" t="n">
        <f aca="false">'DCF Base Case'!$B$2*(1+B698)^1*$I698-'DCF Base Case'!$B$2*(1+B698)^0*B698*'DCF Base Case'!$B$4</f>
        <v>28.2548551476869</v>
      </c>
      <c r="K698" s="24" t="n">
        <f aca="false">'DCF Base Case'!$B$2*(1+B698)^2*$I698-'DCF Base Case'!$B$2*(1+B698)^1*B698*'DCF Base Case'!$B$4</f>
        <v>31.0439709725941</v>
      </c>
      <c r="L698" s="24" t="n">
        <f aca="false">'DCF Base Case'!$B$2*(1+B698)^3*$I698-'DCF Base Case'!$B$2*(1+B698)^2*B698*'DCF Base Case'!$B$4</f>
        <v>34.1084082261226</v>
      </c>
      <c r="M698" s="24" t="n">
        <f aca="false">'DCF Base Case'!$B$2*(1+B698)^4*$I698-'DCF Base Case'!$B$2*(1+B698)^3*B698*'DCF Base Case'!$B$4</f>
        <v>37.4753446569987</v>
      </c>
      <c r="N698" s="24" t="n">
        <f aca="false">'DCF Base Case'!$B$2*(1+B698)^5*$I698-'DCF Base Case'!$B$2*(1+B698)^4*B698*'DCF Base Case'!$B$4</f>
        <v>41.1746408055845</v>
      </c>
      <c r="O698" s="24" t="n">
        <f aca="false">J698/(1+H698)^1+K698/(1+H698)^2+L698/(1+H698)^3+M698/(1+H698)^4+N698/(1+H698)^5</f>
        <v>142.588175166788</v>
      </c>
      <c r="P698" s="24" t="n">
        <f aca="false">N698*(1+F698)/(H698-F698)</f>
        <v>1101.24705550653</v>
      </c>
      <c r="Q698" s="24" t="n">
        <f aca="false">O698+P698/(1+H698)^5</f>
        <v>958.164201846166</v>
      </c>
      <c r="R698" s="24" t="n">
        <f aca="false">Q698-'DCF Base Case'!$B$5</f>
        <v>773.164201846166</v>
      </c>
      <c r="S698" s="32" t="n">
        <f aca="false">R698/'DCF Base Case'!$B$6</f>
        <v>30.9265680738466</v>
      </c>
    </row>
    <row r="699" customFormat="false" ht="15" hidden="false" customHeight="true" outlineLevel="0" collapsed="false">
      <c r="A699" s="6" t="n">
        <v>698</v>
      </c>
      <c r="B699" s="30" t="n">
        <v>0.0597787968268699</v>
      </c>
      <c r="C699" s="30" t="n">
        <v>0.446801011189774</v>
      </c>
      <c r="D699" s="30" t="n">
        <v>0.0846816409445376</v>
      </c>
      <c r="E699" s="30" t="n">
        <v>0.291105024328301</v>
      </c>
      <c r="F699" s="30" t="n">
        <v>0.0207732719893305</v>
      </c>
      <c r="G699" s="30" t="n">
        <v>0.157767046375564</v>
      </c>
      <c r="H699" s="31" t="n">
        <f aca="false">MAX(D699,F699+0.015)</f>
        <v>0.0846816409445376</v>
      </c>
      <c r="I699" s="25" t="n">
        <f aca="false">(C699-'DCF Base Case'!$B$3)*(1-E699)+'DCF Base Case'!$B$3-G699</f>
        <v>0.19681159874458</v>
      </c>
      <c r="J699" s="24" t="n">
        <f aca="false">'DCF Base Case'!$B$2*(1+B699)^1*$I699-'DCF Base Case'!$B$2*(1+B699)^0*B699*'DCF Base Case'!$B$4</f>
        <v>29.9835923350732</v>
      </c>
      <c r="K699" s="24" t="n">
        <f aca="false">'DCF Base Case'!$B$2*(1+B699)^2*$I699-'DCF Base Case'!$B$2*(1+B699)^1*B699*'DCF Base Case'!$B$4</f>
        <v>31.7759754094113</v>
      </c>
      <c r="L699" s="24" t="n">
        <f aca="false">'DCF Base Case'!$B$2*(1+B699)^3*$I699-'DCF Base Case'!$B$2*(1+B699)^2*B699*'DCF Base Case'!$B$4</f>
        <v>33.6755049873861</v>
      </c>
      <c r="M699" s="24" t="n">
        <f aca="false">'DCF Base Case'!$B$2*(1+B699)^4*$I699-'DCF Base Case'!$B$2*(1+B699)^3*B699*'DCF Base Case'!$B$4</f>
        <v>35.6885861580693</v>
      </c>
      <c r="N699" s="24" t="n">
        <f aca="false">'DCF Base Case'!$B$2*(1+B699)^5*$I699-'DCF Base Case'!$B$2*(1+B699)^4*B699*'DCF Base Case'!$B$4</f>
        <v>37.8220068990507</v>
      </c>
      <c r="O699" s="24" t="n">
        <f aca="false">J699/(1+H699)^1+K699/(1+H699)^2+L699/(1+H699)^3+M699/(1+H699)^4+N699/(1+H699)^5</f>
        <v>132.011422526822</v>
      </c>
      <c r="P699" s="24" t="n">
        <f aca="false">N699*(1+F699)/(H699-F699)</f>
        <v>604.110140294879</v>
      </c>
      <c r="Q699" s="24" t="n">
        <f aca="false">O699+P699/(1+H699)^5</f>
        <v>534.362045742409</v>
      </c>
      <c r="R699" s="24" t="n">
        <f aca="false">Q699-'DCF Base Case'!$B$5</f>
        <v>349.362045742409</v>
      </c>
      <c r="S699" s="32" t="n">
        <f aca="false">R699/'DCF Base Case'!$B$6</f>
        <v>13.9744818296964</v>
      </c>
    </row>
    <row r="700" customFormat="false" ht="15" hidden="false" customHeight="true" outlineLevel="0" collapsed="false">
      <c r="A700" s="6" t="n">
        <v>699</v>
      </c>
      <c r="B700" s="30" t="n">
        <v>0.074164111141791</v>
      </c>
      <c r="C700" s="30" t="n">
        <v>0.447106101231943</v>
      </c>
      <c r="D700" s="30" t="n">
        <v>0.0960352645657953</v>
      </c>
      <c r="E700" s="30" t="n">
        <v>0.304888941896872</v>
      </c>
      <c r="F700" s="30" t="n">
        <v>0.0214139467143466</v>
      </c>
      <c r="G700" s="30" t="n">
        <v>0.145127982333099</v>
      </c>
      <c r="H700" s="31" t="n">
        <f aca="false">MAX(D700,F700+0.015)</f>
        <v>0.0960352645657953</v>
      </c>
      <c r="I700" s="25" t="n">
        <f aca="false">(C700-'DCF Base Case'!$B$3)*(1-E700)+'DCF Base Case'!$B$3-G700</f>
        <v>0.205295975225195</v>
      </c>
      <c r="J700" s="24" t="n">
        <f aca="false">'DCF Base Case'!$B$2*(1+B700)^1*$I700-'DCF Base Case'!$B$2*(1+B700)^0*B700*'DCF Base Case'!$B$4</f>
        <v>31.6530135851032</v>
      </c>
      <c r="K700" s="24" t="n">
        <f aca="false">'DCF Base Case'!$B$2*(1+B700)^2*$I700-'DCF Base Case'!$B$2*(1+B700)^1*B700*'DCF Base Case'!$B$4</f>
        <v>34.0005312026014</v>
      </c>
      <c r="L700" s="24" t="n">
        <f aca="false">'DCF Base Case'!$B$2*(1+B700)^3*$I700-'DCF Base Case'!$B$2*(1+B700)^2*B700*'DCF Base Case'!$B$4</f>
        <v>36.522150377591</v>
      </c>
      <c r="M700" s="24" t="n">
        <f aca="false">'DCF Base Case'!$B$2*(1+B700)^4*$I700-'DCF Base Case'!$B$2*(1+B700)^3*B700*'DCF Base Case'!$B$4</f>
        <v>39.2307831973319</v>
      </c>
      <c r="N700" s="24" t="n">
        <f aca="false">'DCF Base Case'!$B$2*(1+B700)^5*$I700-'DCF Base Case'!$B$2*(1+B700)^4*B700*'DCF Base Case'!$B$4</f>
        <v>42.1402993625583</v>
      </c>
      <c r="O700" s="24" t="n">
        <f aca="false">J700/(1+H700)^1+K700/(1+H700)^2+L700/(1+H700)^3+M700/(1+H700)^4+N700/(1+H700)^5</f>
        <v>138.748786865766</v>
      </c>
      <c r="P700" s="24" t="n">
        <f aca="false">N700*(1+F700)/(H700-F700)</f>
        <v>576.814920011482</v>
      </c>
      <c r="Q700" s="24" t="n">
        <f aca="false">O700+P700/(1+H700)^5</f>
        <v>503.430383167131</v>
      </c>
      <c r="R700" s="24" t="n">
        <f aca="false">Q700-'DCF Base Case'!$B$5</f>
        <v>318.430383167131</v>
      </c>
      <c r="S700" s="32" t="n">
        <f aca="false">R700/'DCF Base Case'!$B$6</f>
        <v>12.7372153266852</v>
      </c>
    </row>
    <row r="701" customFormat="false" ht="15" hidden="false" customHeight="true" outlineLevel="0" collapsed="false">
      <c r="A701" s="6" t="n">
        <v>700</v>
      </c>
      <c r="B701" s="30" t="n">
        <v>0.117560351587568</v>
      </c>
      <c r="C701" s="30" t="n">
        <v>0.406856623262192</v>
      </c>
      <c r="D701" s="30" t="n">
        <v>0.0881161547796571</v>
      </c>
      <c r="E701" s="30" t="n">
        <v>0.250547288318645</v>
      </c>
      <c r="F701" s="30" t="n">
        <v>0.0119001776651278</v>
      </c>
      <c r="G701" s="30" t="n">
        <v>0.172557485621009</v>
      </c>
      <c r="H701" s="31" t="n">
        <f aca="false">MAX(D701,F701+0.015)</f>
        <v>0.0881161547796571</v>
      </c>
      <c r="I701" s="25" t="n">
        <f aca="false">(C701-'DCF Base Case'!$B$3)*(1-E701)+'DCF Base Case'!$B$3-G701</f>
        <v>0.164933461429784</v>
      </c>
      <c r="J701" s="24" t="n">
        <f aca="false">'DCF Base Case'!$B$2*(1+B701)^1*$I701-'DCF Base Case'!$B$2*(1+B701)^0*B701*'DCF Base Case'!$B$4</f>
        <v>26.2154615564776</v>
      </c>
      <c r="K701" s="24" t="n">
        <f aca="false">'DCF Base Case'!$B$2*(1+B701)^2*$I701-'DCF Base Case'!$B$2*(1+B701)^1*B701*'DCF Base Case'!$B$4</f>
        <v>29.2973604340874</v>
      </c>
      <c r="L701" s="24" t="n">
        <f aca="false">'DCF Base Case'!$B$2*(1+B701)^3*$I701-'DCF Base Case'!$B$2*(1+B701)^2*B701*'DCF Base Case'!$B$4</f>
        <v>32.7415684273065</v>
      </c>
      <c r="M701" s="24" t="n">
        <f aca="false">'DCF Base Case'!$B$2*(1+B701)^4*$I701-'DCF Base Case'!$B$2*(1+B701)^3*B701*'DCF Base Case'!$B$4</f>
        <v>36.590678723149</v>
      </c>
      <c r="N701" s="24" t="n">
        <f aca="false">'DCF Base Case'!$B$2*(1+B701)^5*$I701-'DCF Base Case'!$B$2*(1+B701)^4*B701*'DCF Base Case'!$B$4</f>
        <v>40.8922917786702</v>
      </c>
      <c r="O701" s="24" t="n">
        <f aca="false">J701/(1+H701)^1+K701/(1+H701)^2+L701/(1+H701)^3+M701/(1+H701)^4+N701/(1+H701)^5</f>
        <v>127.160805266677</v>
      </c>
      <c r="P701" s="24" t="n">
        <f aca="false">N701*(1+F701)/(H701-F701)</f>
        <v>542.916575796053</v>
      </c>
      <c r="Q701" s="24" t="n">
        <f aca="false">O701+P701/(1+H701)^5</f>
        <v>483.084425946359</v>
      </c>
      <c r="R701" s="24" t="n">
        <f aca="false">Q701-'DCF Base Case'!$B$5</f>
        <v>298.084425946359</v>
      </c>
      <c r="S701" s="32" t="n">
        <f aca="false">R701/'DCF Base Case'!$B$6</f>
        <v>11.9233770378544</v>
      </c>
    </row>
    <row r="702" customFormat="false" ht="15" hidden="false" customHeight="true" outlineLevel="0" collapsed="false">
      <c r="A702" s="6" t="n">
        <v>701</v>
      </c>
      <c r="B702" s="30" t="n">
        <v>0.0723441667752612</v>
      </c>
      <c r="C702" s="30" t="n">
        <v>0.369771924666189</v>
      </c>
      <c r="D702" s="30" t="n">
        <v>0.0909467045324178</v>
      </c>
      <c r="E702" s="30" t="n">
        <v>0.337027097099314</v>
      </c>
      <c r="F702" s="30" t="n">
        <v>0.0242127559672765</v>
      </c>
      <c r="G702" s="30" t="n">
        <v>0.159923261057896</v>
      </c>
      <c r="H702" s="31" t="n">
        <f aca="false">MAX(D702,F702+0.015)</f>
        <v>0.0909467045324178</v>
      </c>
      <c r="I702" s="25" t="n">
        <f aca="false">(C702-'DCF Base Case'!$B$3)*(1-E702)+'DCF Base Case'!$B$3-G702</f>
        <v>0.129039027872132</v>
      </c>
      <c r="J702" s="24" t="n">
        <f aca="false">'DCF Base Case'!$B$2*(1+B702)^1*$I702-'DCF Base Case'!$B$2*(1+B702)^0*B702*'DCF Base Case'!$B$4</f>
        <v>19.7495689541571</v>
      </c>
      <c r="K702" s="24" t="n">
        <f aca="false">'DCF Base Case'!$B$2*(1+B702)^2*$I702-'DCF Base Case'!$B$2*(1+B702)^1*B702*'DCF Base Case'!$B$4</f>
        <v>21.1783350643162</v>
      </c>
      <c r="L702" s="24" t="n">
        <f aca="false">'DCF Base Case'!$B$2*(1+B702)^3*$I702-'DCF Base Case'!$B$2*(1+B702)^2*B702*'DCF Base Case'!$B$4</f>
        <v>22.7104640682314</v>
      </c>
      <c r="M702" s="24" t="n">
        <f aca="false">'DCF Base Case'!$B$2*(1+B702)^4*$I702-'DCF Base Case'!$B$2*(1+B702)^3*B702*'DCF Base Case'!$B$4</f>
        <v>24.3534336683271</v>
      </c>
      <c r="N702" s="24" t="n">
        <f aca="false">'DCF Base Case'!$B$2*(1+B702)^5*$I702-'DCF Base Case'!$B$2*(1+B702)^4*B702*'DCF Base Case'!$B$4</f>
        <v>26.1152625351789</v>
      </c>
      <c r="O702" s="24" t="n">
        <f aca="false">J702/(1+H702)^1+K702/(1+H702)^2+L702/(1+H702)^3+M702/(1+H702)^4+N702/(1+H702)^5</f>
        <v>87.4810252675335</v>
      </c>
      <c r="P702" s="24" t="n">
        <f aca="false">N702*(1+F702)/(H702-F702)</f>
        <v>400.809267083234</v>
      </c>
      <c r="Q702" s="24" t="n">
        <f aca="false">O702+P702/(1+H702)^5</f>
        <v>346.851227453795</v>
      </c>
      <c r="R702" s="24" t="n">
        <f aca="false">Q702-'DCF Base Case'!$B$5</f>
        <v>161.851227453795</v>
      </c>
      <c r="S702" s="32" t="n">
        <f aca="false">R702/'DCF Base Case'!$B$6</f>
        <v>6.4740490981518</v>
      </c>
    </row>
    <row r="703" customFormat="false" ht="15" hidden="false" customHeight="true" outlineLevel="0" collapsed="false">
      <c r="A703" s="6" t="n">
        <v>702</v>
      </c>
      <c r="B703" s="30" t="n">
        <v>0.0901767484406263</v>
      </c>
      <c r="C703" s="30" t="n">
        <v>0.431577744350602</v>
      </c>
      <c r="D703" s="30" t="n">
        <v>0.097343408218184</v>
      </c>
      <c r="E703" s="30" t="n">
        <v>0.270749874431469</v>
      </c>
      <c r="F703" s="30" t="n">
        <v>0.0194808042544977</v>
      </c>
      <c r="G703" s="30" t="n">
        <v>0.172134305417788</v>
      </c>
      <c r="H703" s="31" t="n">
        <f aca="false">MAX(D703,F703+0.015)</f>
        <v>0.097343408218184</v>
      </c>
      <c r="I703" s="25" t="n">
        <f aca="false">(C703-'DCF Base Case'!$B$3)*(1-E703)+'DCF Base Case'!$B$3-G703</f>
        <v>0.177791302518563</v>
      </c>
      <c r="J703" s="24" t="n">
        <f aca="false">'DCF Base Case'!$B$2*(1+B703)^1*$I703-'DCF Base Case'!$B$2*(1+B703)^0*B703*'DCF Base Case'!$B$4</f>
        <v>27.7122030359863</v>
      </c>
      <c r="K703" s="24" t="n">
        <f aca="false">'DCF Base Case'!$B$2*(1+B703)^2*$I703-'DCF Base Case'!$B$2*(1+B703)^1*B703*'DCF Base Case'!$B$4</f>
        <v>30.211199397898</v>
      </c>
      <c r="L703" s="24" t="n">
        <f aca="false">'DCF Base Case'!$B$2*(1+B703)^3*$I703-'DCF Base Case'!$B$2*(1+B703)^2*B703*'DCF Base Case'!$B$4</f>
        <v>32.9355471260919</v>
      </c>
      <c r="M703" s="24" t="n">
        <f aca="false">'DCF Base Case'!$B$2*(1+B703)^4*$I703-'DCF Base Case'!$B$2*(1+B703)^3*B703*'DCF Base Case'!$B$4</f>
        <v>35.9055676740358</v>
      </c>
      <c r="N703" s="24" t="n">
        <f aca="false">'DCF Base Case'!$B$2*(1+B703)^5*$I703-'DCF Base Case'!$B$2*(1+B703)^4*B703*'DCF Base Case'!$B$4</f>
        <v>39.1434150177953</v>
      </c>
      <c r="O703" s="24" t="n">
        <f aca="false">J703/(1+H703)^1+K703/(1+H703)^2+L703/(1+H703)^3+M703/(1+H703)^4+N703/(1+H703)^5</f>
        <v>124.630935418387</v>
      </c>
      <c r="P703" s="24" t="n">
        <f aca="false">N703*(1+F703)/(H703-F703)</f>
        <v>512.517668202067</v>
      </c>
      <c r="Q703" s="24" t="n">
        <f aca="false">O703+P703/(1+H703)^5</f>
        <v>446.734881773116</v>
      </c>
      <c r="R703" s="24" t="n">
        <f aca="false">Q703-'DCF Base Case'!$B$5</f>
        <v>261.734881773116</v>
      </c>
      <c r="S703" s="32" t="n">
        <f aca="false">R703/'DCF Base Case'!$B$6</f>
        <v>10.4693952709247</v>
      </c>
    </row>
    <row r="704" customFormat="false" ht="15" hidden="false" customHeight="true" outlineLevel="0" collapsed="false">
      <c r="A704" s="6" t="n">
        <v>703</v>
      </c>
      <c r="B704" s="30" t="n">
        <v>0.101932182491765</v>
      </c>
      <c r="C704" s="30" t="n">
        <v>0.416262798633838</v>
      </c>
      <c r="D704" s="30" t="n">
        <v>0.0836790623042438</v>
      </c>
      <c r="E704" s="30" t="n">
        <v>0.321193586379244</v>
      </c>
      <c r="F704" s="30" t="n">
        <v>0.0236449221347787</v>
      </c>
      <c r="G704" s="30" t="n">
        <v>0.176420080778099</v>
      </c>
      <c r="H704" s="31" t="n">
        <f aca="false">MAX(D704,F704+0.015)</f>
        <v>0.0836790623042438</v>
      </c>
      <c r="I704" s="25" t="n">
        <f aca="false">(C704-'DCF Base Case'!$B$3)*(1-E704)+'DCF Base Case'!$B$3-G704</f>
        <v>0.147896942915577</v>
      </c>
      <c r="J704" s="24" t="n">
        <f aca="false">'DCF Base Case'!$B$2*(1+B704)^1*$I704-'DCF Base Case'!$B$2*(1+B704)^0*B704*'DCF Base Case'!$B$4</f>
        <v>23.18759316433</v>
      </c>
      <c r="K704" s="24" t="n">
        <f aca="false">'DCF Base Case'!$B$2*(1+B704)^2*$I704-'DCF Base Case'!$B$2*(1+B704)^1*B704*'DCF Base Case'!$B$4</f>
        <v>25.5511551423013</v>
      </c>
      <c r="L704" s="24" t="n">
        <f aca="false">'DCF Base Case'!$B$2*(1+B704)^3*$I704-'DCF Base Case'!$B$2*(1+B704)^2*B704*'DCF Base Case'!$B$4</f>
        <v>28.1556401511417</v>
      </c>
      <c r="M704" s="24" t="n">
        <f aca="false">'DCF Base Case'!$B$2*(1+B704)^4*$I704-'DCF Base Case'!$B$2*(1+B704)^3*B704*'DCF Base Case'!$B$4</f>
        <v>31.0256060012004</v>
      </c>
      <c r="N704" s="24" t="n">
        <f aca="false">'DCF Base Case'!$B$2*(1+B704)^5*$I704-'DCF Base Case'!$B$2*(1+B704)^4*B704*'DCF Base Case'!$B$4</f>
        <v>34.1881137340324</v>
      </c>
      <c r="O704" s="24" t="n">
        <f aca="false">J704/(1+H704)^1+K704/(1+H704)^2+L704/(1+H704)^3+M704/(1+H704)^4+N704/(1+H704)^5</f>
        <v>110.650791529067</v>
      </c>
      <c r="P704" s="24" t="n">
        <f aca="false">N704*(1+F704)/(H704-F704)</f>
        <v>582.943120737967</v>
      </c>
      <c r="Q704" s="24" t="n">
        <f aca="false">O704+P704/(1+H704)^5</f>
        <v>500.70302516522</v>
      </c>
      <c r="R704" s="24" t="n">
        <f aca="false">Q704-'DCF Base Case'!$B$5</f>
        <v>315.70302516522</v>
      </c>
      <c r="S704" s="32" t="n">
        <f aca="false">R704/'DCF Base Case'!$B$6</f>
        <v>12.6281210066088</v>
      </c>
    </row>
    <row r="705" customFormat="false" ht="15" hidden="false" customHeight="true" outlineLevel="0" collapsed="false">
      <c r="A705" s="6" t="n">
        <v>704</v>
      </c>
      <c r="B705" s="30" t="n">
        <v>0.125371729974353</v>
      </c>
      <c r="C705" s="30" t="n">
        <v>0.419735057757036</v>
      </c>
      <c r="D705" s="30" t="n">
        <v>0.102852707934923</v>
      </c>
      <c r="E705" s="30" t="n">
        <v>0.296074642478295</v>
      </c>
      <c r="F705" s="30" t="n">
        <v>0.0272348162048468</v>
      </c>
      <c r="G705" s="30" t="n">
        <v>0.141590383656346</v>
      </c>
      <c r="H705" s="31" t="n">
        <f aca="false">MAX(D705,F705+0.015)</f>
        <v>0.102852707934923</v>
      </c>
      <c r="I705" s="25" t="n">
        <f aca="false">(C705-'DCF Base Case'!$B$3)*(1-E705)+'DCF Base Case'!$B$3-G705</f>
        <v>0.192361470461847</v>
      </c>
      <c r="J705" s="24" t="n">
        <f aca="false">'DCF Base Case'!$B$2*(1+B705)^1*$I705-'DCF Base Case'!$B$2*(1+B705)^0*B705*'DCF Base Case'!$B$4</f>
        <v>30.8439662897502</v>
      </c>
      <c r="K705" s="24" t="n">
        <f aca="false">'DCF Base Case'!$B$2*(1+B705)^2*$I705-'DCF Base Case'!$B$2*(1+B705)^1*B705*'DCF Base Case'!$B$4</f>
        <v>34.7109277027668</v>
      </c>
      <c r="L705" s="24" t="n">
        <f aca="false">'DCF Base Case'!$B$2*(1+B705)^3*$I705-'DCF Base Case'!$B$2*(1+B705)^2*B705*'DCF Base Case'!$B$4</f>
        <v>39.0626967578774</v>
      </c>
      <c r="M705" s="24" t="n">
        <f aca="false">'DCF Base Case'!$B$2*(1+B705)^4*$I705-'DCF Base Case'!$B$2*(1+B705)^3*B705*'DCF Base Case'!$B$4</f>
        <v>43.9600546278761</v>
      </c>
      <c r="N705" s="24" t="n">
        <f aca="false">'DCF Base Case'!$B$2*(1+B705)^5*$I705-'DCF Base Case'!$B$2*(1+B705)^4*B705*'DCF Base Case'!$B$4</f>
        <v>49.4714027263399</v>
      </c>
      <c r="O705" s="24" t="n">
        <f aca="false">J705/(1+H705)^1+K705/(1+H705)^2+L705/(1+H705)^3+M705/(1+H705)^4+N705/(1+H705)^5</f>
        <v>145.665636419404</v>
      </c>
      <c r="P705" s="24" t="n">
        <f aca="false">N705*(1+F705)/(H705-F705)</f>
        <v>672.046603314321</v>
      </c>
      <c r="Q705" s="24" t="n">
        <f aca="false">O705+P705/(1+H705)^5</f>
        <v>557.584633064653</v>
      </c>
      <c r="R705" s="24" t="n">
        <f aca="false">Q705-'DCF Base Case'!$B$5</f>
        <v>372.584633064653</v>
      </c>
      <c r="S705" s="32" t="n">
        <f aca="false">R705/'DCF Base Case'!$B$6</f>
        <v>14.9033853225861</v>
      </c>
    </row>
    <row r="706" customFormat="false" ht="15" hidden="false" customHeight="true" outlineLevel="0" collapsed="false">
      <c r="A706" s="6" t="n">
        <v>705</v>
      </c>
      <c r="B706" s="30" t="n">
        <v>0.0750216371405714</v>
      </c>
      <c r="C706" s="30" t="n">
        <v>0.417966909067324</v>
      </c>
      <c r="D706" s="30" t="n">
        <v>0.0893695745827689</v>
      </c>
      <c r="E706" s="30" t="n">
        <v>0.334086489971202</v>
      </c>
      <c r="F706" s="30" t="n">
        <v>0.016640087689218</v>
      </c>
      <c r="G706" s="30" t="n">
        <v>0.186886171068531</v>
      </c>
      <c r="H706" s="31" t="n">
        <f aca="false">MAX(D706,F706+0.015)</f>
        <v>0.0893695745827689</v>
      </c>
      <c r="I706" s="25" t="n">
        <f aca="false">(C706-'DCF Base Case'!$B$3)*(1-E706)+'DCF Base Case'!$B$3-G706</f>
        <v>0.134874884120634</v>
      </c>
      <c r="J706" s="24" t="n">
        <f aca="false">'DCF Base Case'!$B$2*(1+B706)^1*$I706-'DCF Base Case'!$B$2*(1+B706)^0*B706*'DCF Base Case'!$B$4</f>
        <v>20.6977015952324</v>
      </c>
      <c r="K706" s="24" t="n">
        <f aca="false">'DCF Base Case'!$B$2*(1+B706)^2*$I706-'DCF Base Case'!$B$2*(1+B706)^1*B706*'DCF Base Case'!$B$4</f>
        <v>22.2504770539537</v>
      </c>
      <c r="L706" s="24" t="n">
        <f aca="false">'DCF Base Case'!$B$2*(1+B706)^3*$I706-'DCF Base Case'!$B$2*(1+B706)^2*B706*'DCF Base Case'!$B$4</f>
        <v>23.9197442697</v>
      </c>
      <c r="M706" s="24" t="n">
        <f aca="false">'DCF Base Case'!$B$2*(1+B706)^4*$I706-'DCF Base Case'!$B$2*(1+B706)^3*B706*'DCF Base Case'!$B$4</f>
        <v>25.7142426447967</v>
      </c>
      <c r="N706" s="24" t="n">
        <f aca="false">'DCF Base Case'!$B$2*(1+B706)^5*$I706-'DCF Base Case'!$B$2*(1+B706)^4*B706*'DCF Base Case'!$B$4</f>
        <v>27.6433672258393</v>
      </c>
      <c r="O706" s="24" t="n">
        <f aca="false">J706/(1+H706)^1+K706/(1+H706)^2+L706/(1+H706)^3+M706/(1+H706)^4+N706/(1+H706)^5</f>
        <v>92.528847160124</v>
      </c>
      <c r="P706" s="24" t="n">
        <f aca="false">N706*(1+F706)/(H706-F706)</f>
        <v>386.409370956177</v>
      </c>
      <c r="Q706" s="24" t="n">
        <f aca="false">O706+P706/(1+H706)^5</f>
        <v>344.395947581028</v>
      </c>
      <c r="R706" s="24" t="n">
        <f aca="false">Q706-'DCF Base Case'!$B$5</f>
        <v>159.395947581028</v>
      </c>
      <c r="S706" s="32" t="n">
        <f aca="false">R706/'DCF Base Case'!$B$6</f>
        <v>6.37583790324113</v>
      </c>
    </row>
    <row r="707" customFormat="false" ht="15" hidden="false" customHeight="true" outlineLevel="0" collapsed="false">
      <c r="A707" s="6" t="n">
        <v>706</v>
      </c>
      <c r="B707" s="30" t="n">
        <v>0.115248866504693</v>
      </c>
      <c r="C707" s="30" t="n">
        <v>0.436083536382149</v>
      </c>
      <c r="D707" s="30" t="n">
        <v>0.0744290402388325</v>
      </c>
      <c r="E707" s="30" t="n">
        <v>0.321927729220896</v>
      </c>
      <c r="F707" s="30" t="n">
        <v>0.0237094071743731</v>
      </c>
      <c r="G707" s="30" t="n">
        <v>0.179424767414187</v>
      </c>
      <c r="H707" s="31" t="n">
        <f aca="false">MAX(D707,F707+0.015)</f>
        <v>0.0744290402388325</v>
      </c>
      <c r="I707" s="25" t="n">
        <f aca="false">(C707-'DCF Base Case'!$B$3)*(1-E707)+'DCF Base Case'!$B$3-G707</f>
        <v>0.158121991148555</v>
      </c>
      <c r="J707" s="24" t="n">
        <f aca="false">'DCF Base Case'!$B$2*(1+B707)^1*$I707-'DCF Base Case'!$B$2*(1+B707)^0*B707*'DCF Base Case'!$B$4</f>
        <v>25.0687462833988</v>
      </c>
      <c r="K707" s="24" t="n">
        <f aca="false">'DCF Base Case'!$B$2*(1+B707)^2*$I707-'DCF Base Case'!$B$2*(1+B707)^1*B707*'DCF Base Case'!$B$4</f>
        <v>27.9578908772543</v>
      </c>
      <c r="L707" s="24" t="n">
        <f aca="false">'DCF Base Case'!$B$2*(1+B707)^3*$I707-'DCF Base Case'!$B$2*(1+B707)^2*B707*'DCF Base Case'!$B$4</f>
        <v>31.1800061107197</v>
      </c>
      <c r="M707" s="24" t="n">
        <f aca="false">'DCF Base Case'!$B$2*(1+B707)^4*$I707-'DCF Base Case'!$B$2*(1+B707)^3*B707*'DCF Base Case'!$B$4</f>
        <v>34.7734664725896</v>
      </c>
      <c r="N707" s="24" t="n">
        <f aca="false">'DCF Base Case'!$B$2*(1+B707)^5*$I707-'DCF Base Case'!$B$2*(1+B707)^4*B707*'DCF Base Case'!$B$4</f>
        <v>38.7810690679945</v>
      </c>
      <c r="O707" s="24" t="n">
        <f aca="false">J707/(1+H707)^1+K707/(1+H707)^2+L707/(1+H707)^3+M707/(1+H707)^4+N707/(1+H707)^5</f>
        <v>125.868382375426</v>
      </c>
      <c r="P707" s="24" t="n">
        <f aca="false">N707*(1+F707)/(H707-F707)</f>
        <v>782.745119128322</v>
      </c>
      <c r="Q707" s="24" t="n">
        <f aca="false">O707+P707/(1+H707)^5</f>
        <v>672.546483720896</v>
      </c>
      <c r="R707" s="24" t="n">
        <f aca="false">Q707-'DCF Base Case'!$B$5</f>
        <v>487.546483720896</v>
      </c>
      <c r="S707" s="32" t="n">
        <f aca="false">R707/'DCF Base Case'!$B$6</f>
        <v>19.5018593488358</v>
      </c>
    </row>
    <row r="708" customFormat="false" ht="15" hidden="false" customHeight="true" outlineLevel="0" collapsed="false">
      <c r="A708" s="6" t="n">
        <v>707</v>
      </c>
      <c r="B708" s="30" t="n">
        <v>0.0942265959565793</v>
      </c>
      <c r="C708" s="30" t="n">
        <v>0.420581091221987</v>
      </c>
      <c r="D708" s="30" t="n">
        <v>0.0841339062853669</v>
      </c>
      <c r="E708" s="30" t="n">
        <v>0.299184369053505</v>
      </c>
      <c r="F708" s="30" t="n">
        <v>0.0194696000697431</v>
      </c>
      <c r="G708" s="30" t="n">
        <v>0.148147670218664</v>
      </c>
      <c r="H708" s="31" t="n">
        <f aca="false">MAX(D708,F708+0.015)</f>
        <v>0.0841339062853669</v>
      </c>
      <c r="I708" s="25" t="n">
        <f aca="false">(C708-'DCF Base Case'!$B$3)*(1-E708)+'DCF Base Case'!$B$3-G708</f>
        <v>0.185496100567194</v>
      </c>
      <c r="J708" s="24" t="n">
        <f aca="false">'DCF Base Case'!$B$2*(1+B708)^1*$I708-'DCF Base Case'!$B$2*(1+B708)^0*B708*'DCF Base Case'!$B$4</f>
        <v>29.0214554771835</v>
      </c>
      <c r="K708" s="24" t="n">
        <f aca="false">'DCF Base Case'!$B$2*(1+B708)^2*$I708-'DCF Base Case'!$B$2*(1+B708)^1*B708*'DCF Base Case'!$B$4</f>
        <v>31.756048436504</v>
      </c>
      <c r="L708" s="24" t="n">
        <f aca="false">'DCF Base Case'!$B$2*(1+B708)^3*$I708-'DCF Base Case'!$B$2*(1+B708)^2*B708*'DCF Base Case'!$B$4</f>
        <v>34.748312781708</v>
      </c>
      <c r="M708" s="24" t="n">
        <f aca="false">'DCF Base Case'!$B$2*(1+B708)^4*$I708-'DCF Base Case'!$B$2*(1+B708)^3*B708*'DCF Base Case'!$B$4</f>
        <v>38.0225280103629</v>
      </c>
      <c r="N708" s="24" t="n">
        <f aca="false">'DCF Base Case'!$B$2*(1+B708)^5*$I708-'DCF Base Case'!$B$2*(1+B708)^4*B708*'DCF Base Case'!$B$4</f>
        <v>41.605261394443</v>
      </c>
      <c r="O708" s="24" t="n">
        <f aca="false">J708/(1+H708)^1+K708/(1+H708)^2+L708/(1+H708)^3+M708/(1+H708)^4+N708/(1+H708)^5</f>
        <v>136.361646107227</v>
      </c>
      <c r="P708" s="24" t="n">
        <f aca="false">N708*(1+F708)/(H708-F708)</f>
        <v>655.930631238132</v>
      </c>
      <c r="Q708" s="24" t="n">
        <f aca="false">O708+P708/(1+H708)^5</f>
        <v>574.33055011045</v>
      </c>
      <c r="R708" s="24" t="n">
        <f aca="false">Q708-'DCF Base Case'!$B$5</f>
        <v>389.33055011045</v>
      </c>
      <c r="S708" s="32" t="n">
        <f aca="false">R708/'DCF Base Case'!$B$6</f>
        <v>15.573222004418</v>
      </c>
    </row>
    <row r="709" customFormat="false" ht="15" hidden="false" customHeight="true" outlineLevel="0" collapsed="false">
      <c r="A709" s="6" t="n">
        <v>708</v>
      </c>
      <c r="B709" s="30" t="n">
        <v>0.0671277580597118</v>
      </c>
      <c r="C709" s="30" t="n">
        <v>0.389186731170038</v>
      </c>
      <c r="D709" s="30" t="n">
        <v>0.087443454668044</v>
      </c>
      <c r="E709" s="30" t="n">
        <v>0.278891280740398</v>
      </c>
      <c r="F709" s="30" t="n">
        <v>0.0201219317706348</v>
      </c>
      <c r="G709" s="30" t="n">
        <v>0.176994094302024</v>
      </c>
      <c r="H709" s="31" t="n">
        <f aca="false">MAX(D709,F709+0.015)</f>
        <v>0.087443454668044</v>
      </c>
      <c r="I709" s="25" t="n">
        <f aca="false">(C709-'DCF Base Case'!$B$3)*(1-E709)+'DCF Base Case'!$B$3-G709</f>
        <v>0.139907717461085</v>
      </c>
      <c r="J709" s="24" t="n">
        <f aca="false">'DCF Base Case'!$B$2*(1+B709)^1*$I709-'DCF Base Case'!$B$2*(1+B709)^0*B709*'DCF Base Case'!$B$4</f>
        <v>21.3564085385176</v>
      </c>
      <c r="K709" s="24" t="n">
        <f aca="false">'DCF Base Case'!$B$2*(1+B709)^2*$I709-'DCF Base Case'!$B$2*(1+B709)^1*B709*'DCF Base Case'!$B$4</f>
        <v>22.7900163639156</v>
      </c>
      <c r="L709" s="24" t="n">
        <f aca="false">'DCF Base Case'!$B$2*(1+B709)^3*$I709-'DCF Base Case'!$B$2*(1+B709)^2*B709*'DCF Base Case'!$B$4</f>
        <v>24.3198590685694</v>
      </c>
      <c r="M709" s="24" t="n">
        <f aca="false">'DCF Base Case'!$B$2*(1+B709)^4*$I709-'DCF Base Case'!$B$2*(1+B709)^3*B709*'DCF Base Case'!$B$4</f>
        <v>25.9523966841706</v>
      </c>
      <c r="N709" s="24" t="n">
        <f aca="false">'DCF Base Case'!$B$2*(1+B709)^5*$I709-'DCF Base Case'!$B$2*(1+B709)^4*B709*'DCF Base Case'!$B$4</f>
        <v>27.6945228898553</v>
      </c>
      <c r="O709" s="24" t="n">
        <f aca="false">J709/(1+H709)^1+K709/(1+H709)^2+L709/(1+H709)^3+M709/(1+H709)^4+N709/(1+H709)^5</f>
        <v>94.5944059208974</v>
      </c>
      <c r="P709" s="24" t="n">
        <f aca="false">N709*(1+F709)/(H709-F709)</f>
        <v>419.654650904406</v>
      </c>
      <c r="Q709" s="24" t="n">
        <f aca="false">O709+P709/(1+H709)^5</f>
        <v>370.56234016104</v>
      </c>
      <c r="R709" s="24" t="n">
        <f aca="false">Q709-'DCF Base Case'!$B$5</f>
        <v>185.56234016104</v>
      </c>
      <c r="S709" s="32" t="n">
        <f aca="false">R709/'DCF Base Case'!$B$6</f>
        <v>7.4224936064416</v>
      </c>
    </row>
    <row r="710" customFormat="false" ht="15" hidden="false" customHeight="true" outlineLevel="0" collapsed="false">
      <c r="A710" s="6" t="n">
        <v>709</v>
      </c>
      <c r="B710" s="30" t="n">
        <v>0.0764159611005488</v>
      </c>
      <c r="C710" s="30" t="n">
        <v>0.43769535745398</v>
      </c>
      <c r="D710" s="30" t="n">
        <v>0.0820551809024778</v>
      </c>
      <c r="E710" s="30" t="n">
        <v>0.268699863283524</v>
      </c>
      <c r="F710" s="30" t="n">
        <v>0.021072480183706</v>
      </c>
      <c r="G710" s="30" t="n">
        <v>0.131513664455574</v>
      </c>
      <c r="H710" s="31" t="n">
        <f aca="false">MAX(D710,F710+0.015)</f>
        <v>0.0820551809024778</v>
      </c>
      <c r="I710" s="25" t="n">
        <f aca="false">(C710-'DCF Base Case'!$B$3)*(1-E710)+'DCF Base Case'!$B$3-G710</f>
        <v>0.223503992517547</v>
      </c>
      <c r="J710" s="24" t="n">
        <f aca="false">'DCF Base Case'!$B$2*(1+B710)^1*$I710-'DCF Base Case'!$B$2*(1+B710)^0*B710*'DCF Base Case'!$B$4</f>
        <v>34.5521639819724</v>
      </c>
      <c r="K710" s="24" t="n">
        <f aca="false">'DCF Base Case'!$B$2*(1+B710)^2*$I710-'DCF Base Case'!$B$2*(1+B710)^1*B710*'DCF Base Case'!$B$4</f>
        <v>37.1925008007586</v>
      </c>
      <c r="L710" s="24" t="n">
        <f aca="false">'DCF Base Case'!$B$2*(1+B710)^3*$I710-'DCF Base Case'!$B$2*(1+B710)^2*B710*'DCF Base Case'!$B$4</f>
        <v>40.0346014951815</v>
      </c>
      <c r="M710" s="24" t="n">
        <f aca="false">'DCF Base Case'!$B$2*(1+B710)^4*$I710-'DCF Base Case'!$B$2*(1+B710)^3*B710*'DCF Base Case'!$B$4</f>
        <v>43.0938840457132</v>
      </c>
      <c r="N710" s="24" t="n">
        <f aca="false">'DCF Base Case'!$B$2*(1+B710)^5*$I710-'DCF Base Case'!$B$2*(1+B710)^4*B710*'DCF Base Case'!$B$4</f>
        <v>46.386944612622</v>
      </c>
      <c r="O710" s="24" t="n">
        <f aca="false">J710/(1+H710)^1+K710/(1+H710)^2+L710/(1+H710)^3+M710/(1+H710)^4+N710/(1+H710)^5</f>
        <v>158.004386978637</v>
      </c>
      <c r="P710" s="24" t="n">
        <f aca="false">N710*(1+F710)/(H710-F710)</f>
        <v>776.686372126749</v>
      </c>
      <c r="Q710" s="24" t="n">
        <f aca="false">O710+P710/(1+H710)^5</f>
        <v>681.603185225521</v>
      </c>
      <c r="R710" s="24" t="n">
        <f aca="false">Q710-'DCF Base Case'!$B$5</f>
        <v>496.603185225521</v>
      </c>
      <c r="S710" s="32" t="n">
        <f aca="false">R710/'DCF Base Case'!$B$6</f>
        <v>19.8641274090209</v>
      </c>
    </row>
    <row r="711" customFormat="false" ht="15" hidden="false" customHeight="true" outlineLevel="0" collapsed="false">
      <c r="A711" s="6" t="n">
        <v>710</v>
      </c>
      <c r="B711" s="30" t="n">
        <v>0.0727572782579008</v>
      </c>
      <c r="C711" s="30" t="n">
        <v>0.427730594776918</v>
      </c>
      <c r="D711" s="30" t="n">
        <v>0.0658883587803168</v>
      </c>
      <c r="E711" s="30" t="n">
        <v>0.313867507334352</v>
      </c>
      <c r="F711" s="30" t="n">
        <v>0.0245707152859013</v>
      </c>
      <c r="G711" s="30" t="n">
        <v>0.157730315589202</v>
      </c>
      <c r="H711" s="31" t="n">
        <f aca="false">MAX(D711,F711+0.015)</f>
        <v>0.0658883587803168</v>
      </c>
      <c r="I711" s="25" t="n">
        <f aca="false">(C711-'DCF Base Case'!$B$3)*(1-E711)+'DCF Base Case'!$B$3-G711</f>
        <v>0.176552319547911</v>
      </c>
      <c r="J711" s="24" t="n">
        <f aca="false">'DCF Base Case'!$B$2*(1+B711)^1*$I711-'DCF Base Case'!$B$2*(1+B711)^0*B711*'DCF Base Case'!$B$4</f>
        <v>27.1461847788868</v>
      </c>
      <c r="K711" s="24" t="n">
        <f aca="false">'DCF Base Case'!$B$2*(1+B711)^2*$I711-'DCF Base Case'!$B$2*(1+B711)^1*B711*'DCF Base Case'!$B$4</f>
        <v>29.1212672984847</v>
      </c>
      <c r="L711" s="24" t="n">
        <f aca="false">'DCF Base Case'!$B$2*(1+B711)^3*$I711-'DCF Base Case'!$B$2*(1+B711)^2*B711*'DCF Base Case'!$B$4</f>
        <v>31.2400514465433</v>
      </c>
      <c r="M711" s="24" t="n">
        <f aca="false">'DCF Base Case'!$B$2*(1+B711)^4*$I711-'DCF Base Case'!$B$2*(1+B711)^3*B711*'DCF Base Case'!$B$4</f>
        <v>33.5129925624305</v>
      </c>
      <c r="N711" s="24" t="n">
        <f aca="false">'DCF Base Case'!$B$2*(1+B711)^5*$I711-'DCF Base Case'!$B$2*(1+B711)^4*B711*'DCF Base Case'!$B$4</f>
        <v>35.9513066875503</v>
      </c>
      <c r="O711" s="24" t="n">
        <f aca="false">J711/(1+H711)^1+K711/(1+H711)^2+L711/(1+H711)^3+M711/(1+H711)^4+N711/(1+H711)^5</f>
        <v>128.992514236257</v>
      </c>
      <c r="P711" s="24" t="n">
        <f aca="false">N711*(1+F711)/(H711-F711)</f>
        <v>891.499439296551</v>
      </c>
      <c r="Q711" s="24" t="n">
        <f aca="false">O711+P711/(1+H711)^5</f>
        <v>776.973823727737</v>
      </c>
      <c r="R711" s="24" t="n">
        <f aca="false">Q711-'DCF Base Case'!$B$5</f>
        <v>591.973823727737</v>
      </c>
      <c r="S711" s="32" t="n">
        <f aca="false">R711/'DCF Base Case'!$B$6</f>
        <v>23.6789529491095</v>
      </c>
    </row>
    <row r="712" customFormat="false" ht="15" hidden="false" customHeight="true" outlineLevel="0" collapsed="false">
      <c r="A712" s="6" t="n">
        <v>711</v>
      </c>
      <c r="B712" s="30" t="n">
        <v>0.0961129351939142</v>
      </c>
      <c r="C712" s="30" t="n">
        <v>0.437640969537616</v>
      </c>
      <c r="D712" s="30" t="n">
        <v>0.0798653189315213</v>
      </c>
      <c r="E712" s="30" t="n">
        <v>0.306315788824342</v>
      </c>
      <c r="F712" s="30" t="n">
        <v>0.0166284238448639</v>
      </c>
      <c r="G712" s="30" t="n">
        <v>0.155579019050568</v>
      </c>
      <c r="H712" s="31" t="n">
        <f aca="false">MAX(D712,F712+0.015)</f>
        <v>0.0798653189315213</v>
      </c>
      <c r="I712" s="25" t="n">
        <f aca="false">(C712-'DCF Base Case'!$B$3)*(1-E712)+'DCF Base Case'!$B$3-G712</f>
        <v>0.187826664228448</v>
      </c>
      <c r="J712" s="24" t="n">
        <f aca="false">'DCF Base Case'!$B$2*(1+B712)^1*$I712-'DCF Base Case'!$B$2*(1+B712)^0*B712*'DCF Base Case'!$B$4</f>
        <v>29.4343979859997</v>
      </c>
      <c r="K712" s="24" t="n">
        <f aca="false">'DCF Base Case'!$B$2*(1+B712)^2*$I712-'DCF Base Case'!$B$2*(1+B712)^1*B712*'DCF Base Case'!$B$4</f>
        <v>32.2634243721</v>
      </c>
      <c r="L712" s="24" t="n">
        <f aca="false">'DCF Base Case'!$B$2*(1+B712)^3*$I712-'DCF Base Case'!$B$2*(1+B712)^2*B712*'DCF Base Case'!$B$4</f>
        <v>35.3643567879094</v>
      </c>
      <c r="M712" s="24" t="n">
        <f aca="false">'DCF Base Case'!$B$2*(1+B712)^4*$I712-'DCF Base Case'!$B$2*(1+B712)^3*B712*'DCF Base Case'!$B$4</f>
        <v>38.7633289200402</v>
      </c>
      <c r="N712" s="24" t="n">
        <f aca="false">'DCF Base Case'!$B$2*(1+B712)^5*$I712-'DCF Base Case'!$B$2*(1+B712)^4*B712*'DCF Base Case'!$B$4</f>
        <v>42.4889862404324</v>
      </c>
      <c r="O712" s="24" t="n">
        <f aca="false">J712/(1+H712)^1+K712/(1+H712)^2+L712/(1+H712)^3+M712/(1+H712)^4+N712/(1+H712)^5</f>
        <v>140.450677801075</v>
      </c>
      <c r="P712" s="24" t="n">
        <f aca="false">N712*(1+F712)/(H712-F712)</f>
        <v>683.07450979659</v>
      </c>
      <c r="Q712" s="24" t="n">
        <f aca="false">O712+P712/(1+H712)^5</f>
        <v>605.629689187631</v>
      </c>
      <c r="R712" s="24" t="n">
        <f aca="false">Q712-'DCF Base Case'!$B$5</f>
        <v>420.629689187631</v>
      </c>
      <c r="S712" s="32" t="n">
        <f aca="false">R712/'DCF Base Case'!$B$6</f>
        <v>16.8251875675052</v>
      </c>
    </row>
    <row r="713" customFormat="false" ht="15" hidden="false" customHeight="true" outlineLevel="0" collapsed="false">
      <c r="A713" s="6" t="n">
        <v>712</v>
      </c>
      <c r="B713" s="30" t="n">
        <v>0.0725613014387046</v>
      </c>
      <c r="C713" s="30" t="n">
        <v>0.415665133948281</v>
      </c>
      <c r="D713" s="30" t="n">
        <v>0.097737659578221</v>
      </c>
      <c r="E713" s="30" t="n">
        <v>0.274680202234891</v>
      </c>
      <c r="F713" s="30" t="n">
        <v>0.0142211967478663</v>
      </c>
      <c r="G713" s="30" t="n">
        <v>0.143619423146677</v>
      </c>
      <c r="H713" s="31" t="n">
        <f aca="false">MAX(D713,F713+0.015)</f>
        <v>0.097737659578221</v>
      </c>
      <c r="I713" s="25" t="n">
        <f aca="false">(C713-'DCF Base Case'!$B$3)*(1-E713)+'DCF Base Case'!$B$3-G713</f>
        <v>0.193579154037233</v>
      </c>
      <c r="J713" s="24" t="n">
        <f aca="false">'DCF Base Case'!$B$2*(1+B713)^1*$I713-'DCF Base Case'!$B$2*(1+B713)^0*B713*'DCF Base Case'!$B$4</f>
        <v>29.7900571996504</v>
      </c>
      <c r="K713" s="24" t="n">
        <f aca="false">'DCF Base Case'!$B$2*(1+B713)^2*$I713-'DCF Base Case'!$B$2*(1+B713)^1*B713*'DCF Base Case'!$B$4</f>
        <v>31.9516625199905</v>
      </c>
      <c r="L713" s="24" t="n">
        <f aca="false">'DCF Base Case'!$B$2*(1+B713)^3*$I713-'DCF Base Case'!$B$2*(1+B713)^2*B713*'DCF Base Case'!$B$4</f>
        <v>34.2701167355713</v>
      </c>
      <c r="M713" s="24" t="n">
        <f aca="false">'DCF Base Case'!$B$2*(1+B713)^4*$I713-'DCF Base Case'!$B$2*(1+B713)^3*B713*'DCF Base Case'!$B$4</f>
        <v>36.7568010063607</v>
      </c>
      <c r="N713" s="24" t="n">
        <f aca="false">'DCF Base Case'!$B$2*(1+B713)^5*$I713-'DCF Base Case'!$B$2*(1+B713)^4*B713*'DCF Base Case'!$B$4</f>
        <v>39.4239223241057</v>
      </c>
      <c r="O713" s="24" t="n">
        <f aca="false">J713/(1+H713)^1+K713/(1+H713)^2+L713/(1+H713)^3+M713/(1+H713)^4+N713/(1+H713)^5</f>
        <v>129.605568748899</v>
      </c>
      <c r="P713" s="24" t="n">
        <f aca="false">N713*(1+F713)/(H713-F713)</f>
        <v>478.762825016539</v>
      </c>
      <c r="Q713" s="24" t="n">
        <f aca="false">O713+P713/(1+H713)^5</f>
        <v>429.955545682146</v>
      </c>
      <c r="R713" s="24" t="n">
        <f aca="false">Q713-'DCF Base Case'!$B$5</f>
        <v>244.955545682146</v>
      </c>
      <c r="S713" s="32" t="n">
        <f aca="false">R713/'DCF Base Case'!$B$6</f>
        <v>9.79822182728585</v>
      </c>
    </row>
    <row r="714" customFormat="false" ht="15" hidden="false" customHeight="true" outlineLevel="0" collapsed="false">
      <c r="A714" s="6" t="n">
        <v>713</v>
      </c>
      <c r="B714" s="30" t="n">
        <v>0.0983725288832532</v>
      </c>
      <c r="C714" s="30" t="n">
        <v>0.448855547686884</v>
      </c>
      <c r="D714" s="30" t="n">
        <v>0.0893309749924584</v>
      </c>
      <c r="E714" s="30" t="n">
        <v>0.269745544264553</v>
      </c>
      <c r="F714" s="30" t="n">
        <v>0.0221047174003298</v>
      </c>
      <c r="G714" s="30" t="n">
        <v>0.160268574962423</v>
      </c>
      <c r="H714" s="31" t="n">
        <f aca="false">MAX(D714,F714+0.015)</f>
        <v>0.0893309749924584</v>
      </c>
      <c r="I714" s="25" t="n">
        <f aca="false">(C714-'DCF Base Case'!$B$3)*(1-E714)+'DCF Base Case'!$B$3-G714</f>
        <v>0.20257710947189</v>
      </c>
      <c r="J714" s="24" t="n">
        <f aca="false">'DCF Base Case'!$B$2*(1+B714)^1*$I714-'DCF Base Case'!$B$2*(1+B714)^0*B714*'DCF Base Case'!$B$4</f>
        <v>31.8353236429103</v>
      </c>
      <c r="K714" s="24" t="n">
        <f aca="false">'DCF Base Case'!$B$2*(1+B714)^2*$I714-'DCF Base Case'!$B$2*(1+B714)^1*B714*'DCF Base Case'!$B$4</f>
        <v>34.9670449374802</v>
      </c>
      <c r="L714" s="24" t="n">
        <f aca="false">'DCF Base Case'!$B$2*(1+B714)^3*$I714-'DCF Base Case'!$B$2*(1+B714)^2*B714*'DCF Base Case'!$B$4</f>
        <v>38.4068415755545</v>
      </c>
      <c r="M714" s="24" t="n">
        <f aca="false">'DCF Base Case'!$B$2*(1+B714)^4*$I714-'DCF Base Case'!$B$2*(1+B714)^3*B714*'DCF Base Case'!$B$4</f>
        <v>42.1850197077603</v>
      </c>
      <c r="N714" s="24" t="n">
        <f aca="false">'DCF Base Case'!$B$2*(1+B714)^5*$I714-'DCF Base Case'!$B$2*(1+B714)^4*B714*'DCF Base Case'!$B$4</f>
        <v>46.3348667774025</v>
      </c>
      <c r="O714" s="24" t="n">
        <f aca="false">J714/(1+H714)^1+K714/(1+H714)^2+L714/(1+H714)^3+M714/(1+H714)^4+N714/(1+H714)^5</f>
        <v>148.569175067748</v>
      </c>
      <c r="P714" s="24" t="n">
        <f aca="false">N714*(1+F714)/(H714-F714)</f>
        <v>704.473037910772</v>
      </c>
      <c r="Q714" s="24" t="n">
        <f aca="false">O714+P714/(1+H714)^5</f>
        <v>607.836038271183</v>
      </c>
      <c r="R714" s="24" t="n">
        <f aca="false">Q714-'DCF Base Case'!$B$5</f>
        <v>422.836038271183</v>
      </c>
      <c r="S714" s="32" t="n">
        <f aca="false">R714/'DCF Base Case'!$B$6</f>
        <v>16.9134415308473</v>
      </c>
    </row>
    <row r="715" customFormat="false" ht="15" hidden="false" customHeight="true" outlineLevel="0" collapsed="false">
      <c r="A715" s="6" t="n">
        <v>714</v>
      </c>
      <c r="B715" s="30" t="n">
        <v>0.0819886510200509</v>
      </c>
      <c r="C715" s="30" t="n">
        <v>0.390144610692444</v>
      </c>
      <c r="D715" s="30" t="n">
        <v>0.10049293728671</v>
      </c>
      <c r="E715" s="30" t="n">
        <v>0.243495914053374</v>
      </c>
      <c r="F715" s="30" t="n">
        <v>0.0222191394388965</v>
      </c>
      <c r="G715" s="30" t="n">
        <v>0.155856115158298</v>
      </c>
      <c r="H715" s="31" t="n">
        <f aca="false">MAX(D715,F715+0.015)</f>
        <v>0.10049293728671</v>
      </c>
      <c r="I715" s="25" t="n">
        <f aca="false">(C715-'DCF Base Case'!$B$3)*(1-E715)+'DCF Base Case'!$B$3-G715</f>
        <v>0.17094434576753</v>
      </c>
      <c r="J715" s="24" t="n">
        <f aca="false">'DCF Base Case'!$B$2*(1+B715)^1*$I715-'DCF Base Case'!$B$2*(1+B715)^0*B715*'DCF Base Case'!$B$4</f>
        <v>26.4625264691575</v>
      </c>
      <c r="K715" s="24" t="n">
        <f aca="false">'DCF Base Case'!$B$2*(1+B715)^2*$I715-'DCF Base Case'!$B$2*(1+B715)^1*B715*'DCF Base Case'!$B$4</f>
        <v>28.6321533169461</v>
      </c>
      <c r="L715" s="24" t="n">
        <f aca="false">'DCF Base Case'!$B$2*(1+B715)^3*$I715-'DCF Base Case'!$B$2*(1+B715)^2*B715*'DCF Base Case'!$B$4</f>
        <v>30.9796649432018</v>
      </c>
      <c r="M715" s="24" t="n">
        <f aca="false">'DCF Base Case'!$B$2*(1+B715)^4*$I715-'DCF Base Case'!$B$2*(1+B715)^3*B715*'DCF Base Case'!$B$4</f>
        <v>33.5196458809481</v>
      </c>
      <c r="N715" s="24" t="n">
        <f aca="false">'DCF Base Case'!$B$2*(1+B715)^5*$I715-'DCF Base Case'!$B$2*(1+B715)^4*B715*'DCF Base Case'!$B$4</f>
        <v>36.2678764293968</v>
      </c>
      <c r="O715" s="24" t="n">
        <f aca="false">J715/(1+H715)^1+K715/(1+H715)^2+L715/(1+H715)^3+M715/(1+H715)^4+N715/(1+H715)^5</f>
        <v>116.254512245627</v>
      </c>
      <c r="P715" s="24" t="n">
        <f aca="false">N715*(1+F715)/(H715-F715)</f>
        <v>473.641479681567</v>
      </c>
      <c r="Q715" s="24" t="n">
        <f aca="false">O715+P715/(1+H715)^5</f>
        <v>409.690537126292</v>
      </c>
      <c r="R715" s="24" t="n">
        <f aca="false">Q715-'DCF Base Case'!$B$5</f>
        <v>224.690537126292</v>
      </c>
      <c r="S715" s="32" t="n">
        <f aca="false">R715/'DCF Base Case'!$B$6</f>
        <v>8.98762148505168</v>
      </c>
    </row>
    <row r="716" customFormat="false" ht="15" hidden="false" customHeight="true" outlineLevel="0" collapsed="false">
      <c r="A716" s="6" t="n">
        <v>715</v>
      </c>
      <c r="B716" s="30" t="n">
        <v>0.081278202992348</v>
      </c>
      <c r="C716" s="30" t="n">
        <v>0.442714207413186</v>
      </c>
      <c r="D716" s="30" t="n">
        <v>0.0771445579857994</v>
      </c>
      <c r="E716" s="30" t="n">
        <v>0.26372996081608</v>
      </c>
      <c r="F716" s="30" t="n">
        <v>0.0188556349789818</v>
      </c>
      <c r="G716" s="30" t="n">
        <v>0.174867332955296</v>
      </c>
      <c r="H716" s="31" t="n">
        <f aca="false">MAX(D716,F716+0.015)</f>
        <v>0.0771445579857994</v>
      </c>
      <c r="I716" s="25" t="n">
        <f aca="false">(C716-'DCF Base Case'!$B$3)*(1-E716)+'DCF Base Case'!$B$3-G716</f>
        <v>0.185374768790179</v>
      </c>
      <c r="J716" s="24" t="n">
        <f aca="false">'DCF Base Case'!$B$2*(1+B716)^1*$I716-'DCF Base Case'!$B$2*(1+B716)^0*B716*'DCF Base Case'!$B$4</f>
        <v>28.7104858642305</v>
      </c>
      <c r="K716" s="24" t="n">
        <f aca="false">'DCF Base Case'!$B$2*(1+B716)^2*$I716-'DCF Base Case'!$B$2*(1+B716)^1*B716*'DCF Base Case'!$B$4</f>
        <v>31.0440225623123</v>
      </c>
      <c r="L716" s="24" t="n">
        <f aca="false">'DCF Base Case'!$B$2*(1+B716)^3*$I716-'DCF Base Case'!$B$2*(1+B716)^2*B716*'DCF Base Case'!$B$4</f>
        <v>33.567224929831</v>
      </c>
      <c r="M716" s="24" t="n">
        <f aca="false">'DCF Base Case'!$B$2*(1+B716)^4*$I716-'DCF Base Case'!$B$2*(1+B716)^3*B716*'DCF Base Case'!$B$4</f>
        <v>36.2955086515676</v>
      </c>
      <c r="N716" s="24" t="n">
        <f aca="false">'DCF Base Case'!$B$2*(1+B716)^5*$I716-'DCF Base Case'!$B$2*(1+B716)^4*B716*'DCF Base Case'!$B$4</f>
        <v>39.2455423714602</v>
      </c>
      <c r="O716" s="24" t="n">
        <f aca="false">J716/(1+H716)^1+K716/(1+H716)^2+L716/(1+H716)^3+M716/(1+H716)^4+N716/(1+H716)^5</f>
        <v>134.298091084804</v>
      </c>
      <c r="P716" s="24" t="n">
        <f aca="false">N716*(1+F716)/(H716-F716)</f>
        <v>685.988690995231</v>
      </c>
      <c r="Q716" s="24" t="n">
        <f aca="false">O716+P716/(1+H716)^5</f>
        <v>607.391609444954</v>
      </c>
      <c r="R716" s="24" t="n">
        <f aca="false">Q716-'DCF Base Case'!$B$5</f>
        <v>422.391609444954</v>
      </c>
      <c r="S716" s="32" t="n">
        <f aca="false">R716/'DCF Base Case'!$B$6</f>
        <v>16.8956643777982</v>
      </c>
    </row>
    <row r="717" customFormat="false" ht="15" hidden="false" customHeight="true" outlineLevel="0" collapsed="false">
      <c r="A717" s="6" t="n">
        <v>716</v>
      </c>
      <c r="B717" s="30" t="n">
        <v>0.0805768890407853</v>
      </c>
      <c r="C717" s="30" t="n">
        <v>0.37760578226043</v>
      </c>
      <c r="D717" s="30" t="n">
        <v>0.0754773200103006</v>
      </c>
      <c r="E717" s="30" t="n">
        <v>0.318529723423276</v>
      </c>
      <c r="F717" s="30" t="n">
        <v>0.0196288978030819</v>
      </c>
      <c r="G717" s="30" t="n">
        <v>0.17577579930701</v>
      </c>
      <c r="H717" s="31" t="n">
        <f aca="false">MAX(D717,F717+0.015)</f>
        <v>0.0754773200103006</v>
      </c>
      <c r="I717" s="25" t="n">
        <f aca="false">(C717-'DCF Base Case'!$B$3)*(1-E717)+'DCF Base Case'!$B$3-G717</f>
        <v>0.122960181612001</v>
      </c>
      <c r="J717" s="24" t="n">
        <f aca="false">'DCF Base Case'!$B$2*(1+B717)^1*$I717-'DCF Base Case'!$B$2*(1+B717)^0*B717*'DCF Base Case'!$B$4</f>
        <v>18.9153404583896</v>
      </c>
      <c r="K717" s="24" t="n">
        <f aca="false">'DCF Base Case'!$B$2*(1+B717)^2*$I717-'DCF Base Case'!$B$2*(1+B717)^1*B717*'DCF Base Case'!$B$4</f>
        <v>20.4394797476739</v>
      </c>
      <c r="L717" s="24" t="n">
        <f aca="false">'DCF Base Case'!$B$2*(1+B717)^3*$I717-'DCF Base Case'!$B$2*(1+B717)^2*B717*'DCF Base Case'!$B$4</f>
        <v>22.0864294393536</v>
      </c>
      <c r="M717" s="24" t="n">
        <f aca="false">'DCF Base Case'!$B$2*(1+B717)^4*$I717-'DCF Base Case'!$B$2*(1+B717)^3*B717*'DCF Base Case'!$B$4</f>
        <v>23.8660852135956</v>
      </c>
      <c r="N717" s="24" t="n">
        <f aca="false">'DCF Base Case'!$B$2*(1+B717)^5*$I717-'DCF Base Case'!$B$2*(1+B717)^4*B717*'DCF Base Case'!$B$4</f>
        <v>25.7891401136894</v>
      </c>
      <c r="O717" s="24" t="n">
        <f aca="false">J717/(1+H717)^1+K717/(1+H717)^2+L717/(1+H717)^3+M717/(1+H717)^4+N717/(1+H717)^5</f>
        <v>88.7772046065144</v>
      </c>
      <c r="P717" s="24" t="n">
        <f aca="false">N717*(1+F717)/(H717-F717)</f>
        <v>470.834295225829</v>
      </c>
      <c r="Q717" s="24" t="n">
        <f aca="false">O717+P717/(1+H717)^5</f>
        <v>416.013756309816</v>
      </c>
      <c r="R717" s="24" t="n">
        <f aca="false">Q717-'DCF Base Case'!$B$5</f>
        <v>231.013756309816</v>
      </c>
      <c r="S717" s="32" t="n">
        <f aca="false">R717/'DCF Base Case'!$B$6</f>
        <v>9.24055025239262</v>
      </c>
    </row>
    <row r="718" customFormat="false" ht="15" hidden="false" customHeight="true" outlineLevel="0" collapsed="false">
      <c r="A718" s="6" t="n">
        <v>717</v>
      </c>
      <c r="B718" s="30" t="n">
        <v>0.0845468210016912</v>
      </c>
      <c r="C718" s="30" t="n">
        <v>0.397874121284458</v>
      </c>
      <c r="D718" s="30" t="n">
        <v>0.10345326394863</v>
      </c>
      <c r="E718" s="30" t="n">
        <v>0.274575169639617</v>
      </c>
      <c r="F718" s="30" t="n">
        <v>0.017584925453345</v>
      </c>
      <c r="G718" s="30" t="n">
        <v>0.191380960358851</v>
      </c>
      <c r="H718" s="31" t="n">
        <f aca="false">MAX(D718,F718+0.015)</f>
        <v>0.10345326394863</v>
      </c>
      <c r="I718" s="25" t="n">
        <f aca="false">(C718-'DCF Base Case'!$B$3)*(1-E718)+'DCF Base Case'!$B$3-G718</f>
        <v>0.132941578631864</v>
      </c>
      <c r="J718" s="24" t="n">
        <f aca="false">'DCF Base Case'!$B$2*(1+B718)^1*$I718-'DCF Base Case'!$B$2*(1+B718)^0*B718*'DCF Base Case'!$B$4</f>
        <v>20.5385194688421</v>
      </c>
      <c r="K718" s="24" t="n">
        <f aca="false">'DCF Base Case'!$B$2*(1+B718)^2*$I718-'DCF Base Case'!$B$2*(1+B718)^1*B718*'DCF Base Case'!$B$4</f>
        <v>22.274985998014</v>
      </c>
      <c r="L718" s="24" t="n">
        <f aca="false">'DCF Base Case'!$B$2*(1+B718)^3*$I718-'DCF Base Case'!$B$2*(1+B718)^2*B718*'DCF Base Case'!$B$4</f>
        <v>24.1582652520033</v>
      </c>
      <c r="M718" s="24" t="n">
        <f aca="false">'DCF Base Case'!$B$2*(1+B718)^4*$I718-'DCF Base Case'!$B$2*(1+B718)^3*B718*'DCF Base Case'!$B$4</f>
        <v>26.2007697799758</v>
      </c>
      <c r="N718" s="24" t="n">
        <f aca="false">'DCF Base Case'!$B$2*(1+B718)^5*$I718-'DCF Base Case'!$B$2*(1+B718)^4*B718*'DCF Base Case'!$B$4</f>
        <v>28.4159615726699</v>
      </c>
      <c r="O718" s="24" t="n">
        <f aca="false">J718/(1+H718)^1+K718/(1+H718)^2+L718/(1+H718)^3+M718/(1+H718)^4+N718/(1+H718)^5</f>
        <v>89.9297996119292</v>
      </c>
      <c r="P718" s="24" t="n">
        <f aca="false">N718*(1+F718)/(H718-F718)</f>
        <v>336.744074071006</v>
      </c>
      <c r="Q718" s="24" t="n">
        <f aca="false">O718+P718/(1+H718)^5</f>
        <v>295.770022632742</v>
      </c>
      <c r="R718" s="24" t="n">
        <f aca="false">Q718-'DCF Base Case'!$B$5</f>
        <v>110.770022632742</v>
      </c>
      <c r="S718" s="32" t="n">
        <f aca="false">R718/'DCF Base Case'!$B$6</f>
        <v>4.43080090530969</v>
      </c>
    </row>
    <row r="719" customFormat="false" ht="15" hidden="false" customHeight="true" outlineLevel="0" collapsed="false">
      <c r="A719" s="6" t="n">
        <v>718</v>
      </c>
      <c r="B719" s="30" t="n">
        <v>0.0742809331916267</v>
      </c>
      <c r="C719" s="30" t="n">
        <v>0.395410867313413</v>
      </c>
      <c r="D719" s="30" t="n">
        <v>0.0851127135241859</v>
      </c>
      <c r="E719" s="30" t="n">
        <v>0.279651345313516</v>
      </c>
      <c r="F719" s="30" t="n">
        <v>0.0202762468154596</v>
      </c>
      <c r="G719" s="30" t="n">
        <v>0.209540345018734</v>
      </c>
      <c r="H719" s="31" t="n">
        <f aca="false">MAX(D719,F719+0.015)</f>
        <v>0.0851127135241859</v>
      </c>
      <c r="I719" s="25" t="n">
        <f aca="false">(C719-'DCF Base Case'!$B$3)*(1-E719)+'DCF Base Case'!$B$3-G719</f>
        <v>0.111648016189656</v>
      </c>
      <c r="J719" s="24" t="n">
        <f aca="false">'DCF Base Case'!$B$2*(1+B719)^1*$I719-'DCF Base Case'!$B$2*(1+B719)^0*B719*'DCF Base Case'!$B$4</f>
        <v>17.068371518693</v>
      </c>
      <c r="K719" s="24" t="n">
        <f aca="false">'DCF Base Case'!$B$2*(1+B719)^2*$I719-'DCF Base Case'!$B$2*(1+B719)^1*B719*'DCF Base Case'!$B$4</f>
        <v>18.3362260831629</v>
      </c>
      <c r="L719" s="24" t="n">
        <f aca="false">'DCF Base Case'!$B$2*(1+B719)^3*$I719-'DCF Base Case'!$B$2*(1+B719)^2*B719*'DCF Base Case'!$B$4</f>
        <v>19.6982580678328</v>
      </c>
      <c r="M719" s="24" t="n">
        <f aca="false">'DCF Base Case'!$B$2*(1+B719)^4*$I719-'DCF Base Case'!$B$2*(1+B719)^3*B719*'DCF Base Case'!$B$4</f>
        <v>21.161463059361</v>
      </c>
      <c r="N719" s="24" t="n">
        <f aca="false">'DCF Base Case'!$B$2*(1+B719)^5*$I719-'DCF Base Case'!$B$2*(1+B719)^4*B719*'DCF Base Case'!$B$4</f>
        <v>22.7333562831104</v>
      </c>
      <c r="O719" s="24" t="n">
        <f aca="false">J719/(1+H719)^1+K719/(1+H719)^2+L719/(1+H719)^3+M719/(1+H719)^4+N719/(1+H719)^5</f>
        <v>77.0933612851079</v>
      </c>
      <c r="P719" s="24" t="n">
        <f aca="false">N719*(1+F719)/(H719-F719)</f>
        <v>357.735462826028</v>
      </c>
      <c r="Q719" s="24" t="n">
        <f aca="false">O719+P719/(1+H719)^5</f>
        <v>314.880157378641</v>
      </c>
      <c r="R719" s="24" t="n">
        <f aca="false">Q719-'DCF Base Case'!$B$5</f>
        <v>129.880157378641</v>
      </c>
      <c r="S719" s="32" t="n">
        <f aca="false">R719/'DCF Base Case'!$B$6</f>
        <v>5.19520629514565</v>
      </c>
    </row>
    <row r="720" customFormat="false" ht="15" hidden="false" customHeight="true" outlineLevel="0" collapsed="false">
      <c r="A720" s="6" t="n">
        <v>719</v>
      </c>
      <c r="B720" s="30" t="n">
        <v>0.0970848606723918</v>
      </c>
      <c r="C720" s="30" t="n">
        <v>0.370226770686438</v>
      </c>
      <c r="D720" s="30" t="n">
        <v>0.0885892883777472</v>
      </c>
      <c r="E720" s="30" t="n">
        <v>0.280714881466233</v>
      </c>
      <c r="F720" s="30" t="n">
        <v>0.0195148570590789</v>
      </c>
      <c r="G720" s="30" t="n">
        <v>0.170835286411064</v>
      </c>
      <c r="H720" s="31" t="n">
        <f aca="false">MAX(D720,F720+0.015)</f>
        <v>0.0885892883777472</v>
      </c>
      <c r="I720" s="25" t="n">
        <f aca="false">(C720-'DCF Base Case'!$B$3)*(1-E720)+'DCF Base Case'!$B$3-G720</f>
        <v>0.131956254817115</v>
      </c>
      <c r="J720" s="24" t="n">
        <f aca="false">'DCF Base Case'!$B$2*(1+B720)^1*$I720-'DCF Base Case'!$B$2*(1+B720)^0*B720*'DCF Base Case'!$B$4</f>
        <v>20.5689262235534</v>
      </c>
      <c r="K720" s="24" t="n">
        <f aca="false">'DCF Base Case'!$B$2*(1+B720)^2*$I720-'DCF Base Case'!$B$2*(1+B720)^1*B720*'DCF Base Case'!$B$4</f>
        <v>22.5658575601478</v>
      </c>
      <c r="L720" s="24" t="n">
        <f aca="false">'DCF Base Case'!$B$2*(1+B720)^3*$I720-'DCF Base Case'!$B$2*(1+B720)^2*B720*'DCF Base Case'!$B$4</f>
        <v>24.7566606973278</v>
      </c>
      <c r="M720" s="24" t="n">
        <f aca="false">'DCF Base Case'!$B$2*(1+B720)^4*$I720-'DCF Base Case'!$B$2*(1+B720)^3*B720*'DCF Base Case'!$B$4</f>
        <v>27.1601576518415</v>
      </c>
      <c r="N720" s="24" t="n">
        <f aca="false">'DCF Base Case'!$B$2*(1+B720)^5*$I720-'DCF Base Case'!$B$2*(1+B720)^4*B720*'DCF Base Case'!$B$4</f>
        <v>29.7969977733107</v>
      </c>
      <c r="O720" s="24" t="n">
        <f aca="false">J720/(1+H720)^1+K720/(1+H720)^2+L720/(1+H720)^3+M720/(1+H720)^4+N720/(1+H720)^5</f>
        <v>95.9613048487467</v>
      </c>
      <c r="P720" s="24" t="n">
        <f aca="false">N720*(1+F720)/(H720-F720)</f>
        <v>439.793442315846</v>
      </c>
      <c r="Q720" s="24" t="n">
        <f aca="false">O720+P720/(1+H720)^5</f>
        <v>383.653756008322</v>
      </c>
      <c r="R720" s="24" t="n">
        <f aca="false">Q720-'DCF Base Case'!$B$5</f>
        <v>198.653756008322</v>
      </c>
      <c r="S720" s="32" t="n">
        <f aca="false">R720/'DCF Base Case'!$B$6</f>
        <v>7.94615024033288</v>
      </c>
    </row>
    <row r="721" customFormat="false" ht="15" hidden="false" customHeight="true" outlineLevel="0" collapsed="false">
      <c r="A721" s="6" t="n">
        <v>720</v>
      </c>
      <c r="B721" s="30" t="n">
        <v>0.0894247198568187</v>
      </c>
      <c r="C721" s="30" t="n">
        <v>0.413461083805584</v>
      </c>
      <c r="D721" s="30" t="n">
        <v>0.0917434863074787</v>
      </c>
      <c r="E721" s="30" t="n">
        <v>0.266390347992527</v>
      </c>
      <c r="F721" s="30" t="n">
        <v>0.0154806752719262</v>
      </c>
      <c r="G721" s="30" t="n">
        <v>0.217263377796156</v>
      </c>
      <c r="H721" s="31" t="n">
        <f aca="false">MAX(D721,F721+0.015)</f>
        <v>0.0917434863074787</v>
      </c>
      <c r="I721" s="25" t="n">
        <f aca="false">(C721-'DCF Base Case'!$B$3)*(1-E721)+'DCF Base Case'!$B$3-G721</f>
        <v>0.12068640925212</v>
      </c>
      <c r="J721" s="24" t="n">
        <f aca="false">'DCF Base Case'!$B$2*(1+B721)^1*$I721-'DCF Base Case'!$B$2*(1+B721)^0*B721*'DCF Base Case'!$B$4</f>
        <v>18.6754223191751</v>
      </c>
      <c r="K721" s="24" t="n">
        <f aca="false">'DCF Base Case'!$B$2*(1+B721)^2*$I721-'DCF Base Case'!$B$2*(1+B721)^1*B721*'DCF Base Case'!$B$4</f>
        <v>20.3454667282751</v>
      </c>
      <c r="L721" s="24" t="n">
        <f aca="false">'DCF Base Case'!$B$2*(1+B721)^3*$I721-'DCF Base Case'!$B$2*(1+B721)^2*B721*'DCF Base Case'!$B$4</f>
        <v>22.1648543908074</v>
      </c>
      <c r="M721" s="24" t="n">
        <f aca="false">'DCF Base Case'!$B$2*(1+B721)^4*$I721-'DCF Base Case'!$B$2*(1+B721)^3*B721*'DCF Base Case'!$B$4</f>
        <v>24.1469402853725</v>
      </c>
      <c r="N721" s="24" t="n">
        <f aca="false">'DCF Base Case'!$B$2*(1+B721)^5*$I721-'DCF Base Case'!$B$2*(1+B721)^4*B721*'DCF Base Case'!$B$4</f>
        <v>26.3062736557913</v>
      </c>
      <c r="O721" s="24" t="n">
        <f aca="false">J721/(1+H721)^1+K721/(1+H721)^2+L721/(1+H721)^3+M721/(1+H721)^4+N721/(1+H721)^5</f>
        <v>85.1677201558332</v>
      </c>
      <c r="P721" s="24" t="n">
        <f aca="false">N721*(1+F721)/(H721-F721)</f>
        <v>350.282295828534</v>
      </c>
      <c r="Q721" s="24" t="n">
        <f aca="false">O721+P721/(1+H721)^5</f>
        <v>311.015143537981</v>
      </c>
      <c r="R721" s="24" t="n">
        <f aca="false">Q721-'DCF Base Case'!$B$5</f>
        <v>126.015143537981</v>
      </c>
      <c r="S721" s="32" t="n">
        <f aca="false">R721/'DCF Base Case'!$B$6</f>
        <v>5.04060574151924</v>
      </c>
    </row>
    <row r="722" customFormat="false" ht="15" hidden="false" customHeight="true" outlineLevel="0" collapsed="false">
      <c r="A722" s="6" t="n">
        <v>721</v>
      </c>
      <c r="B722" s="30" t="n">
        <v>0.0744267112165024</v>
      </c>
      <c r="C722" s="30" t="n">
        <v>0.411247890683148</v>
      </c>
      <c r="D722" s="30" t="n">
        <v>0.068547737240371</v>
      </c>
      <c r="E722" s="30" t="n">
        <v>0.282984759058866</v>
      </c>
      <c r="F722" s="30" t="n">
        <v>0.0155395449676224</v>
      </c>
      <c r="G722" s="30" t="n">
        <v>0.156280766405542</v>
      </c>
      <c r="H722" s="31" t="n">
        <f aca="false">MAX(D722,F722+0.015)</f>
        <v>0.068547737240371</v>
      </c>
      <c r="I722" s="25" t="n">
        <f aca="false">(C722-'DCF Base Case'!$B$3)*(1-E722)+'DCF Base Case'!$B$3-G722</f>
        <v>0.175378257696821</v>
      </c>
      <c r="J722" s="24" t="n">
        <f aca="false">'DCF Base Case'!$B$2*(1+B722)^1*$I722-'DCF Base Case'!$B$2*(1+B722)^0*B722*'DCF Base Case'!$B$4</f>
        <v>26.9987510784392</v>
      </c>
      <c r="K722" s="24" t="n">
        <f aca="false">'DCF Base Case'!$B$2*(1+B722)^2*$I722-'DCF Base Case'!$B$2*(1+B722)^1*B722*'DCF Base Case'!$B$4</f>
        <v>29.0081793281604</v>
      </c>
      <c r="L722" s="24" t="n">
        <f aca="false">'DCF Base Case'!$B$2*(1+B722)^3*$I722-'DCF Base Case'!$B$2*(1+B722)^2*B722*'DCF Base Case'!$B$4</f>
        <v>31.1671627139339</v>
      </c>
      <c r="M722" s="24" t="n">
        <f aca="false">'DCF Base Case'!$B$2*(1+B722)^4*$I722-'DCF Base Case'!$B$2*(1+B722)^3*B722*'DCF Base Case'!$B$4</f>
        <v>33.4868321326816</v>
      </c>
      <c r="N722" s="24" t="n">
        <f aca="false">'DCF Base Case'!$B$2*(1+B722)^5*$I722-'DCF Base Case'!$B$2*(1+B722)^4*B722*'DCF Base Case'!$B$4</f>
        <v>35.9791469173762</v>
      </c>
      <c r="O722" s="24" t="n">
        <f aca="false">J722/(1+H722)^1+K722/(1+H722)^2+L722/(1+H722)^3+M722/(1+H722)^4+N722/(1+H722)^5</f>
        <v>127.731661032974</v>
      </c>
      <c r="P722" s="24" t="n">
        <f aca="false">N722*(1+F722)/(H722-F722)</f>
        <v>689.294332106091</v>
      </c>
      <c r="Q722" s="24" t="n">
        <f aca="false">O722+P722/(1+H722)^5</f>
        <v>622.537780950614</v>
      </c>
      <c r="R722" s="24" t="n">
        <f aca="false">Q722-'DCF Base Case'!$B$5</f>
        <v>437.537780950614</v>
      </c>
      <c r="S722" s="32" t="n">
        <f aca="false">R722/'DCF Base Case'!$B$6</f>
        <v>17.5015112380246</v>
      </c>
    </row>
    <row r="723" customFormat="false" ht="15" hidden="false" customHeight="true" outlineLevel="0" collapsed="false">
      <c r="A723" s="6" t="n">
        <v>722</v>
      </c>
      <c r="B723" s="30" t="n">
        <v>0.112797376808656</v>
      </c>
      <c r="C723" s="30" t="n">
        <v>0.431047198908093</v>
      </c>
      <c r="D723" s="30" t="n">
        <v>0.091252504770323</v>
      </c>
      <c r="E723" s="30" t="n">
        <v>0.249174928309063</v>
      </c>
      <c r="F723" s="30" t="n">
        <v>0.0254152841752376</v>
      </c>
      <c r="G723" s="30" t="n">
        <v>0.141601286408012</v>
      </c>
      <c r="H723" s="31" t="n">
        <f aca="false">MAX(D723,F723+0.015)</f>
        <v>0.091252504770323</v>
      </c>
      <c r="I723" s="25" t="n">
        <f aca="false">(C723-'DCF Base Case'!$B$3)*(1-E723)+'DCF Base Case'!$B$3-G723</f>
        <v>0.214432498294513</v>
      </c>
      <c r="J723" s="24" t="n">
        <f aca="false">'DCF Base Case'!$B$2*(1+B723)^1*$I723-'DCF Base Case'!$B$2*(1+B723)^0*B723*'DCF Base Case'!$B$4</f>
        <v>34.1092200435581</v>
      </c>
      <c r="K723" s="24" t="n">
        <f aca="false">'DCF Base Case'!$B$2*(1+B723)^2*$I723-'DCF Base Case'!$B$2*(1+B723)^1*B723*'DCF Base Case'!$B$4</f>
        <v>37.9566505894607</v>
      </c>
      <c r="L723" s="24" t="n">
        <f aca="false">'DCF Base Case'!$B$2*(1+B723)^3*$I723-'DCF Base Case'!$B$2*(1+B723)^2*B723*'DCF Base Case'!$B$4</f>
        <v>42.2380612083946</v>
      </c>
      <c r="M723" s="24" t="n">
        <f aca="false">'DCF Base Case'!$B$2*(1+B723)^4*$I723-'DCF Base Case'!$B$2*(1+B723)^3*B723*'DCF Base Case'!$B$4</f>
        <v>47.0024037141849</v>
      </c>
      <c r="N723" s="24" t="n">
        <f aca="false">'DCF Base Case'!$B$2*(1+B723)^5*$I723-'DCF Base Case'!$B$2*(1+B723)^4*B723*'DCF Base Case'!$B$4</f>
        <v>52.3041515568465</v>
      </c>
      <c r="O723" s="24" t="n">
        <f aca="false">J723/(1+H723)^1+K723/(1+H723)^2+L723/(1+H723)^3+M723/(1+H723)^4+N723/(1+H723)^5</f>
        <v>162.578910368857</v>
      </c>
      <c r="P723" s="24" t="n">
        <f aca="false">N723*(1+F723)/(H723-F723)</f>
        <v>814.637616038913</v>
      </c>
      <c r="Q723" s="24" t="n">
        <f aca="false">O723+P723/(1+H723)^5</f>
        <v>689.0059543338</v>
      </c>
      <c r="R723" s="24" t="n">
        <f aca="false">Q723-'DCF Base Case'!$B$5</f>
        <v>504.0059543338</v>
      </c>
      <c r="S723" s="32" t="n">
        <f aca="false">R723/'DCF Base Case'!$B$6</f>
        <v>20.160238173352</v>
      </c>
    </row>
    <row r="724" customFormat="false" ht="15" hidden="false" customHeight="true" outlineLevel="0" collapsed="false">
      <c r="A724" s="6" t="n">
        <v>723</v>
      </c>
      <c r="B724" s="30" t="n">
        <v>0.122225484776306</v>
      </c>
      <c r="C724" s="30" t="n">
        <v>0.443524671016473</v>
      </c>
      <c r="D724" s="30" t="n">
        <v>0.0913506601596315</v>
      </c>
      <c r="E724" s="30" t="n">
        <v>0.260798934351583</v>
      </c>
      <c r="F724" s="30" t="n">
        <v>0.0199016582547537</v>
      </c>
      <c r="G724" s="30" t="n">
        <v>0.155712654836803</v>
      </c>
      <c r="H724" s="31" t="n">
        <f aca="false">MAX(D724,F724+0.015)</f>
        <v>0.0913506601596315</v>
      </c>
      <c r="I724" s="25" t="n">
        <f aca="false">(C724-'DCF Base Case'!$B$3)*(1-E724)+'DCF Base Case'!$B$3-G724</f>
        <v>0.206045116085643</v>
      </c>
      <c r="J724" s="24" t="n">
        <f aca="false">'DCF Base Case'!$B$2*(1+B724)^1*$I724-'DCF Base Case'!$B$2*(1+B724)^0*B724*'DCF Base Case'!$B$4</f>
        <v>32.9965357825482</v>
      </c>
      <c r="K724" s="24" t="n">
        <f aca="false">'DCF Base Case'!$B$2*(1+B724)^2*$I724-'DCF Base Case'!$B$2*(1+B724)^1*B724*'DCF Base Case'!$B$4</f>
        <v>37.0295533645089</v>
      </c>
      <c r="L724" s="24" t="n">
        <f aca="false">'DCF Base Case'!$B$2*(1+B724)^3*$I724-'DCF Base Case'!$B$2*(1+B724)^2*B724*'DCF Base Case'!$B$4</f>
        <v>41.5555084755361</v>
      </c>
      <c r="M724" s="24" t="n">
        <f aca="false">'DCF Base Case'!$B$2*(1+B724)^4*$I724-'DCF Base Case'!$B$2*(1+B724)^3*B724*'DCF Base Case'!$B$4</f>
        <v>46.6346506440844</v>
      </c>
      <c r="N724" s="24" t="n">
        <f aca="false">'DCF Base Case'!$B$2*(1+B724)^5*$I724-'DCF Base Case'!$B$2*(1+B724)^4*B724*'DCF Base Case'!$B$4</f>
        <v>52.3345934264313</v>
      </c>
      <c r="O724" s="24" t="n">
        <f aca="false">J724/(1+H724)^1+K724/(1+H724)^2+L724/(1+H724)^3+M724/(1+H724)^4+N724/(1+H724)^5</f>
        <v>159.971863810794</v>
      </c>
      <c r="P724" s="24" t="n">
        <f aca="false">N724*(1+F724)/(H724-F724)</f>
        <v>747.052263805825</v>
      </c>
      <c r="Q724" s="24" t="n">
        <f aca="false">O724+P724/(1+H724)^5</f>
        <v>642.507518171235</v>
      </c>
      <c r="R724" s="24" t="n">
        <f aca="false">Q724-'DCF Base Case'!$B$5</f>
        <v>457.507518171235</v>
      </c>
      <c r="S724" s="32" t="n">
        <f aca="false">R724/'DCF Base Case'!$B$6</f>
        <v>18.3003007268494</v>
      </c>
    </row>
    <row r="725" customFormat="false" ht="15" hidden="false" customHeight="true" outlineLevel="0" collapsed="false">
      <c r="A725" s="6" t="n">
        <v>724</v>
      </c>
      <c r="B725" s="30" t="n">
        <v>0.0905825680960089</v>
      </c>
      <c r="C725" s="30" t="n">
        <v>0.409683963319816</v>
      </c>
      <c r="D725" s="30" t="n">
        <v>0.0625752844277035</v>
      </c>
      <c r="E725" s="30" t="n">
        <v>0.313990648138964</v>
      </c>
      <c r="F725" s="30" t="n">
        <v>0.0190467515857681</v>
      </c>
      <c r="G725" s="30" t="n">
        <v>0.155434952781535</v>
      </c>
      <c r="H725" s="31" t="n">
        <f aca="false">MAX(D725,F725+0.015)</f>
        <v>0.0625752844277035</v>
      </c>
      <c r="I725" s="25" t="n">
        <f aca="false">(C725-'DCF Base Case'!$B$3)*(1-E725)+'DCF Base Case'!$B$3-G725</f>
        <v>0.166430861621418</v>
      </c>
      <c r="J725" s="24" t="n">
        <f aca="false">'DCF Base Case'!$B$2*(1+B725)^1*$I725-'DCF Base Case'!$B$2*(1+B725)^0*B725*'DCF Base Case'!$B$4</f>
        <v>25.9244223180224</v>
      </c>
      <c r="K725" s="24" t="n">
        <f aca="false">'DCF Base Case'!$B$2*(1+B725)^2*$I725-'DCF Base Case'!$B$2*(1+B725)^1*B725*'DCF Base Case'!$B$4</f>
        <v>28.2727230679943</v>
      </c>
      <c r="L725" s="24" t="n">
        <f aca="false">'DCF Base Case'!$B$2*(1+B725)^3*$I725-'DCF Base Case'!$B$2*(1+B725)^2*B725*'DCF Base Case'!$B$4</f>
        <v>30.8337389305605</v>
      </c>
      <c r="M725" s="24" t="n">
        <f aca="false">'DCF Base Case'!$B$2*(1+B725)^4*$I725-'DCF Base Case'!$B$2*(1+B725)^3*B725*'DCF Base Case'!$B$4</f>
        <v>33.6267381868926</v>
      </c>
      <c r="N725" s="24" t="n">
        <f aca="false">'DCF Base Case'!$B$2*(1+B725)^5*$I725-'DCF Base Case'!$B$2*(1+B725)^4*B725*'DCF Base Case'!$B$4</f>
        <v>36.6727344885534</v>
      </c>
      <c r="O725" s="24" t="n">
        <f aca="false">J725/(1+H725)^1+K725/(1+H725)^2+L725/(1+H725)^3+M725/(1+H725)^4+N725/(1+H725)^5</f>
        <v>128.591120030131</v>
      </c>
      <c r="P725" s="24" t="n">
        <f aca="false">N725*(1+F725)/(H725-F725)</f>
        <v>858.545613931749</v>
      </c>
      <c r="Q725" s="24" t="n">
        <f aca="false">O725+P725/(1+H725)^5</f>
        <v>762.409492641067</v>
      </c>
      <c r="R725" s="24" t="n">
        <f aca="false">Q725-'DCF Base Case'!$B$5</f>
        <v>577.409492641067</v>
      </c>
      <c r="S725" s="32" t="n">
        <f aca="false">R725/'DCF Base Case'!$B$6</f>
        <v>23.0963797056427</v>
      </c>
    </row>
    <row r="726" customFormat="false" ht="15" hidden="false" customHeight="true" outlineLevel="0" collapsed="false">
      <c r="A726" s="6" t="n">
        <v>725</v>
      </c>
      <c r="B726" s="30" t="n">
        <v>0.0779228247693522</v>
      </c>
      <c r="C726" s="30" t="n">
        <v>0.417734248275777</v>
      </c>
      <c r="D726" s="30" t="n">
        <v>0.0751686802787608</v>
      </c>
      <c r="E726" s="30" t="n">
        <v>0.245151169050482</v>
      </c>
      <c r="F726" s="30" t="n">
        <v>0.02080061435731</v>
      </c>
      <c r="G726" s="30" t="n">
        <v>0.177443370040611</v>
      </c>
      <c r="H726" s="31" t="n">
        <f aca="false">MAX(D726,F726+0.015)</f>
        <v>0.0751686802787608</v>
      </c>
      <c r="I726" s="25" t="n">
        <f aca="false">(C726-'DCF Base Case'!$B$3)*(1-E726)+'DCF Base Case'!$B$3-G726</f>
        <v>0.169752490894498</v>
      </c>
      <c r="J726" s="24" t="n">
        <f aca="false">'DCF Base Case'!$B$2*(1+B726)^1*$I726-'DCF Base Case'!$B$2*(1+B726)^0*B726*'DCF Base Case'!$B$4</f>
        <v>26.1931479642648</v>
      </c>
      <c r="K726" s="24" t="n">
        <f aca="false">'DCF Base Case'!$B$2*(1+B726)^2*$I726-'DCF Base Case'!$B$2*(1+B726)^1*B726*'DCF Base Case'!$B$4</f>
        <v>28.2341920432419</v>
      </c>
      <c r="L726" s="24" t="n">
        <f aca="false">'DCF Base Case'!$B$2*(1+B726)^3*$I726-'DCF Base Case'!$B$2*(1+B726)^2*B726*'DCF Base Case'!$B$4</f>
        <v>30.4342800423317</v>
      </c>
      <c r="M726" s="24" t="n">
        <f aca="false">'DCF Base Case'!$B$2*(1+B726)^4*$I726-'DCF Base Case'!$B$2*(1+B726)^3*B726*'DCF Base Case'!$B$4</f>
        <v>32.8058051130517</v>
      </c>
      <c r="N726" s="24" t="n">
        <f aca="false">'DCF Base Case'!$B$2*(1+B726)^5*$I726-'DCF Base Case'!$B$2*(1+B726)^4*B726*'DCF Base Case'!$B$4</f>
        <v>35.3621261162935</v>
      </c>
      <c r="O726" s="24" t="n">
        <f aca="false">J726/(1+H726)^1+K726/(1+H726)^2+L726/(1+H726)^3+M726/(1+H726)^4+N726/(1+H726)^5</f>
        <v>122.435135059262</v>
      </c>
      <c r="P726" s="24" t="n">
        <f aca="false">N726*(1+F726)/(H726-F726)</f>
        <v>663.950049586936</v>
      </c>
      <c r="Q726" s="24" t="n">
        <f aca="false">O726+P726/(1+H726)^5</f>
        <v>584.552601132369</v>
      </c>
      <c r="R726" s="24" t="n">
        <f aca="false">Q726-'DCF Base Case'!$B$5</f>
        <v>399.552601132369</v>
      </c>
      <c r="S726" s="32" t="n">
        <f aca="false">R726/'DCF Base Case'!$B$6</f>
        <v>15.9821040452947</v>
      </c>
    </row>
    <row r="727" customFormat="false" ht="15" hidden="false" customHeight="true" outlineLevel="0" collapsed="false">
      <c r="A727" s="6" t="n">
        <v>726</v>
      </c>
      <c r="B727" s="30" t="n">
        <v>0.0858739723660592</v>
      </c>
      <c r="C727" s="30" t="n">
        <v>0.387503049007515</v>
      </c>
      <c r="D727" s="30" t="n">
        <v>0.0859782909497821</v>
      </c>
      <c r="E727" s="30" t="n">
        <v>0.252544058366929</v>
      </c>
      <c r="F727" s="30" t="n">
        <v>0.015160163827258</v>
      </c>
      <c r="G727" s="30" t="n">
        <v>0.150094333857782</v>
      </c>
      <c r="H727" s="31" t="n">
        <f aca="false">MAX(D727,F727+0.015)</f>
        <v>0.0859782909497821</v>
      </c>
      <c r="I727" s="25" t="n">
        <f aca="false">(C727-'DCF Base Case'!$B$3)*(1-E727)+'DCF Base Case'!$B$3-G727</f>
        <v>0.172377850111517</v>
      </c>
      <c r="J727" s="24" t="n">
        <f aca="false">'DCF Base Case'!$B$2*(1+B727)^1*$I727-'DCF Base Case'!$B$2*(1+B727)^0*B727*'DCF Base Case'!$B$4</f>
        <v>26.7676382432422</v>
      </c>
      <c r="K727" s="24" t="n">
        <f aca="false">'DCF Base Case'!$B$2*(1+B727)^2*$I727-'DCF Base Case'!$B$2*(1+B727)^1*B727*'DCF Base Case'!$B$4</f>
        <v>29.066281670047</v>
      </c>
      <c r="L727" s="24" t="n">
        <f aca="false">'DCF Base Case'!$B$2*(1+B727)^3*$I727-'DCF Base Case'!$B$2*(1+B727)^2*B727*'DCF Base Case'!$B$4</f>
        <v>31.5623187389647</v>
      </c>
      <c r="M727" s="24" t="n">
        <f aca="false">'DCF Base Case'!$B$2*(1+B727)^4*$I727-'DCF Base Case'!$B$2*(1+B727)^3*B727*'DCF Base Case'!$B$4</f>
        <v>34.2727004261633</v>
      </c>
      <c r="N727" s="24" t="n">
        <f aca="false">'DCF Base Case'!$B$2*(1+B727)^5*$I727-'DCF Base Case'!$B$2*(1+B727)^4*B727*'DCF Base Case'!$B$4</f>
        <v>37.2158333554699</v>
      </c>
      <c r="O727" s="24" t="n">
        <f aca="false">J727/(1+H727)^1+K727/(1+H727)^2+L727/(1+H727)^3+M727/(1+H727)^4+N727/(1+H727)^5</f>
        <v>123.21837547667</v>
      </c>
      <c r="P727" s="24" t="n">
        <f aca="false">N727*(1+F727)/(H727-F727)</f>
        <v>533.479675630826</v>
      </c>
      <c r="Q727" s="24" t="n">
        <f aca="false">O727+P727/(1+H727)^5</f>
        <v>476.411434467704</v>
      </c>
      <c r="R727" s="24" t="n">
        <f aca="false">Q727-'DCF Base Case'!$B$5</f>
        <v>291.411434467704</v>
      </c>
      <c r="S727" s="32" t="n">
        <f aca="false">R727/'DCF Base Case'!$B$6</f>
        <v>11.6564573787082</v>
      </c>
    </row>
    <row r="728" customFormat="false" ht="15" hidden="false" customHeight="true" outlineLevel="0" collapsed="false">
      <c r="A728" s="6" t="n">
        <v>727</v>
      </c>
      <c r="B728" s="30" t="n">
        <v>0.108428515484231</v>
      </c>
      <c r="C728" s="30" t="n">
        <v>0.413795937869159</v>
      </c>
      <c r="D728" s="30" t="n">
        <v>0.0800734694704589</v>
      </c>
      <c r="E728" s="30" t="n">
        <v>0.33417072643751</v>
      </c>
      <c r="F728" s="30" t="n">
        <v>0.0206047298319883</v>
      </c>
      <c r="G728" s="30" t="n">
        <v>0.173054908704171</v>
      </c>
      <c r="H728" s="31" t="n">
        <f aca="false">MAX(D728,F728+0.015)</f>
        <v>0.0800734694704589</v>
      </c>
      <c r="I728" s="25" t="n">
        <f aca="false">(C728-'DCF Base Case'!$B$3)*(1-E728)+'DCF Base Case'!$B$3-G728</f>
        <v>0.145904734447237</v>
      </c>
      <c r="J728" s="24" t="n">
        <f aca="false">'DCF Base Case'!$B$2*(1+B728)^1*$I728-'DCF Base Case'!$B$2*(1+B728)^0*B728*'DCF Base Case'!$B$4</f>
        <v>22.978456347437</v>
      </c>
      <c r="K728" s="24" t="n">
        <f aca="false">'DCF Base Case'!$B$2*(1+B728)^2*$I728-'DCF Base Case'!$B$2*(1+B728)^1*B728*'DCF Base Case'!$B$4</f>
        <v>25.4699762573088</v>
      </c>
      <c r="L728" s="24" t="n">
        <f aca="false">'DCF Base Case'!$B$2*(1+B728)^3*$I728-'DCF Base Case'!$B$2*(1+B728)^2*B728*'DCF Base Case'!$B$4</f>
        <v>28.2316479723074</v>
      </c>
      <c r="M728" s="24" t="n">
        <f aca="false">'DCF Base Case'!$B$2*(1+B728)^4*$I728-'DCF Base Case'!$B$2*(1+B728)^3*B728*'DCF Base Case'!$B$4</f>
        <v>31.292763651618</v>
      </c>
      <c r="N728" s="24" t="n">
        <f aca="false">'DCF Base Case'!$B$2*(1+B728)^5*$I728-'DCF Base Case'!$B$2*(1+B728)^4*B728*'DCF Base Case'!$B$4</f>
        <v>34.6857915597619</v>
      </c>
      <c r="O728" s="24" t="n">
        <f aca="false">J728/(1+H728)^1+K728/(1+H728)^2+L728/(1+H728)^3+M728/(1+H728)^4+N728/(1+H728)^5</f>
        <v>112.108346043531</v>
      </c>
      <c r="P728" s="24" t="n">
        <f aca="false">N728*(1+F728)/(H728-F728)</f>
        <v>595.27884967918</v>
      </c>
      <c r="Q728" s="24" t="n">
        <f aca="false">O728+P728/(1+H728)^5</f>
        <v>517.107355021273</v>
      </c>
      <c r="R728" s="24" t="n">
        <f aca="false">Q728-'DCF Base Case'!$B$5</f>
        <v>332.107355021273</v>
      </c>
      <c r="S728" s="32" t="n">
        <f aca="false">R728/'DCF Base Case'!$B$6</f>
        <v>13.2842942008509</v>
      </c>
    </row>
    <row r="729" customFormat="false" ht="15" hidden="false" customHeight="true" outlineLevel="0" collapsed="false">
      <c r="A729" s="6" t="n">
        <v>728</v>
      </c>
      <c r="B729" s="30" t="n">
        <v>0.0821783557194739</v>
      </c>
      <c r="C729" s="30" t="n">
        <v>0.398396236620078</v>
      </c>
      <c r="D729" s="30" t="n">
        <v>0.0609495291598114</v>
      </c>
      <c r="E729" s="30" t="n">
        <v>0.309419960725777</v>
      </c>
      <c r="F729" s="30" t="n">
        <v>0.0209491117883475</v>
      </c>
      <c r="G729" s="30" t="n">
        <v>0.161463021049398</v>
      </c>
      <c r="H729" s="31" t="n">
        <f aca="false">MAX(D729,F729+0.015)</f>
        <v>0.0609495291598114</v>
      </c>
      <c r="I729" s="25" t="n">
        <f aca="false">(C729-'DCF Base Case'!$B$3)*(1-E729)+'DCF Base Case'!$B$3-G729</f>
        <v>0.153886062576749</v>
      </c>
      <c r="J729" s="24" t="n">
        <f aca="false">'DCF Base Case'!$B$2*(1+B729)^1*$I729-'DCF Base Case'!$B$2*(1+B729)^0*B729*'DCF Base Case'!$B$4</f>
        <v>23.7896882469006</v>
      </c>
      <c r="K729" s="24" t="n">
        <f aca="false">'DCF Base Case'!$B$2*(1+B729)^2*$I729-'DCF Base Case'!$B$2*(1+B729)^1*B729*'DCF Base Case'!$B$4</f>
        <v>25.7446857101098</v>
      </c>
      <c r="L729" s="24" t="n">
        <f aca="false">'DCF Base Case'!$B$2*(1+B729)^3*$I729-'DCF Base Case'!$B$2*(1+B729)^2*B729*'DCF Base Case'!$B$4</f>
        <v>27.8603416502812</v>
      </c>
      <c r="M729" s="24" t="n">
        <f aca="false">'DCF Base Case'!$B$2*(1+B729)^4*$I729-'DCF Base Case'!$B$2*(1+B729)^3*B729*'DCF Base Case'!$B$4</f>
        <v>30.1498587168841</v>
      </c>
      <c r="N729" s="24" t="n">
        <f aca="false">'DCF Base Case'!$B$2*(1+B729)^5*$I729-'DCF Base Case'!$B$2*(1+B729)^4*B729*'DCF Base Case'!$B$4</f>
        <v>32.6275245314121</v>
      </c>
      <c r="O729" s="24" t="n">
        <f aca="false">J729/(1+H729)^1+K729/(1+H729)^2+L729/(1+H729)^3+M729/(1+H729)^4+N729/(1+H729)^5</f>
        <v>116.692438917155</v>
      </c>
      <c r="P729" s="24" t="n">
        <f aca="false">N729*(1+F729)/(H729-F729)</f>
        <v>832.767365421583</v>
      </c>
      <c r="Q729" s="24" t="n">
        <f aca="false">O729+P729/(1+H729)^5</f>
        <v>736.204941796332</v>
      </c>
      <c r="R729" s="24" t="n">
        <f aca="false">Q729-'DCF Base Case'!$B$5</f>
        <v>551.204941796332</v>
      </c>
      <c r="S729" s="32" t="n">
        <f aca="false">R729/'DCF Base Case'!$B$6</f>
        <v>22.0481976718533</v>
      </c>
    </row>
    <row r="730" customFormat="false" ht="15" hidden="false" customHeight="true" outlineLevel="0" collapsed="false">
      <c r="A730" s="6" t="n">
        <v>729</v>
      </c>
      <c r="B730" s="30" t="n">
        <v>0.0871924677662288</v>
      </c>
      <c r="C730" s="30" t="n">
        <v>0.427714923350664</v>
      </c>
      <c r="D730" s="30" t="n">
        <v>0.0678981891961216</v>
      </c>
      <c r="E730" s="30" t="n">
        <v>0.265433975753955</v>
      </c>
      <c r="F730" s="30" t="n">
        <v>0.0147312905629316</v>
      </c>
      <c r="G730" s="30" t="n">
        <v>0.204853114135751</v>
      </c>
      <c r="H730" s="31" t="n">
        <f aca="false">MAX(D730,F730+0.015)</f>
        <v>0.0678981891961216</v>
      </c>
      <c r="I730" s="25" t="n">
        <f aca="false">(C730-'DCF Base Case'!$B$3)*(1-E730)+'DCF Base Case'!$B$3-G730</f>
        <v>0.143838153468662</v>
      </c>
      <c r="J730" s="24" t="n">
        <f aca="false">'DCF Base Case'!$B$2*(1+B730)^1*$I730-'DCF Base Case'!$B$2*(1+B730)^0*B730*'DCF Base Case'!$B$4</f>
        <v>22.2957775343541</v>
      </c>
      <c r="K730" s="24" t="n">
        <f aca="false">'DCF Base Case'!$B$2*(1+B730)^2*$I730-'DCF Base Case'!$B$2*(1+B730)^1*B730*'DCF Base Case'!$B$4</f>
        <v>24.2398013983413</v>
      </c>
      <c r="L730" s="24" t="n">
        <f aca="false">'DCF Base Case'!$B$2*(1+B730)^3*$I730-'DCF Base Case'!$B$2*(1+B730)^2*B730*'DCF Base Case'!$B$4</f>
        <v>26.353329500426</v>
      </c>
      <c r="M730" s="24" t="n">
        <f aca="false">'DCF Base Case'!$B$2*(1+B730)^4*$I730-'DCF Base Case'!$B$2*(1+B730)^3*B730*'DCF Base Case'!$B$4</f>
        <v>28.6511413334246</v>
      </c>
      <c r="N730" s="24" t="n">
        <f aca="false">'DCF Base Case'!$B$2*(1+B730)^5*$I730-'DCF Base Case'!$B$2*(1+B730)^4*B730*'DCF Base Case'!$B$4</f>
        <v>31.1493050506049</v>
      </c>
      <c r="O730" s="24" t="n">
        <f aca="false">J730/(1+H730)^1+K730/(1+H730)^2+L730/(1+H730)^3+M730/(1+H730)^4+N730/(1+H730)^5</f>
        <v>108.231875940833</v>
      </c>
      <c r="P730" s="24" t="n">
        <f aca="false">N730*(1+F730)/(H730-F730)</f>
        <v>594.508525543505</v>
      </c>
      <c r="Q730" s="24" t="n">
        <f aca="false">O730+P730/(1+H730)^5</f>
        <v>536.296005207988</v>
      </c>
      <c r="R730" s="24" t="n">
        <f aca="false">Q730-'DCF Base Case'!$B$5</f>
        <v>351.296005207988</v>
      </c>
      <c r="S730" s="32" t="n">
        <f aca="false">R730/'DCF Base Case'!$B$6</f>
        <v>14.0518402083195</v>
      </c>
    </row>
    <row r="731" customFormat="false" ht="15" hidden="false" customHeight="true" outlineLevel="0" collapsed="false">
      <c r="A731" s="6" t="n">
        <v>730</v>
      </c>
      <c r="B731" s="30" t="n">
        <v>0.109128600348747</v>
      </c>
      <c r="C731" s="30" t="n">
        <v>0.375388584690356</v>
      </c>
      <c r="D731" s="30" t="n">
        <v>0.0683486221069603</v>
      </c>
      <c r="E731" s="30" t="n">
        <v>0.276032567102993</v>
      </c>
      <c r="F731" s="30" t="n">
        <v>0.0174634846527755</v>
      </c>
      <c r="G731" s="30" t="n">
        <v>0.139254928744339</v>
      </c>
      <c r="H731" s="31" t="n">
        <f aca="false">MAX(D731,F731+0.015)</f>
        <v>0.0683486221069603</v>
      </c>
      <c r="I731" s="25" t="n">
        <f aca="false">(C731-'DCF Base Case'!$B$3)*(1-E731)+'DCF Base Case'!$B$3-G731</f>
        <v>0.168398414976168</v>
      </c>
      <c r="J731" s="24" t="n">
        <f aca="false">'DCF Base Case'!$B$2*(1+B731)^1*$I731-'DCF Base Case'!$B$2*(1+B731)^0*B731*'DCF Base Case'!$B$4</f>
        <v>26.6077378424853</v>
      </c>
      <c r="K731" s="24" t="n">
        <f aca="false">'DCF Base Case'!$B$2*(1+B731)^2*$I731-'DCF Base Case'!$B$2*(1+B731)^1*B731*'DCF Base Case'!$B$4</f>
        <v>29.5114030316821</v>
      </c>
      <c r="L731" s="24" t="n">
        <f aca="false">'DCF Base Case'!$B$2*(1+B731)^3*$I731-'DCF Base Case'!$B$2*(1+B731)^2*B731*'DCF Base Case'!$B$4</f>
        <v>32.7319411388573</v>
      </c>
      <c r="M731" s="24" t="n">
        <f aca="false">'DCF Base Case'!$B$2*(1+B731)^4*$I731-'DCF Base Case'!$B$2*(1+B731)^3*B731*'DCF Base Case'!$B$4</f>
        <v>36.3039320620384</v>
      </c>
      <c r="N731" s="24" t="n">
        <f aca="false">'DCF Base Case'!$B$2*(1+B731)^5*$I731-'DCF Base Case'!$B$2*(1+B731)^4*B731*'DCF Base Case'!$B$4</f>
        <v>40.2657293551247</v>
      </c>
      <c r="O731" s="24" t="n">
        <f aca="false">J731/(1+H731)^1+K731/(1+H731)^2+L731/(1+H731)^3+M731/(1+H731)^4+N731/(1+H731)^5</f>
        <v>134.403952452619</v>
      </c>
      <c r="P731" s="24" t="n">
        <f aca="false">N731*(1+F731)/(H731-F731)</f>
        <v>805.125255653238</v>
      </c>
      <c r="Q731" s="24" t="n">
        <f aca="false">O731+P731/(1+H731)^5</f>
        <v>712.897446349767</v>
      </c>
      <c r="R731" s="24" t="n">
        <f aca="false">Q731-'DCF Base Case'!$B$5</f>
        <v>527.897446349767</v>
      </c>
      <c r="S731" s="32" t="n">
        <f aca="false">R731/'DCF Base Case'!$B$6</f>
        <v>21.1158978539907</v>
      </c>
    </row>
    <row r="732" customFormat="false" ht="15" hidden="false" customHeight="true" outlineLevel="0" collapsed="false">
      <c r="A732" s="6" t="n">
        <v>731</v>
      </c>
      <c r="B732" s="30" t="n">
        <v>0.128619797785375</v>
      </c>
      <c r="C732" s="30" t="n">
        <v>0.434296481368779</v>
      </c>
      <c r="D732" s="30" t="n">
        <v>0.090222979551494</v>
      </c>
      <c r="E732" s="30" t="n">
        <v>0.263514124320457</v>
      </c>
      <c r="F732" s="30" t="n">
        <v>0.0219455409717931</v>
      </c>
      <c r="G732" s="30" t="n">
        <v>0.157513309631106</v>
      </c>
      <c r="H732" s="31" t="n">
        <f aca="false">MAX(D732,F732+0.015)</f>
        <v>0.090222979551494</v>
      </c>
      <c r="I732" s="25" t="n">
        <f aca="false">(C732-'DCF Base Case'!$B$3)*(1-E732)+'DCF Base Case'!$B$3-G732</f>
        <v>0.196596750915983</v>
      </c>
      <c r="J732" s="24" t="n">
        <f aca="false">'DCF Base Case'!$B$2*(1+B732)^1*$I732-'DCF Base Case'!$B$2*(1+B732)^0*B732*'DCF Base Case'!$B$4</f>
        <v>31.6135367429221</v>
      </c>
      <c r="K732" s="24" t="n">
        <f aca="false">'DCF Base Case'!$B$2*(1+B732)^2*$I732-'DCF Base Case'!$B$2*(1+B732)^1*B732*'DCF Base Case'!$B$4</f>
        <v>35.6796634460772</v>
      </c>
      <c r="L732" s="24" t="n">
        <f aca="false">'DCF Base Case'!$B$2*(1+B732)^3*$I732-'DCF Base Case'!$B$2*(1+B732)^2*B732*'DCF Base Case'!$B$4</f>
        <v>40.2687745435619</v>
      </c>
      <c r="M732" s="24" t="n">
        <f aca="false">'DCF Base Case'!$B$2*(1+B732)^4*$I732-'DCF Base Case'!$B$2*(1+B732)^3*B732*'DCF Base Case'!$B$4</f>
        <v>45.4481361824197</v>
      </c>
      <c r="N732" s="24" t="n">
        <f aca="false">'DCF Base Case'!$B$2*(1+B732)^5*$I732-'DCF Base Case'!$B$2*(1+B732)^4*B732*'DCF Base Case'!$B$4</f>
        <v>51.2936662679247</v>
      </c>
      <c r="O732" s="24" t="n">
        <f aca="false">J732/(1+H732)^1+K732/(1+H732)^2+L732/(1+H732)^3+M732/(1+H732)^4+N732/(1+H732)^5</f>
        <v>155.565254884108</v>
      </c>
      <c r="P732" s="24" t="n">
        <f aca="false">N732*(1+F732)/(H732-F732)</f>
        <v>767.740187872036</v>
      </c>
      <c r="Q732" s="24" t="n">
        <f aca="false">O732+P732/(1+H732)^5</f>
        <v>654.033636475807</v>
      </c>
      <c r="R732" s="24" t="n">
        <f aca="false">Q732-'DCF Base Case'!$B$5</f>
        <v>469.033636475807</v>
      </c>
      <c r="S732" s="32" t="n">
        <f aca="false">R732/'DCF Base Case'!$B$6</f>
        <v>18.7613454590323</v>
      </c>
    </row>
    <row r="733" customFormat="false" ht="15" hidden="false" customHeight="true" outlineLevel="0" collapsed="false">
      <c r="A733" s="6" t="n">
        <v>732</v>
      </c>
      <c r="B733" s="30" t="n">
        <v>0.0840713564814812</v>
      </c>
      <c r="C733" s="30" t="n">
        <v>0.424332630215133</v>
      </c>
      <c r="D733" s="30" t="n">
        <v>0.0670810267843367</v>
      </c>
      <c r="E733" s="30" t="n">
        <v>0.326637968602357</v>
      </c>
      <c r="F733" s="30" t="n">
        <v>0.0200081663054199</v>
      </c>
      <c r="G733" s="30" t="n">
        <v>0.195492046402946</v>
      </c>
      <c r="H733" s="31" t="n">
        <f aca="false">MAX(D733,F733+0.015)</f>
        <v>0.0670810267843367</v>
      </c>
      <c r="I733" s="25" t="n">
        <f aca="false">(C733-'DCF Base Case'!$B$3)*(1-E733)+'DCF Base Case'!$B$3-G733</f>
        <v>0.132700371385327</v>
      </c>
      <c r="J733" s="24" t="n">
        <f aca="false">'DCF Base Case'!$B$2*(1+B733)^1*$I733-'DCF Base Case'!$B$2*(1+B733)^0*B733*'DCF Base Case'!$B$4</f>
        <v>20.4935069832323</v>
      </c>
      <c r="K733" s="24" t="n">
        <f aca="false">'DCF Base Case'!$B$2*(1+B733)^2*$I733-'DCF Base Case'!$B$2*(1+B733)^1*B733*'DCF Base Case'!$B$4</f>
        <v>22.2164239143754</v>
      </c>
      <c r="L733" s="24" t="n">
        <f aca="false">'DCF Base Case'!$B$2*(1+B733)^3*$I733-'DCF Base Case'!$B$2*(1+B733)^2*B733*'DCF Base Case'!$B$4</f>
        <v>24.0841888090245</v>
      </c>
      <c r="M733" s="24" t="n">
        <f aca="false">'DCF Base Case'!$B$2*(1+B733)^4*$I733-'DCF Base Case'!$B$2*(1+B733)^3*B733*'DCF Base Case'!$B$4</f>
        <v>26.1089792319553</v>
      </c>
      <c r="N733" s="24" t="n">
        <f aca="false">'DCF Base Case'!$B$2*(1+B733)^5*$I733-'DCF Base Case'!$B$2*(1+B733)^4*B733*'DCF Base Case'!$B$4</f>
        <v>28.3039965323326</v>
      </c>
      <c r="O733" s="24" t="n">
        <f aca="false">J733/(1+H733)^1+K733/(1+H733)^2+L733/(1+H733)^3+M733/(1+H733)^4+N733/(1+H733)^5</f>
        <v>99.1329890757425</v>
      </c>
      <c r="P733" s="24" t="n">
        <f aca="false">N733*(1+F733)/(H733-F733)</f>
        <v>613.311094935268</v>
      </c>
      <c r="Q733" s="24" t="n">
        <f aca="false">O733+P733/(1+H733)^5</f>
        <v>542.429008122082</v>
      </c>
      <c r="R733" s="24" t="n">
        <f aca="false">Q733-'DCF Base Case'!$B$5</f>
        <v>357.429008122082</v>
      </c>
      <c r="S733" s="32" t="n">
        <f aca="false">R733/'DCF Base Case'!$B$6</f>
        <v>14.2971603248833</v>
      </c>
    </row>
    <row r="734" customFormat="false" ht="15" hidden="false" customHeight="true" outlineLevel="0" collapsed="false">
      <c r="A734" s="6" t="n">
        <v>733</v>
      </c>
      <c r="B734" s="30" t="n">
        <v>0.0665606306597933</v>
      </c>
      <c r="C734" s="30" t="n">
        <v>0.385369807398471</v>
      </c>
      <c r="D734" s="30" t="n">
        <v>0.0722190975624021</v>
      </c>
      <c r="E734" s="30" t="n">
        <v>0.286978829565614</v>
      </c>
      <c r="F734" s="30" t="n">
        <v>0.0195970452240962</v>
      </c>
      <c r="G734" s="30" t="n">
        <v>0.155842787942258</v>
      </c>
      <c r="H734" s="31" t="n">
        <f aca="false">MAX(D734,F734+0.015)</f>
        <v>0.0722190975624021</v>
      </c>
      <c r="I734" s="25" t="n">
        <f aca="false">(C734-'DCF Base Case'!$B$3)*(1-E734)+'DCF Base Case'!$B$3-G734</f>
        <v>0.156241291022604</v>
      </c>
      <c r="J734" s="24" t="n">
        <f aca="false">'DCF Base Case'!$B$2*(1+B734)^1*$I734-'DCF Base Case'!$B$2*(1+B734)^0*B734*'DCF Base Case'!$B$4</f>
        <v>23.8733786904143</v>
      </c>
      <c r="K734" s="24" t="n">
        <f aca="false">'DCF Base Case'!$B$2*(1+B734)^2*$I734-'DCF Base Case'!$B$2*(1+B734)^1*B734*'DCF Base Case'!$B$4</f>
        <v>25.4624058320284</v>
      </c>
      <c r="L734" s="24" t="n">
        <f aca="false">'DCF Base Case'!$B$2*(1+B734)^3*$I734-'DCF Base Case'!$B$2*(1+B734)^2*B734*'DCF Base Case'!$B$4</f>
        <v>27.1571996223238</v>
      </c>
      <c r="M734" s="24" t="n">
        <f aca="false">'DCF Base Case'!$B$2*(1+B734)^4*$I734-'DCF Base Case'!$B$2*(1+B734)^3*B734*'DCF Base Case'!$B$4</f>
        <v>28.9647999561395</v>
      </c>
      <c r="N734" s="24" t="n">
        <f aca="false">'DCF Base Case'!$B$2*(1+B734)^5*$I734-'DCF Base Case'!$B$2*(1+B734)^4*B734*'DCF Base Case'!$B$4</f>
        <v>30.8927153081549</v>
      </c>
      <c r="O734" s="24" t="n">
        <f aca="false">J734/(1+H734)^1+K734/(1+H734)^2+L734/(1+H734)^3+M734/(1+H734)^4+N734/(1+H734)^5</f>
        <v>110.158124552832</v>
      </c>
      <c r="P734" s="24" t="n">
        <f aca="false">N734*(1+F734)/(H734-F734)</f>
        <v>598.572648680506</v>
      </c>
      <c r="Q734" s="24" t="n">
        <f aca="false">O734+P734/(1+H734)^5</f>
        <v>532.534069868467</v>
      </c>
      <c r="R734" s="24" t="n">
        <f aca="false">Q734-'DCF Base Case'!$B$5</f>
        <v>347.534069868467</v>
      </c>
      <c r="S734" s="32" t="n">
        <f aca="false">R734/'DCF Base Case'!$B$6</f>
        <v>13.9013627947387</v>
      </c>
    </row>
    <row r="735" customFormat="false" ht="15" hidden="false" customHeight="true" outlineLevel="0" collapsed="false">
      <c r="A735" s="6" t="n">
        <v>734</v>
      </c>
      <c r="B735" s="30" t="n">
        <v>0.0678634947965222</v>
      </c>
      <c r="C735" s="30" t="n">
        <v>0.379226352560915</v>
      </c>
      <c r="D735" s="30" t="n">
        <v>0.0844666770948228</v>
      </c>
      <c r="E735" s="30" t="n">
        <v>0.267996835265912</v>
      </c>
      <c r="F735" s="30" t="n">
        <v>0.0165676544489793</v>
      </c>
      <c r="G735" s="30" t="n">
        <v>0.200881291713387</v>
      </c>
      <c r="H735" s="31" t="n">
        <f aca="false">MAX(D735,F735+0.015)</f>
        <v>0.0844666770948228</v>
      </c>
      <c r="I735" s="25" t="n">
        <f aca="false">(C735-'DCF Base Case'!$B$3)*(1-E735)+'DCF Base Case'!$B$3-G735</f>
        <v>0.111553187096336</v>
      </c>
      <c r="J735" s="24" t="n">
        <f aca="false">'DCF Base Case'!$B$2*(1+B735)^1*$I735-'DCF Base Case'!$B$2*(1+B735)^0*B735*'DCF Base Case'!$B$4</f>
        <v>16.9777123507508</v>
      </c>
      <c r="K735" s="24" t="n">
        <f aca="false">'DCF Base Case'!$B$2*(1+B735)^2*$I735-'DCF Base Case'!$B$2*(1+B735)^1*B735*'DCF Base Case'!$B$4</f>
        <v>18.1298792445229</v>
      </c>
      <c r="L735" s="24" t="n">
        <f aca="false">'DCF Base Case'!$B$2*(1+B735)^3*$I735-'DCF Base Case'!$B$2*(1+B735)^2*B735*'DCF Base Case'!$B$4</f>
        <v>19.3602362102951</v>
      </c>
      <c r="M735" s="24" t="n">
        <f aca="false">'DCF Base Case'!$B$2*(1+B735)^4*$I735-'DCF Base Case'!$B$2*(1+B735)^3*B735*'DCF Base Case'!$B$4</f>
        <v>20.6740894996119</v>
      </c>
      <c r="N735" s="24" t="n">
        <f aca="false">'DCF Base Case'!$B$2*(1+B735)^5*$I735-'DCF Base Case'!$B$2*(1+B735)^4*B735*'DCF Base Case'!$B$4</f>
        <v>22.0771054647917</v>
      </c>
      <c r="O735" s="24" t="n">
        <f aca="false">J735/(1+H735)^1+K735/(1+H735)^2+L735/(1+H735)^3+M735/(1+H735)^4+N735/(1+H735)^5</f>
        <v>75.9163628652375</v>
      </c>
      <c r="P735" s="24" t="n">
        <f aca="false">N735*(1+F735)/(H735-F735)</f>
        <v>330.533054009134</v>
      </c>
      <c r="Q735" s="24" t="n">
        <f aca="false">O735+P735/(1+H735)^5</f>
        <v>296.276907667817</v>
      </c>
      <c r="R735" s="24" t="n">
        <f aca="false">Q735-'DCF Base Case'!$B$5</f>
        <v>111.276907667817</v>
      </c>
      <c r="S735" s="32" t="n">
        <f aca="false">R735/'DCF Base Case'!$B$6</f>
        <v>4.45107630671266</v>
      </c>
    </row>
    <row r="736" customFormat="false" ht="15" hidden="false" customHeight="true" outlineLevel="0" collapsed="false">
      <c r="A736" s="6" t="n">
        <v>735</v>
      </c>
      <c r="B736" s="30" t="n">
        <v>0.0883318666999053</v>
      </c>
      <c r="C736" s="30" t="n">
        <v>0.437833212227241</v>
      </c>
      <c r="D736" s="30" t="n">
        <v>0.0791342259904904</v>
      </c>
      <c r="E736" s="30" t="n">
        <v>0.286811260433631</v>
      </c>
      <c r="F736" s="30" t="n">
        <v>0.0191448856317452</v>
      </c>
      <c r="G736" s="30" t="n">
        <v>0.133384996779426</v>
      </c>
      <c r="H736" s="31" t="n">
        <f aca="false">MAX(D736,F736+0.015)</f>
        <v>0.0791342259904904</v>
      </c>
      <c r="I736" s="25" t="n">
        <f aca="false">(C736-'DCF Base Case'!$B$3)*(1-E736)+'DCF Base Case'!$B$3-G736</f>
        <v>0.216158183845587</v>
      </c>
      <c r="J736" s="24" t="n">
        <f aca="false">'DCF Base Case'!$B$2*(1+B736)^1*$I736-'DCF Base Case'!$B$2*(1+B736)^0*B736*'DCF Base Case'!$B$4</f>
        <v>33.7272731402891</v>
      </c>
      <c r="K736" s="24" t="n">
        <f aca="false">'DCF Base Case'!$B$2*(1+B736)^2*$I736-'DCF Base Case'!$B$2*(1+B736)^1*B736*'DCF Base Case'!$B$4</f>
        <v>36.7064661354684</v>
      </c>
      <c r="L736" s="24" t="n">
        <f aca="false">'DCF Base Case'!$B$2*(1+B736)^3*$I736-'DCF Base Case'!$B$2*(1+B736)^2*B736*'DCF Base Case'!$B$4</f>
        <v>39.9488168091711</v>
      </c>
      <c r="M736" s="24" t="n">
        <f aca="false">'DCF Base Case'!$B$2*(1+B736)^4*$I736-'DCF Base Case'!$B$2*(1+B736)^3*B736*'DCF Base Case'!$B$4</f>
        <v>43.4775703703778</v>
      </c>
      <c r="N736" s="24" t="n">
        <f aca="false">'DCF Base Case'!$B$2*(1+B736)^5*$I736-'DCF Base Case'!$B$2*(1+B736)^4*B736*'DCF Base Case'!$B$4</f>
        <v>47.3180253207698</v>
      </c>
      <c r="O736" s="24" t="n">
        <f aca="false">J736/(1+H736)^1+K736/(1+H736)^2+L736/(1+H736)^3+M736/(1+H736)^4+N736/(1+H736)^5</f>
        <v>158.95668840711</v>
      </c>
      <c r="P736" s="24" t="n">
        <f aca="false">N736*(1+F736)/(H736-F736)</f>
        <v>803.874875360683</v>
      </c>
      <c r="Q736" s="24" t="n">
        <f aca="false">O736+P736/(1+H736)^5</f>
        <v>708.258613059316</v>
      </c>
      <c r="R736" s="24" t="n">
        <f aca="false">Q736-'DCF Base Case'!$B$5</f>
        <v>523.258613059316</v>
      </c>
      <c r="S736" s="32" t="n">
        <f aca="false">R736/'DCF Base Case'!$B$6</f>
        <v>20.9303445223726</v>
      </c>
    </row>
    <row r="737" customFormat="false" ht="15" hidden="false" customHeight="true" outlineLevel="0" collapsed="false">
      <c r="A737" s="6" t="n">
        <v>736</v>
      </c>
      <c r="B737" s="30" t="n">
        <v>0.120429965050905</v>
      </c>
      <c r="C737" s="30" t="n">
        <v>0.422345909277122</v>
      </c>
      <c r="D737" s="30" t="n">
        <v>0.0932106004159626</v>
      </c>
      <c r="E737" s="30" t="n">
        <v>0.26246467708005</v>
      </c>
      <c r="F737" s="30" t="n">
        <v>0.0187202818854106</v>
      </c>
      <c r="G737" s="30" t="n">
        <v>0.147785712480525</v>
      </c>
      <c r="H737" s="31" t="n">
        <f aca="false">MAX(D737,F737+0.015)</f>
        <v>0.0932106004159626</v>
      </c>
      <c r="I737" s="25" t="n">
        <f aca="false">(C737-'DCF Base Case'!$B$3)*(1-E737)+'DCF Base Case'!$B$3-G737</f>
        <v>0.197829722122504</v>
      </c>
      <c r="J737" s="24" t="n">
        <f aca="false">'DCF Base Case'!$B$2*(1+B737)^1*$I737-'DCF Base Case'!$B$2*(1+B737)^0*B737*'DCF Base Case'!$B$4</f>
        <v>31.6160102053719</v>
      </c>
      <c r="K737" s="24" t="n">
        <f aca="false">'DCF Base Case'!$B$2*(1+B737)^2*$I737-'DCF Base Case'!$B$2*(1+B737)^1*B737*'DCF Base Case'!$B$4</f>
        <v>35.4235252094539</v>
      </c>
      <c r="L737" s="24" t="n">
        <f aca="false">'DCF Base Case'!$B$2*(1+B737)^3*$I737-'DCF Base Case'!$B$2*(1+B737)^2*B737*'DCF Base Case'!$B$4</f>
        <v>39.6895791124082</v>
      </c>
      <c r="M737" s="24" t="n">
        <f aca="false">'DCF Base Case'!$B$2*(1+B737)^4*$I737-'DCF Base Case'!$B$2*(1+B737)^3*B737*'DCF Base Case'!$B$4</f>
        <v>44.4693937378007</v>
      </c>
      <c r="N737" s="24" t="n">
        <f aca="false">'DCF Base Case'!$B$2*(1+B737)^5*$I737-'DCF Base Case'!$B$2*(1+B737)^4*B737*'DCF Base Case'!$B$4</f>
        <v>49.824841271479</v>
      </c>
      <c r="O737" s="24" t="n">
        <f aca="false">J737/(1+H737)^1+K737/(1+H737)^2+L737/(1+H737)^3+M737/(1+H737)^4+N737/(1+H737)^5</f>
        <v>151.983920249665</v>
      </c>
      <c r="P737" s="24" t="n">
        <f aca="false">N737*(1+F737)/(H737-F737)</f>
        <v>681.398299084449</v>
      </c>
      <c r="Q737" s="24" t="n">
        <f aca="false">O737+P737/(1+H737)^5</f>
        <v>588.381038495809</v>
      </c>
      <c r="R737" s="24" t="n">
        <f aca="false">Q737-'DCF Base Case'!$B$5</f>
        <v>403.381038495809</v>
      </c>
      <c r="S737" s="32" t="n">
        <f aca="false">R737/'DCF Base Case'!$B$6</f>
        <v>16.1352415398324</v>
      </c>
    </row>
    <row r="738" customFormat="false" ht="15" hidden="false" customHeight="true" outlineLevel="0" collapsed="false">
      <c r="A738" s="6" t="n">
        <v>737</v>
      </c>
      <c r="B738" s="30" t="n">
        <v>0.116737415898055</v>
      </c>
      <c r="C738" s="30" t="n">
        <v>0.429377323390645</v>
      </c>
      <c r="D738" s="30" t="n">
        <v>0.0890375887934898</v>
      </c>
      <c r="E738" s="30" t="n">
        <v>0.320617930043117</v>
      </c>
      <c r="F738" s="30" t="n">
        <v>0.0234695017215706</v>
      </c>
      <c r="G738" s="30" t="n">
        <v>0.183500646528777</v>
      </c>
      <c r="H738" s="31" t="n">
        <f aca="false">MAX(D738,F738+0.015)</f>
        <v>0.0890375887934898</v>
      </c>
      <c r="I738" s="25" t="n">
        <f aca="false">(C738-'DCF Base Case'!$B$3)*(1-E738)+'DCF Base Case'!$B$3-G738</f>
        <v>0.149890939134511</v>
      </c>
      <c r="J738" s="24" t="n">
        <f aca="false">'DCF Base Case'!$B$2*(1+B738)^1*$I738-'DCF Base Case'!$B$2*(1+B738)^0*B738*'DCF Base Case'!$B$4</f>
        <v>23.7635711460063</v>
      </c>
      <c r="K738" s="24" t="n">
        <f aca="false">'DCF Base Case'!$B$2*(1+B738)^2*$I738-'DCF Base Case'!$B$2*(1+B738)^1*B738*'DCF Base Case'!$B$4</f>
        <v>26.5376690341007</v>
      </c>
      <c r="L738" s="24" t="n">
        <f aca="false">'DCF Base Case'!$B$2*(1+B738)^3*$I738-'DCF Base Case'!$B$2*(1+B738)^2*B738*'DCF Base Case'!$B$4</f>
        <v>29.6356079410994</v>
      </c>
      <c r="M738" s="24" t="n">
        <f aca="false">'DCF Base Case'!$B$2*(1+B738)^4*$I738-'DCF Base Case'!$B$2*(1+B738)^3*B738*'DCF Base Case'!$B$4</f>
        <v>33.0951922307112</v>
      </c>
      <c r="N738" s="24" t="n">
        <f aca="false">'DCF Base Case'!$B$2*(1+B738)^5*$I738-'DCF Base Case'!$B$2*(1+B738)^4*B738*'DCF Base Case'!$B$4</f>
        <v>36.9586394503739</v>
      </c>
      <c r="O738" s="24" t="n">
        <f aca="false">J738/(1+H738)^1+K738/(1+H738)^2+L738/(1+H738)^3+M738/(1+H738)^4+N738/(1+H738)^5</f>
        <v>114.79664071747</v>
      </c>
      <c r="P738" s="24" t="n">
        <f aca="false">N738*(1+F738)/(H738-F738)</f>
        <v>576.897115529562</v>
      </c>
      <c r="Q738" s="24" t="n">
        <f aca="false">O738+P738/(1+H738)^5</f>
        <v>491.399850986571</v>
      </c>
      <c r="R738" s="24" t="n">
        <f aca="false">Q738-'DCF Base Case'!$B$5</f>
        <v>306.399850986571</v>
      </c>
      <c r="S738" s="32" t="n">
        <f aca="false">R738/'DCF Base Case'!$B$6</f>
        <v>12.2559940394628</v>
      </c>
    </row>
    <row r="739" customFormat="false" ht="15" hidden="false" customHeight="true" outlineLevel="0" collapsed="false">
      <c r="A739" s="6" t="n">
        <v>738</v>
      </c>
      <c r="B739" s="30" t="n">
        <v>0.0596917125969857</v>
      </c>
      <c r="C739" s="30" t="n">
        <v>0.387410206645414</v>
      </c>
      <c r="D739" s="30" t="n">
        <v>0.0739572305038751</v>
      </c>
      <c r="E739" s="30" t="n">
        <v>0.301925573752223</v>
      </c>
      <c r="F739" s="30" t="n">
        <v>0.0199677717086216</v>
      </c>
      <c r="G739" s="30" t="n">
        <v>0.13813137205786</v>
      </c>
      <c r="H739" s="31" t="n">
        <f aca="false">MAX(D739,F739+0.015)</f>
        <v>0.0739572305038751</v>
      </c>
      <c r="I739" s="25" t="n">
        <f aca="false">(C739-'DCF Base Case'!$B$3)*(1-E739)+'DCF Base Case'!$B$3-G739</f>
        <v>0.171560110256459</v>
      </c>
      <c r="J739" s="24" t="n">
        <f aca="false">'DCF Base Case'!$B$2*(1+B739)^1*$I739-'DCF Base Case'!$B$2*(1+B739)^0*B739*'DCF Base Case'!$B$4</f>
        <v>26.1014609725974</v>
      </c>
      <c r="K739" s="24" t="n">
        <f aca="false">'DCF Base Case'!$B$2*(1+B739)^2*$I739-'DCF Base Case'!$B$2*(1+B739)^1*B739*'DCF Base Case'!$B$4</f>
        <v>27.6595018793351</v>
      </c>
      <c r="L739" s="24" t="n">
        <f aca="false">'DCF Base Case'!$B$2*(1+B739)^3*$I739-'DCF Base Case'!$B$2*(1+B739)^2*B739*'DCF Base Case'!$B$4</f>
        <v>29.3105449160922</v>
      </c>
      <c r="M739" s="24" t="n">
        <f aca="false">'DCF Base Case'!$B$2*(1+B739)^4*$I739-'DCF Base Case'!$B$2*(1+B739)^3*B739*'DCF Base Case'!$B$4</f>
        <v>31.0601415392846</v>
      </c>
      <c r="N739" s="24" t="n">
        <f aca="false">'DCF Base Case'!$B$2*(1+B739)^5*$I739-'DCF Base Case'!$B$2*(1+B739)^4*B739*'DCF Base Case'!$B$4</f>
        <v>32.9141745812692</v>
      </c>
      <c r="O739" s="24" t="n">
        <f aca="false">J739/(1+H739)^1+K739/(1+H739)^2+L739/(1+H739)^3+M739/(1+H739)^4+N739/(1+H739)^5</f>
        <v>118.334285558859</v>
      </c>
      <c r="P739" s="24" t="n">
        <f aca="false">N739*(1+F739)/(H739-F739)</f>
        <v>621.813925429406</v>
      </c>
      <c r="Q739" s="24" t="n">
        <f aca="false">O739+P739/(1+H739)^5</f>
        <v>553.570989187239</v>
      </c>
      <c r="R739" s="24" t="n">
        <f aca="false">Q739-'DCF Base Case'!$B$5</f>
        <v>368.570989187239</v>
      </c>
      <c r="S739" s="32" t="n">
        <f aca="false">R739/'DCF Base Case'!$B$6</f>
        <v>14.7428395674896</v>
      </c>
    </row>
    <row r="740" customFormat="false" ht="15" hidden="false" customHeight="true" outlineLevel="0" collapsed="false">
      <c r="A740" s="6" t="n">
        <v>739</v>
      </c>
      <c r="B740" s="30" t="n">
        <v>0.0861056747418206</v>
      </c>
      <c r="C740" s="30" t="n">
        <v>0.38069335235802</v>
      </c>
      <c r="D740" s="30" t="n">
        <v>0.0844152786312327</v>
      </c>
      <c r="E740" s="30" t="n">
        <v>0.250374673773939</v>
      </c>
      <c r="F740" s="30" t="n">
        <v>0.0212411493675797</v>
      </c>
      <c r="G740" s="30" t="n">
        <v>0.173995923283024</v>
      </c>
      <c r="H740" s="31" t="n">
        <f aca="false">MAX(D740,F740+0.015)</f>
        <v>0.0844152786312327</v>
      </c>
      <c r="I740" s="25" t="n">
        <f aca="false">(C740-'DCF Base Case'!$B$3)*(1-E740)+'DCF Base Case'!$B$3-G740</f>
        <v>0.143930162761062</v>
      </c>
      <c r="J740" s="24" t="n">
        <f aca="false">'DCF Base Case'!$B$2*(1+B740)^1*$I740-'DCF Base Case'!$B$2*(1+B740)^0*B740*'DCF Base Case'!$B$4</f>
        <v>22.292328463362</v>
      </c>
      <c r="K740" s="24" t="n">
        <f aca="false">'DCF Base Case'!$B$2*(1+B740)^2*$I740-'DCF Base Case'!$B$2*(1+B740)^1*B740*'DCF Base Case'!$B$4</f>
        <v>24.2118244472661</v>
      </c>
      <c r="L740" s="24" t="n">
        <f aca="false">'DCF Base Case'!$B$2*(1+B740)^3*$I740-'DCF Base Case'!$B$2*(1+B740)^2*B740*'DCF Base Case'!$B$4</f>
        <v>26.2965999280284</v>
      </c>
      <c r="M740" s="24" t="n">
        <f aca="false">'DCF Base Case'!$B$2*(1+B740)^4*$I740-'DCF Base Case'!$B$2*(1+B740)^3*B740*'DCF Base Case'!$B$4</f>
        <v>28.560886408247</v>
      </c>
      <c r="N740" s="24" t="n">
        <f aca="false">'DCF Base Case'!$B$2*(1+B740)^5*$I740-'DCF Base Case'!$B$2*(1+B740)^4*B740*'DCF Base Case'!$B$4</f>
        <v>31.0201408036536</v>
      </c>
      <c r="O740" s="24" t="n">
        <f aca="false">J740/(1+H740)^1+K740/(1+H740)^2+L740/(1+H740)^3+M740/(1+H740)^4+N740/(1+H740)^5</f>
        <v>103.105960792494</v>
      </c>
      <c r="P740" s="24" t="n">
        <f aca="false">N740*(1+F740)/(H740-F740)</f>
        <v>501.455969668486</v>
      </c>
      <c r="Q740" s="24" t="n">
        <f aca="false">O740+P740/(1+H740)^5</f>
        <v>437.497027400536</v>
      </c>
      <c r="R740" s="24" t="n">
        <f aca="false">Q740-'DCF Base Case'!$B$5</f>
        <v>252.497027400536</v>
      </c>
      <c r="S740" s="32" t="n">
        <f aca="false">R740/'DCF Base Case'!$B$6</f>
        <v>10.0998810960215</v>
      </c>
    </row>
    <row r="741" customFormat="false" ht="15" hidden="false" customHeight="true" outlineLevel="0" collapsed="false">
      <c r="A741" s="6" t="n">
        <v>740</v>
      </c>
      <c r="B741" s="30" t="n">
        <v>0.12812588174552</v>
      </c>
      <c r="C741" s="30" t="n">
        <v>0.443045130190047</v>
      </c>
      <c r="D741" s="30" t="n">
        <v>0.0803479431859525</v>
      </c>
      <c r="E741" s="30" t="n">
        <v>0.304768153198919</v>
      </c>
      <c r="F741" s="30" t="n">
        <v>0.0137674563335572</v>
      </c>
      <c r="G741" s="30" t="n">
        <v>0.145915719497588</v>
      </c>
      <c r="H741" s="31" t="n">
        <f aca="false">MAX(D741,F741+0.015)</f>
        <v>0.0803479431859525</v>
      </c>
      <c r="I741" s="25" t="n">
        <f aca="false">(C741-'DCF Base Case'!$B$3)*(1-E741)+'DCF Base Case'!$B$3-G741</f>
        <v>0.201723224496523</v>
      </c>
      <c r="J741" s="24" t="n">
        <f aca="false">'DCF Base Case'!$B$2*(1+B741)^1*$I741-'DCF Base Case'!$B$2*(1+B741)^0*B741*'DCF Base Case'!$B$4</f>
        <v>32.440185037442</v>
      </c>
      <c r="K741" s="24" t="n">
        <f aca="false">'DCF Base Case'!$B$2*(1+B741)^2*$I741-'DCF Base Case'!$B$2*(1+B741)^1*B741*'DCF Base Case'!$B$4</f>
        <v>36.5966123493521</v>
      </c>
      <c r="L741" s="24" t="n">
        <f aca="false">'DCF Base Case'!$B$2*(1+B741)^3*$I741-'DCF Base Case'!$B$2*(1+B741)^2*B741*'DCF Base Case'!$B$4</f>
        <v>41.2855855755118</v>
      </c>
      <c r="M741" s="24" t="n">
        <f aca="false">'DCF Base Case'!$B$2*(1+B741)^4*$I741-'DCF Base Case'!$B$2*(1+B741)^3*B741*'DCF Base Case'!$B$4</f>
        <v>46.5753376307544</v>
      </c>
      <c r="N741" s="24" t="n">
        <f aca="false">'DCF Base Case'!$B$2*(1+B741)^5*$I741-'DCF Base Case'!$B$2*(1+B741)^4*B741*'DCF Base Case'!$B$4</f>
        <v>52.5428438322901</v>
      </c>
      <c r="O741" s="24" t="n">
        <f aca="false">J741/(1+H741)^1+K741/(1+H741)^2+L741/(1+H741)^3+M741/(1+H741)^4+N741/(1+H741)^5</f>
        <v>164.017607979454</v>
      </c>
      <c r="P741" s="24" t="n">
        <f aca="false">N741*(1+F741)/(H741-F741)</f>
        <v>800.027570517468</v>
      </c>
      <c r="Q741" s="24" t="n">
        <f aca="false">O741+P741/(1+H741)^5</f>
        <v>707.62669357248</v>
      </c>
      <c r="R741" s="24" t="n">
        <f aca="false">Q741-'DCF Base Case'!$B$5</f>
        <v>522.62669357248</v>
      </c>
      <c r="S741" s="32" t="n">
        <f aca="false">R741/'DCF Base Case'!$B$6</f>
        <v>20.9050677428992</v>
      </c>
    </row>
    <row r="742" customFormat="false" ht="15" hidden="false" customHeight="true" outlineLevel="0" collapsed="false">
      <c r="A742" s="6" t="n">
        <v>741</v>
      </c>
      <c r="B742" s="30" t="n">
        <v>0.0970166690642854</v>
      </c>
      <c r="C742" s="30" t="n">
        <v>0.373049355866539</v>
      </c>
      <c r="D742" s="30" t="n">
        <v>0.0845912313657273</v>
      </c>
      <c r="E742" s="30" t="n">
        <v>0.258394672280889</v>
      </c>
      <c r="F742" s="30" t="n">
        <v>0.0197242306825169</v>
      </c>
      <c r="G742" s="30" t="n">
        <v>0.143712925930213</v>
      </c>
      <c r="H742" s="31" t="n">
        <f aca="false">MAX(D742,F742+0.015)</f>
        <v>0.0845912313657273</v>
      </c>
      <c r="I742" s="25" t="n">
        <f aca="false">(C742-'DCF Base Case'!$B$3)*(1-E742)+'DCF Base Case'!$B$3-G742</f>
        <v>0.166533771279111</v>
      </c>
      <c r="J742" s="24" t="n">
        <f aca="false">'DCF Base Case'!$B$2*(1+B742)^1*$I742-'DCF Base Case'!$B$2*(1+B742)^0*B742*'DCF Base Case'!$B$4</f>
        <v>26.0680743325922</v>
      </c>
      <c r="K742" s="24" t="n">
        <f aca="false">'DCF Base Case'!$B$2*(1+B742)^2*$I742-'DCF Base Case'!$B$2*(1+B742)^1*B742*'DCF Base Case'!$B$4</f>
        <v>28.5971120732605</v>
      </c>
      <c r="L742" s="24" t="n">
        <f aca="false">'DCF Base Case'!$B$2*(1+B742)^3*$I742-'DCF Base Case'!$B$2*(1+B742)^2*B742*'DCF Base Case'!$B$4</f>
        <v>31.3715086314663</v>
      </c>
      <c r="M742" s="24" t="n">
        <f aca="false">'DCF Base Case'!$B$2*(1+B742)^4*$I742-'DCF Base Case'!$B$2*(1+B742)^3*B742*'DCF Base Case'!$B$4</f>
        <v>34.4150679024127</v>
      </c>
      <c r="N742" s="24" t="n">
        <f aca="false">'DCF Base Case'!$B$2*(1+B742)^5*$I742-'DCF Base Case'!$B$2*(1+B742)^4*B742*'DCF Base Case'!$B$4</f>
        <v>37.753903155926</v>
      </c>
      <c r="O742" s="24" t="n">
        <f aca="false">J742/(1+H742)^1+K742/(1+H742)^2+L742/(1+H742)^3+M742/(1+H742)^4+N742/(1+H742)^5</f>
        <v>122.959897886581</v>
      </c>
      <c r="P742" s="24" t="n">
        <f aca="false">N742*(1+F742)/(H742-F742)</f>
        <v>593.500076239897</v>
      </c>
      <c r="Q742" s="24" t="n">
        <f aca="false">O742+P742/(1+H742)^5</f>
        <v>518.40876371277</v>
      </c>
      <c r="R742" s="24" t="n">
        <f aca="false">Q742-'DCF Base Case'!$B$5</f>
        <v>333.40876371277</v>
      </c>
      <c r="S742" s="32" t="n">
        <f aca="false">R742/'DCF Base Case'!$B$6</f>
        <v>13.3363505485108</v>
      </c>
    </row>
    <row r="743" customFormat="false" ht="15" hidden="false" customHeight="true" outlineLevel="0" collapsed="false">
      <c r="A743" s="6" t="n">
        <v>742</v>
      </c>
      <c r="B743" s="30" t="n">
        <v>0.0990309611463404</v>
      </c>
      <c r="C743" s="30" t="n">
        <v>0.418283156028257</v>
      </c>
      <c r="D743" s="30" t="n">
        <v>0.100404025085695</v>
      </c>
      <c r="E743" s="30" t="n">
        <v>0.279833042205221</v>
      </c>
      <c r="F743" s="30" t="n">
        <v>0.0162196640883789</v>
      </c>
      <c r="G743" s="30" t="n">
        <v>0.160125044375166</v>
      </c>
      <c r="H743" s="31" t="n">
        <f aca="false">MAX(D743,F743+0.015)</f>
        <v>0.100404025085695</v>
      </c>
      <c r="I743" s="25" t="n">
        <f aca="false">(C743-'DCF Base Case'!$B$3)*(1-E743)+'DCF Base Case'!$B$3-G743</f>
        <v>0.177486959085181</v>
      </c>
      <c r="J743" s="24" t="n">
        <f aca="false">'DCF Base Case'!$B$2*(1+B743)^1*$I743-'DCF Base Case'!$B$2*(1+B743)^0*B743*'DCF Base Case'!$B$4</f>
        <v>27.853446487991</v>
      </c>
      <c r="K743" s="24" t="n">
        <f aca="false">'DCF Base Case'!$B$2*(1+B743)^2*$I743-'DCF Base Case'!$B$2*(1+B743)^1*B743*'DCF Base Case'!$B$4</f>
        <v>30.6118000649349</v>
      </c>
      <c r="L743" s="24" t="n">
        <f aca="false">'DCF Base Case'!$B$2*(1+B743)^3*$I743-'DCF Base Case'!$B$2*(1+B743)^2*B743*'DCF Base Case'!$B$4</f>
        <v>33.643316047785</v>
      </c>
      <c r="M743" s="24" t="n">
        <f aca="false">'DCF Base Case'!$B$2*(1+B743)^4*$I743-'DCF Base Case'!$B$2*(1+B743)^3*B743*'DCF Base Case'!$B$4</f>
        <v>36.9750459721473</v>
      </c>
      <c r="N743" s="24" t="n">
        <f aca="false">'DCF Base Case'!$B$2*(1+B743)^5*$I743-'DCF Base Case'!$B$2*(1+B743)^4*B743*'DCF Base Case'!$B$4</f>
        <v>40.6367203131992</v>
      </c>
      <c r="O743" s="24" t="n">
        <f aca="false">J743/(1+H743)^1+K743/(1+H743)^2+L743/(1+H743)^3+M743/(1+H743)^4+N743/(1+H743)^5</f>
        <v>126.244645128355</v>
      </c>
      <c r="P743" s="24" t="n">
        <f aca="false">N743*(1+F743)/(H743-F743)</f>
        <v>490.54044928427</v>
      </c>
      <c r="Q743" s="24" t="n">
        <f aca="false">O743+P743/(1+H743)^5</f>
        <v>430.272918476199</v>
      </c>
      <c r="R743" s="24" t="n">
        <f aca="false">Q743-'DCF Base Case'!$B$5</f>
        <v>245.272918476199</v>
      </c>
      <c r="S743" s="32" t="n">
        <f aca="false">R743/'DCF Base Case'!$B$6</f>
        <v>9.81091673904794</v>
      </c>
    </row>
    <row r="744" customFormat="false" ht="15" hidden="false" customHeight="true" outlineLevel="0" collapsed="false">
      <c r="A744" s="6" t="n">
        <v>743</v>
      </c>
      <c r="B744" s="30" t="n">
        <v>0.0611466283032584</v>
      </c>
      <c r="C744" s="30" t="n">
        <v>0.412771025153998</v>
      </c>
      <c r="D744" s="30" t="n">
        <v>0.091488352709468</v>
      </c>
      <c r="E744" s="30" t="n">
        <v>0.341812728162615</v>
      </c>
      <c r="F744" s="30" t="n">
        <v>0.0168358869450778</v>
      </c>
      <c r="G744" s="30" t="n">
        <v>0.159720459408393</v>
      </c>
      <c r="H744" s="31" t="n">
        <f aca="false">MAX(D744,F744+0.015)</f>
        <v>0.091488352709468</v>
      </c>
      <c r="I744" s="25" t="n">
        <f aca="false">(C744-'DCF Base Case'!$B$3)*(1-E744)+'DCF Base Case'!$B$3-G744</f>
        <v>0.156395830192378</v>
      </c>
      <c r="J744" s="24" t="n">
        <f aca="false">'DCF Base Case'!$B$2*(1+B744)^1*$I744-'DCF Base Case'!$B$2*(1+B744)^0*B744*'DCF Base Case'!$B$4</f>
        <v>23.7980538108337</v>
      </c>
      <c r="K744" s="24" t="n">
        <f aca="false">'DCF Base Case'!$B$2*(1+B744)^2*$I744-'DCF Base Case'!$B$2*(1+B744)^1*B744*'DCF Base Case'!$B$4</f>
        <v>25.2532245615457</v>
      </c>
      <c r="L744" s="24" t="n">
        <f aca="false">'DCF Base Case'!$B$2*(1+B744)^3*$I744-'DCF Base Case'!$B$2*(1+B744)^2*B744*'DCF Base Case'!$B$4</f>
        <v>26.7973740972693</v>
      </c>
      <c r="M744" s="24" t="n">
        <f aca="false">'DCF Base Case'!$B$2*(1+B744)^4*$I744-'DCF Base Case'!$B$2*(1+B744)^3*B744*'DCF Base Case'!$B$4</f>
        <v>28.4359431706984</v>
      </c>
      <c r="N744" s="24" t="n">
        <f aca="false">'DCF Base Case'!$B$2*(1+B744)^5*$I744-'DCF Base Case'!$B$2*(1+B744)^4*B744*'DCF Base Case'!$B$4</f>
        <v>30.1747052182096</v>
      </c>
      <c r="O744" s="24" t="n">
        <f aca="false">J744/(1+H744)^1+K744/(1+H744)^2+L744/(1+H744)^3+M744/(1+H744)^4+N744/(1+H744)^5</f>
        <v>103.121695202627</v>
      </c>
      <c r="P744" s="24" t="n">
        <f aca="false">N744*(1+F744)/(H744-F744)</f>
        <v>411.007497604994</v>
      </c>
      <c r="Q744" s="24" t="n">
        <f aca="false">O744+P744/(1+H744)^5</f>
        <v>368.432059427567</v>
      </c>
      <c r="R744" s="24" t="n">
        <f aca="false">Q744-'DCF Base Case'!$B$5</f>
        <v>183.432059427567</v>
      </c>
      <c r="S744" s="32" t="n">
        <f aca="false">R744/'DCF Base Case'!$B$6</f>
        <v>7.33728237710269</v>
      </c>
    </row>
    <row r="745" customFormat="false" ht="15" hidden="false" customHeight="true" outlineLevel="0" collapsed="false">
      <c r="A745" s="6" t="n">
        <v>744</v>
      </c>
      <c r="B745" s="30" t="n">
        <v>0.0775758702926728</v>
      </c>
      <c r="C745" s="30" t="n">
        <v>0.41471064432632</v>
      </c>
      <c r="D745" s="30" t="n">
        <v>0.0891985958792758</v>
      </c>
      <c r="E745" s="30" t="n">
        <v>0.278161950033233</v>
      </c>
      <c r="F745" s="30" t="n">
        <v>0.023233842727699</v>
      </c>
      <c r="G745" s="30" t="n">
        <v>0.152779513264813</v>
      </c>
      <c r="H745" s="31" t="n">
        <f aca="false">MAX(D745,F745+0.015)</f>
        <v>0.0891985958792758</v>
      </c>
      <c r="I745" s="25" t="n">
        <f aca="false">(C745-'DCF Base Case'!$B$3)*(1-E745)+'DCF Base Case'!$B$3-G745</f>
        <v>0.18273546304048</v>
      </c>
      <c r="J745" s="24" t="n">
        <f aca="false">'DCF Base Case'!$B$2*(1+B745)^1*$I745-'DCF Base Case'!$B$2*(1+B745)^0*B745*'DCF Base Case'!$B$4</f>
        <v>28.2146871790079</v>
      </c>
      <c r="K745" s="24" t="n">
        <f aca="false">'DCF Base Case'!$B$2*(1+B745)^2*$I745-'DCF Base Case'!$B$2*(1+B745)^1*B745*'DCF Base Case'!$B$4</f>
        <v>30.4034660919549</v>
      </c>
      <c r="L745" s="24" t="n">
        <f aca="false">'DCF Base Case'!$B$2*(1+B745)^3*$I745-'DCF Base Case'!$B$2*(1+B745)^2*B745*'DCF Base Case'!$B$4</f>
        <v>32.7620414339521</v>
      </c>
      <c r="M745" s="24" t="n">
        <f aca="false">'DCF Base Case'!$B$2*(1+B745)^4*$I745-'DCF Base Case'!$B$2*(1+B745)^3*B745*'DCF Base Case'!$B$4</f>
        <v>35.3035853107555</v>
      </c>
      <c r="N745" s="24" t="n">
        <f aca="false">'DCF Base Case'!$B$2*(1+B745)^5*$I745-'DCF Base Case'!$B$2*(1+B745)^4*B745*'DCF Base Case'!$B$4</f>
        <v>38.042291665689</v>
      </c>
      <c r="O745" s="24" t="n">
        <f aca="false">J745/(1+H745)^1+K745/(1+H745)^2+L745/(1+H745)^3+M745/(1+H745)^4+N745/(1+H745)^5</f>
        <v>126.785540107352</v>
      </c>
      <c r="P745" s="24" t="n">
        <f aca="false">N745*(1+F745)/(H745-F745)</f>
        <v>590.105449160169</v>
      </c>
      <c r="Q745" s="24" t="n">
        <f aca="false">O745+P745/(1+H745)^5</f>
        <v>511.72662059749</v>
      </c>
      <c r="R745" s="24" t="n">
        <f aca="false">Q745-'DCF Base Case'!$B$5</f>
        <v>326.72662059749</v>
      </c>
      <c r="S745" s="32" t="n">
        <f aca="false">R745/'DCF Base Case'!$B$6</f>
        <v>13.0690648238996</v>
      </c>
    </row>
    <row r="746" customFormat="false" ht="15" hidden="false" customHeight="true" outlineLevel="0" collapsed="false">
      <c r="A746" s="6" t="n">
        <v>745</v>
      </c>
      <c r="B746" s="30" t="n">
        <v>0.11153740559658</v>
      </c>
      <c r="C746" s="30" t="n">
        <v>0.431873561201366</v>
      </c>
      <c r="D746" s="30" t="n">
        <v>0.0848676708811116</v>
      </c>
      <c r="E746" s="30" t="n">
        <v>0.271427793184219</v>
      </c>
      <c r="F746" s="30" t="n">
        <v>0.0264999964485586</v>
      </c>
      <c r="G746" s="30" t="n">
        <v>0.148772329915665</v>
      </c>
      <c r="H746" s="31" t="n">
        <f aca="false">MAX(D746,F746+0.015)</f>
        <v>0.0848676708811116</v>
      </c>
      <c r="I746" s="25" t="n">
        <f aca="false">(C746-'DCF Base Case'!$B$3)*(1-E746)+'DCF Base Case'!$B$3-G746</f>
        <v>0.201164356748153</v>
      </c>
      <c r="J746" s="24" t="n">
        <f aca="false">'DCF Base Case'!$B$2*(1+B746)^1*$I746-'DCF Base Case'!$B$2*(1+B746)^0*B746*'DCF Base Case'!$B$4</f>
        <v>31.9370598294152</v>
      </c>
      <c r="K746" s="24" t="n">
        <f aca="false">'DCF Base Case'!$B$2*(1+B746)^2*$I746-'DCF Base Case'!$B$2*(1+B746)^1*B746*'DCF Base Case'!$B$4</f>
        <v>35.4992366251709</v>
      </c>
      <c r="L746" s="24" t="n">
        <f aca="false">'DCF Base Case'!$B$2*(1+B746)^3*$I746-'DCF Base Case'!$B$2*(1+B746)^2*B746*'DCF Base Case'!$B$4</f>
        <v>39.4587293790016</v>
      </c>
      <c r="M746" s="24" t="n">
        <f aca="false">'DCF Base Case'!$B$2*(1+B746)^4*$I746-'DCF Base Case'!$B$2*(1+B746)^3*B746*'DCF Base Case'!$B$4</f>
        <v>43.8598536820729</v>
      </c>
      <c r="N746" s="24" t="n">
        <f aca="false">'DCF Base Case'!$B$2*(1+B746)^5*$I746-'DCF Base Case'!$B$2*(1+B746)^4*B746*'DCF Base Case'!$B$4</f>
        <v>48.751867971617</v>
      </c>
      <c r="O746" s="24" t="n">
        <f aca="false">J746/(1+H746)^1+K746/(1+H746)^2+L746/(1+H746)^3+M746/(1+H746)^4+N746/(1+H746)^5</f>
        <v>154.610476551154</v>
      </c>
      <c r="P746" s="24" t="n">
        <f aca="false">N746*(1+F746)/(H746-F746)</f>
        <v>857.388833566664</v>
      </c>
      <c r="Q746" s="24" t="n">
        <f aca="false">O746+P746/(1+H746)^5</f>
        <v>725.160839669608</v>
      </c>
      <c r="R746" s="24" t="n">
        <f aca="false">Q746-'DCF Base Case'!$B$5</f>
        <v>540.160839669608</v>
      </c>
      <c r="S746" s="32" t="n">
        <f aca="false">R746/'DCF Base Case'!$B$6</f>
        <v>21.6064335867843</v>
      </c>
    </row>
    <row r="747" customFormat="false" ht="15" hidden="false" customHeight="true" outlineLevel="0" collapsed="false">
      <c r="A747" s="6" t="n">
        <v>746</v>
      </c>
      <c r="B747" s="30" t="n">
        <v>0.0962463097098948</v>
      </c>
      <c r="C747" s="30" t="n">
        <v>0.400602183851833</v>
      </c>
      <c r="D747" s="30" t="n">
        <v>0.104641828234834</v>
      </c>
      <c r="E747" s="30" t="n">
        <v>0.306905877078899</v>
      </c>
      <c r="F747" s="30" t="n">
        <v>0.016598152356063</v>
      </c>
      <c r="G747" s="30" t="n">
        <v>0.177283446203792</v>
      </c>
      <c r="H747" s="31" t="n">
        <f aca="false">MAX(D747,F747+0.015)</f>
        <v>0.104641828234834</v>
      </c>
      <c r="I747" s="25" t="n">
        <f aca="false">(C747-'DCF Base Case'!$B$3)*(1-E747)+'DCF Base Case'!$B$3-G747</f>
        <v>0.140269337073529</v>
      </c>
      <c r="J747" s="24" t="n">
        <f aca="false">'DCF Base Case'!$B$2*(1+B747)^1*$I747-'DCF Base Case'!$B$2*(1+B747)^0*B747*'DCF Base Case'!$B$4</f>
        <v>21.8779413069468</v>
      </c>
      <c r="K747" s="24" t="n">
        <f aca="false">'DCF Base Case'!$B$2*(1+B747)^2*$I747-'DCF Base Case'!$B$2*(1+B747)^1*B747*'DCF Base Case'!$B$4</f>
        <v>23.9836124217901</v>
      </c>
      <c r="L747" s="24" t="n">
        <f aca="false">'DCF Base Case'!$B$2*(1+B747)^3*$I747-'DCF Base Case'!$B$2*(1+B747)^2*B747*'DCF Base Case'!$B$4</f>
        <v>26.2919466108998</v>
      </c>
      <c r="M747" s="24" t="n">
        <f aca="false">'DCF Base Case'!$B$2*(1+B747)^4*$I747-'DCF Base Case'!$B$2*(1+B747)^3*B747*'DCF Base Case'!$B$4</f>
        <v>28.8224494472885</v>
      </c>
      <c r="N747" s="24" t="n">
        <f aca="false">'DCF Base Case'!$B$2*(1+B747)^5*$I747-'DCF Base Case'!$B$2*(1+B747)^4*B747*'DCF Base Case'!$B$4</f>
        <v>31.59650384339</v>
      </c>
      <c r="O747" s="24" t="n">
        <f aca="false">J747/(1+H747)^1+K747/(1+H747)^2+L747/(1+H747)^3+M747/(1+H747)^4+N747/(1+H747)^5</f>
        <v>97.5334466397487</v>
      </c>
      <c r="P747" s="24" t="n">
        <f aca="false">N747*(1+F747)/(H747-F747)</f>
        <v>364.829695120061</v>
      </c>
      <c r="Q747" s="24" t="n">
        <f aca="false">O747+P747/(1+H747)^5</f>
        <v>319.34428308954</v>
      </c>
      <c r="R747" s="24" t="n">
        <f aca="false">Q747-'DCF Base Case'!$B$5</f>
        <v>134.34428308954</v>
      </c>
      <c r="S747" s="32" t="n">
        <f aca="false">R747/'DCF Base Case'!$B$6</f>
        <v>5.37377132358161</v>
      </c>
    </row>
    <row r="748" customFormat="false" ht="15" hidden="false" customHeight="true" outlineLevel="0" collapsed="false">
      <c r="A748" s="6" t="n">
        <v>747</v>
      </c>
      <c r="B748" s="30" t="n">
        <v>0.0953726051472635</v>
      </c>
      <c r="C748" s="30" t="n">
        <v>0.405621121250792</v>
      </c>
      <c r="D748" s="30" t="n">
        <v>0.0933398063895099</v>
      </c>
      <c r="E748" s="30" t="n">
        <v>0.291259905249774</v>
      </c>
      <c r="F748" s="30" t="n">
        <v>0.020123162373084</v>
      </c>
      <c r="G748" s="30" t="n">
        <v>0.164319555575843</v>
      </c>
      <c r="H748" s="31" t="n">
        <f aca="false">MAX(D748,F748+0.015)</f>
        <v>0.0933398063895099</v>
      </c>
      <c r="I748" s="25" t="n">
        <f aca="false">(C748-'DCF Base Case'!$B$3)*(1-E748)+'DCF Base Case'!$B$3-G748</f>
        <v>0.161024184014607</v>
      </c>
      <c r="J748" s="24" t="n">
        <f aca="false">'DCF Base Case'!$B$2*(1+B748)^1*$I748-'DCF Base Case'!$B$2*(1+B748)^0*B748*'DCF Base Case'!$B$4</f>
        <v>25.1604437582993</v>
      </c>
      <c r="K748" s="24" t="n">
        <f aca="false">'DCF Base Case'!$B$2*(1+B748)^2*$I748-'DCF Base Case'!$B$2*(1+B748)^1*B748*'DCF Base Case'!$B$4</f>
        <v>27.5600608261895</v>
      </c>
      <c r="L748" s="24" t="n">
        <f aca="false">'DCF Base Case'!$B$2*(1+B748)^3*$I748-'DCF Base Case'!$B$2*(1+B748)^2*B748*'DCF Base Case'!$B$4</f>
        <v>30.1885356252002</v>
      </c>
      <c r="M748" s="24" t="n">
        <f aca="false">'DCF Base Case'!$B$2*(1+B748)^4*$I748-'DCF Base Case'!$B$2*(1+B748)^3*B748*'DCF Base Case'!$B$4</f>
        <v>33.0676949133565</v>
      </c>
      <c r="N748" s="24" t="n">
        <f aca="false">'DCF Base Case'!$B$2*(1+B748)^5*$I748-'DCF Base Case'!$B$2*(1+B748)^4*B748*'DCF Base Case'!$B$4</f>
        <v>36.2214471234583</v>
      </c>
      <c r="O748" s="24" t="n">
        <f aca="false">J748/(1+H748)^1+K748/(1+H748)^2+L748/(1+H748)^3+M748/(1+H748)^4+N748/(1+H748)^5</f>
        <v>115.490980676534</v>
      </c>
      <c r="P748" s="24" t="n">
        <f aca="false">N748*(1+F748)/(H748-F748)</f>
        <v>504.671276342877</v>
      </c>
      <c r="Q748" s="24" t="n">
        <f aca="false">O748+P748/(1+H748)^5</f>
        <v>438.513489787698</v>
      </c>
      <c r="R748" s="24" t="n">
        <f aca="false">Q748-'DCF Base Case'!$B$5</f>
        <v>253.513489787698</v>
      </c>
      <c r="S748" s="32" t="n">
        <f aca="false">R748/'DCF Base Case'!$B$6</f>
        <v>10.1405395915079</v>
      </c>
    </row>
    <row r="749" customFormat="false" ht="15" hidden="false" customHeight="true" outlineLevel="0" collapsed="false">
      <c r="A749" s="6" t="n">
        <v>748</v>
      </c>
      <c r="B749" s="30" t="n">
        <v>0.0991824563265693</v>
      </c>
      <c r="C749" s="30" t="n">
        <v>0.422196476269655</v>
      </c>
      <c r="D749" s="30" t="n">
        <v>0.0856500266632752</v>
      </c>
      <c r="E749" s="30" t="n">
        <v>0.264451686715719</v>
      </c>
      <c r="F749" s="30" t="n">
        <v>0.0250655442460904</v>
      </c>
      <c r="G749" s="30" t="n">
        <v>0.144229118034573</v>
      </c>
      <c r="H749" s="31" t="n">
        <f aca="false">MAX(D749,F749+0.015)</f>
        <v>0.0856500266632752</v>
      </c>
      <c r="I749" s="25" t="n">
        <f aca="false">(C749-'DCF Base Case'!$B$3)*(1-E749)+'DCF Base Case'!$B$3-G749</f>
        <v>0.200695507233182</v>
      </c>
      <c r="J749" s="24" t="n">
        <f aca="false">'DCF Base Case'!$B$2*(1+B749)^1*$I749-'DCF Base Case'!$B$2*(1+B749)^0*B749*'DCF Base Case'!$B$4</f>
        <v>31.5556985040494</v>
      </c>
      <c r="K749" s="24" t="n">
        <f aca="false">'DCF Base Case'!$B$2*(1+B749)^2*$I749-'DCF Base Case'!$B$2*(1+B749)^1*B749*'DCF Base Case'!$B$4</f>
        <v>34.6854701927817</v>
      </c>
      <c r="L749" s="24" t="n">
        <f aca="false">'DCF Base Case'!$B$2*(1+B749)^3*$I749-'DCF Base Case'!$B$2*(1+B749)^2*B749*'DCF Base Case'!$B$4</f>
        <v>38.1256603253438</v>
      </c>
      <c r="M749" s="24" t="n">
        <f aca="false">'DCF Base Case'!$B$2*(1+B749)^4*$I749-'DCF Base Case'!$B$2*(1+B749)^3*B749*'DCF Base Case'!$B$4</f>
        <v>41.9070569654838</v>
      </c>
      <c r="N749" s="24" t="n">
        <f aca="false">'DCF Base Case'!$B$2*(1+B749)^5*$I749-'DCF Base Case'!$B$2*(1+B749)^4*B749*'DCF Base Case'!$B$4</f>
        <v>46.063501812738</v>
      </c>
      <c r="O749" s="24" t="n">
        <f aca="false">J749/(1+H749)^1+K749/(1+H749)^2+L749/(1+H749)^3+M749/(1+H749)^4+N749/(1+H749)^5</f>
        <v>148.999386345118</v>
      </c>
      <c r="P749" s="24" t="n">
        <f aca="false">N749*(1+F749)/(H749-F749)</f>
        <v>779.376280388286</v>
      </c>
      <c r="Q749" s="24" t="n">
        <f aca="false">O749+P749/(1+H749)^5</f>
        <v>665.770164310918</v>
      </c>
      <c r="R749" s="24" t="n">
        <f aca="false">Q749-'DCF Base Case'!$B$5</f>
        <v>480.770164310918</v>
      </c>
      <c r="S749" s="32" t="n">
        <f aca="false">R749/'DCF Base Case'!$B$6</f>
        <v>19.2308065724367</v>
      </c>
    </row>
    <row r="750" customFormat="false" ht="15" hidden="false" customHeight="true" outlineLevel="0" collapsed="false">
      <c r="A750" s="6" t="n">
        <v>749</v>
      </c>
      <c r="B750" s="30" t="n">
        <v>0.099106357693726</v>
      </c>
      <c r="C750" s="30" t="n">
        <v>0.411396046931821</v>
      </c>
      <c r="D750" s="30" t="n">
        <v>0.104355019963942</v>
      </c>
      <c r="E750" s="30" t="n">
        <v>0.260072450097069</v>
      </c>
      <c r="F750" s="30" t="n">
        <v>0.0163592985514718</v>
      </c>
      <c r="G750" s="30" t="n">
        <v>0.145773520809603</v>
      </c>
      <c r="H750" s="31" t="n">
        <f aca="false">MAX(D750,F750+0.015)</f>
        <v>0.104355019963942</v>
      </c>
      <c r="I750" s="25" t="n">
        <f aca="false">(C750-'DCF Base Case'!$B$3)*(1-E750)+'DCF Base Case'!$B$3-G750</f>
        <v>0.19243916674903</v>
      </c>
      <c r="J750" s="24" t="n">
        <f aca="false">'DCF Base Case'!$B$2*(1+B750)^1*$I750-'DCF Base Case'!$B$2*(1+B750)^0*B750*'DCF Base Case'!$B$4</f>
        <v>30.2379985322878</v>
      </c>
      <c r="K750" s="24" t="n">
        <f aca="false">'DCF Base Case'!$B$2*(1+B750)^2*$I750-'DCF Base Case'!$B$2*(1+B750)^1*B750*'DCF Base Case'!$B$4</f>
        <v>33.2347764307711</v>
      </c>
      <c r="L750" s="24" t="n">
        <f aca="false">'DCF Base Case'!$B$2*(1+B750)^3*$I750-'DCF Base Case'!$B$2*(1+B750)^2*B750*'DCF Base Case'!$B$4</f>
        <v>36.5285540715901</v>
      </c>
      <c r="M750" s="24" t="n">
        <f aca="false">'DCF Base Case'!$B$2*(1+B750)^4*$I750-'DCF Base Case'!$B$2*(1+B750)^3*B750*'DCF Base Case'!$B$4</f>
        <v>40.1487660174437</v>
      </c>
      <c r="N750" s="24" t="n">
        <f aca="false">'DCF Base Case'!$B$2*(1+B750)^5*$I750-'DCF Base Case'!$B$2*(1+B750)^4*B750*'DCF Base Case'!$B$4</f>
        <v>44.1277639833302</v>
      </c>
      <c r="O750" s="24" t="n">
        <f aca="false">J750/(1+H750)^1+K750/(1+H750)^2+L750/(1+H750)^3+M750/(1+H750)^4+N750/(1+H750)^5</f>
        <v>135.608281912147</v>
      </c>
      <c r="P750" s="24" t="n">
        <f aca="false">N750*(1+F750)/(H750-F750)</f>
        <v>509.68004499349</v>
      </c>
      <c r="Q750" s="24" t="n">
        <f aca="false">O750+P750/(1+H750)^5</f>
        <v>445.88849581614</v>
      </c>
      <c r="R750" s="24" t="n">
        <f aca="false">Q750-'DCF Base Case'!$B$5</f>
        <v>260.88849581614</v>
      </c>
      <c r="S750" s="32" t="n">
        <f aca="false">R750/'DCF Base Case'!$B$6</f>
        <v>10.4355398326456</v>
      </c>
    </row>
    <row r="751" customFormat="false" ht="15" hidden="false" customHeight="true" outlineLevel="0" collapsed="false">
      <c r="A751" s="6" t="n">
        <v>750</v>
      </c>
      <c r="B751" s="30" t="n">
        <v>0.0968044252448134</v>
      </c>
      <c r="C751" s="30" t="n">
        <v>0.386877444281155</v>
      </c>
      <c r="D751" s="30" t="n">
        <v>0.0797361865576646</v>
      </c>
      <c r="E751" s="30" t="n">
        <v>0.245874130457635</v>
      </c>
      <c r="F751" s="30" t="n">
        <v>0.0202091503981093</v>
      </c>
      <c r="G751" s="30" t="n">
        <v>0.155126166797497</v>
      </c>
      <c r="H751" s="31" t="n">
        <f aca="false">MAX(D751,F751+0.015)</f>
        <v>0.0797361865576646</v>
      </c>
      <c r="I751" s="25" t="n">
        <f aca="false">(C751-'DCF Base Case'!$B$3)*(1-E751)+'DCF Base Case'!$B$3-G751</f>
        <v>0.168591759236849</v>
      </c>
      <c r="J751" s="24" t="n">
        <f aca="false">'DCF Base Case'!$B$2*(1+B751)^1*$I751-'DCF Base Case'!$B$2*(1+B751)^0*B751*'DCF Base Case'!$B$4</f>
        <v>26.3911679508488</v>
      </c>
      <c r="K751" s="24" t="n">
        <f aca="false">'DCF Base Case'!$B$2*(1+B751)^2*$I751-'DCF Base Case'!$B$2*(1+B751)^1*B751*'DCF Base Case'!$B$4</f>
        <v>28.9459497958701</v>
      </c>
      <c r="L751" s="24" t="n">
        <f aca="false">'DCF Base Case'!$B$2*(1+B751)^3*$I751-'DCF Base Case'!$B$2*(1+B751)^2*B751*'DCF Base Case'!$B$4</f>
        <v>31.7480458290245</v>
      </c>
      <c r="M751" s="24" t="n">
        <f aca="false">'DCF Base Case'!$B$2*(1+B751)^4*$I751-'DCF Base Case'!$B$2*(1+B751)^3*B751*'DCF Base Case'!$B$4</f>
        <v>34.8213971581492</v>
      </c>
      <c r="N751" s="24" t="n">
        <f aca="false">'DCF Base Case'!$B$2*(1+B751)^5*$I751-'DCF Base Case'!$B$2*(1+B751)^4*B751*'DCF Base Case'!$B$4</f>
        <v>38.1922624962653</v>
      </c>
      <c r="O751" s="24" t="n">
        <f aca="false">J751/(1+H751)^1+K751/(1+H751)^2+L751/(1+H751)^3+M751/(1+H751)^4+N751/(1+H751)^5</f>
        <v>126.136524443357</v>
      </c>
      <c r="P751" s="24" t="n">
        <f aca="false">N751*(1+F751)/(H751-F751)</f>
        <v>654.561325187728</v>
      </c>
      <c r="Q751" s="24" t="n">
        <f aca="false">O751+P751/(1+H751)^5</f>
        <v>572.164457741007</v>
      </c>
      <c r="R751" s="24" t="n">
        <f aca="false">Q751-'DCF Base Case'!$B$5</f>
        <v>387.164457741007</v>
      </c>
      <c r="S751" s="32" t="n">
        <f aca="false">R751/'DCF Base Case'!$B$6</f>
        <v>15.4865783096403</v>
      </c>
    </row>
    <row r="752" customFormat="false" ht="15" hidden="false" customHeight="true" outlineLevel="0" collapsed="false">
      <c r="A752" s="6" t="n">
        <v>751</v>
      </c>
      <c r="B752" s="30" t="n">
        <v>0.0584889108450601</v>
      </c>
      <c r="C752" s="30" t="n">
        <v>0.424791858053074</v>
      </c>
      <c r="D752" s="30" t="n">
        <v>0.0706156641177657</v>
      </c>
      <c r="E752" s="30" t="n">
        <v>0.304107250137199</v>
      </c>
      <c r="F752" s="30" t="n">
        <v>0.0165028289706125</v>
      </c>
      <c r="G752" s="30" t="n">
        <v>0.201896097854166</v>
      </c>
      <c r="H752" s="31" t="n">
        <f aca="false">MAX(D752,F752+0.015)</f>
        <v>0.0706156641177657</v>
      </c>
      <c r="I752" s="25" t="n">
        <f aca="false">(C752-'DCF Base Case'!$B$3)*(1-E752)+'DCF Base Case'!$B$3-G752</f>
        <v>0.133247418883552</v>
      </c>
      <c r="J752" s="24" t="n">
        <f aca="false">'DCF Base Case'!$B$2*(1+B752)^1*$I752-'DCF Base Case'!$B$2*(1+B752)^0*B752*'DCF Base Case'!$B$4</f>
        <v>20.1965059544341</v>
      </c>
      <c r="K752" s="24" t="n">
        <f aca="false">'DCF Base Case'!$B$2*(1+B752)^2*$I752-'DCF Base Case'!$B$2*(1+B752)^1*B752*'DCF Base Case'!$B$4</f>
        <v>21.3777775905848</v>
      </c>
      <c r="L752" s="24" t="n">
        <f aca="false">'DCF Base Case'!$B$2*(1+B752)^3*$I752-'DCF Base Case'!$B$2*(1+B752)^2*B752*'DCF Base Case'!$B$4</f>
        <v>22.628140518146</v>
      </c>
      <c r="M752" s="24" t="n">
        <f aca="false">'DCF Base Case'!$B$2*(1+B752)^4*$I752-'DCF Base Case'!$B$2*(1+B752)^3*B752*'DCF Base Case'!$B$4</f>
        <v>23.9516358115013</v>
      </c>
      <c r="N752" s="24" t="n">
        <f aca="false">'DCF Base Case'!$B$2*(1+B752)^5*$I752-'DCF Base Case'!$B$2*(1+B752)^4*B752*'DCF Base Case'!$B$4</f>
        <v>25.3525409030736</v>
      </c>
      <c r="O752" s="24" t="n">
        <f aca="false">J752/(1+H752)^1+K752/(1+H752)^2+L752/(1+H752)^3+M752/(1+H752)^4+N752/(1+H752)^5</f>
        <v>92.209240985731</v>
      </c>
      <c r="P752" s="24" t="n">
        <f aca="false">N752*(1+F752)/(H752-F752)</f>
        <v>476.244304691976</v>
      </c>
      <c r="Q752" s="24" t="n">
        <f aca="false">O752+P752/(1+H752)^5</f>
        <v>430.789652823752</v>
      </c>
      <c r="R752" s="24" t="n">
        <f aca="false">Q752-'DCF Base Case'!$B$5</f>
        <v>245.789652823752</v>
      </c>
      <c r="S752" s="32" t="n">
        <f aca="false">R752/'DCF Base Case'!$B$6</f>
        <v>9.83158611295007</v>
      </c>
    </row>
    <row r="753" customFormat="false" ht="15" hidden="false" customHeight="true" outlineLevel="0" collapsed="false">
      <c r="A753" s="6" t="n">
        <v>752</v>
      </c>
      <c r="B753" s="30" t="n">
        <v>0.106327850919388</v>
      </c>
      <c r="C753" s="30" t="n">
        <v>0.398546330203765</v>
      </c>
      <c r="D753" s="30" t="n">
        <v>0.0749120919256866</v>
      </c>
      <c r="E753" s="30" t="n">
        <v>0.298068228338563</v>
      </c>
      <c r="F753" s="30" t="n">
        <v>0.0183300731687937</v>
      </c>
      <c r="G753" s="30" t="n">
        <v>0.161661176982921</v>
      </c>
      <c r="H753" s="31" t="n">
        <f aca="false">MAX(D753,F753+0.015)</f>
        <v>0.0749120919256866</v>
      </c>
      <c r="I753" s="25" t="n">
        <f aca="false">(C753-'DCF Base Case'!$B$3)*(1-E753)+'DCF Base Case'!$B$3-G753</f>
        <v>0.156840024350185</v>
      </c>
      <c r="J753" s="24" t="n">
        <f aca="false">'DCF Base Case'!$B$2*(1+B753)^1*$I753-'DCF Base Case'!$B$2*(1+B753)^0*B753*'DCF Base Case'!$B$4</f>
        <v>24.6973644747359</v>
      </c>
      <c r="K753" s="24" t="n">
        <f aca="false">'DCF Base Case'!$B$2*(1+B753)^2*$I753-'DCF Base Case'!$B$2*(1+B753)^1*B753*'DCF Base Case'!$B$4</f>
        <v>27.3233821627075</v>
      </c>
      <c r="L753" s="24" t="n">
        <f aca="false">'DCF Base Case'!$B$2*(1+B753)^3*$I753-'DCF Base Case'!$B$2*(1+B753)^2*B753*'DCF Base Case'!$B$4</f>
        <v>30.2286186679173</v>
      </c>
      <c r="M753" s="24" t="n">
        <f aca="false">'DCF Base Case'!$B$2*(1+B753)^4*$I753-'DCF Base Case'!$B$2*(1+B753)^3*B753*'DCF Base Case'!$B$4</f>
        <v>33.4427627271386</v>
      </c>
      <c r="N753" s="24" t="n">
        <f aca="false">'DCF Base Case'!$B$2*(1+B753)^5*$I753-'DCF Base Case'!$B$2*(1+B753)^4*B753*'DCF Base Case'!$B$4</f>
        <v>36.9986598167223</v>
      </c>
      <c r="O753" s="24" t="n">
        <f aca="false">J753/(1+H753)^1+K753/(1+H753)^2+L753/(1+H753)^3+M753/(1+H753)^4+N753/(1+H753)^5</f>
        <v>121.7950962371</v>
      </c>
      <c r="P753" s="24" t="n">
        <f aca="false">N753*(1+F753)/(H753-F753)</f>
        <v>665.880235206706</v>
      </c>
      <c r="Q753" s="24" t="n">
        <f aca="false">O753+P753/(1+H753)^5</f>
        <v>585.809414900045</v>
      </c>
      <c r="R753" s="24" t="n">
        <f aca="false">Q753-'DCF Base Case'!$B$5</f>
        <v>400.809414900045</v>
      </c>
      <c r="S753" s="32" t="n">
        <f aca="false">R753/'DCF Base Case'!$B$6</f>
        <v>16.0323765960018</v>
      </c>
    </row>
    <row r="754" customFormat="false" ht="15" hidden="false" customHeight="true" outlineLevel="0" collapsed="false">
      <c r="A754" s="6" t="n">
        <v>753</v>
      </c>
      <c r="B754" s="30" t="n">
        <v>0.117456250102614</v>
      </c>
      <c r="C754" s="30" t="n">
        <v>0.408925817174717</v>
      </c>
      <c r="D754" s="30" t="n">
        <v>0.08600423149393</v>
      </c>
      <c r="E754" s="30" t="n">
        <v>0.308989739267551</v>
      </c>
      <c r="F754" s="30" t="n">
        <v>0.02225971167137</v>
      </c>
      <c r="G754" s="30" t="n">
        <v>0.161858436545331</v>
      </c>
      <c r="H754" s="31" t="n">
        <f aca="false">MAX(D754,F754+0.015)</f>
        <v>0.08600423149393</v>
      </c>
      <c r="I754" s="25" t="n">
        <f aca="false">(C754-'DCF Base Case'!$B$3)*(1-E754)+'DCF Base Case'!$B$3-G754</f>
        <v>0.160882165105582</v>
      </c>
      <c r="J754" s="24" t="n">
        <f aca="false">'DCF Base Case'!$B$2*(1+B754)^1*$I754-'DCF Base Case'!$B$2*(1+B754)^0*B754*'DCF Base Case'!$B$4</f>
        <v>25.5569885465082</v>
      </c>
      <c r="K754" s="24" t="n">
        <f aca="false">'DCF Base Case'!$B$2*(1+B754)^2*$I754-'DCF Base Case'!$B$2*(1+B754)^1*B754*'DCF Base Case'!$B$4</f>
        <v>28.5588165850965</v>
      </c>
      <c r="L754" s="24" t="n">
        <f aca="false">'DCF Base Case'!$B$2*(1+B754)^3*$I754-'DCF Base Case'!$B$2*(1+B754)^2*B754*'DCF Base Case'!$B$4</f>
        <v>31.9132280885503</v>
      </c>
      <c r="M754" s="24" t="n">
        <f aca="false">'DCF Base Case'!$B$2*(1+B754)^4*$I754-'DCF Base Case'!$B$2*(1+B754)^3*B754*'DCF Base Case'!$B$4</f>
        <v>35.6616361885008</v>
      </c>
      <c r="N754" s="24" t="n">
        <f aca="false">'DCF Base Case'!$B$2*(1+B754)^5*$I754-'DCF Base Case'!$B$2*(1+B754)^4*B754*'DCF Base Case'!$B$4</f>
        <v>39.8503182477258</v>
      </c>
      <c r="O754" s="24" t="n">
        <f aca="false">J754/(1+H754)^1+K754/(1+H754)^2+L754/(1+H754)^3+M754/(1+H754)^4+N754/(1+H754)^5</f>
        <v>124.680953463387</v>
      </c>
      <c r="P754" s="24" t="n">
        <f aca="false">N754*(1+F754)/(H754-F754)</f>
        <v>639.072581538453</v>
      </c>
      <c r="Q754" s="24" t="n">
        <f aca="false">O754+P754/(1+H754)^5</f>
        <v>547.731828818943</v>
      </c>
      <c r="R754" s="24" t="n">
        <f aca="false">Q754-'DCF Base Case'!$B$5</f>
        <v>362.731828818943</v>
      </c>
      <c r="S754" s="32" t="n">
        <f aca="false">R754/'DCF Base Case'!$B$6</f>
        <v>14.5092731527577</v>
      </c>
    </row>
    <row r="755" customFormat="false" ht="15" hidden="false" customHeight="true" outlineLevel="0" collapsed="false">
      <c r="A755" s="6" t="n">
        <v>754</v>
      </c>
      <c r="B755" s="30" t="n">
        <v>0.0839503527651958</v>
      </c>
      <c r="C755" s="30" t="n">
        <v>0.375840347124517</v>
      </c>
      <c r="D755" s="30" t="n">
        <v>0.0733813050806829</v>
      </c>
      <c r="E755" s="30" t="n">
        <v>0.289061082288074</v>
      </c>
      <c r="F755" s="30" t="n">
        <v>0.0188263346652092</v>
      </c>
      <c r="G755" s="30" t="n">
        <v>0.16688862462157</v>
      </c>
      <c r="H755" s="31" t="n">
        <f aca="false">MAX(D755,F755+0.015)</f>
        <v>0.0733813050806829</v>
      </c>
      <c r="I755" s="25" t="n">
        <f aca="false">(C755-'DCF Base Case'!$B$3)*(1-E755)+'DCF Base Case'!$B$3-G755</f>
        <v>0.137888845693058</v>
      </c>
      <c r="J755" s="24" t="n">
        <f aca="false">'DCF Base Case'!$B$2*(1+B755)^1*$I755-'DCF Base Case'!$B$2*(1+B755)^0*B755*'DCF Base Case'!$B$4</f>
        <v>21.307192090521</v>
      </c>
      <c r="K755" s="24" t="n">
        <f aca="false">'DCF Base Case'!$B$2*(1+B755)^2*$I755-'DCF Base Case'!$B$2*(1+B755)^1*B755*'DCF Base Case'!$B$4</f>
        <v>23.095938382956</v>
      </c>
      <c r="L755" s="24" t="n">
        <f aca="false">'DCF Base Case'!$B$2*(1+B755)^3*$I755-'DCF Base Case'!$B$2*(1+B755)^2*B755*'DCF Base Case'!$B$4</f>
        <v>25.0348505576484</v>
      </c>
      <c r="M755" s="24" t="n">
        <f aca="false">'DCF Base Case'!$B$2*(1+B755)^4*$I755-'DCF Base Case'!$B$2*(1+B755)^3*B755*'DCF Base Case'!$B$4</f>
        <v>27.1365350933869</v>
      </c>
      <c r="N755" s="24" t="n">
        <f aca="false">'DCF Base Case'!$B$2*(1+B755)^5*$I755-'DCF Base Case'!$B$2*(1+B755)^4*B755*'DCF Base Case'!$B$4</f>
        <v>29.4146567873019</v>
      </c>
      <c r="O755" s="24" t="n">
        <f aca="false">J755/(1+H755)^1+K755/(1+H755)^2+L755/(1+H755)^3+M755/(1+H755)^4+N755/(1+H755)^5</f>
        <v>101.226593312159</v>
      </c>
      <c r="P755" s="24" t="n">
        <f aca="false">N755*(1+F755)/(H755-F755)</f>
        <v>549.325326946594</v>
      </c>
      <c r="Q755" s="24" t="n">
        <f aca="false">O755+P755/(1+H755)^5</f>
        <v>486.757755939301</v>
      </c>
      <c r="R755" s="24" t="n">
        <f aca="false">Q755-'DCF Base Case'!$B$5</f>
        <v>301.757755939301</v>
      </c>
      <c r="S755" s="32" t="n">
        <f aca="false">R755/'DCF Base Case'!$B$6</f>
        <v>12.070310237572</v>
      </c>
    </row>
    <row r="756" customFormat="false" ht="15" hidden="false" customHeight="true" outlineLevel="0" collapsed="false">
      <c r="A756" s="6" t="n">
        <v>755</v>
      </c>
      <c r="B756" s="30" t="n">
        <v>0.112673876795905</v>
      </c>
      <c r="C756" s="30" t="n">
        <v>0.396912078734202</v>
      </c>
      <c r="D756" s="30" t="n">
        <v>0.0824020166754409</v>
      </c>
      <c r="E756" s="30" t="n">
        <v>0.285122570764654</v>
      </c>
      <c r="F756" s="30" t="n">
        <v>0.0164897344313282</v>
      </c>
      <c r="G756" s="30" t="n">
        <v>0.198625235333525</v>
      </c>
      <c r="H756" s="31" t="n">
        <f aca="false">MAX(D756,F756+0.015)</f>
        <v>0.0824020166754409</v>
      </c>
      <c r="I756" s="25" t="n">
        <f aca="false">(C756-'DCF Base Case'!$B$3)*(1-E756)+'DCF Base Case'!$B$3-G756</f>
        <v>0.122184185343844</v>
      </c>
      <c r="J756" s="24" t="n">
        <f aca="false">'DCF Base Case'!$B$2*(1+B756)^1*$I756-'DCF Base Case'!$B$2*(1+B756)^0*B756*'DCF Base Case'!$B$4</f>
        <v>19.222785558442</v>
      </c>
      <c r="K756" s="24" t="n">
        <f aca="false">'DCF Base Case'!$B$2*(1+B756)^2*$I756-'DCF Base Case'!$B$2*(1+B756)^1*B756*'DCF Base Case'!$B$4</f>
        <v>21.388691330128</v>
      </c>
      <c r="L756" s="24" t="n">
        <f aca="false">'DCF Base Case'!$B$2*(1+B756)^3*$I756-'DCF Base Case'!$B$2*(1+B756)^2*B756*'DCF Base Case'!$B$4</f>
        <v>23.7986381018844</v>
      </c>
      <c r="M756" s="24" t="n">
        <f aca="false">'DCF Base Case'!$B$2*(1+B756)^4*$I756-'DCF Base Case'!$B$2*(1+B756)^3*B756*'DCF Base Case'!$B$4</f>
        <v>26.4801229192865</v>
      </c>
      <c r="N756" s="24" t="n">
        <f aca="false">'DCF Base Case'!$B$2*(1+B756)^5*$I756-'DCF Base Case'!$B$2*(1+B756)^4*B756*'DCF Base Case'!$B$4</f>
        <v>29.4637410266346</v>
      </c>
      <c r="O756" s="24" t="n">
        <f aca="false">J756/(1+H756)^1+K756/(1+H756)^2+L756/(1+H756)^3+M756/(1+H756)^4+N756/(1+H756)^5</f>
        <v>93.9045651247549</v>
      </c>
      <c r="P756" s="24" t="n">
        <f aca="false">N756*(1+F756)/(H756-F756)</f>
        <v>454.385575371157</v>
      </c>
      <c r="Q756" s="24" t="n">
        <f aca="false">O756+P756/(1+H756)^5</f>
        <v>399.735612722919</v>
      </c>
      <c r="R756" s="24" t="n">
        <f aca="false">Q756-'DCF Base Case'!$B$5</f>
        <v>214.735612722919</v>
      </c>
      <c r="S756" s="32" t="n">
        <f aca="false">R756/'DCF Base Case'!$B$6</f>
        <v>8.58942450891677</v>
      </c>
    </row>
    <row r="757" customFormat="false" ht="15" hidden="false" customHeight="true" outlineLevel="0" collapsed="false">
      <c r="A757" s="6" t="n">
        <v>756</v>
      </c>
      <c r="B757" s="30" t="n">
        <v>0.10985168843883</v>
      </c>
      <c r="C757" s="30" t="n">
        <v>0.42667334405448</v>
      </c>
      <c r="D757" s="30" t="n">
        <v>0.104736549572615</v>
      </c>
      <c r="E757" s="30" t="n">
        <v>0.252136345466438</v>
      </c>
      <c r="F757" s="30" t="n">
        <v>0.0193252665286888</v>
      </c>
      <c r="G757" s="30" t="n">
        <v>0.173714570970746</v>
      </c>
      <c r="H757" s="31" t="n">
        <f aca="false">MAX(D757,F757+0.015)</f>
        <v>0.104736549572615</v>
      </c>
      <c r="I757" s="25" t="n">
        <f aca="false">(C757-'DCF Base Case'!$B$3)*(1-E757)+'DCF Base Case'!$B$3-G757</f>
        <v>0.17815664031653</v>
      </c>
      <c r="J757" s="24" t="n">
        <f aca="false">'DCF Base Case'!$B$2*(1+B757)^1*$I757-'DCF Base Case'!$B$2*(1+B757)^0*B757*'DCF Base Case'!$B$4</f>
        <v>28.1926251242652</v>
      </c>
      <c r="K757" s="24" t="n">
        <f aca="false">'DCF Base Case'!$B$2*(1+B757)^2*$I757-'DCF Base Case'!$B$2*(1+B757)^1*B757*'DCF Base Case'!$B$4</f>
        <v>31.2896325956887</v>
      </c>
      <c r="L757" s="24" t="n">
        <f aca="false">'DCF Base Case'!$B$2*(1+B757)^3*$I757-'DCF Base Case'!$B$2*(1+B757)^2*B757*'DCF Base Case'!$B$4</f>
        <v>34.7268515669558</v>
      </c>
      <c r="M757" s="24" t="n">
        <f aca="false">'DCF Base Case'!$B$2*(1+B757)^4*$I757-'DCF Base Case'!$B$2*(1+B757)^3*B757*'DCF Base Case'!$B$4</f>
        <v>38.5416548457505</v>
      </c>
      <c r="N757" s="24" t="n">
        <f aca="false">'DCF Base Case'!$B$2*(1+B757)^5*$I757-'DCF Base Case'!$B$2*(1+B757)^4*B757*'DCF Base Case'!$B$4</f>
        <v>42.7755207057828</v>
      </c>
      <c r="O757" s="24" t="n">
        <f aca="false">J757/(1+H757)^1+K757/(1+H757)^2+L757/(1+H757)^3+M757/(1+H757)^4+N757/(1+H757)^5</f>
        <v>128.785958596265</v>
      </c>
      <c r="P757" s="24" t="n">
        <f aca="false">N757*(1+F757)/(H757-F757)</f>
        <v>510.496593546093</v>
      </c>
      <c r="Q757" s="24" t="n">
        <f aca="false">O757+P757/(1+H757)^5</f>
        <v>439.026989826677</v>
      </c>
      <c r="R757" s="24" t="n">
        <f aca="false">Q757-'DCF Base Case'!$B$5</f>
        <v>254.026989826677</v>
      </c>
      <c r="S757" s="32" t="n">
        <f aca="false">R757/'DCF Base Case'!$B$6</f>
        <v>10.1610795930671</v>
      </c>
    </row>
    <row r="758" customFormat="false" ht="15" hidden="false" customHeight="true" outlineLevel="0" collapsed="false">
      <c r="A758" s="6" t="n">
        <v>757</v>
      </c>
      <c r="B758" s="30" t="n">
        <v>0.0700177142354758</v>
      </c>
      <c r="C758" s="30" t="n">
        <v>0.413926860282684</v>
      </c>
      <c r="D758" s="30" t="n">
        <v>0.0728275925683334</v>
      </c>
      <c r="E758" s="30" t="n">
        <v>0.300758486012725</v>
      </c>
      <c r="F758" s="30" t="n">
        <v>0.0231365343634967</v>
      </c>
      <c r="G758" s="30" t="n">
        <v>0.171460356119211</v>
      </c>
      <c r="H758" s="31" t="n">
        <f aca="false">MAX(D758,F758+0.015)</f>
        <v>0.0728275925683334</v>
      </c>
      <c r="I758" s="25" t="n">
        <f aca="false">(C758-'DCF Base Case'!$B$3)*(1-E758)+'DCF Base Case'!$B$3-G758</f>
        <v>0.157073091526506</v>
      </c>
      <c r="J758" s="24" t="n">
        <f aca="false">'DCF Base Case'!$B$2*(1+B758)^1*$I758-'DCF Base Case'!$B$2*(1+B758)^0*B758*'DCF Base Case'!$B$4</f>
        <v>24.065716545724</v>
      </c>
      <c r="K758" s="24" t="n">
        <f aca="false">'DCF Base Case'!$B$2*(1+B758)^2*$I758-'DCF Base Case'!$B$2*(1+B758)^1*B758*'DCF Base Case'!$B$4</f>
        <v>25.7507430096945</v>
      </c>
      <c r="L758" s="24" t="n">
        <f aca="false">'DCF Base Case'!$B$2*(1+B758)^3*$I758-'DCF Base Case'!$B$2*(1+B758)^2*B758*'DCF Base Case'!$B$4</f>
        <v>27.5537511750985</v>
      </c>
      <c r="M758" s="24" t="n">
        <f aca="false">'DCF Base Case'!$B$2*(1+B758)^4*$I758-'DCF Base Case'!$B$2*(1+B758)^3*B758*'DCF Base Case'!$B$4</f>
        <v>29.4830018509919</v>
      </c>
      <c r="N758" s="24" t="n">
        <f aca="false">'DCF Base Case'!$B$2*(1+B758)^5*$I758-'DCF Base Case'!$B$2*(1+B758)^4*B758*'DCF Base Case'!$B$4</f>
        <v>31.5473342493987</v>
      </c>
      <c r="O758" s="24" t="n">
        <f aca="false">J758/(1+H758)^1+K758/(1+H758)^2+L758/(1+H758)^3+M758/(1+H758)^4+N758/(1+H758)^5</f>
        <v>111.574235325968</v>
      </c>
      <c r="P758" s="24" t="n">
        <f aca="false">N758*(1+F758)/(H758-F758)</f>
        <v>649.558117665421</v>
      </c>
      <c r="Q758" s="24" t="n">
        <f aca="false">O758+P758/(1+H758)^5</f>
        <v>568.629105059248</v>
      </c>
      <c r="R758" s="24" t="n">
        <f aca="false">Q758-'DCF Base Case'!$B$5</f>
        <v>383.629105059248</v>
      </c>
      <c r="S758" s="32" t="n">
        <f aca="false">R758/'DCF Base Case'!$B$6</f>
        <v>15.3451642023699</v>
      </c>
    </row>
    <row r="759" customFormat="false" ht="15" hidden="false" customHeight="true" outlineLevel="0" collapsed="false">
      <c r="A759" s="6" t="n">
        <v>758</v>
      </c>
      <c r="B759" s="30" t="n">
        <v>0.05264034646808</v>
      </c>
      <c r="C759" s="30" t="n">
        <v>0.378985926368489</v>
      </c>
      <c r="D759" s="30" t="n">
        <v>0.0912118100353448</v>
      </c>
      <c r="E759" s="30" t="n">
        <v>0.280241261321716</v>
      </c>
      <c r="F759" s="30" t="n">
        <v>0.0107859685678061</v>
      </c>
      <c r="G759" s="30" t="n">
        <v>0.194666405099967</v>
      </c>
      <c r="H759" s="31" t="n">
        <f aca="false">MAX(D759,F759+0.015)</f>
        <v>0.0912118100353448</v>
      </c>
      <c r="I759" s="25" t="n">
        <f aca="false">(C759-'DCF Base Case'!$B$3)*(1-E759)+'DCF Base Case'!$B$3-G759</f>
        <v>0.114543391211661</v>
      </c>
      <c r="J759" s="24" t="n">
        <f aca="false">'DCF Base Case'!$B$2*(1+B759)^1*$I759-'DCF Base Case'!$B$2*(1+B759)^0*B759*'DCF Base Case'!$B$4</f>
        <v>17.2540987694112</v>
      </c>
      <c r="K759" s="24" t="n">
        <f aca="false">'DCF Base Case'!$B$2*(1+B759)^2*$I759-'DCF Base Case'!$B$2*(1+B759)^1*B759*'DCF Base Case'!$B$4</f>
        <v>18.1623605066275</v>
      </c>
      <c r="L759" s="24" t="n">
        <f aca="false">'DCF Base Case'!$B$2*(1+B759)^3*$I759-'DCF Base Case'!$B$2*(1+B759)^2*B759*'DCF Base Case'!$B$4</f>
        <v>19.1184334563745</v>
      </c>
      <c r="M759" s="24" t="n">
        <f aca="false">'DCF Base Case'!$B$2*(1+B759)^4*$I759-'DCF Base Case'!$B$2*(1+B759)^3*B759*'DCF Base Case'!$B$4</f>
        <v>20.124834417445</v>
      </c>
      <c r="N759" s="24" t="n">
        <f aca="false">'DCF Base Case'!$B$2*(1+B759)^5*$I759-'DCF Base Case'!$B$2*(1+B759)^4*B759*'DCF Base Case'!$B$4</f>
        <v>21.1842126737921</v>
      </c>
      <c r="O759" s="24" t="n">
        <f aca="false">J759/(1+H759)^1+K759/(1+H759)^2+L759/(1+H759)^3+M759/(1+H759)^4+N759/(1+H759)^5</f>
        <v>73.6643605281154</v>
      </c>
      <c r="P759" s="24" t="n">
        <f aca="false">N759*(1+F759)/(H759-F759)</f>
        <v>266.241602637976</v>
      </c>
      <c r="Q759" s="24" t="n">
        <f aca="false">O759+P759/(1+H759)^5</f>
        <v>245.74445294171</v>
      </c>
      <c r="R759" s="24" t="n">
        <f aca="false">Q759-'DCF Base Case'!$B$5</f>
        <v>60.7444529417103</v>
      </c>
      <c r="S759" s="32" t="n">
        <f aca="false">R759/'DCF Base Case'!$B$6</f>
        <v>2.42977811766841</v>
      </c>
    </row>
    <row r="760" customFormat="false" ht="15" hidden="false" customHeight="true" outlineLevel="0" collapsed="false">
      <c r="A760" s="6" t="n">
        <v>759</v>
      </c>
      <c r="B760" s="30" t="n">
        <v>0.0927955958122615</v>
      </c>
      <c r="C760" s="30" t="n">
        <v>0.39762463235641</v>
      </c>
      <c r="D760" s="30" t="n">
        <v>0.0959445115732333</v>
      </c>
      <c r="E760" s="30" t="n">
        <v>0.263775953408301</v>
      </c>
      <c r="F760" s="30" t="n">
        <v>0.0165557005669789</v>
      </c>
      <c r="G760" s="30" t="n">
        <v>0.173521636618149</v>
      </c>
      <c r="H760" s="31" t="n">
        <f aca="false">MAX(D760,F760+0.015)</f>
        <v>0.0959445115732333</v>
      </c>
      <c r="I760" s="25" t="n">
        <f aca="false">(C760-'DCF Base Case'!$B$3)*(1-E760)+'DCF Base Case'!$B$3-G760</f>
        <v>0.153510053182903</v>
      </c>
      <c r="J760" s="24" t="n">
        <f aca="false">'DCF Base Case'!$B$2*(1+B760)^1*$I760-'DCF Base Case'!$B$2*(1+B760)^0*B760*'DCF Base Case'!$B$4</f>
        <v>23.9208301127381</v>
      </c>
      <c r="K760" s="24" t="n">
        <f aca="false">'DCF Base Case'!$B$2*(1+B760)^2*$I760-'DCF Base Case'!$B$2*(1+B760)^1*B760*'DCF Base Case'!$B$4</f>
        <v>26.1405777953735</v>
      </c>
      <c r="L760" s="24" t="n">
        <f aca="false">'DCF Base Case'!$B$2*(1+B760)^3*$I760-'DCF Base Case'!$B$2*(1+B760)^2*B760*'DCF Base Case'!$B$4</f>
        <v>28.566308286772</v>
      </c>
      <c r="M760" s="24" t="n">
        <f aca="false">'DCF Base Case'!$B$2*(1+B760)^4*$I760-'DCF Base Case'!$B$2*(1+B760)^3*B760*'DCF Base Case'!$B$4</f>
        <v>31.2171358843997</v>
      </c>
      <c r="N760" s="24" t="n">
        <f aca="false">'DCF Base Case'!$B$2*(1+B760)^5*$I760-'DCF Base Case'!$B$2*(1+B760)^4*B760*'DCF Base Case'!$B$4</f>
        <v>34.1139486083449</v>
      </c>
      <c r="O760" s="24" t="n">
        <f aca="false">J760/(1+H760)^1+K760/(1+H760)^2+L760/(1+H760)^3+M760/(1+H760)^4+N760/(1+H760)^5</f>
        <v>108.508065415982</v>
      </c>
      <c r="P760" s="24" t="n">
        <f aca="false">N760*(1+F760)/(H760-F760)</f>
        <v>436.821366727988</v>
      </c>
      <c r="Q760" s="24" t="n">
        <f aca="false">O760+P760/(1+H760)^5</f>
        <v>384.795442170439</v>
      </c>
      <c r="R760" s="24" t="n">
        <f aca="false">Q760-'DCF Base Case'!$B$5</f>
        <v>199.795442170439</v>
      </c>
      <c r="S760" s="32" t="n">
        <f aca="false">R760/'DCF Base Case'!$B$6</f>
        <v>7.99181768681756</v>
      </c>
    </row>
    <row r="761" customFormat="false" ht="15" hidden="false" customHeight="true" outlineLevel="0" collapsed="false">
      <c r="A761" s="6" t="n">
        <v>760</v>
      </c>
      <c r="B761" s="30" t="n">
        <v>0.126315504386112</v>
      </c>
      <c r="C761" s="30" t="n">
        <v>0.451998475259582</v>
      </c>
      <c r="D761" s="30" t="n">
        <v>0.0889568264879452</v>
      </c>
      <c r="E761" s="30" t="n">
        <v>0.293547952475154</v>
      </c>
      <c r="F761" s="30" t="n">
        <v>0.0221961950919991</v>
      </c>
      <c r="G761" s="30" t="n">
        <v>0.14043328397025</v>
      </c>
      <c r="H761" s="31" t="n">
        <f aca="false">MAX(D761,F761+0.015)</f>
        <v>0.0889568264879452</v>
      </c>
      <c r="I761" s="25" t="n">
        <f aca="false">(C761-'DCF Base Case'!$B$3)*(1-E761)+'DCF Base Case'!$B$3-G761</f>
        <v>0.21704319817676</v>
      </c>
      <c r="J761" s="24" t="n">
        <f aca="false">'DCF Base Case'!$B$2*(1+B761)^1*$I761-'DCF Base Case'!$B$2*(1+B761)^0*B761*'DCF Base Case'!$B$4</f>
        <v>34.8970998439851</v>
      </c>
      <c r="K761" s="24" t="n">
        <f aca="false">'DCF Base Case'!$B$2*(1+B761)^2*$I761-'DCF Base Case'!$B$2*(1+B761)^1*B761*'DCF Base Case'!$B$4</f>
        <v>39.3051446123906</v>
      </c>
      <c r="L761" s="24" t="n">
        <f aca="false">'DCF Base Case'!$B$2*(1+B761)^3*$I761-'DCF Base Case'!$B$2*(1+B761)^2*B761*'DCF Base Case'!$B$4</f>
        <v>44.2699937790738</v>
      </c>
      <c r="M761" s="24" t="n">
        <f aca="false">'DCF Base Case'!$B$2*(1+B761)^4*$I761-'DCF Base Case'!$B$2*(1+B761)^3*B761*'DCF Base Case'!$B$4</f>
        <v>49.8619803724476</v>
      </c>
      <c r="N761" s="24" t="n">
        <f aca="false">'DCF Base Case'!$B$2*(1+B761)^5*$I761-'DCF Base Case'!$B$2*(1+B761)^4*B761*'DCF Base Case'!$B$4</f>
        <v>56.1603215728837</v>
      </c>
      <c r="O761" s="24" t="n">
        <f aca="false">J761/(1+H761)^1+K761/(1+H761)^2+L761/(1+H761)^3+M761/(1+H761)^4+N761/(1+H761)^5</f>
        <v>171.609570494761</v>
      </c>
      <c r="P761" s="24" t="n">
        <f aca="false">N761*(1+F761)/(H761-F761)</f>
        <v>859.891014009054</v>
      </c>
      <c r="Q761" s="24" t="n">
        <f aca="false">O761+P761/(1+H761)^5</f>
        <v>733.16172998338</v>
      </c>
      <c r="R761" s="24" t="n">
        <f aca="false">Q761-'DCF Base Case'!$B$5</f>
        <v>548.16172998338</v>
      </c>
      <c r="S761" s="32" t="n">
        <f aca="false">R761/'DCF Base Case'!$B$6</f>
        <v>21.9264691993352</v>
      </c>
    </row>
    <row r="762" customFormat="false" ht="15" hidden="false" customHeight="true" outlineLevel="0" collapsed="false">
      <c r="A762" s="6" t="n">
        <v>761</v>
      </c>
      <c r="B762" s="30" t="n">
        <v>0.103962545584448</v>
      </c>
      <c r="C762" s="30" t="n">
        <v>0.403952618543467</v>
      </c>
      <c r="D762" s="30" t="n">
        <v>0.0885032587347624</v>
      </c>
      <c r="E762" s="30" t="n">
        <v>0.273575512351345</v>
      </c>
      <c r="F762" s="30" t="n">
        <v>0.0211407756949697</v>
      </c>
      <c r="G762" s="30" t="n">
        <v>0.167865970480169</v>
      </c>
      <c r="H762" s="31" t="n">
        <f aca="false">MAX(D762,F762+0.015)</f>
        <v>0.0885032587347624</v>
      </c>
      <c r="I762" s="25" t="n">
        <f aca="false">(C762-'DCF Base Case'!$B$3)*(1-E762)+'DCF Base Case'!$B$3-G762</f>
        <v>0.161139920085276</v>
      </c>
      <c r="J762" s="24" t="n">
        <f aca="false">'DCF Base Case'!$B$2*(1+B762)^1*$I762-'DCF Base Case'!$B$2*(1+B762)^0*B762*'DCF Base Case'!$B$4</f>
        <v>25.342166200737</v>
      </c>
      <c r="K762" s="24" t="n">
        <f aca="false">'DCF Base Case'!$B$2*(1+B762)^2*$I762-'DCF Base Case'!$B$2*(1+B762)^1*B762*'DCF Base Case'!$B$4</f>
        <v>27.9768023095898</v>
      </c>
      <c r="L762" s="24" t="n">
        <f aca="false">'DCF Base Case'!$B$2*(1+B762)^3*$I762-'DCF Base Case'!$B$2*(1+B762)^2*B762*'DCF Base Case'!$B$4</f>
        <v>30.8853418950076</v>
      </c>
      <c r="M762" s="24" t="n">
        <f aca="false">'DCF Base Case'!$B$2*(1+B762)^4*$I762-'DCF Base Case'!$B$2*(1+B762)^3*B762*'DCF Base Case'!$B$4</f>
        <v>34.0962606596586</v>
      </c>
      <c r="N762" s="24" t="n">
        <f aca="false">'DCF Base Case'!$B$2*(1+B762)^5*$I762-'DCF Base Case'!$B$2*(1+B762)^4*B762*'DCF Base Case'!$B$4</f>
        <v>37.6409947127476</v>
      </c>
      <c r="O762" s="24" t="n">
        <f aca="false">J762/(1+H762)^1+K762/(1+H762)^2+L762/(1+H762)^3+M762/(1+H762)^4+N762/(1+H762)^5</f>
        <v>119.762150282533</v>
      </c>
      <c r="P762" s="24" t="n">
        <f aca="false">N762*(1+F762)/(H762-F762)</f>
        <v>570.595868863678</v>
      </c>
      <c r="Q762" s="24" t="n">
        <f aca="false">O762+P762/(1+H762)^5</f>
        <v>493.167000890217</v>
      </c>
      <c r="R762" s="24" t="n">
        <f aca="false">Q762-'DCF Base Case'!$B$5</f>
        <v>308.167000890217</v>
      </c>
      <c r="S762" s="32" t="n">
        <f aca="false">R762/'DCF Base Case'!$B$6</f>
        <v>12.3266800356087</v>
      </c>
    </row>
    <row r="763" customFormat="false" ht="15" hidden="false" customHeight="true" outlineLevel="0" collapsed="false">
      <c r="A763" s="6" t="n">
        <v>762</v>
      </c>
      <c r="B763" s="30" t="n">
        <v>0.0423016135212455</v>
      </c>
      <c r="C763" s="30" t="n">
        <v>0.393040282727895</v>
      </c>
      <c r="D763" s="30" t="n">
        <v>0.0920636824752919</v>
      </c>
      <c r="E763" s="30" t="n">
        <v>0.293031038534575</v>
      </c>
      <c r="F763" s="30" t="n">
        <v>0.0189638448649359</v>
      </c>
      <c r="G763" s="30" t="n">
        <v>0.202631364531257</v>
      </c>
      <c r="H763" s="31" t="n">
        <f aca="false">MAX(D763,F763+0.015)</f>
        <v>0.0920636824752919</v>
      </c>
      <c r="I763" s="25" t="n">
        <f aca="false">(C763-'DCF Base Case'!$B$3)*(1-E763)+'DCF Base Case'!$B$3-G763</f>
        <v>0.113329950972455</v>
      </c>
      <c r="J763" s="24" t="n">
        <f aca="false">'DCF Base Case'!$B$2*(1+B763)^1*$I763-'DCF Base Case'!$B$2*(1+B763)^0*B763*'DCF Base Case'!$B$4</f>
        <v>16.9439666412192</v>
      </c>
      <c r="K763" s="24" t="n">
        <f aca="false">'DCF Base Case'!$B$2*(1+B763)^2*$I763-'DCF Base Case'!$B$2*(1+B763)^1*B763*'DCF Base Case'!$B$4</f>
        <v>17.6607237695929</v>
      </c>
      <c r="L763" s="24" t="n">
        <f aca="false">'DCF Base Case'!$B$2*(1+B763)^3*$I763-'DCF Base Case'!$B$2*(1+B763)^2*B763*'DCF Base Case'!$B$4</f>
        <v>18.4078008809997</v>
      </c>
      <c r="M763" s="24" t="n">
        <f aca="false">'DCF Base Case'!$B$2*(1+B763)^4*$I763-'DCF Base Case'!$B$2*(1+B763)^3*B763*'DCF Base Case'!$B$4</f>
        <v>19.1864805596438</v>
      </c>
      <c r="N763" s="24" t="n">
        <f aca="false">'DCF Base Case'!$B$2*(1+B763)^5*$I763-'DCF Base Case'!$B$2*(1+B763)^4*B763*'DCF Base Case'!$B$4</f>
        <v>19.9980996451107</v>
      </c>
      <c r="O763" s="24" t="n">
        <f aca="false">J763/(1+H763)^1+K763/(1+H763)^2+L763/(1+H763)^3+M763/(1+H763)^4+N763/(1+H763)^5</f>
        <v>70.8226548237322</v>
      </c>
      <c r="P763" s="24" t="n">
        <f aca="false">N763*(1+F763)/(H763-F763)</f>
        <v>278.760407280129</v>
      </c>
      <c r="Q763" s="24" t="n">
        <f aca="false">O763+P763/(1+H763)^5</f>
        <v>250.292408955981</v>
      </c>
      <c r="R763" s="24" t="n">
        <f aca="false">Q763-'DCF Base Case'!$B$5</f>
        <v>65.2924089559814</v>
      </c>
      <c r="S763" s="32" t="n">
        <f aca="false">R763/'DCF Base Case'!$B$6</f>
        <v>2.61169635823926</v>
      </c>
    </row>
    <row r="764" customFormat="false" ht="15" hidden="false" customHeight="true" outlineLevel="0" collapsed="false">
      <c r="A764" s="6" t="n">
        <v>763</v>
      </c>
      <c r="B764" s="30" t="n">
        <v>0.0965397601498315</v>
      </c>
      <c r="C764" s="30" t="n">
        <v>0.425250006766562</v>
      </c>
      <c r="D764" s="30" t="n">
        <v>0.0964894108345563</v>
      </c>
      <c r="E764" s="30" t="n">
        <v>0.290429040173358</v>
      </c>
      <c r="F764" s="30" t="n">
        <v>0.015683564674633</v>
      </c>
      <c r="G764" s="30" t="n">
        <v>0.125432309722498</v>
      </c>
      <c r="H764" s="31" t="n">
        <f aca="false">MAX(D764,F764+0.015)</f>
        <v>0.0964894108345563</v>
      </c>
      <c r="I764" s="25" t="n">
        <f aca="false">(C764-'DCF Base Case'!$B$3)*(1-E764)+'DCF Base Case'!$B$3-G764</f>
        <v>0.214068520967674</v>
      </c>
      <c r="J764" s="24" t="n">
        <f aca="false">'DCF Base Case'!$B$2*(1+B764)^1*$I764-'DCF Base Case'!$B$2*(1+B764)^0*B764*'DCF Base Case'!$B$4</f>
        <v>33.616575515789</v>
      </c>
      <c r="K764" s="24" t="n">
        <f aca="false">'DCF Base Case'!$B$2*(1+B764)^2*$I764-'DCF Base Case'!$B$2*(1+B764)^1*B764*'DCF Base Case'!$B$4</f>
        <v>36.8619116531419</v>
      </c>
      <c r="L764" s="24" t="n">
        <f aca="false">'DCF Base Case'!$B$2*(1+B764)^3*$I764-'DCF Base Case'!$B$2*(1+B764)^2*B764*'DCF Base Case'!$B$4</f>
        <v>40.4205517628005</v>
      </c>
      <c r="M764" s="24" t="n">
        <f aca="false">'DCF Base Case'!$B$2*(1+B764)^4*$I764-'DCF Base Case'!$B$2*(1+B764)^3*B764*'DCF Base Case'!$B$4</f>
        <v>44.3227421351051</v>
      </c>
      <c r="N764" s="24" t="n">
        <f aca="false">'DCF Base Case'!$B$2*(1+B764)^5*$I764-'DCF Base Case'!$B$2*(1+B764)^4*B764*'DCF Base Case'!$B$4</f>
        <v>48.601649030011</v>
      </c>
      <c r="O764" s="24" t="n">
        <f aca="false">J764/(1+H764)^1+K764/(1+H764)^2+L764/(1+H764)^3+M764/(1+H764)^4+N764/(1+H764)^5</f>
        <v>153.305916960962</v>
      </c>
      <c r="P764" s="24" t="n">
        <f aca="false">N764*(1+F764)/(H764-F764)</f>
        <v>610.895108234751</v>
      </c>
      <c r="Q764" s="24" t="n">
        <f aca="false">O764+P764/(1+H764)^5</f>
        <v>538.734961118177</v>
      </c>
      <c r="R764" s="24" t="n">
        <f aca="false">Q764-'DCF Base Case'!$B$5</f>
        <v>353.734961118177</v>
      </c>
      <c r="S764" s="32" t="n">
        <f aca="false">R764/'DCF Base Case'!$B$6</f>
        <v>14.1493984447271</v>
      </c>
    </row>
    <row r="765" customFormat="false" ht="15" hidden="false" customHeight="true" outlineLevel="0" collapsed="false">
      <c r="A765" s="6" t="n">
        <v>764</v>
      </c>
      <c r="B765" s="30" t="n">
        <v>0.0797893211623146</v>
      </c>
      <c r="C765" s="30" t="n">
        <v>0.425789256371649</v>
      </c>
      <c r="D765" s="30" t="n">
        <v>0.0811159403544041</v>
      </c>
      <c r="E765" s="30" t="n">
        <v>0.304239858712262</v>
      </c>
      <c r="F765" s="30" t="n">
        <v>0.0198916777575127</v>
      </c>
      <c r="G765" s="30" t="n">
        <v>0.195644941076638</v>
      </c>
      <c r="H765" s="31" t="n">
        <f aca="false">MAX(D765,F765+0.015)</f>
        <v>0.0811159403544041</v>
      </c>
      <c r="I765" s="25" t="n">
        <f aca="false">(C765-'DCF Base Case'!$B$3)*(1-E765)+'DCF Base Case'!$B$3-G765</f>
        <v>0.140153433727895</v>
      </c>
      <c r="J765" s="24" t="n">
        <f aca="false">'DCF Base Case'!$B$2*(1+B765)^1*$I765-'DCF Base Case'!$B$2*(1+B765)^0*B765*'DCF Base Case'!$B$4</f>
        <v>21.5966627071676</v>
      </c>
      <c r="K765" s="24" t="n">
        <f aca="false">'DCF Base Case'!$B$2*(1+B765)^2*$I765-'DCF Base Case'!$B$2*(1+B765)^1*B765*'DCF Base Case'!$B$4</f>
        <v>23.319845763944</v>
      </c>
      <c r="L765" s="24" t="n">
        <f aca="false">'DCF Base Case'!$B$2*(1+B765)^3*$I765-'DCF Base Case'!$B$2*(1+B765)^2*B765*'DCF Base Case'!$B$4</f>
        <v>25.180520427059</v>
      </c>
      <c r="M765" s="24" t="n">
        <f aca="false">'DCF Base Case'!$B$2*(1+B765)^4*$I765-'DCF Base Case'!$B$2*(1+B765)^3*B765*'DCF Base Case'!$B$4</f>
        <v>27.1896570584478</v>
      </c>
      <c r="N765" s="24" t="n">
        <f aca="false">'DCF Base Case'!$B$2*(1+B765)^5*$I765-'DCF Base Case'!$B$2*(1+B765)^4*B765*'DCF Base Case'!$B$4</f>
        <v>29.3591013377775</v>
      </c>
      <c r="O765" s="24" t="n">
        <f aca="false">J765/(1+H765)^1+K765/(1+H765)^2+L765/(1+H765)^3+M765/(1+H765)^4+N765/(1+H765)^5</f>
        <v>99.6365195322509</v>
      </c>
      <c r="P765" s="24" t="n">
        <f aca="false">N765*(1+F765)/(H765-F765)</f>
        <v>489.0724992147</v>
      </c>
      <c r="Q765" s="24" t="n">
        <f aca="false">O765+P765/(1+H765)^5</f>
        <v>430.776705987404</v>
      </c>
      <c r="R765" s="24" t="n">
        <f aca="false">Q765-'DCF Base Case'!$B$5</f>
        <v>245.776705987404</v>
      </c>
      <c r="S765" s="32" t="n">
        <f aca="false">R765/'DCF Base Case'!$B$6</f>
        <v>9.83106823949616</v>
      </c>
    </row>
    <row r="766" customFormat="false" ht="15" hidden="false" customHeight="true" outlineLevel="0" collapsed="false">
      <c r="A766" s="6" t="n">
        <v>765</v>
      </c>
      <c r="B766" s="30" t="n">
        <v>0.0838129073454387</v>
      </c>
      <c r="C766" s="30" t="n">
        <v>0.421585362247133</v>
      </c>
      <c r="D766" s="30" t="n">
        <v>0.090564735709889</v>
      </c>
      <c r="E766" s="30" t="n">
        <v>0.324322387197182</v>
      </c>
      <c r="F766" s="30" t="n">
        <v>0.0127731444385318</v>
      </c>
      <c r="G766" s="30" t="n">
        <v>0.155962734823898</v>
      </c>
      <c r="H766" s="31" t="n">
        <f aca="false">MAX(D766,F766+0.015)</f>
        <v>0.090564735709889</v>
      </c>
      <c r="I766" s="25" t="n">
        <f aca="false">(C766-'DCF Base Case'!$B$3)*(1-E766)+'DCF Base Case'!$B$3-G766</f>
        <v>0.17105496666749</v>
      </c>
      <c r="J766" s="24" t="n">
        <f aca="false">'DCF Base Case'!$B$2*(1+B766)^1*$I766-'DCF Base Case'!$B$2*(1+B766)^0*B766*'DCF Base Case'!$B$4</f>
        <v>26.5171930603139</v>
      </c>
      <c r="K766" s="24" t="n">
        <f aca="false">'DCF Base Case'!$B$2*(1+B766)^2*$I766-'DCF Base Case'!$B$2*(1+B766)^1*B766*'DCF Base Case'!$B$4</f>
        <v>28.7396761053391</v>
      </c>
      <c r="L766" s="24" t="n">
        <f aca="false">'DCF Base Case'!$B$2*(1+B766)^3*$I766-'DCF Base Case'!$B$2*(1+B766)^2*B766*'DCF Base Case'!$B$4</f>
        <v>31.1484319158938</v>
      </c>
      <c r="M766" s="24" t="n">
        <f aca="false">'DCF Base Case'!$B$2*(1+B766)^4*$I766-'DCF Base Case'!$B$2*(1+B766)^3*B766*'DCF Base Case'!$B$4</f>
        <v>33.7590725540163</v>
      </c>
      <c r="N766" s="24" t="n">
        <f aca="false">'DCF Base Case'!$B$2*(1+B766)^5*$I766-'DCF Base Case'!$B$2*(1+B766)^4*B766*'DCF Base Case'!$B$4</f>
        <v>36.588518574054</v>
      </c>
      <c r="O766" s="24" t="n">
        <f aca="false">J766/(1+H766)^1+K766/(1+H766)^2+L766/(1+H766)^3+M766/(1+H766)^4+N766/(1+H766)^5</f>
        <v>120.079422782917</v>
      </c>
      <c r="P766" s="24" t="n">
        <f aca="false">N766*(1+F766)/(H766-F766)</f>
        <v>476.348001126906</v>
      </c>
      <c r="Q766" s="24" t="n">
        <f aca="false">O766+P766/(1+H766)^5</f>
        <v>428.872173057491</v>
      </c>
      <c r="R766" s="24" t="n">
        <f aca="false">Q766-'DCF Base Case'!$B$5</f>
        <v>243.872173057491</v>
      </c>
      <c r="S766" s="32" t="n">
        <f aca="false">R766/'DCF Base Case'!$B$6</f>
        <v>9.75488692229965</v>
      </c>
    </row>
    <row r="767" customFormat="false" ht="15" hidden="false" customHeight="true" outlineLevel="0" collapsed="false">
      <c r="A767" s="6" t="n">
        <v>766</v>
      </c>
      <c r="B767" s="30" t="n">
        <v>0.108529751867786</v>
      </c>
      <c r="C767" s="30" t="n">
        <v>0.447274616720303</v>
      </c>
      <c r="D767" s="30" t="n">
        <v>0.0876407866390629</v>
      </c>
      <c r="E767" s="30" t="n">
        <v>0.271963175475622</v>
      </c>
      <c r="F767" s="30" t="n">
        <v>0.0220719023953008</v>
      </c>
      <c r="G767" s="30" t="n">
        <v>0.186014277506826</v>
      </c>
      <c r="H767" s="31" t="n">
        <f aca="false">MAX(D767,F767+0.015)</f>
        <v>0.0876407866390629</v>
      </c>
      <c r="I767" s="25" t="n">
        <f aca="false">(C767-'DCF Base Case'!$B$3)*(1-E767)+'DCF Base Case'!$B$3-G767</f>
        <v>0.174973326952413</v>
      </c>
      <c r="J767" s="24" t="n">
        <f aca="false">'DCF Base Case'!$B$2*(1+B767)^1*$I767-'DCF Base Case'!$B$2*(1+B767)^0*B767*'DCF Base Case'!$B$4</f>
        <v>27.6525506923308</v>
      </c>
      <c r="K767" s="24" t="n">
        <f aca="false">'DCF Base Case'!$B$2*(1+B767)^2*$I767-'DCF Base Case'!$B$2*(1+B767)^1*B767*'DCF Base Case'!$B$4</f>
        <v>30.6536751574808</v>
      </c>
      <c r="L767" s="24" t="n">
        <f aca="false">'DCF Base Case'!$B$2*(1+B767)^3*$I767-'DCF Base Case'!$B$2*(1+B767)^2*B767*'DCF Base Case'!$B$4</f>
        <v>33.9805109161579</v>
      </c>
      <c r="M767" s="24" t="n">
        <f aca="false">'DCF Base Case'!$B$2*(1+B767)^4*$I767-'DCF Base Case'!$B$2*(1+B767)^3*B767*'DCF Base Case'!$B$4</f>
        <v>37.6684073342291</v>
      </c>
      <c r="N767" s="24" t="n">
        <f aca="false">'DCF Base Case'!$B$2*(1+B767)^5*$I767-'DCF Base Case'!$B$2*(1+B767)^4*B767*'DCF Base Case'!$B$4</f>
        <v>41.7565502354677</v>
      </c>
      <c r="O767" s="24" t="n">
        <f aca="false">J767/(1+H767)^1+K767/(1+H767)^2+L767/(1+H767)^3+M767/(1+H767)^4+N767/(1+H767)^5</f>
        <v>132.09932895472</v>
      </c>
      <c r="P767" s="24" t="n">
        <f aca="false">N767*(1+F767)/(H767-F767)</f>
        <v>650.891001560539</v>
      </c>
      <c r="Q767" s="24" t="n">
        <f aca="false">O767+P767/(1+H767)^5</f>
        <v>559.741810482402</v>
      </c>
      <c r="R767" s="24" t="n">
        <f aca="false">Q767-'DCF Base Case'!$B$5</f>
        <v>374.741810482402</v>
      </c>
      <c r="S767" s="32" t="n">
        <f aca="false">R767/'DCF Base Case'!$B$6</f>
        <v>14.9896724192961</v>
      </c>
    </row>
    <row r="768" customFormat="false" ht="15" hidden="false" customHeight="true" outlineLevel="0" collapsed="false">
      <c r="A768" s="6" t="n">
        <v>767</v>
      </c>
      <c r="B768" s="30" t="n">
        <v>0.0823998865810936</v>
      </c>
      <c r="C768" s="30" t="n">
        <v>0.418624757010399</v>
      </c>
      <c r="D768" s="30" t="n">
        <v>0.0979857998865317</v>
      </c>
      <c r="E768" s="30" t="n">
        <v>0.332954526415998</v>
      </c>
      <c r="F768" s="30" t="n">
        <v>0.0220193127174179</v>
      </c>
      <c r="G768" s="30" t="n">
        <v>0.166200547737143</v>
      </c>
      <c r="H768" s="31" t="n">
        <f aca="false">MAX(D768,F768+0.015)</f>
        <v>0.0979857998865317</v>
      </c>
      <c r="I768" s="25" t="n">
        <f aca="false">(C768-'DCF Base Case'!$B$3)*(1-E768)+'DCF Base Case'!$B$3-G768</f>
        <v>0.156325289990926</v>
      </c>
      <c r="J768" s="24" t="n">
        <f aca="false">'DCF Base Case'!$B$2*(1+B768)^1*$I768-'DCF Base Case'!$B$2*(1+B768)^0*B768*'DCF Base Case'!$B$4</f>
        <v>24.1764995359828</v>
      </c>
      <c r="K768" s="24" t="n">
        <f aca="false">'DCF Base Case'!$B$2*(1+B768)^2*$I768-'DCF Base Case'!$B$2*(1+B768)^1*B768*'DCF Base Case'!$B$4</f>
        <v>26.1686403556757</v>
      </c>
      <c r="L768" s="24" t="n">
        <f aca="false">'DCF Base Case'!$B$2*(1+B768)^3*$I768-'DCF Base Case'!$B$2*(1+B768)^2*B768*'DCF Base Case'!$B$4</f>
        <v>28.3249333529648</v>
      </c>
      <c r="M768" s="24" t="n">
        <f aca="false">'DCF Base Case'!$B$2*(1+B768)^4*$I768-'DCF Base Case'!$B$2*(1+B768)^3*B768*'DCF Base Case'!$B$4</f>
        <v>30.6589046486661</v>
      </c>
      <c r="N768" s="24" t="n">
        <f aca="false">'DCF Base Case'!$B$2*(1+B768)^5*$I768-'DCF Base Case'!$B$2*(1+B768)^4*B768*'DCF Base Case'!$B$4</f>
        <v>33.1851949144167</v>
      </c>
      <c r="O768" s="24" t="n">
        <f aca="false">J768/(1+H768)^1+K768/(1+H768)^2+L768/(1+H768)^3+M768/(1+H768)^4+N768/(1+H768)^5</f>
        <v>107.013235448213</v>
      </c>
      <c r="P768" s="24" t="n">
        <f aca="false">N768*(1+F768)/(H768-F768)</f>
        <v>446.458844718243</v>
      </c>
      <c r="Q768" s="24" t="n">
        <f aca="false">O768+P768/(1+H768)^5</f>
        <v>386.781090870051</v>
      </c>
      <c r="R768" s="24" t="n">
        <f aca="false">Q768-'DCF Base Case'!$B$5</f>
        <v>201.781090870051</v>
      </c>
      <c r="S768" s="32" t="n">
        <f aca="false">R768/'DCF Base Case'!$B$6</f>
        <v>8.07124363480204</v>
      </c>
    </row>
    <row r="769" customFormat="false" ht="15" hidden="false" customHeight="true" outlineLevel="0" collapsed="false">
      <c r="A769" s="6" t="n">
        <v>768</v>
      </c>
      <c r="B769" s="30" t="n">
        <v>0.0889100007655541</v>
      </c>
      <c r="C769" s="30" t="n">
        <v>0.42493396804866</v>
      </c>
      <c r="D769" s="30" t="n">
        <v>0.0837275987327261</v>
      </c>
      <c r="E769" s="30" t="n">
        <v>0.28515036850872</v>
      </c>
      <c r="F769" s="30" t="n">
        <v>0.0150383318209072</v>
      </c>
      <c r="G769" s="30" t="n">
        <v>0.195837332039897</v>
      </c>
      <c r="H769" s="31" t="n">
        <f aca="false">MAX(D769,F769+0.015)</f>
        <v>0.0837275987327261</v>
      </c>
      <c r="I769" s="25" t="n">
        <f aca="false">(C769-'DCF Base Case'!$B$3)*(1-E769)+'DCF Base Case'!$B$3-G769</f>
        <v>0.144996106333949</v>
      </c>
      <c r="J769" s="24" t="n">
        <f aca="false">'DCF Base Case'!$B$2*(1+B769)^1*$I769-'DCF Base Case'!$B$2*(1+B769)^0*B769*'DCF Base Case'!$B$4</f>
        <v>22.5069594842397</v>
      </c>
      <c r="K769" s="24" t="n">
        <f aca="false">'DCF Base Case'!$B$2*(1+B769)^2*$I769-'DCF Base Case'!$B$2*(1+B769)^1*B769*'DCF Base Case'!$B$4</f>
        <v>24.5080532692137</v>
      </c>
      <c r="L769" s="24" t="n">
        <f aca="false">'DCF Base Case'!$B$2*(1+B769)^3*$I769-'DCF Base Case'!$B$2*(1+B769)^2*B769*'DCF Base Case'!$B$4</f>
        <v>26.6870643041418</v>
      </c>
      <c r="M769" s="24" t="n">
        <f aca="false">'DCF Base Case'!$B$2*(1+B769)^4*$I769-'DCF Base Case'!$B$2*(1+B769)^3*B769*'DCF Base Case'!$B$4</f>
        <v>29.0598112118534</v>
      </c>
      <c r="N769" s="24" t="n">
        <f aca="false">'DCF Base Case'!$B$2*(1+B769)^5*$I769-'DCF Base Case'!$B$2*(1+B769)^4*B769*'DCF Base Case'!$B$4</f>
        <v>31.6435190489461</v>
      </c>
      <c r="O769" s="24" t="n">
        <f aca="false">J769/(1+H769)^1+K769/(1+H769)^2+L769/(1+H769)^3+M769/(1+H769)^4+N769/(1+H769)^5</f>
        <v>104.838377237008</v>
      </c>
      <c r="P769" s="24" t="n">
        <f aca="false">N769*(1+F769)/(H769-F769)</f>
        <v>467.604128453128</v>
      </c>
      <c r="Q769" s="24" t="n">
        <f aca="false">O769+P769/(1+H769)^5</f>
        <v>417.646246174745</v>
      </c>
      <c r="R769" s="24" t="n">
        <f aca="false">Q769-'DCF Base Case'!$B$5</f>
        <v>232.646246174745</v>
      </c>
      <c r="S769" s="32" t="n">
        <f aca="false">R769/'DCF Base Case'!$B$6</f>
        <v>9.30584984698978</v>
      </c>
    </row>
    <row r="770" customFormat="false" ht="15" hidden="false" customHeight="true" outlineLevel="0" collapsed="false">
      <c r="A770" s="6" t="n">
        <v>769</v>
      </c>
      <c r="B770" s="30" t="n">
        <v>0.0652095889008897</v>
      </c>
      <c r="C770" s="30" t="n">
        <v>0.395559233921583</v>
      </c>
      <c r="D770" s="30" t="n">
        <v>0.08607352586937</v>
      </c>
      <c r="E770" s="30" t="n">
        <v>0.334831363545274</v>
      </c>
      <c r="F770" s="30" t="n">
        <v>0.017671119540638</v>
      </c>
      <c r="G770" s="30" t="n">
        <v>0.151793112225431</v>
      </c>
      <c r="H770" s="31" t="n">
        <f aca="false">MAX(D770,F770+0.015)</f>
        <v>0.08607352586937</v>
      </c>
      <c r="I770" s="25" t="n">
        <f aca="false">(C770-'DCF Base Case'!$B$3)*(1-E770)+'DCF Base Case'!$B$3-G770</f>
        <v>0.15484856130015</v>
      </c>
      <c r="J770" s="24" t="n">
        <f aca="false">'DCF Base Case'!$B$2*(1+B770)^1*$I770-'DCF Base Case'!$B$2*(1+B770)^0*B770*'DCF Base Case'!$B$4</f>
        <v>23.633533275323</v>
      </c>
      <c r="K770" s="24" t="n">
        <f aca="false">'DCF Base Case'!$B$2*(1+B770)^2*$I770-'DCF Base Case'!$B$2*(1+B770)^1*B770*'DCF Base Case'!$B$4</f>
        <v>25.1746662644824</v>
      </c>
      <c r="L770" s="24" t="n">
        <f aca="false">'DCF Base Case'!$B$2*(1+B770)^3*$I770-'DCF Base Case'!$B$2*(1+B770)^2*B770*'DCF Base Case'!$B$4</f>
        <v>26.8162959023063</v>
      </c>
      <c r="M770" s="24" t="n">
        <f aca="false">'DCF Base Case'!$B$2*(1+B770)^4*$I770-'DCF Base Case'!$B$2*(1+B770)^3*B770*'DCF Base Case'!$B$4</f>
        <v>28.5649755339404</v>
      </c>
      <c r="N770" s="24" t="n">
        <f aca="false">'DCF Base Case'!$B$2*(1+B770)^5*$I770-'DCF Base Case'!$B$2*(1+B770)^4*B770*'DCF Base Case'!$B$4</f>
        <v>30.4276858454726</v>
      </c>
      <c r="O770" s="24" t="n">
        <f aca="false">J770/(1+H770)^1+K770/(1+H770)^2+L770/(1+H770)^3+M770/(1+H770)^4+N770/(1+H770)^5</f>
        <v>104.701885862384</v>
      </c>
      <c r="P770" s="24" t="n">
        <f aca="false">N770*(1+F770)/(H770-F770)</f>
        <v>452.694265908977</v>
      </c>
      <c r="Q770" s="24" t="n">
        <f aca="false">O770+P770/(1+H770)^5</f>
        <v>404.279154065138</v>
      </c>
      <c r="R770" s="24" t="n">
        <f aca="false">Q770-'DCF Base Case'!$B$5</f>
        <v>219.279154065138</v>
      </c>
      <c r="S770" s="32" t="n">
        <f aca="false">R770/'DCF Base Case'!$B$6</f>
        <v>8.77116616260554</v>
      </c>
    </row>
    <row r="771" customFormat="false" ht="15" hidden="false" customHeight="true" outlineLevel="0" collapsed="false">
      <c r="A771" s="6" t="n">
        <v>770</v>
      </c>
      <c r="B771" s="30" t="n">
        <v>0.0781365699144695</v>
      </c>
      <c r="C771" s="30" t="n">
        <v>0.441374475876569</v>
      </c>
      <c r="D771" s="30" t="n">
        <v>0.055</v>
      </c>
      <c r="E771" s="30" t="n">
        <v>0.258643658780033</v>
      </c>
      <c r="F771" s="30" t="n">
        <v>0.0268565642125551</v>
      </c>
      <c r="G771" s="30" t="n">
        <v>0.179210316080566</v>
      </c>
      <c r="H771" s="31" t="n">
        <f aca="false">MAX(D771,F771+0.015)</f>
        <v>0.055</v>
      </c>
      <c r="I771" s="25" t="n">
        <f aca="false">(C771-'DCF Base Case'!$B$3)*(1-E771)+'DCF Base Case'!$B$3-G771</f>
        <v>0.181629126104572</v>
      </c>
      <c r="J771" s="24" t="n">
        <f aca="false">'DCF Base Case'!$B$2*(1+B771)^1*$I771-'DCF Base Case'!$B$2*(1+B771)^0*B771*'DCF Base Case'!$B$4</f>
        <v>28.0541513580392</v>
      </c>
      <c r="K771" s="24" t="n">
        <f aca="false">'DCF Base Case'!$B$2*(1+B771)^2*$I771-'DCF Base Case'!$B$2*(1+B771)^1*B771*'DCF Base Case'!$B$4</f>
        <v>30.2462065170178</v>
      </c>
      <c r="L771" s="24" t="n">
        <f aca="false">'DCF Base Case'!$B$2*(1+B771)^3*$I771-'DCF Base Case'!$B$2*(1+B771)^2*B771*'DCF Base Case'!$B$4</f>
        <v>32.6095413471822</v>
      </c>
      <c r="M771" s="24" t="n">
        <f aca="false">'DCF Base Case'!$B$2*(1+B771)^4*$I771-'DCF Base Case'!$B$2*(1+B771)^3*B771*'DCF Base Case'!$B$4</f>
        <v>35.1575390545351</v>
      </c>
      <c r="N771" s="24" t="n">
        <f aca="false">'DCF Base Case'!$B$2*(1+B771)^5*$I771-'DCF Base Case'!$B$2*(1+B771)^4*B771*'DCF Base Case'!$B$4</f>
        <v>37.9046285628905</v>
      </c>
      <c r="O771" s="24" t="n">
        <f aca="false">J771/(1+H771)^1+K771/(1+H771)^2+L771/(1+H771)^3+M771/(1+H771)^4+N771/(1+H771)^5</f>
        <v>138.919008628244</v>
      </c>
      <c r="P771" s="24" t="n">
        <f aca="false">N771*(1+F771)/(H771-F771)</f>
        <v>1383.0087039766</v>
      </c>
      <c r="Q771" s="24" t="n">
        <f aca="false">O771+P771/(1+H771)^5</f>
        <v>1197.10647970179</v>
      </c>
      <c r="R771" s="24" t="n">
        <f aca="false">Q771-'DCF Base Case'!$B$5</f>
        <v>1012.10647970179</v>
      </c>
      <c r="S771" s="32" t="n">
        <f aca="false">R771/'DCF Base Case'!$B$6</f>
        <v>40.4842591880715</v>
      </c>
    </row>
    <row r="772" customFormat="false" ht="15" hidden="false" customHeight="true" outlineLevel="0" collapsed="false">
      <c r="A772" s="6" t="n">
        <v>771</v>
      </c>
      <c r="B772" s="30" t="n">
        <v>0.0659197334965034</v>
      </c>
      <c r="C772" s="30" t="n">
        <v>0.404827821650146</v>
      </c>
      <c r="D772" s="30" t="n">
        <v>0.0857420002267465</v>
      </c>
      <c r="E772" s="30" t="n">
        <v>0.305643036079133</v>
      </c>
      <c r="F772" s="30" t="n">
        <v>0.0254213367761149</v>
      </c>
      <c r="G772" s="30" t="n">
        <v>0.174252612660561</v>
      </c>
      <c r="H772" s="31" t="n">
        <f aca="false">MAX(D772,F772+0.015)</f>
        <v>0.0857420002267465</v>
      </c>
      <c r="I772" s="25" t="n">
        <f aca="false">(C772-'DCF Base Case'!$B$3)*(1-E772)+'DCF Base Case'!$B$3-G772</f>
        <v>0.14657599918142</v>
      </c>
      <c r="J772" s="24" t="n">
        <f aca="false">'DCF Base Case'!$B$2*(1+B772)^1*$I772-'DCF Base Case'!$B$2*(1+B772)^0*B772*'DCF Base Case'!$B$4</f>
        <v>22.3677954070344</v>
      </c>
      <c r="K772" s="24" t="n">
        <f aca="false">'DCF Base Case'!$B$2*(1+B772)^2*$I772-'DCF Base Case'!$B$2*(1+B772)^1*B772*'DCF Base Case'!$B$4</f>
        <v>23.8422745191704</v>
      </c>
      <c r="L772" s="24" t="n">
        <f aca="false">'DCF Base Case'!$B$2*(1+B772)^3*$I772-'DCF Base Case'!$B$2*(1+B772)^2*B772*'DCF Base Case'!$B$4</f>
        <v>25.4139509014246</v>
      </c>
      <c r="M772" s="24" t="n">
        <f aca="false">'DCF Base Case'!$B$2*(1+B772)^4*$I772-'DCF Base Case'!$B$2*(1+B772)^3*B772*'DCF Base Case'!$B$4</f>
        <v>27.0892317719398</v>
      </c>
      <c r="N772" s="24" t="n">
        <f aca="false">'DCF Base Case'!$B$2*(1+B772)^5*$I772-'DCF Base Case'!$B$2*(1+B772)^4*B772*'DCF Base Case'!$B$4</f>
        <v>28.874946710971</v>
      </c>
      <c r="O772" s="24" t="n">
        <f aca="false">J772/(1+H772)^1+K772/(1+H772)^2+L772/(1+H772)^3+M772/(1+H772)^4+N772/(1+H772)^5</f>
        <v>99.313825221721</v>
      </c>
      <c r="P772" s="24" t="n">
        <f aca="false">N772*(1+F772)/(H772-F772)</f>
        <v>490.859761181771</v>
      </c>
      <c r="Q772" s="24" t="n">
        <f aca="false">O772+P772/(1+H772)^5</f>
        <v>424.643920951195</v>
      </c>
      <c r="R772" s="24" t="n">
        <f aca="false">Q772-'DCF Base Case'!$B$5</f>
        <v>239.643920951195</v>
      </c>
      <c r="S772" s="32" t="n">
        <f aca="false">R772/'DCF Base Case'!$B$6</f>
        <v>9.58575683804782</v>
      </c>
    </row>
    <row r="773" customFormat="false" ht="15" hidden="false" customHeight="true" outlineLevel="0" collapsed="false">
      <c r="A773" s="6" t="n">
        <v>772</v>
      </c>
      <c r="B773" s="30" t="n">
        <v>0.0783843403824832</v>
      </c>
      <c r="C773" s="30" t="n">
        <v>0.425840541704611</v>
      </c>
      <c r="D773" s="30" t="n">
        <v>0.0773192203345085</v>
      </c>
      <c r="E773" s="30" t="n">
        <v>0.258209628891437</v>
      </c>
      <c r="F773" s="30" t="n">
        <v>0.0126195486532839</v>
      </c>
      <c r="G773" s="30" t="n">
        <v>0.135333154076076</v>
      </c>
      <c r="H773" s="31" t="n">
        <f aca="false">MAX(D773,F773+0.015)</f>
        <v>0.0773192203345085</v>
      </c>
      <c r="I773" s="25" t="n">
        <f aca="false">(C773-'DCF Base Case'!$B$3)*(1-E773)+'DCF Base Case'!$B$3-G773</f>
        <v>0.214118511143946</v>
      </c>
      <c r="J773" s="24" t="n">
        <f aca="false">'DCF Base Case'!$B$2*(1+B773)^1*$I773-'DCF Base Case'!$B$2*(1+B773)^0*B773*'DCF Base Case'!$B$4</f>
        <v>33.1398252828645</v>
      </c>
      <c r="K773" s="24" t="n">
        <f aca="false">'DCF Base Case'!$B$2*(1+B773)^2*$I773-'DCF Base Case'!$B$2*(1+B773)^1*B773*'DCF Base Case'!$B$4</f>
        <v>35.7374686280525</v>
      </c>
      <c r="L773" s="24" t="n">
        <f aca="false">'DCF Base Case'!$B$2*(1+B773)^3*$I773-'DCF Base Case'!$B$2*(1+B773)^2*B773*'DCF Base Case'!$B$4</f>
        <v>38.5387265334021</v>
      </c>
      <c r="M773" s="24" t="n">
        <f aca="false">'DCF Base Case'!$B$2*(1+B773)^4*$I773-'DCF Base Case'!$B$2*(1+B773)^3*B773*'DCF Base Case'!$B$4</f>
        <v>41.5595591919037</v>
      </c>
      <c r="N773" s="24" t="n">
        <f aca="false">'DCF Base Case'!$B$2*(1+B773)^5*$I773-'DCF Base Case'!$B$2*(1+B773)^4*B773*'DCF Base Case'!$B$4</f>
        <v>44.8171778257479</v>
      </c>
      <c r="O773" s="24" t="n">
        <f aca="false">J773/(1+H773)^1+K773/(1+H773)^2+L773/(1+H773)^3+M773/(1+H773)^4+N773/(1+H773)^5</f>
        <v>154.111328374471</v>
      </c>
      <c r="P773" s="24" t="n">
        <f aca="false">N773*(1+F773)/(H773-F773)</f>
        <v>701.437104741793</v>
      </c>
      <c r="Q773" s="24" t="n">
        <f aca="false">O773+P773/(1+H773)^5</f>
        <v>637.466862052529</v>
      </c>
      <c r="R773" s="24" t="n">
        <f aca="false">Q773-'DCF Base Case'!$B$5</f>
        <v>452.466862052529</v>
      </c>
      <c r="S773" s="32" t="n">
        <f aca="false">R773/'DCF Base Case'!$B$6</f>
        <v>18.0986744821011</v>
      </c>
    </row>
    <row r="774" customFormat="false" ht="15" hidden="false" customHeight="true" outlineLevel="0" collapsed="false">
      <c r="A774" s="6" t="n">
        <v>773</v>
      </c>
      <c r="B774" s="30" t="n">
        <v>0.0704144315752639</v>
      </c>
      <c r="C774" s="30" t="n">
        <v>0.381665754418969</v>
      </c>
      <c r="D774" s="30" t="n">
        <v>0.0884456018011219</v>
      </c>
      <c r="E774" s="30" t="n">
        <v>0.255918822563068</v>
      </c>
      <c r="F774" s="30" t="n">
        <v>0.0103820862260083</v>
      </c>
      <c r="G774" s="30" t="n">
        <v>0.144352667616603</v>
      </c>
      <c r="H774" s="31" t="n">
        <f aca="false">MAX(D774,F774+0.015)</f>
        <v>0.0884456018011219</v>
      </c>
      <c r="I774" s="25" t="n">
        <f aca="false">(C774-'DCF Base Case'!$B$3)*(1-E774)+'DCF Base Case'!$B$3-G774</f>
        <v>0.172907083252017</v>
      </c>
      <c r="J774" s="24" t="n">
        <f aca="false">'DCF Base Case'!$B$2*(1+B774)^1*$I774-'DCF Base Case'!$B$2*(1+B774)^0*B774*'DCF Base Case'!$B$4</f>
        <v>26.5306216216566</v>
      </c>
      <c r="K774" s="24" t="n">
        <f aca="false">'DCF Base Case'!$B$2*(1+B774)^2*$I774-'DCF Base Case'!$B$2*(1+B774)^1*B774*'DCF Base Case'!$B$4</f>
        <v>28.398760262484</v>
      </c>
      <c r="L774" s="24" t="n">
        <f aca="false">'DCF Base Case'!$B$2*(1+B774)^3*$I774-'DCF Base Case'!$B$2*(1+B774)^2*B774*'DCF Base Case'!$B$4</f>
        <v>30.398442823809</v>
      </c>
      <c r="M774" s="24" t="n">
        <f aca="false">'DCF Base Case'!$B$2*(1+B774)^4*$I774-'DCF Base Case'!$B$2*(1+B774)^3*B774*'DCF Base Case'!$B$4</f>
        <v>32.5389318960206</v>
      </c>
      <c r="N774" s="24" t="n">
        <f aca="false">'DCF Base Case'!$B$2*(1+B774)^5*$I774-'DCF Base Case'!$B$2*(1+B774)^4*B774*'DCF Base Case'!$B$4</f>
        <v>34.8301422895452</v>
      </c>
      <c r="O774" s="24" t="n">
        <f aca="false">J774/(1+H774)^1+K774/(1+H774)^2+L774/(1+H774)^3+M774/(1+H774)^4+N774/(1+H774)^5</f>
        <v>117.902316180779</v>
      </c>
      <c r="P774" s="24" t="n">
        <f aca="false">N774*(1+F774)/(H774-F774)</f>
        <v>450.809210561334</v>
      </c>
      <c r="Q774" s="24" t="n">
        <f aca="false">O774+P774/(1+H774)^5</f>
        <v>412.995471790618</v>
      </c>
      <c r="R774" s="24" t="n">
        <f aca="false">Q774-'DCF Base Case'!$B$5</f>
        <v>227.995471790618</v>
      </c>
      <c r="S774" s="32" t="n">
        <f aca="false">R774/'DCF Base Case'!$B$6</f>
        <v>9.1198188716247</v>
      </c>
    </row>
    <row r="775" customFormat="false" ht="15" hidden="false" customHeight="true" outlineLevel="0" collapsed="false">
      <c r="A775" s="6" t="n">
        <v>774</v>
      </c>
      <c r="B775" s="30" t="n">
        <v>0.079906984735437</v>
      </c>
      <c r="C775" s="30" t="n">
        <v>0.397308797412253</v>
      </c>
      <c r="D775" s="30" t="n">
        <v>0.101714771472401</v>
      </c>
      <c r="E775" s="30" t="n">
        <v>0.264974194340969</v>
      </c>
      <c r="F775" s="30" t="n">
        <v>0.0225170464997502</v>
      </c>
      <c r="G775" s="30" t="n">
        <v>0.164814539587486</v>
      </c>
      <c r="H775" s="31" t="n">
        <f aca="false">MAX(D775,F775+0.015)</f>
        <v>0.101714771472401</v>
      </c>
      <c r="I775" s="25" t="n">
        <f aca="false">(C775-'DCF Base Case'!$B$3)*(1-E775)+'DCF Base Case'!$B$3-G775</f>
        <v>0.161664324590202</v>
      </c>
      <c r="J775" s="24" t="n">
        <f aca="false">'DCF Base Case'!$B$2*(1+B775)^1*$I775-'DCF Base Case'!$B$2*(1+B775)^0*B775*'DCF Base Case'!$B$4</f>
        <v>24.9668574459878</v>
      </c>
      <c r="K775" s="24" t="n">
        <f aca="false">'DCF Base Case'!$B$2*(1+B775)^2*$I775-'DCF Base Case'!$B$2*(1+B775)^1*B775*'DCF Base Case'!$B$4</f>
        <v>26.9618837428161</v>
      </c>
      <c r="L775" s="24" t="n">
        <f aca="false">'DCF Base Case'!$B$2*(1+B775)^3*$I775-'DCF Base Case'!$B$2*(1+B775)^2*B775*'DCF Base Case'!$B$4</f>
        <v>29.116326575492</v>
      </c>
      <c r="M775" s="24" t="n">
        <f aca="false">'DCF Base Case'!$B$2*(1+B775)^4*$I775-'DCF Base Case'!$B$2*(1+B775)^3*B775*'DCF Base Case'!$B$4</f>
        <v>31.4429244387118</v>
      </c>
      <c r="N775" s="24" t="n">
        <f aca="false">'DCF Base Case'!$B$2*(1+B775)^5*$I775-'DCF Base Case'!$B$2*(1+B775)^4*B775*'DCF Base Case'!$B$4</f>
        <v>33.9554337218735</v>
      </c>
      <c r="O775" s="24" t="n">
        <f aca="false">J775/(1+H775)^1+K775/(1+H775)^2+L775/(1+H775)^3+M775/(1+H775)^4+N775/(1+H775)^5</f>
        <v>108.911226586507</v>
      </c>
      <c r="P775" s="24" t="n">
        <f aca="false">N775*(1+F775)/(H775-F775)</f>
        <v>438.39655512703</v>
      </c>
      <c r="Q775" s="24" t="n">
        <f aca="false">O775+P775/(1+H775)^5</f>
        <v>379.009166042995</v>
      </c>
      <c r="R775" s="24" t="n">
        <f aca="false">Q775-'DCF Base Case'!$B$5</f>
        <v>194.009166042995</v>
      </c>
      <c r="S775" s="32" t="n">
        <f aca="false">R775/'DCF Base Case'!$B$6</f>
        <v>7.7603666417198</v>
      </c>
    </row>
    <row r="776" customFormat="false" ht="15" hidden="false" customHeight="true" outlineLevel="0" collapsed="false">
      <c r="A776" s="6" t="n">
        <v>775</v>
      </c>
      <c r="B776" s="30" t="n">
        <v>0.0891491550822244</v>
      </c>
      <c r="C776" s="30" t="n">
        <v>0.395717576951923</v>
      </c>
      <c r="D776" s="30" t="n">
        <v>0.0843533908326116</v>
      </c>
      <c r="E776" s="30" t="n">
        <v>0.262243865256088</v>
      </c>
      <c r="F776" s="30" t="n">
        <v>0.0199656051589674</v>
      </c>
      <c r="G776" s="30" t="n">
        <v>0.160331892137971</v>
      </c>
      <c r="H776" s="31" t="n">
        <f aca="false">MAX(D776,F776+0.015)</f>
        <v>0.0843533908326116</v>
      </c>
      <c r="I776" s="25" t="n">
        <f aca="false">(C776-'DCF Base Case'!$B$3)*(1-E776)+'DCF Base Case'!$B$3-G776</f>
        <v>0.165702880367598</v>
      </c>
      <c r="J776" s="24" t="n">
        <f aca="false">'DCF Base Case'!$B$2*(1+B776)^1*$I776-'DCF Base Case'!$B$2*(1+B776)^0*B776*'DCF Base Case'!$B$4</f>
        <v>25.781098236716</v>
      </c>
      <c r="K776" s="24" t="n">
        <f aca="false">'DCF Base Case'!$B$2*(1+B776)^2*$I776-'DCF Base Case'!$B$2*(1+B776)^1*B776*'DCF Base Case'!$B$4</f>
        <v>28.0794613616111</v>
      </c>
      <c r="L776" s="24" t="n">
        <f aca="false">'DCF Base Case'!$B$2*(1+B776)^3*$I776-'DCF Base Case'!$B$2*(1+B776)^2*B776*'DCF Base Case'!$B$4</f>
        <v>30.5827216171627</v>
      </c>
      <c r="M776" s="24" t="n">
        <f aca="false">'DCF Base Case'!$B$2*(1+B776)^4*$I776-'DCF Base Case'!$B$2*(1+B776)^3*B776*'DCF Base Case'!$B$4</f>
        <v>33.3091454094476</v>
      </c>
      <c r="N776" s="24" t="n">
        <f aca="false">'DCF Base Case'!$B$2*(1+B776)^5*$I776-'DCF Base Case'!$B$2*(1+B776)^4*B776*'DCF Base Case'!$B$4</f>
        <v>36.2786275792108</v>
      </c>
      <c r="O776" s="24" t="n">
        <f aca="false">J776/(1+H776)^1+K776/(1+H776)^2+L776/(1+H776)^3+M776/(1+H776)^4+N776/(1+H776)^5</f>
        <v>119.933930776254</v>
      </c>
      <c r="P776" s="24" t="n">
        <f aca="false">N776*(1+F776)/(H776-F776)</f>
        <v>574.689002673886</v>
      </c>
      <c r="Q776" s="24" t="n">
        <f aca="false">O776+P776/(1+H776)^5</f>
        <v>503.269110213835</v>
      </c>
      <c r="R776" s="24" t="n">
        <f aca="false">Q776-'DCF Base Case'!$B$5</f>
        <v>318.269110213835</v>
      </c>
      <c r="S776" s="32" t="n">
        <f aca="false">R776/'DCF Base Case'!$B$6</f>
        <v>12.7307644085534</v>
      </c>
    </row>
    <row r="777" customFormat="false" ht="15" hidden="false" customHeight="true" outlineLevel="0" collapsed="false">
      <c r="A777" s="6" t="n">
        <v>776</v>
      </c>
      <c r="B777" s="30" t="n">
        <v>0.0693619167064809</v>
      </c>
      <c r="C777" s="30" t="n">
        <v>0.426849382723958</v>
      </c>
      <c r="D777" s="30" t="n">
        <v>0.0896952452802357</v>
      </c>
      <c r="E777" s="30" t="n">
        <v>0.268377908709884</v>
      </c>
      <c r="F777" s="30" t="n">
        <v>0.0198803775009989</v>
      </c>
      <c r="G777" s="30" t="n">
        <v>0.163427856893977</v>
      </c>
      <c r="H777" s="31" t="n">
        <f aca="false">MAX(D777,F777+0.015)</f>
        <v>0.0896952452802357</v>
      </c>
      <c r="I777" s="25" t="n">
        <f aca="false">(C777-'DCF Base Case'!$B$3)*(1-E777)+'DCF Base Case'!$B$3-G777</f>
        <v>0.183753709292705</v>
      </c>
      <c r="J777" s="24" t="n">
        <f aca="false">'DCF Base Case'!$B$2*(1+B777)^1*$I777-'DCF Base Case'!$B$2*(1+B777)^0*B777*'DCF Base Case'!$B$4</f>
        <v>28.1906623841468</v>
      </c>
      <c r="K777" s="24" t="n">
        <f aca="false">'DCF Base Case'!$B$2*(1+B777)^2*$I777-'DCF Base Case'!$B$2*(1+B777)^1*B777*'DCF Base Case'!$B$4</f>
        <v>30.1460207603366</v>
      </c>
      <c r="L777" s="24" t="n">
        <f aca="false">'DCF Base Case'!$B$2*(1+B777)^3*$I777-'DCF Base Case'!$B$2*(1+B777)^2*B777*'DCF Base Case'!$B$4</f>
        <v>32.2370065413469</v>
      </c>
      <c r="M777" s="24" t="n">
        <f aca="false">'DCF Base Case'!$B$2*(1+B777)^4*$I777-'DCF Base Case'!$B$2*(1+B777)^3*B777*'DCF Base Case'!$B$4</f>
        <v>34.4730271039341</v>
      </c>
      <c r="N777" s="24" t="n">
        <f aca="false">'DCF Base Case'!$B$2*(1+B777)^5*$I777-'DCF Base Case'!$B$2*(1+B777)^4*B777*'DCF Base Case'!$B$4</f>
        <v>36.8641423385374</v>
      </c>
      <c r="O777" s="24" t="n">
        <f aca="false">J777/(1+H777)^1+K777/(1+H777)^2+L777/(1+H777)^3+M777/(1+H777)^4+N777/(1+H777)^5</f>
        <v>124.613076007094</v>
      </c>
      <c r="P777" s="24" t="n">
        <f aca="false">N777*(1+F777)/(H777-F777)</f>
        <v>538.524480535643</v>
      </c>
      <c r="Q777" s="24" t="n">
        <f aca="false">O777+P777/(1+H777)^5</f>
        <v>475.106739509113</v>
      </c>
      <c r="R777" s="24" t="n">
        <f aca="false">Q777-'DCF Base Case'!$B$5</f>
        <v>290.106739509113</v>
      </c>
      <c r="S777" s="32" t="n">
        <f aca="false">R777/'DCF Base Case'!$B$6</f>
        <v>11.6042695803645</v>
      </c>
    </row>
    <row r="778" customFormat="false" ht="15" hidden="false" customHeight="true" outlineLevel="0" collapsed="false">
      <c r="A778" s="6" t="n">
        <v>777</v>
      </c>
      <c r="B778" s="30" t="n">
        <v>0.0710490865200738</v>
      </c>
      <c r="C778" s="30" t="n">
        <v>0.40936120601219</v>
      </c>
      <c r="D778" s="30" t="n">
        <v>0.0781688706971189</v>
      </c>
      <c r="E778" s="30" t="n">
        <v>0.259472080568242</v>
      </c>
      <c r="F778" s="30" t="n">
        <v>0.0130258760385338</v>
      </c>
      <c r="G778" s="30" t="n">
        <v>0.1579444026149</v>
      </c>
      <c r="H778" s="31" t="n">
        <f aca="false">MAX(D778,F778+0.015)</f>
        <v>0.0781688706971189</v>
      </c>
      <c r="I778" s="25" t="n">
        <f aca="false">(C778-'DCF Base Case'!$B$3)*(1-E778)+'DCF Base Case'!$B$3-G778</f>
        <v>0.178930370043254</v>
      </c>
      <c r="J778" s="24" t="n">
        <f aca="false">'DCF Base Case'!$B$2*(1+B778)^1*$I778-'DCF Base Case'!$B$2*(1+B778)^0*B778*'DCF Base Case'!$B$4</f>
        <v>27.4792018345389</v>
      </c>
      <c r="K778" s="24" t="n">
        <f aca="false">'DCF Base Case'!$B$2*(1+B778)^2*$I778-'DCF Base Case'!$B$2*(1+B778)^1*B778*'DCF Base Case'!$B$4</f>
        <v>29.4315740231836</v>
      </c>
      <c r="L778" s="24" t="n">
        <f aca="false">'DCF Base Case'!$B$2*(1+B778)^3*$I778-'DCF Base Case'!$B$2*(1+B778)^2*B778*'DCF Base Case'!$B$4</f>
        <v>31.5226604723788</v>
      </c>
      <c r="M778" s="24" t="n">
        <f aca="false">'DCF Base Case'!$B$2*(1+B778)^4*$I778-'DCF Base Case'!$B$2*(1+B778)^3*B778*'DCF Base Case'!$B$4</f>
        <v>33.7623167036237</v>
      </c>
      <c r="N778" s="24" t="n">
        <f aca="false">'DCF Base Case'!$B$2*(1+B778)^5*$I778-'DCF Base Case'!$B$2*(1+B778)^4*B778*'DCF Base Case'!$B$4</f>
        <v>36.1610984642176</v>
      </c>
      <c r="O778" s="24" t="n">
        <f aca="false">J778/(1+H778)^1+K778/(1+H778)^2+L778/(1+H778)^3+M778/(1+H778)^4+N778/(1+H778)^5</f>
        <v>125.762617282508</v>
      </c>
      <c r="P778" s="24" t="n">
        <f aca="false">N778*(1+F778)/(H778-F778)</f>
        <v>562.334118076993</v>
      </c>
      <c r="Q778" s="24" t="n">
        <f aca="false">O778+P778/(1+H778)^5</f>
        <v>511.738786212738</v>
      </c>
      <c r="R778" s="24" t="n">
        <f aca="false">Q778-'DCF Base Case'!$B$5</f>
        <v>326.738786212738</v>
      </c>
      <c r="S778" s="32" t="n">
        <f aca="false">R778/'DCF Base Case'!$B$6</f>
        <v>13.0695514485095</v>
      </c>
    </row>
    <row r="779" customFormat="false" ht="15" hidden="false" customHeight="true" outlineLevel="0" collapsed="false">
      <c r="A779" s="6" t="n">
        <v>778</v>
      </c>
      <c r="B779" s="30" t="n">
        <v>0.102226526640808</v>
      </c>
      <c r="C779" s="30" t="n">
        <v>0.404194989207391</v>
      </c>
      <c r="D779" s="30" t="n">
        <v>0.112727795613738</v>
      </c>
      <c r="E779" s="30" t="n">
        <v>0.30687059751344</v>
      </c>
      <c r="F779" s="30" t="n">
        <v>0.0239492333760114</v>
      </c>
      <c r="G779" s="30" t="n">
        <v>0.184231068390241</v>
      </c>
      <c r="H779" s="31" t="n">
        <f aca="false">MAX(D779,F779+0.015)</f>
        <v>0.112727795613738</v>
      </c>
      <c r="I779" s="25" t="n">
        <f aca="false">(C779-'DCF Base Case'!$B$3)*(1-E779)+'DCF Base Case'!$B$3-G779</f>
        <v>0.135821540643887</v>
      </c>
      <c r="J779" s="24" t="n">
        <f aca="false">'DCF Base Case'!$B$2*(1+B779)^1*$I779-'DCF Base Case'!$B$2*(1+B779)^0*B779*'DCF Base Case'!$B$4</f>
        <v>21.2626998322151</v>
      </c>
      <c r="K779" s="24" t="n">
        <f aca="false">'DCF Base Case'!$B$2*(1+B779)^2*$I779-'DCF Base Case'!$B$2*(1+B779)^1*B779*'DCF Base Case'!$B$4</f>
        <v>23.4363117830685</v>
      </c>
      <c r="L779" s="24" t="n">
        <f aca="false">'DCF Base Case'!$B$2*(1+B779)^3*$I779-'DCF Base Case'!$B$2*(1+B779)^2*B779*'DCF Base Case'!$B$4</f>
        <v>25.8321245339227</v>
      </c>
      <c r="M779" s="24" t="n">
        <f aca="false">'DCF Base Case'!$B$2*(1+B779)^4*$I779-'DCF Base Case'!$B$2*(1+B779)^3*B779*'DCF Base Case'!$B$4</f>
        <v>28.4728529007784</v>
      </c>
      <c r="N779" s="24" t="n">
        <f aca="false">'DCF Base Case'!$B$2*(1+B779)^5*$I779-'DCF Base Case'!$B$2*(1+B779)^4*B779*'DCF Base Case'!$B$4</f>
        <v>31.3835337563796</v>
      </c>
      <c r="O779" s="24" t="n">
        <f aca="false">J779/(1+H779)^1+K779/(1+H779)^2+L779/(1+H779)^3+M779/(1+H779)^4+N779/(1+H779)^5</f>
        <v>93.7567118200605</v>
      </c>
      <c r="P779" s="24" t="n">
        <f aca="false">N779*(1+F779)/(H779-F779)</f>
        <v>361.96965258826</v>
      </c>
      <c r="Q779" s="24" t="n">
        <f aca="false">O779+P779/(1+H779)^5</f>
        <v>305.947964798594</v>
      </c>
      <c r="R779" s="24" t="n">
        <f aca="false">Q779-'DCF Base Case'!$B$5</f>
        <v>120.947964798594</v>
      </c>
      <c r="S779" s="32" t="n">
        <f aca="false">R779/'DCF Base Case'!$B$6</f>
        <v>4.83791859194376</v>
      </c>
    </row>
    <row r="780" customFormat="false" ht="15" hidden="false" customHeight="true" outlineLevel="0" collapsed="false">
      <c r="A780" s="6" t="n">
        <v>779</v>
      </c>
      <c r="B780" s="30" t="n">
        <v>0.12736060578916</v>
      </c>
      <c r="C780" s="30" t="n">
        <v>0.412800668718674</v>
      </c>
      <c r="D780" s="30" t="n">
        <v>0.0568318887577552</v>
      </c>
      <c r="E780" s="30" t="n">
        <v>0.268420328833347</v>
      </c>
      <c r="F780" s="30" t="n">
        <v>0.021348120740087</v>
      </c>
      <c r="G780" s="30" t="n">
        <v>0.168631685139347</v>
      </c>
      <c r="H780" s="31" t="n">
        <f aca="false">MAX(D780,F780+0.015)</f>
        <v>0.0568318887577552</v>
      </c>
      <c r="I780" s="25" t="n">
        <f aca="false">(C780-'DCF Base Case'!$B$3)*(1-E780)+'DCF Base Case'!$B$3-G780</f>
        <v>0.16825953508757</v>
      </c>
      <c r="J780" s="24" t="n">
        <f aca="false">'DCF Base Case'!$B$2*(1+B780)^1*$I780-'DCF Base Case'!$B$2*(1+B780)^0*B780*'DCF Base Case'!$B$4</f>
        <v>26.9509112187053</v>
      </c>
      <c r="K780" s="24" t="n">
        <f aca="false">'DCF Base Case'!$B$2*(1+B780)^2*$I780-'DCF Base Case'!$B$2*(1+B780)^1*B780*'DCF Base Case'!$B$4</f>
        <v>30.3833955980895</v>
      </c>
      <c r="L780" s="24" t="n">
        <f aca="false">'DCF Base Case'!$B$2*(1+B780)^3*$I780-'DCF Base Case'!$B$2*(1+B780)^2*B780*'DCF Base Case'!$B$4</f>
        <v>34.2530432673939</v>
      </c>
      <c r="M780" s="24" t="n">
        <f aca="false">'DCF Base Case'!$B$2*(1+B780)^4*$I780-'DCF Base Case'!$B$2*(1+B780)^3*B780*'DCF Base Case'!$B$4</f>
        <v>38.6155316080515</v>
      </c>
      <c r="N780" s="24" t="n">
        <f aca="false">'DCF Base Case'!$B$2*(1+B780)^5*$I780-'DCF Base Case'!$B$2*(1+B780)^4*B780*'DCF Base Case'!$B$4</f>
        <v>43.5336291065234</v>
      </c>
      <c r="O780" s="24" t="n">
        <f aca="false">J780/(1+H780)^1+K780/(1+H780)^2+L780/(1+H780)^3+M780/(1+H780)^4+N780/(1+H780)^5</f>
        <v>145.700949047987</v>
      </c>
      <c r="P780" s="24" t="n">
        <f aca="false">N780*(1+F780)/(H780-F780)</f>
        <v>1253.0515433086</v>
      </c>
      <c r="Q780" s="24" t="n">
        <f aca="false">O780+P780/(1+H780)^5</f>
        <v>1096.17308559719</v>
      </c>
      <c r="R780" s="24" t="n">
        <f aca="false">Q780-'DCF Base Case'!$B$5</f>
        <v>911.173085597192</v>
      </c>
      <c r="S780" s="32" t="n">
        <f aca="false">R780/'DCF Base Case'!$B$6</f>
        <v>36.4469234238877</v>
      </c>
    </row>
    <row r="781" customFormat="false" ht="15" hidden="false" customHeight="true" outlineLevel="0" collapsed="false">
      <c r="A781" s="6" t="n">
        <v>780</v>
      </c>
      <c r="B781" s="30" t="n">
        <v>0.0957576796102951</v>
      </c>
      <c r="C781" s="30" t="n">
        <v>0.440906713255734</v>
      </c>
      <c r="D781" s="30" t="n">
        <v>0.0892026333190875</v>
      </c>
      <c r="E781" s="30" t="n">
        <v>0.304168924660475</v>
      </c>
      <c r="F781" s="30" t="n">
        <v>0.0155137252217464</v>
      </c>
      <c r="G781" s="30" t="n">
        <v>0.143381368551983</v>
      </c>
      <c r="H781" s="31" t="n">
        <f aca="false">MAX(D781,F781+0.015)</f>
        <v>0.0892026333190875</v>
      </c>
      <c r="I781" s="25" t="n">
        <f aca="false">(C781-'DCF Base Case'!$B$3)*(1-E781)+'DCF Base Case'!$B$3-G781</f>
        <v>0.202957184063032</v>
      </c>
      <c r="J781" s="24" t="n">
        <f aca="false">'DCF Base Case'!$B$2*(1+B781)^1*$I781-'DCF Base Case'!$B$2*(1+B781)^0*B781*'DCF Base Case'!$B$4</f>
        <v>31.8302785887216</v>
      </c>
      <c r="K781" s="24" t="n">
        <f aca="false">'DCF Base Case'!$B$2*(1+B781)^2*$I781-'DCF Base Case'!$B$2*(1+B781)^1*B781*'DCF Base Case'!$B$4</f>
        <v>34.8782722077268</v>
      </c>
      <c r="L781" s="24" t="n">
        <f aca="false">'DCF Base Case'!$B$2*(1+B781)^3*$I781-'DCF Base Case'!$B$2*(1+B781)^2*B781*'DCF Base Case'!$B$4</f>
        <v>38.218134623155</v>
      </c>
      <c r="M781" s="24" t="n">
        <f aca="false">'DCF Base Case'!$B$2*(1+B781)^4*$I781-'DCF Base Case'!$B$2*(1+B781)^3*B781*'DCF Base Case'!$B$4</f>
        <v>41.8778145137022</v>
      </c>
      <c r="N781" s="24" t="n">
        <f aca="false">'DCF Base Case'!$B$2*(1+B781)^5*$I781-'DCF Base Case'!$B$2*(1+B781)^4*B781*'DCF Base Case'!$B$4</f>
        <v>45.8879368586846</v>
      </c>
      <c r="O781" s="24" t="n">
        <f aca="false">J781/(1+H781)^1+K781/(1+H781)^2+L781/(1+H781)^3+M781/(1+H781)^4+N781/(1+H781)^5</f>
        <v>147.886686249964</v>
      </c>
      <c r="P781" s="24" t="n">
        <f aca="false">N781*(1+F781)/(H781-F781)</f>
        <v>632.385943900077</v>
      </c>
      <c r="Q781" s="24" t="n">
        <f aca="false">O781+P781/(1+H781)^5</f>
        <v>560.40078381298</v>
      </c>
      <c r="R781" s="24" t="n">
        <f aca="false">Q781-'DCF Base Case'!$B$5</f>
        <v>375.40078381298</v>
      </c>
      <c r="S781" s="32" t="n">
        <f aca="false">R781/'DCF Base Case'!$B$6</f>
        <v>15.0160313525192</v>
      </c>
    </row>
    <row r="782" customFormat="false" ht="15" hidden="false" customHeight="true" outlineLevel="0" collapsed="false">
      <c r="A782" s="6" t="n">
        <v>781</v>
      </c>
      <c r="B782" s="30" t="n">
        <v>0.123682622918693</v>
      </c>
      <c r="C782" s="30" t="n">
        <v>0.428075061862756</v>
      </c>
      <c r="D782" s="30" t="n">
        <v>0.0781444789820925</v>
      </c>
      <c r="E782" s="30" t="n">
        <v>0.264823615163729</v>
      </c>
      <c r="F782" s="30" t="n">
        <v>0.0167210597988334</v>
      </c>
      <c r="G782" s="30" t="n">
        <v>0.150930564402839</v>
      </c>
      <c r="H782" s="31" t="n">
        <f aca="false">MAX(D782,F782+0.015)</f>
        <v>0.0781444789820925</v>
      </c>
      <c r="I782" s="25" t="n">
        <f aca="false">(C782-'DCF Base Case'!$B$3)*(1-E782)+'DCF Base Case'!$B$3-G782</f>
        <v>0.19820718198727</v>
      </c>
      <c r="J782" s="24" t="n">
        <f aca="false">'DCF Base Case'!$B$2*(1+B782)^1*$I782-'DCF Base Case'!$B$2*(1+B782)^0*B782*'DCF Base Case'!$B$4</f>
        <v>31.7566656801365</v>
      </c>
      <c r="K782" s="24" t="n">
        <f aca="false">'DCF Base Case'!$B$2*(1+B782)^2*$I782-'DCF Base Case'!$B$2*(1+B782)^1*B782*'DCF Base Case'!$B$4</f>
        <v>35.6844133866078</v>
      </c>
      <c r="L782" s="24" t="n">
        <f aca="false">'DCF Base Case'!$B$2*(1+B782)^3*$I782-'DCF Base Case'!$B$2*(1+B782)^2*B782*'DCF Base Case'!$B$4</f>
        <v>40.0979552315784</v>
      </c>
      <c r="M782" s="24" t="n">
        <f aca="false">'DCF Base Case'!$B$2*(1+B782)^4*$I782-'DCF Base Case'!$B$2*(1+B782)^3*B782*'DCF Base Case'!$B$4</f>
        <v>45.0573755082963</v>
      </c>
      <c r="N782" s="24" t="n">
        <f aca="false">'DCF Base Case'!$B$2*(1+B782)^5*$I782-'DCF Base Case'!$B$2*(1+B782)^4*B782*'DCF Base Case'!$B$4</f>
        <v>50.6301898929949</v>
      </c>
      <c r="O782" s="24" t="n">
        <f aca="false">J782/(1+H782)^1+K782/(1+H782)^2+L782/(1+H782)^3+M782/(1+H782)^4+N782/(1+H782)^5</f>
        <v>160.252327382056</v>
      </c>
      <c r="P782" s="24" t="n">
        <f aca="false">N782*(1+F782)/(H782-F782)</f>
        <v>838.064389939593</v>
      </c>
      <c r="Q782" s="24" t="n">
        <f aca="false">O782+P782/(1+H782)^5</f>
        <v>735.54993909672</v>
      </c>
      <c r="R782" s="24" t="n">
        <f aca="false">Q782-'DCF Base Case'!$B$5</f>
        <v>550.54993909672</v>
      </c>
      <c r="S782" s="32" t="n">
        <f aca="false">R782/'DCF Base Case'!$B$6</f>
        <v>22.0219975638688</v>
      </c>
    </row>
    <row r="783" customFormat="false" ht="15" hidden="false" customHeight="true" outlineLevel="0" collapsed="false">
      <c r="A783" s="6" t="n">
        <v>782</v>
      </c>
      <c r="B783" s="30" t="n">
        <v>0.0623293696188167</v>
      </c>
      <c r="C783" s="30" t="n">
        <v>0.373818519842118</v>
      </c>
      <c r="D783" s="30" t="n">
        <v>0.0828549518458014</v>
      </c>
      <c r="E783" s="30" t="n">
        <v>0.265374308159128</v>
      </c>
      <c r="F783" s="30" t="n">
        <v>0.0233044940679065</v>
      </c>
      <c r="G783" s="30" t="n">
        <v>0.17195428546809</v>
      </c>
      <c r="H783" s="31" t="n">
        <f aca="false">MAX(D783,F783+0.015)</f>
        <v>0.0828549518458014</v>
      </c>
      <c r="I783" s="25" t="n">
        <f aca="false">(C783-'DCF Base Case'!$B$3)*(1-E783)+'DCF Base Case'!$B$3-G783</f>
        <v>0.137161063354543</v>
      </c>
      <c r="J783" s="24" t="n">
        <f aca="false">'DCF Base Case'!$B$2*(1+B783)^1*$I783-'DCF Base Case'!$B$2*(1+B783)^0*B783*'DCF Base Case'!$B$4</f>
        <v>20.8568500077615</v>
      </c>
      <c r="K783" s="24" t="n">
        <f aca="false">'DCF Base Case'!$B$2*(1+B783)^2*$I783-'DCF Base Case'!$B$2*(1+B783)^1*B783*'DCF Base Case'!$B$4</f>
        <v>22.1568443209795</v>
      </c>
      <c r="L783" s="24" t="n">
        <f aca="false">'DCF Base Case'!$B$2*(1+B783)^3*$I783-'DCF Base Case'!$B$2*(1+B783)^2*B783*'DCF Base Case'!$B$4</f>
        <v>23.5378664602484</v>
      </c>
      <c r="M783" s="24" t="n">
        <f aca="false">'DCF Base Case'!$B$2*(1+B783)^4*$I783-'DCF Base Case'!$B$2*(1+B783)^3*B783*'DCF Base Case'!$B$4</f>
        <v>25.0049668388876</v>
      </c>
      <c r="N783" s="24" t="n">
        <f aca="false">'DCF Base Case'!$B$2*(1+B783)^5*$I783-'DCF Base Case'!$B$2*(1+B783)^4*B783*'DCF Base Case'!$B$4</f>
        <v>26.5635106592949</v>
      </c>
      <c r="O783" s="24" t="n">
        <f aca="false">J783/(1+H783)^1+K783/(1+H783)^2+L783/(1+H783)^3+M783/(1+H783)^4+N783/(1+H783)^5</f>
        <v>92.722530449097</v>
      </c>
      <c r="P783" s="24" t="n">
        <f aca="false">N783*(1+F783)/(H783-F783)</f>
        <v>456.462651173227</v>
      </c>
      <c r="Q783" s="24" t="n">
        <f aca="false">O783+P783/(1+H783)^5</f>
        <v>399.30958559847</v>
      </c>
      <c r="R783" s="24" t="n">
        <f aca="false">Q783-'DCF Base Case'!$B$5</f>
        <v>214.30958559847</v>
      </c>
      <c r="S783" s="32" t="n">
        <f aca="false">R783/'DCF Base Case'!$B$6</f>
        <v>8.57238342393879</v>
      </c>
    </row>
    <row r="784" customFormat="false" ht="15" hidden="false" customHeight="true" outlineLevel="0" collapsed="false">
      <c r="A784" s="6" t="n">
        <v>783</v>
      </c>
      <c r="B784" s="30" t="n">
        <v>0.0955375229634973</v>
      </c>
      <c r="C784" s="30" t="n">
        <v>0.400484737105007</v>
      </c>
      <c r="D784" s="30" t="n">
        <v>0.0836686874264203</v>
      </c>
      <c r="E784" s="30" t="n">
        <v>0.290379632849684</v>
      </c>
      <c r="F784" s="30" t="n">
        <v>0.0219234642362383</v>
      </c>
      <c r="G784" s="30" t="n">
        <v>0.163216069702302</v>
      </c>
      <c r="H784" s="31" t="n">
        <f aca="false">MAX(D784,F784+0.015)</f>
        <v>0.0836686874264203</v>
      </c>
      <c r="I784" s="25" t="n">
        <f aca="false">(C784-'DCF Base Case'!$B$3)*(1-E784)+'DCF Base Case'!$B$3-G784</f>
        <v>0.15872540875071</v>
      </c>
      <c r="J784" s="24" t="n">
        <f aca="false">'DCF Base Case'!$B$2*(1+B784)^1*$I784-'DCF Base Case'!$B$2*(1+B784)^0*B784*'DCF Base Case'!$B$4</f>
        <v>24.7984097395564</v>
      </c>
      <c r="K784" s="24" t="n">
        <f aca="false">'DCF Base Case'!$B$2*(1+B784)^2*$I784-'DCF Base Case'!$B$2*(1+B784)^1*B784*'DCF Base Case'!$B$4</f>
        <v>27.1675883795075</v>
      </c>
      <c r="L784" s="24" t="n">
        <f aca="false">'DCF Base Case'!$B$2*(1+B784)^3*$I784-'DCF Base Case'!$B$2*(1+B784)^2*B784*'DCF Base Case'!$B$4</f>
        <v>29.7631124781775</v>
      </c>
      <c r="M784" s="24" t="n">
        <f aca="false">'DCF Base Case'!$B$2*(1+B784)^4*$I784-'DCF Base Case'!$B$2*(1+B784)^3*B784*'DCF Base Case'!$B$4</f>
        <v>32.6066065200265</v>
      </c>
      <c r="N784" s="24" t="n">
        <f aca="false">'DCF Base Case'!$B$2*(1+B784)^5*$I784-'DCF Base Case'!$B$2*(1+B784)^4*B784*'DCF Base Case'!$B$4</f>
        <v>35.7217609391953</v>
      </c>
      <c r="O784" s="24" t="n">
        <f aca="false">J784/(1+H784)^1+K784/(1+H784)^2+L784/(1+H784)^3+M784/(1+H784)^4+N784/(1+H784)^5</f>
        <v>116.952714464438</v>
      </c>
      <c r="P784" s="24" t="n">
        <f aca="false">N784*(1+F784)/(H784-F784)</f>
        <v>591.218296760579</v>
      </c>
      <c r="Q784" s="24" t="n">
        <f aca="false">O784+P784/(1+H784)^5</f>
        <v>512.560876150383</v>
      </c>
      <c r="R784" s="24" t="n">
        <f aca="false">Q784-'DCF Base Case'!$B$5</f>
        <v>327.560876150383</v>
      </c>
      <c r="S784" s="32" t="n">
        <f aca="false">R784/'DCF Base Case'!$B$6</f>
        <v>13.1024350460153</v>
      </c>
    </row>
    <row r="785" customFormat="false" ht="15" hidden="false" customHeight="true" outlineLevel="0" collapsed="false">
      <c r="A785" s="6" t="n">
        <v>784</v>
      </c>
      <c r="B785" s="30" t="n">
        <v>0.113517338124503</v>
      </c>
      <c r="C785" s="30" t="n">
        <v>0.42258059176706</v>
      </c>
      <c r="D785" s="30" t="n">
        <v>0.0937213183036945</v>
      </c>
      <c r="E785" s="30" t="n">
        <v>0.267477157666658</v>
      </c>
      <c r="F785" s="30" t="n">
        <v>0.0124730227808657</v>
      </c>
      <c r="G785" s="30" t="n">
        <v>0.17136596855593</v>
      </c>
      <c r="H785" s="31" t="n">
        <f aca="false">MAX(D785,F785+0.015)</f>
        <v>0.0937213183036945</v>
      </c>
      <c r="I785" s="25" t="n">
        <f aca="false">(C785-'DCF Base Case'!$B$3)*(1-E785)+'DCF Base Case'!$B$3-G785</f>
        <v>0.172955998136848</v>
      </c>
      <c r="J785" s="24" t="n">
        <f aca="false">'DCF Base Case'!$B$2*(1+B785)^1*$I785-'DCF Base Case'!$B$2*(1+B785)^0*B785*'DCF Base Case'!$B$4</f>
        <v>27.4316774645698</v>
      </c>
      <c r="K785" s="24" t="n">
        <f aca="false">'DCF Base Case'!$B$2*(1+B785)^2*$I785-'DCF Base Case'!$B$2*(1+B785)^1*B785*'DCF Base Case'!$B$4</f>
        <v>30.5456484706377</v>
      </c>
      <c r="L785" s="24" t="n">
        <f aca="false">'DCF Base Case'!$B$2*(1+B785)^3*$I785-'DCF Base Case'!$B$2*(1+B785)^2*B785*'DCF Base Case'!$B$4</f>
        <v>34.0131091763112</v>
      </c>
      <c r="M785" s="24" t="n">
        <f aca="false">'DCF Base Case'!$B$2*(1+B785)^4*$I785-'DCF Base Case'!$B$2*(1+B785)^3*B785*'DCF Base Case'!$B$4</f>
        <v>37.8741867913442</v>
      </c>
      <c r="N785" s="24" t="n">
        <f aca="false">'DCF Base Case'!$B$2*(1+B785)^5*$I785-'DCF Base Case'!$B$2*(1+B785)^4*B785*'DCF Base Case'!$B$4</f>
        <v>42.1735636595278</v>
      </c>
      <c r="O785" s="24" t="n">
        <f aca="false">J785/(1+H785)^1+K785/(1+H785)^2+L785/(1+H785)^3+M785/(1+H785)^4+N785/(1+H785)^5</f>
        <v>130.027746890641</v>
      </c>
      <c r="P785" s="24" t="n">
        <f aca="false">N785*(1+F785)/(H785-F785)</f>
        <v>525.544507795931</v>
      </c>
      <c r="Q785" s="24" t="n">
        <f aca="false">O785+P785/(1+H785)^5</f>
        <v>465.824208509121</v>
      </c>
      <c r="R785" s="24" t="n">
        <f aca="false">Q785-'DCF Base Case'!$B$5</f>
        <v>280.824208509121</v>
      </c>
      <c r="S785" s="32" t="n">
        <f aca="false">R785/'DCF Base Case'!$B$6</f>
        <v>11.2329683403648</v>
      </c>
    </row>
    <row r="786" customFormat="false" ht="15" hidden="false" customHeight="true" outlineLevel="0" collapsed="false">
      <c r="A786" s="6" t="n">
        <v>785</v>
      </c>
      <c r="B786" s="30" t="n">
        <v>0.105785483827246</v>
      </c>
      <c r="C786" s="30" t="n">
        <v>0.430746529010226</v>
      </c>
      <c r="D786" s="30" t="n">
        <v>0.0896440532758119</v>
      </c>
      <c r="E786" s="30" t="n">
        <v>0.27063141113124</v>
      </c>
      <c r="F786" s="30" t="n">
        <v>0.0160608258906639</v>
      </c>
      <c r="G786" s="30" t="n">
        <v>0.178245914970621</v>
      </c>
      <c r="H786" s="31" t="n">
        <f aca="false">MAX(D786,F786+0.015)</f>
        <v>0.0896440532758119</v>
      </c>
      <c r="I786" s="25" t="n">
        <f aca="false">(C786-'DCF Base Case'!$B$3)*(1-E786)+'DCF Base Case'!$B$3-G786</f>
        <v>0.171109156500745</v>
      </c>
      <c r="J786" s="24" t="n">
        <f aca="false">'DCF Base Case'!$B$2*(1+B786)^1*$I786-'DCF Base Case'!$B$2*(1+B786)^0*B786*'DCF Base Case'!$B$4</f>
        <v>26.9752862495765</v>
      </c>
      <c r="K786" s="24" t="n">
        <f aca="false">'DCF Base Case'!$B$2*(1+B786)^2*$I786-'DCF Base Case'!$B$2*(1+B786)^1*B786*'DCF Base Case'!$B$4</f>
        <v>29.8288799568664</v>
      </c>
      <c r="L786" s="24" t="n">
        <f aca="false">'DCF Base Case'!$B$2*(1+B786)^3*$I786-'DCF Base Case'!$B$2*(1+B786)^2*B786*'DCF Base Case'!$B$4</f>
        <v>32.9843424551284</v>
      </c>
      <c r="M786" s="24" t="n">
        <f aca="false">'DCF Base Case'!$B$2*(1+B786)^4*$I786-'DCF Base Case'!$B$2*(1+B786)^3*B786*'DCF Base Case'!$B$4</f>
        <v>36.4736070804677</v>
      </c>
      <c r="N786" s="24" t="n">
        <f aca="false">'DCF Base Case'!$B$2*(1+B786)^5*$I786-'DCF Base Case'!$B$2*(1+B786)^4*B786*'DCF Base Case'!$B$4</f>
        <v>40.3319852523998</v>
      </c>
      <c r="O786" s="24" t="n">
        <f aca="false">J786/(1+H786)^1+K786/(1+H786)^2+L786/(1+H786)^3+M786/(1+H786)^4+N786/(1+H786)^5</f>
        <v>127.502229870628</v>
      </c>
      <c r="P786" s="24" t="n">
        <f aca="false">N786*(1+F786)/(H786-F786)</f>
        <v>556.916999996045</v>
      </c>
      <c r="Q786" s="24" t="n">
        <f aca="false">O786+P786/(1+H786)^5</f>
        <v>490.051645810709</v>
      </c>
      <c r="R786" s="24" t="n">
        <f aca="false">Q786-'DCF Base Case'!$B$5</f>
        <v>305.051645810709</v>
      </c>
      <c r="S786" s="32" t="n">
        <f aca="false">R786/'DCF Base Case'!$B$6</f>
        <v>12.2020658324283</v>
      </c>
    </row>
    <row r="787" customFormat="false" ht="15" hidden="false" customHeight="true" outlineLevel="0" collapsed="false">
      <c r="A787" s="6" t="n">
        <v>786</v>
      </c>
      <c r="B787" s="30" t="n">
        <v>0.0990798992942952</v>
      </c>
      <c r="C787" s="30" t="n">
        <v>0.406047602292497</v>
      </c>
      <c r="D787" s="30" t="n">
        <v>0.0972036660811126</v>
      </c>
      <c r="E787" s="30" t="n">
        <v>0.260376784496561</v>
      </c>
      <c r="F787" s="30" t="n">
        <v>0.0169971308088684</v>
      </c>
      <c r="G787" s="30" t="n">
        <v>0.202528541037532</v>
      </c>
      <c r="H787" s="31" t="n">
        <f aca="false">MAX(D787,F787+0.015)</f>
        <v>0.0972036660811126</v>
      </c>
      <c r="I787" s="25" t="n">
        <f aca="false">(C787-'DCF Base Case'!$B$3)*(1-E787)+'DCF Base Case'!$B$3-G787</f>
        <v>0.131642674202059</v>
      </c>
      <c r="J787" s="24" t="n">
        <f aca="false">'DCF Base Case'!$B$2*(1+B787)^1*$I787-'DCF Base Case'!$B$2*(1+B787)^0*B787*'DCF Base Case'!$B$4</f>
        <v>20.5484459182703</v>
      </c>
      <c r="K787" s="24" t="n">
        <f aca="false">'DCF Base Case'!$B$2*(1+B787)^2*$I787-'DCF Base Case'!$B$2*(1+B787)^1*B787*'DCF Base Case'!$B$4</f>
        <v>22.5843838705068</v>
      </c>
      <c r="L787" s="24" t="n">
        <f aca="false">'DCF Base Case'!$B$2*(1+B787)^3*$I787-'DCF Base Case'!$B$2*(1+B787)^2*B787*'DCF Base Case'!$B$4</f>
        <v>24.8220423500203</v>
      </c>
      <c r="M787" s="24" t="n">
        <f aca="false">'DCF Base Case'!$B$2*(1+B787)^4*$I787-'DCF Base Case'!$B$2*(1+B787)^3*B787*'DCF Base Case'!$B$4</f>
        <v>27.281407806339</v>
      </c>
      <c r="N787" s="24" t="n">
        <f aca="false">'DCF Base Case'!$B$2*(1+B787)^5*$I787-'DCF Base Case'!$B$2*(1+B787)^4*B787*'DCF Base Case'!$B$4</f>
        <v>29.9844469443977</v>
      </c>
      <c r="O787" s="24" t="n">
        <f aca="false">J787/(1+H787)^1+K787/(1+H787)^2+L787/(1+H787)^3+M787/(1+H787)^4+N787/(1+H787)^5</f>
        <v>93.9608710606341</v>
      </c>
      <c r="P787" s="24" t="n">
        <f aca="false">N787*(1+F787)/(H787-F787)</f>
        <v>380.19466129334</v>
      </c>
      <c r="Q787" s="24" t="n">
        <f aca="false">O787+P787/(1+H787)^5</f>
        <v>333.055469074253</v>
      </c>
      <c r="R787" s="24" t="n">
        <f aca="false">Q787-'DCF Base Case'!$B$5</f>
        <v>148.055469074253</v>
      </c>
      <c r="S787" s="32" t="n">
        <f aca="false">R787/'DCF Base Case'!$B$6</f>
        <v>5.9222187629701</v>
      </c>
    </row>
    <row r="788" customFormat="false" ht="15" hidden="false" customHeight="true" outlineLevel="0" collapsed="false">
      <c r="A788" s="6" t="n">
        <v>787</v>
      </c>
      <c r="B788" s="30" t="n">
        <v>0.108972760458978</v>
      </c>
      <c r="C788" s="30" t="n">
        <v>0.414082750460854</v>
      </c>
      <c r="D788" s="30" t="n">
        <v>0.0881611878060791</v>
      </c>
      <c r="E788" s="30" t="n">
        <v>0.284113155545476</v>
      </c>
      <c r="F788" s="30" t="n">
        <v>0.0107269668409812</v>
      </c>
      <c r="G788" s="30" t="n">
        <v>0.147006852730971</v>
      </c>
      <c r="H788" s="31" t="n">
        <f aca="false">MAX(D788,F788+0.015)</f>
        <v>0.0881611878060791</v>
      </c>
      <c r="I788" s="25" t="n">
        <f aca="false">(C788-'DCF Base Case'!$B$3)*(1-E788)+'DCF Base Case'!$B$3-G788</f>
        <v>0.186364251060412</v>
      </c>
      <c r="J788" s="24" t="n">
        <f aca="false">'DCF Base Case'!$B$2*(1+B788)^1*$I788-'DCF Base Case'!$B$2*(1+B788)^0*B788*'DCF Base Case'!$B$4</f>
        <v>29.493535794657</v>
      </c>
      <c r="K788" s="24" t="n">
        <f aca="false">'DCF Base Case'!$B$2*(1+B788)^2*$I788-'DCF Base Case'!$B$2*(1+B788)^1*B788*'DCF Base Case'!$B$4</f>
        <v>32.7075278058965</v>
      </c>
      <c r="L788" s="24" t="n">
        <f aca="false">'DCF Base Case'!$B$2*(1+B788)^3*$I788-'DCF Base Case'!$B$2*(1+B788)^2*B788*'DCF Base Case'!$B$4</f>
        <v>36.2717573986938</v>
      </c>
      <c r="M788" s="24" t="n">
        <f aca="false">'DCF Base Case'!$B$2*(1+B788)^4*$I788-'DCF Base Case'!$B$2*(1+B788)^3*B788*'DCF Base Case'!$B$4</f>
        <v>40.2243909291278</v>
      </c>
      <c r="N788" s="24" t="n">
        <f aca="false">'DCF Base Case'!$B$2*(1+B788)^5*$I788-'DCF Base Case'!$B$2*(1+B788)^4*B788*'DCF Base Case'!$B$4</f>
        <v>44.6077538464559</v>
      </c>
      <c r="O788" s="24" t="n">
        <f aca="false">J788/(1+H788)^1+K788/(1+H788)^2+L788/(1+H788)^3+M788/(1+H788)^4+N788/(1+H788)^5</f>
        <v>140.803926930217</v>
      </c>
      <c r="P788" s="24" t="n">
        <f aca="false">N788*(1+F788)/(H788-F788)</f>
        <v>582.252383776669</v>
      </c>
      <c r="Q788" s="24" t="n">
        <f aca="false">O788+P788/(1+H788)^5</f>
        <v>522.436220498842</v>
      </c>
      <c r="R788" s="24" t="n">
        <f aca="false">Q788-'DCF Base Case'!$B$5</f>
        <v>337.436220498842</v>
      </c>
      <c r="S788" s="32" t="n">
        <f aca="false">R788/'DCF Base Case'!$B$6</f>
        <v>13.4974488199537</v>
      </c>
    </row>
    <row r="789" customFormat="false" ht="15" hidden="false" customHeight="true" outlineLevel="0" collapsed="false">
      <c r="A789" s="6" t="n">
        <v>788</v>
      </c>
      <c r="B789" s="30" t="n">
        <v>0.0889757017257937</v>
      </c>
      <c r="C789" s="30" t="n">
        <v>0.406635262989756</v>
      </c>
      <c r="D789" s="30" t="n">
        <v>0.0877181282131346</v>
      </c>
      <c r="E789" s="30" t="n">
        <v>0.314215402588223</v>
      </c>
      <c r="F789" s="30" t="n">
        <v>0.0180890595788227</v>
      </c>
      <c r="G789" s="30" t="n">
        <v>0.144092025689797</v>
      </c>
      <c r="H789" s="31" t="n">
        <f aca="false">MAX(D789,F789+0.015)</f>
        <v>0.0877181282131346</v>
      </c>
      <c r="I789" s="25" t="n">
        <f aca="false">(C789-'DCF Base Case'!$B$3)*(1-E789)+'DCF Base Case'!$B$3-G789</f>
        <v>0.175620176769534</v>
      </c>
      <c r="J789" s="24" t="n">
        <f aca="false">'DCF Base Case'!$B$2*(1+B789)^1*$I789-'DCF Base Case'!$B$2*(1+B789)^0*B789*'DCF Base Case'!$B$4</f>
        <v>27.3436409565404</v>
      </c>
      <c r="K789" s="24" t="n">
        <f aca="false">'DCF Base Case'!$B$2*(1+B789)^2*$I789-'DCF Base Case'!$B$2*(1+B789)^1*B789*'DCF Base Case'!$B$4</f>
        <v>29.7765605983867</v>
      </c>
      <c r="L789" s="24" t="n">
        <f aca="false">'DCF Base Case'!$B$2*(1+B789)^3*$I789-'DCF Base Case'!$B$2*(1+B789)^2*B789*'DCF Base Case'!$B$4</f>
        <v>32.4259509726088</v>
      </c>
      <c r="M789" s="24" t="n">
        <f aca="false">'DCF Base Case'!$B$2*(1+B789)^4*$I789-'DCF Base Case'!$B$2*(1+B789)^3*B789*'DCF Base Case'!$B$4</f>
        <v>35.3110727145229</v>
      </c>
      <c r="N789" s="24" t="n">
        <f aca="false">'DCF Base Case'!$B$2*(1+B789)^5*$I789-'DCF Base Case'!$B$2*(1+B789)^4*B789*'DCF Base Case'!$B$4</f>
        <v>38.4529001879881</v>
      </c>
      <c r="O789" s="24" t="n">
        <f aca="false">J789/(1+H789)^1+K789/(1+H789)^2+L789/(1+H789)^3+M789/(1+H789)^4+N789/(1+H789)^5</f>
        <v>125.983655607204</v>
      </c>
      <c r="P789" s="24" t="n">
        <f aca="false">N789*(1+F789)/(H789-F789)</f>
        <v>562.243295197194</v>
      </c>
      <c r="Q789" s="24" t="n">
        <f aca="false">O789+P789/(1+H789)^5</f>
        <v>495.252316767292</v>
      </c>
      <c r="R789" s="24" t="n">
        <f aca="false">Q789-'DCF Base Case'!$B$5</f>
        <v>310.252316767292</v>
      </c>
      <c r="S789" s="32" t="n">
        <f aca="false">R789/'DCF Base Case'!$B$6</f>
        <v>12.4100926706917</v>
      </c>
    </row>
    <row r="790" customFormat="false" ht="15" hidden="false" customHeight="true" outlineLevel="0" collapsed="false">
      <c r="A790" s="6" t="n">
        <v>789</v>
      </c>
      <c r="B790" s="30" t="n">
        <v>0.0968348130688038</v>
      </c>
      <c r="C790" s="30" t="n">
        <v>0.410424210556255</v>
      </c>
      <c r="D790" s="30" t="n">
        <v>0.0832833014909591</v>
      </c>
      <c r="E790" s="30" t="n">
        <v>0.27198573989331</v>
      </c>
      <c r="F790" s="30" t="n">
        <v>0.0262198523011808</v>
      </c>
      <c r="G790" s="30" t="n">
        <v>0.127077462528621</v>
      </c>
      <c r="H790" s="31" t="n">
        <f aca="false">MAX(D790,F790+0.015)</f>
        <v>0.0832833014909591</v>
      </c>
      <c r="I790" s="25" t="n">
        <f aca="false">(C790-'DCF Base Case'!$B$3)*(1-E790)+'DCF Base Case'!$B$3-G790</f>
        <v>0.207075361635494</v>
      </c>
      <c r="J790" s="24" t="n">
        <f aca="false">'DCF Base Case'!$B$2*(1+B790)^1*$I790-'DCF Base Case'!$B$2*(1+B790)^0*B790*'DCF Base Case'!$B$4</f>
        <v>32.5122510708908</v>
      </c>
      <c r="K790" s="24" t="n">
        <f aca="false">'DCF Base Case'!$B$2*(1+B790)^2*$I790-'DCF Base Case'!$B$2*(1+B790)^1*B790*'DCF Base Case'!$B$4</f>
        <v>35.6605688257866</v>
      </c>
      <c r="L790" s="24" t="n">
        <f aca="false">'DCF Base Case'!$B$2*(1+B790)^3*$I790-'DCF Base Case'!$B$2*(1+B790)^2*B790*'DCF Base Case'!$B$4</f>
        <v>39.1137533419588</v>
      </c>
      <c r="M790" s="24" t="n">
        <f aca="false">'DCF Base Case'!$B$2*(1+B790)^4*$I790-'DCF Base Case'!$B$2*(1+B790)^3*B790*'DCF Base Case'!$B$4</f>
        <v>42.9013263352467</v>
      </c>
      <c r="N790" s="24" t="n">
        <f aca="false">'DCF Base Case'!$B$2*(1+B790)^5*$I790-'DCF Base Case'!$B$2*(1+B790)^4*B790*'DCF Base Case'!$B$4</f>
        <v>47.055668251324</v>
      </c>
      <c r="O790" s="24" t="n">
        <f aca="false">J790/(1+H790)^1+K790/(1+H790)^2+L790/(1+H790)^3+M790/(1+H790)^4+N790/(1+H790)^5</f>
        <v>153.865223390605</v>
      </c>
      <c r="P790" s="24" t="n">
        <f aca="false">N790*(1+F790)/(H790-F790)</f>
        <v>846.2415365431</v>
      </c>
      <c r="Q790" s="24" t="n">
        <f aca="false">O790+P790/(1+H790)^5</f>
        <v>721.127749853162</v>
      </c>
      <c r="R790" s="24" t="n">
        <f aca="false">Q790-'DCF Base Case'!$B$5</f>
        <v>536.127749853162</v>
      </c>
      <c r="S790" s="32" t="n">
        <f aca="false">R790/'DCF Base Case'!$B$6</f>
        <v>21.4451099941265</v>
      </c>
    </row>
    <row r="791" customFormat="false" ht="15" hidden="false" customHeight="true" outlineLevel="0" collapsed="false">
      <c r="A791" s="6" t="n">
        <v>790</v>
      </c>
      <c r="B791" s="30" t="n">
        <v>0.0817662827823331</v>
      </c>
      <c r="C791" s="30" t="n">
        <v>0.411647529123201</v>
      </c>
      <c r="D791" s="30" t="n">
        <v>0.0764074325848894</v>
      </c>
      <c r="E791" s="30" t="n">
        <v>0.307307447048018</v>
      </c>
      <c r="F791" s="30" t="n">
        <v>0.0222746181189156</v>
      </c>
      <c r="G791" s="30" t="n">
        <v>0.164194403626391</v>
      </c>
      <c r="H791" s="31" t="n">
        <f aca="false">MAX(D791,F791+0.015)</f>
        <v>0.0764074325848894</v>
      </c>
      <c r="I791" s="25" t="n">
        <f aca="false">(C791-'DCF Base Case'!$B$3)*(1-E791)+'DCF Base Case'!$B$3-G791</f>
        <v>0.160900742354577</v>
      </c>
      <c r="J791" s="24" t="n">
        <f aca="false">'DCF Base Case'!$B$2*(1+B791)^1*$I791-'DCF Base Case'!$B$2*(1+B791)^0*B791*'DCF Base Case'!$B$4</f>
        <v>24.882581373202</v>
      </c>
      <c r="K791" s="24" t="n">
        <f aca="false">'DCF Base Case'!$B$2*(1+B791)^2*$I791-'DCF Base Case'!$B$2*(1+B791)^1*B791*'DCF Base Case'!$B$4</f>
        <v>26.9171375581176</v>
      </c>
      <c r="L791" s="24" t="n">
        <f aca="false">'DCF Base Case'!$B$2*(1+B791)^3*$I791-'DCF Base Case'!$B$2*(1+B791)^2*B791*'DCF Base Case'!$B$4</f>
        <v>29.1180518393856</v>
      </c>
      <c r="M791" s="24" t="n">
        <f aca="false">'DCF Base Case'!$B$2*(1+B791)^4*$I791-'DCF Base Case'!$B$2*(1+B791)^3*B791*'DCF Base Case'!$B$4</f>
        <v>31.4989267001555</v>
      </c>
      <c r="N791" s="24" t="n">
        <f aca="false">'DCF Base Case'!$B$2*(1+B791)^5*$I791-'DCF Base Case'!$B$2*(1+B791)^4*B791*'DCF Base Case'!$B$4</f>
        <v>34.0744768480604</v>
      </c>
      <c r="O791" s="24" t="n">
        <f aca="false">J791/(1+H791)^1+K791/(1+H791)^2+L791/(1+H791)^3+M791/(1+H791)^4+N791/(1+H791)^5</f>
        <v>116.738192885775</v>
      </c>
      <c r="P791" s="24" t="n">
        <f aca="false">N791*(1+F791)/(H791-F791)</f>
        <v>643.481650660303</v>
      </c>
      <c r="Q791" s="24" t="n">
        <f aca="false">O791+P791/(1+H791)^5</f>
        <v>562.038226268344</v>
      </c>
      <c r="R791" s="24" t="n">
        <f aca="false">Q791-'DCF Base Case'!$B$5</f>
        <v>377.038226268344</v>
      </c>
      <c r="S791" s="32" t="n">
        <f aca="false">R791/'DCF Base Case'!$B$6</f>
        <v>15.0815290507338</v>
      </c>
    </row>
    <row r="792" customFormat="false" ht="15" hidden="false" customHeight="true" outlineLevel="0" collapsed="false">
      <c r="A792" s="6" t="n">
        <v>791</v>
      </c>
      <c r="B792" s="30" t="n">
        <v>0.0843464193520599</v>
      </c>
      <c r="C792" s="30" t="n">
        <v>0.410252897055301</v>
      </c>
      <c r="D792" s="30" t="n">
        <v>0.0838473468098741</v>
      </c>
      <c r="E792" s="30" t="n">
        <v>0.277479520640056</v>
      </c>
      <c r="F792" s="30" t="n">
        <v>0.0186285438288862</v>
      </c>
      <c r="G792" s="30" t="n">
        <v>0.170988966958258</v>
      </c>
      <c r="H792" s="31" t="n">
        <f aca="false">MAX(D792,F792+0.015)</f>
        <v>0.0838473468098741</v>
      </c>
      <c r="I792" s="25" t="n">
        <f aca="false">(C792-'DCF Base Case'!$B$3)*(1-E792)+'DCF Base Case'!$B$3-G792</f>
        <v>0.161499490564151</v>
      </c>
      <c r="J792" s="24" t="n">
        <f aca="false">'DCF Base Case'!$B$2*(1+B792)^1*$I792-'DCF Base Case'!$B$2*(1+B792)^0*B792*'DCF Base Case'!$B$4</f>
        <v>25.0256952522793</v>
      </c>
      <c r="K792" s="24" t="n">
        <f aca="false">'DCF Base Case'!$B$2*(1+B792)^2*$I792-'DCF Base Case'!$B$2*(1+B792)^1*B792*'DCF Base Case'!$B$4</f>
        <v>27.1365230386049</v>
      </c>
      <c r="L792" s="24" t="n">
        <f aca="false">'DCF Base Case'!$B$2*(1+B792)^3*$I792-'DCF Base Case'!$B$2*(1+B792)^2*B792*'DCF Base Case'!$B$4</f>
        <v>29.4253915905759</v>
      </c>
      <c r="M792" s="24" t="n">
        <f aca="false">'DCF Base Case'!$B$2*(1+B792)^4*$I792-'DCF Base Case'!$B$2*(1+B792)^3*B792*'DCF Base Case'!$B$4</f>
        <v>31.9073180092732</v>
      </c>
      <c r="N792" s="24" t="n">
        <f aca="false">'DCF Base Case'!$B$2*(1+B792)^5*$I792-'DCF Base Case'!$B$2*(1+B792)^4*B792*'DCF Base Case'!$B$4</f>
        <v>34.5985860344829</v>
      </c>
      <c r="O792" s="24" t="n">
        <f aca="false">J792/(1+H792)^1+K792/(1+H792)^2+L792/(1+H792)^3+M792/(1+H792)^4+N792/(1+H792)^5</f>
        <v>115.554800210521</v>
      </c>
      <c r="P792" s="24" t="n">
        <f aca="false">N792*(1+F792)/(H792-F792)</f>
        <v>540.382615135049</v>
      </c>
      <c r="Q792" s="24" t="n">
        <f aca="false">O792+P792/(1+H792)^5</f>
        <v>476.848821260581</v>
      </c>
      <c r="R792" s="24" t="n">
        <f aca="false">Q792-'DCF Base Case'!$B$5</f>
        <v>291.848821260581</v>
      </c>
      <c r="S792" s="32" t="n">
        <f aca="false">R792/'DCF Base Case'!$B$6</f>
        <v>11.6739528504232</v>
      </c>
    </row>
    <row r="793" customFormat="false" ht="15" hidden="false" customHeight="true" outlineLevel="0" collapsed="false">
      <c r="A793" s="6" t="n">
        <v>792</v>
      </c>
      <c r="B793" s="30" t="n">
        <v>0.10640973018479</v>
      </c>
      <c r="C793" s="30" t="n">
        <v>0.393500699906634</v>
      </c>
      <c r="D793" s="30" t="n">
        <v>0.0734426971084354</v>
      </c>
      <c r="E793" s="30" t="n">
        <v>0.249402755077434</v>
      </c>
      <c r="F793" s="30" t="n">
        <v>0.0224652092736314</v>
      </c>
      <c r="G793" s="30" t="n">
        <v>0.170938691077282</v>
      </c>
      <c r="H793" s="31" t="n">
        <f aca="false">MAX(D793,F793+0.015)</f>
        <v>0.0734426971084354</v>
      </c>
      <c r="I793" s="25" t="n">
        <f aca="false">(C793-'DCF Base Case'!$B$3)*(1-E793)+'DCF Base Case'!$B$3-G793</f>
        <v>0.156844208307805</v>
      </c>
      <c r="J793" s="24" t="n">
        <f aca="false">'DCF Base Case'!$B$2*(1+B793)^1*$I793-'DCF Base Case'!$B$2*(1+B793)^0*B793*'DCF Base Case'!$B$4</f>
        <v>24.6995416119546</v>
      </c>
      <c r="K793" s="24" t="n">
        <f aca="false">'DCF Base Case'!$B$2*(1+B793)^2*$I793-'DCF Base Case'!$B$2*(1+B793)^1*B793*'DCF Base Case'!$B$4</f>
        <v>27.3278131705707</v>
      </c>
      <c r="L793" s="24" t="n">
        <f aca="false">'DCF Base Case'!$B$2*(1+B793)^3*$I793-'DCF Base Case'!$B$2*(1+B793)^2*B793*'DCF Base Case'!$B$4</f>
        <v>30.2357583965915</v>
      </c>
      <c r="M793" s="24" t="n">
        <f aca="false">'DCF Base Case'!$B$2*(1+B793)^4*$I793-'DCF Base Case'!$B$2*(1+B793)^3*B793*'DCF Base Case'!$B$4</f>
        <v>33.4531372895053</v>
      </c>
      <c r="N793" s="24" t="n">
        <f aca="false">'DCF Base Case'!$B$2*(1+B793)^5*$I793-'DCF Base Case'!$B$2*(1+B793)^4*B793*'DCF Base Case'!$B$4</f>
        <v>37.0128766023163</v>
      </c>
      <c r="O793" s="24" t="n">
        <f aca="false">J793/(1+H793)^1+K793/(1+H793)^2+L793/(1+H793)^3+M793/(1+H793)^4+N793/(1+H793)^5</f>
        <v>122.335241595</v>
      </c>
      <c r="P793" s="24" t="n">
        <f aca="false">N793*(1+F793)/(H793-F793)</f>
        <v>742.374334797424</v>
      </c>
      <c r="Q793" s="24" t="n">
        <f aca="false">O793+P793/(1+H793)^5</f>
        <v>643.204373178812</v>
      </c>
      <c r="R793" s="24" t="n">
        <f aca="false">Q793-'DCF Base Case'!$B$5</f>
        <v>458.204373178812</v>
      </c>
      <c r="S793" s="32" t="n">
        <f aca="false">R793/'DCF Base Case'!$B$6</f>
        <v>18.3281749271525</v>
      </c>
    </row>
    <row r="794" customFormat="false" ht="15" hidden="false" customHeight="true" outlineLevel="0" collapsed="false">
      <c r="A794" s="6" t="n">
        <v>793</v>
      </c>
      <c r="B794" s="30" t="n">
        <v>0.10084099863446</v>
      </c>
      <c r="C794" s="30" t="n">
        <v>0.387118552756042</v>
      </c>
      <c r="D794" s="30" t="n">
        <v>0.104634429351682</v>
      </c>
      <c r="E794" s="30" t="n">
        <v>0.265064643220746</v>
      </c>
      <c r="F794" s="30" t="n">
        <v>0.0199593237669736</v>
      </c>
      <c r="G794" s="30" t="n">
        <v>0.185668153605858</v>
      </c>
      <c r="H794" s="31" t="n">
        <f aca="false">MAX(D794,F794+0.015)</f>
        <v>0.104634429351682</v>
      </c>
      <c r="I794" s="25" t="n">
        <f aca="false">(C794-'DCF Base Case'!$B$3)*(1-E794)+'DCF Base Case'!$B$3-G794</f>
        <v>0.133297361698469</v>
      </c>
      <c r="J794" s="24" t="n">
        <f aca="false">'DCF Base Case'!$B$2*(1+B794)^1*$I794-'DCF Base Case'!$B$2*(1+B794)^0*B794*'DCF Base Case'!$B$4</f>
        <v>20.8385257672249</v>
      </c>
      <c r="K794" s="24" t="n">
        <f aca="false">'DCF Base Case'!$B$2*(1+B794)^2*$I794-'DCF Base Case'!$B$2*(1+B794)^1*B794*'DCF Base Case'!$B$4</f>
        <v>22.9399035156618</v>
      </c>
      <c r="L794" s="24" t="n">
        <f aca="false">'DCF Base Case'!$B$2*(1+B794)^3*$I794-'DCF Base Case'!$B$2*(1+B794)^2*B794*'DCF Base Case'!$B$4</f>
        <v>25.2531862947593</v>
      </c>
      <c r="M794" s="24" t="n">
        <f aca="false">'DCF Base Case'!$B$2*(1+B794)^4*$I794-'DCF Base Case'!$B$2*(1+B794)^3*B794*'DCF Base Case'!$B$4</f>
        <v>27.7997428194249</v>
      </c>
      <c r="N794" s="24" t="n">
        <f aca="false">'DCF Base Case'!$B$2*(1+B794)^5*$I794-'DCF Base Case'!$B$2*(1+B794)^4*B794*'DCF Base Case'!$B$4</f>
        <v>30.6030966471169</v>
      </c>
      <c r="O794" s="24" t="n">
        <f aca="false">J794/(1+H794)^1+K794/(1+H794)^2+L794/(1+H794)^3+M794/(1+H794)^4+N794/(1+H794)^5</f>
        <v>93.6775665316173</v>
      </c>
      <c r="P794" s="24" t="n">
        <f aca="false">N794*(1+F794)/(H794-F794)</f>
        <v>368.631530434202</v>
      </c>
      <c r="Q794" s="24" t="n">
        <f aca="false">O794+P794/(1+H794)^5</f>
        <v>317.807366304682</v>
      </c>
      <c r="R794" s="24" t="n">
        <f aca="false">Q794-'DCF Base Case'!$B$5</f>
        <v>132.807366304682</v>
      </c>
      <c r="S794" s="32" t="n">
        <f aca="false">R794/'DCF Base Case'!$B$6</f>
        <v>5.31229465218727</v>
      </c>
    </row>
    <row r="795" customFormat="false" ht="15" hidden="false" customHeight="true" outlineLevel="0" collapsed="false">
      <c r="A795" s="6" t="n">
        <v>794</v>
      </c>
      <c r="B795" s="30" t="n">
        <v>0.0684452352363501</v>
      </c>
      <c r="C795" s="30" t="n">
        <v>0.394263435913027</v>
      </c>
      <c r="D795" s="30" t="n">
        <v>0.0869708895206096</v>
      </c>
      <c r="E795" s="30" t="n">
        <v>0.345402399688173</v>
      </c>
      <c r="F795" s="30" t="n">
        <v>0.0204223708825157</v>
      </c>
      <c r="G795" s="30" t="n">
        <v>0.201983792164529</v>
      </c>
      <c r="H795" s="31" t="n">
        <f aca="false">MAX(D795,F795+0.015)</f>
        <v>0.0869708895206096</v>
      </c>
      <c r="I795" s="25" t="n">
        <f aca="false">(C795-'DCF Base Case'!$B$3)*(1-E795)+'DCF Base Case'!$B$3-G795</f>
        <v>0.101002418834297</v>
      </c>
      <c r="J795" s="24" t="n">
        <f aca="false">'DCF Base Case'!$B$2*(1+B795)^1*$I795-'DCF Base Case'!$B$2*(1+B795)^0*B795*'DCF Base Case'!$B$4</f>
        <v>15.3500184335952</v>
      </c>
      <c r="K795" s="24" t="n">
        <f aca="false">'DCF Base Case'!$B$2*(1+B795)^2*$I795-'DCF Base Case'!$B$2*(1+B795)^1*B795*'DCF Base Case'!$B$4</f>
        <v>16.4006540561649</v>
      </c>
      <c r="L795" s="24" t="n">
        <f aca="false">'DCF Base Case'!$B$2*(1+B795)^3*$I795-'DCF Base Case'!$B$2*(1+B795)^2*B795*'DCF Base Case'!$B$4</f>
        <v>17.5232006810691</v>
      </c>
      <c r="M795" s="24" t="n">
        <f aca="false">'DCF Base Case'!$B$2*(1+B795)^4*$I795-'DCF Base Case'!$B$2*(1+B795)^3*B795*'DCF Base Case'!$B$4</f>
        <v>18.7225802737787</v>
      </c>
      <c r="N795" s="24" t="n">
        <f aca="false">'DCF Base Case'!$B$2*(1+B795)^5*$I795-'DCF Base Case'!$B$2*(1+B795)^4*B795*'DCF Base Case'!$B$4</f>
        <v>20.0040516848489</v>
      </c>
      <c r="O795" s="24" t="n">
        <f aca="false">J795/(1+H795)^1+K795/(1+H795)^2+L795/(1+H795)^3+M795/(1+H795)^4+N795/(1+H795)^5</f>
        <v>68.2429869815885</v>
      </c>
      <c r="P795" s="24" t="n">
        <f aca="false">N795*(1+F795)/(H795-F795)</f>
        <v>306.732325005132</v>
      </c>
      <c r="Q795" s="24" t="n">
        <f aca="false">O795+P795/(1+H795)^5</f>
        <v>270.391234266961</v>
      </c>
      <c r="R795" s="24" t="n">
        <f aca="false">Q795-'DCF Base Case'!$B$5</f>
        <v>85.3912342669606</v>
      </c>
      <c r="S795" s="32" t="n">
        <f aca="false">R795/'DCF Base Case'!$B$6</f>
        <v>3.41564937067843</v>
      </c>
    </row>
    <row r="796" customFormat="false" ht="15" hidden="false" customHeight="true" outlineLevel="0" collapsed="false">
      <c r="A796" s="6" t="n">
        <v>795</v>
      </c>
      <c r="B796" s="30" t="n">
        <v>0.116128283283421</v>
      </c>
      <c r="C796" s="30" t="n">
        <v>0.430225894850068</v>
      </c>
      <c r="D796" s="30" t="n">
        <v>0.0741188465120626</v>
      </c>
      <c r="E796" s="30" t="n">
        <v>0.312160593357051</v>
      </c>
      <c r="F796" s="30" t="n">
        <v>0.0134255147285992</v>
      </c>
      <c r="G796" s="30" t="n">
        <v>0.201883329744724</v>
      </c>
      <c r="H796" s="31" t="n">
        <f aca="false">MAX(D796,F796+0.015)</f>
        <v>0.0741188465120626</v>
      </c>
      <c r="I796" s="25" t="n">
        <f aca="false">(C796-'DCF Base Case'!$B$3)*(1-E796)+'DCF Base Case'!$B$3-G796</f>
        <v>0.134623871627795</v>
      </c>
      <c r="J796" s="24" t="n">
        <f aca="false">'DCF Base Case'!$B$2*(1+B796)^1*$I796-'DCF Base Case'!$B$2*(1+B796)^0*B796*'DCF Base Case'!$B$4</f>
        <v>21.2821810234074</v>
      </c>
      <c r="K796" s="24" t="n">
        <f aca="false">'DCF Base Case'!$B$2*(1+B796)^2*$I796-'DCF Base Case'!$B$2*(1+B796)^1*B796*'DCF Base Case'!$B$4</f>
        <v>23.7536441701827</v>
      </c>
      <c r="L796" s="24" t="n">
        <f aca="false">'DCF Base Case'!$B$2*(1+B796)^3*$I796-'DCF Base Case'!$B$2*(1+B796)^2*B796*'DCF Base Case'!$B$4</f>
        <v>26.5121140893913</v>
      </c>
      <c r="M796" s="24" t="n">
        <f aca="false">'DCF Base Case'!$B$2*(1+B796)^4*$I796-'DCF Base Case'!$B$2*(1+B796)^3*B796*'DCF Base Case'!$B$4</f>
        <v>29.5909203848065</v>
      </c>
      <c r="N796" s="24" t="n">
        <f aca="false">'DCF Base Case'!$B$2*(1+B796)^5*$I796-'DCF Base Case'!$B$2*(1+B796)^4*B796*'DCF Base Case'!$B$4</f>
        <v>33.0272631698705</v>
      </c>
      <c r="O796" s="24" t="n">
        <f aca="false">J796/(1+H796)^1+K796/(1+H796)^2+L796/(1+H796)^3+M796/(1+H796)^4+N796/(1+H796)^5</f>
        <v>107.126368251426</v>
      </c>
      <c r="P796" s="24" t="n">
        <f aca="false">N796*(1+F796)/(H796-F796)</f>
        <v>551.471968904537</v>
      </c>
      <c r="Q796" s="24" t="n">
        <f aca="false">O796+P796/(1+H796)^5</f>
        <v>492.837131820484</v>
      </c>
      <c r="R796" s="24" t="n">
        <f aca="false">Q796-'DCF Base Case'!$B$5</f>
        <v>307.837131820484</v>
      </c>
      <c r="S796" s="32" t="n">
        <f aca="false">R796/'DCF Base Case'!$B$6</f>
        <v>12.3134852728193</v>
      </c>
    </row>
    <row r="797" customFormat="false" ht="15" hidden="false" customHeight="true" outlineLevel="0" collapsed="false">
      <c r="A797" s="6" t="n">
        <v>796</v>
      </c>
      <c r="B797" s="30" t="n">
        <v>0.0941339878111236</v>
      </c>
      <c r="C797" s="30" t="n">
        <v>0.366893353631699</v>
      </c>
      <c r="D797" s="30" t="n">
        <v>0.0812544329546498</v>
      </c>
      <c r="E797" s="30" t="n">
        <v>0.299600894404381</v>
      </c>
      <c r="F797" s="30" t="n">
        <v>0.0184324283937276</v>
      </c>
      <c r="G797" s="30" t="n">
        <v>0.1822665088051</v>
      </c>
      <c r="H797" s="31" t="n">
        <f aca="false">MAX(D797,F797+0.015)</f>
        <v>0.0812544329546498</v>
      </c>
      <c r="I797" s="25" t="n">
        <f aca="false">(C797-'DCF Base Case'!$B$3)*(1-E797)+'DCF Base Case'!$B$3-G797</f>
        <v>0.113653384200089</v>
      </c>
      <c r="J797" s="24" t="n">
        <f aca="false">'DCF Base Case'!$B$2*(1+B797)^1*$I797-'DCF Base Case'!$B$2*(1+B797)^0*B797*'DCF Base Case'!$B$4</f>
        <v>17.6215615730672</v>
      </c>
      <c r="K797" s="24" t="n">
        <f aca="false">'DCF Base Case'!$B$2*(1+B797)^2*$I797-'DCF Base Case'!$B$2*(1+B797)^1*B797*'DCF Base Case'!$B$4</f>
        <v>19.2803494353992</v>
      </c>
      <c r="L797" s="24" t="n">
        <f aca="false">'DCF Base Case'!$B$2*(1+B797)^3*$I797-'DCF Base Case'!$B$2*(1+B797)^2*B797*'DCF Base Case'!$B$4</f>
        <v>21.0952856141453</v>
      </c>
      <c r="M797" s="24" t="n">
        <f aca="false">'DCF Base Case'!$B$2*(1+B797)^4*$I797-'DCF Base Case'!$B$2*(1+B797)^3*B797*'DCF Base Case'!$B$4</f>
        <v>23.0810689730194</v>
      </c>
      <c r="N797" s="24" t="n">
        <f aca="false">'DCF Base Case'!$B$2*(1+B797)^5*$I797-'DCF Base Case'!$B$2*(1+B797)^4*B797*'DCF Base Case'!$B$4</f>
        <v>25.2537820383933</v>
      </c>
      <c r="O797" s="24" t="n">
        <f aca="false">J797/(1+H797)^1+K797/(1+H797)^2+L797/(1+H797)^3+M797/(1+H797)^4+N797/(1+H797)^5</f>
        <v>83.4512035154329</v>
      </c>
      <c r="P797" s="24" t="n">
        <f aca="false">N797*(1+F797)/(H797-F797)</f>
        <v>409.399075168723</v>
      </c>
      <c r="Q797" s="24" t="n">
        <f aca="false">O797+P797/(1+H797)^5</f>
        <v>360.468797051984</v>
      </c>
      <c r="R797" s="24" t="n">
        <f aca="false">Q797-'DCF Base Case'!$B$5</f>
        <v>175.468797051984</v>
      </c>
      <c r="S797" s="32" t="n">
        <f aca="false">R797/'DCF Base Case'!$B$6</f>
        <v>7.01875188207938</v>
      </c>
    </row>
    <row r="798" customFormat="false" ht="15" hidden="false" customHeight="true" outlineLevel="0" collapsed="false">
      <c r="A798" s="6" t="n">
        <v>797</v>
      </c>
      <c r="B798" s="30" t="n">
        <v>0.0714369070467299</v>
      </c>
      <c r="C798" s="30" t="n">
        <v>0.379617964969854</v>
      </c>
      <c r="D798" s="30" t="n">
        <v>0.0842141005664764</v>
      </c>
      <c r="E798" s="30" t="n">
        <v>0.280535252140425</v>
      </c>
      <c r="F798" s="30" t="n">
        <v>0.017978769386174</v>
      </c>
      <c r="G798" s="30" t="n">
        <v>0.194326286868825</v>
      </c>
      <c r="H798" s="31" t="n">
        <f aca="false">MAX(D798,F798+0.015)</f>
        <v>0.0842141005664764</v>
      </c>
      <c r="I798" s="25" t="n">
        <f aca="false">(C798-'DCF Base Case'!$B$3)*(1-E798)+'DCF Base Case'!$B$3-G798</f>
        <v>0.115265039359431</v>
      </c>
      <c r="J798" s="24" t="n">
        <f aca="false">'DCF Base Case'!$B$2*(1+B798)^1*$I798-'DCF Base Case'!$B$2*(1+B798)^0*B798*'DCF Base Case'!$B$4</f>
        <v>17.5966359573206</v>
      </c>
      <c r="K798" s="24" t="n">
        <f aca="false">'DCF Base Case'!$B$2*(1+B798)^2*$I798-'DCF Base Case'!$B$2*(1+B798)^1*B798*'DCF Base Case'!$B$4</f>
        <v>18.8536852045388</v>
      </c>
      <c r="L798" s="24" t="n">
        <f aca="false">'DCF Base Case'!$B$2*(1+B798)^3*$I798-'DCF Base Case'!$B$2*(1+B798)^2*B798*'DCF Base Case'!$B$4</f>
        <v>20.2005341619838</v>
      </c>
      <c r="M798" s="24" t="n">
        <f aca="false">'DCF Base Case'!$B$2*(1+B798)^4*$I798-'DCF Base Case'!$B$2*(1+B798)^3*B798*'DCF Base Case'!$B$4</f>
        <v>21.6435978432077</v>
      </c>
      <c r="N798" s="24" t="n">
        <f aca="false">'DCF Base Case'!$B$2*(1+B798)^5*$I798-'DCF Base Case'!$B$2*(1+B798)^4*B798*'DCF Base Case'!$B$4</f>
        <v>23.1897495304897</v>
      </c>
      <c r="O798" s="24" t="n">
        <f aca="false">J798/(1+H798)^1+K798/(1+H798)^2+L798/(1+H798)^3+M798/(1+H798)^4+N798/(1+H798)^5</f>
        <v>79.2590269492181</v>
      </c>
      <c r="P798" s="24" t="n">
        <f aca="false">N798*(1+F798)/(H798-F798)</f>
        <v>356.406048988578</v>
      </c>
      <c r="Q798" s="24" t="n">
        <f aca="false">O798+P798/(1+H798)^5</f>
        <v>317.145534667101</v>
      </c>
      <c r="R798" s="24" t="n">
        <f aca="false">Q798-'DCF Base Case'!$B$5</f>
        <v>132.145534667101</v>
      </c>
      <c r="S798" s="32" t="n">
        <f aca="false">R798/'DCF Base Case'!$B$6</f>
        <v>5.28582138668403</v>
      </c>
    </row>
    <row r="799" customFormat="false" ht="15" hidden="false" customHeight="true" outlineLevel="0" collapsed="false">
      <c r="A799" s="6" t="n">
        <v>798</v>
      </c>
      <c r="B799" s="30" t="n">
        <v>0.0714328570964436</v>
      </c>
      <c r="C799" s="30" t="n">
        <v>0.414680081162256</v>
      </c>
      <c r="D799" s="30" t="n">
        <v>0.0857476696827999</v>
      </c>
      <c r="E799" s="30" t="n">
        <v>0.251466984499544</v>
      </c>
      <c r="F799" s="30" t="n">
        <v>0.0140467782752627</v>
      </c>
      <c r="G799" s="30" t="n">
        <v>0.165488626634152</v>
      </c>
      <c r="H799" s="31" t="n">
        <f aca="false">MAX(D799,F799+0.015)</f>
        <v>0.0857476696827999</v>
      </c>
      <c r="I799" s="25" t="n">
        <f aca="false">(C799-'DCF Base Case'!$B$3)*(1-E799)+'DCF Base Case'!$B$3-G799</f>
        <v>0.177603812971146</v>
      </c>
      <c r="J799" s="24" t="n">
        <f aca="false">'DCF Base Case'!$B$2*(1+B799)^1*$I799-'DCF Base Case'!$B$2*(1+B799)^0*B799*'DCF Base Case'!$B$4</f>
        <v>27.2813983822506</v>
      </c>
      <c r="K799" s="24" t="n">
        <f aca="false">'DCF Base Case'!$B$2*(1+B799)^2*$I799-'DCF Base Case'!$B$2*(1+B799)^1*B799*'DCF Base Case'!$B$4</f>
        <v>29.230186614281</v>
      </c>
      <c r="L799" s="24" t="n">
        <f aca="false">'DCF Base Case'!$B$2*(1+B799)^3*$I799-'DCF Base Case'!$B$2*(1+B799)^2*B799*'DCF Base Case'!$B$4</f>
        <v>31.3181823576014</v>
      </c>
      <c r="M799" s="24" t="n">
        <f aca="false">'DCF Base Case'!$B$2*(1+B799)^4*$I799-'DCF Base Case'!$B$2*(1+B799)^3*B799*'DCF Base Case'!$B$4</f>
        <v>33.5553296024722</v>
      </c>
      <c r="N799" s="24" t="n">
        <f aca="false">'DCF Base Case'!$B$2*(1+B799)^5*$I799-'DCF Base Case'!$B$2*(1+B799)^4*B799*'DCF Base Case'!$B$4</f>
        <v>35.9522826667897</v>
      </c>
      <c r="O799" s="24" t="n">
        <f aca="false">J799/(1+H799)^1+K799/(1+H799)^2+L799/(1+H799)^3+M799/(1+H799)^4+N799/(1+H799)^5</f>
        <v>122.364751104988</v>
      </c>
      <c r="P799" s="24" t="n">
        <f aca="false">N799*(1+F799)/(H799-F799)</f>
        <v>508.463642420871</v>
      </c>
      <c r="Q799" s="24" t="n">
        <f aca="false">O799+P799/(1+H799)^5</f>
        <v>459.353479362839</v>
      </c>
      <c r="R799" s="24" t="n">
        <f aca="false">Q799-'DCF Base Case'!$B$5</f>
        <v>274.353479362839</v>
      </c>
      <c r="S799" s="32" t="n">
        <f aca="false">R799/'DCF Base Case'!$B$6</f>
        <v>10.9741391745135</v>
      </c>
    </row>
    <row r="800" customFormat="false" ht="15" hidden="false" customHeight="true" outlineLevel="0" collapsed="false">
      <c r="A800" s="6" t="n">
        <v>799</v>
      </c>
      <c r="B800" s="30" t="n">
        <v>0.129094857934841</v>
      </c>
      <c r="C800" s="30" t="n">
        <v>0.439194247275893</v>
      </c>
      <c r="D800" s="30" t="n">
        <v>0.066018016923409</v>
      </c>
      <c r="E800" s="30" t="n">
        <v>0.241433374647082</v>
      </c>
      <c r="F800" s="30" t="n">
        <v>0.0219846689242132</v>
      </c>
      <c r="G800" s="30" t="n">
        <v>0.163167377924297</v>
      </c>
      <c r="H800" s="31" t="n">
        <f aca="false">MAX(D800,F800+0.015)</f>
        <v>0.066018016923409</v>
      </c>
      <c r="I800" s="25" t="n">
        <f aca="false">(C800-'DCF Base Case'!$B$3)*(1-E800)+'DCF Base Case'!$B$3-G800</f>
        <v>0.201377058810313</v>
      </c>
      <c r="J800" s="24" t="n">
        <f aca="false">'DCF Base Case'!$B$2*(1+B800)^1*$I800-'DCF Base Case'!$B$2*(1+B800)^0*B800*'DCF Base Case'!$B$4</f>
        <v>32.4076386012546</v>
      </c>
      <c r="K800" s="24" t="n">
        <f aca="false">'DCF Base Case'!$B$2*(1+B800)^2*$I800-'DCF Base Case'!$B$2*(1+B800)^1*B800*'DCF Base Case'!$B$4</f>
        <v>36.5912981024872</v>
      </c>
      <c r="L800" s="24" t="n">
        <f aca="false">'DCF Base Case'!$B$2*(1+B800)^3*$I800-'DCF Base Case'!$B$2*(1+B800)^2*B800*'DCF Base Case'!$B$4</f>
        <v>41.3150465326792</v>
      </c>
      <c r="M800" s="24" t="n">
        <f aca="false">'DCF Base Case'!$B$2*(1+B800)^4*$I800-'DCF Base Case'!$B$2*(1+B800)^3*B800*'DCF Base Case'!$B$4</f>
        <v>46.6486065953867</v>
      </c>
      <c r="N800" s="24" t="n">
        <f aca="false">'DCF Base Case'!$B$2*(1+B800)^5*$I800-'DCF Base Case'!$B$2*(1+B800)^4*B800*'DCF Base Case'!$B$4</f>
        <v>52.6707018366765</v>
      </c>
      <c r="O800" s="24" t="n">
        <f aca="false">J800/(1+H800)^1+K800/(1+H800)^2+L800/(1+H800)^3+M800/(1+H800)^4+N800/(1+H800)^5</f>
        <v>171.087697077235</v>
      </c>
      <c r="P800" s="24" t="n">
        <f aca="false">N800*(1+F800)/(H800-F800)</f>
        <v>1222.45189667488</v>
      </c>
      <c r="Q800" s="24" t="n">
        <f aca="false">O800+P800/(1+H800)^5</f>
        <v>1059.07969988285</v>
      </c>
      <c r="R800" s="24" t="n">
        <f aca="false">Q800-'DCF Base Case'!$B$5</f>
        <v>874.079699882846</v>
      </c>
      <c r="S800" s="32" t="n">
        <f aca="false">R800/'DCF Base Case'!$B$6</f>
        <v>34.9631879953138</v>
      </c>
    </row>
    <row r="801" customFormat="false" ht="15" hidden="false" customHeight="true" outlineLevel="0" collapsed="false">
      <c r="A801" s="6" t="n">
        <v>800</v>
      </c>
      <c r="B801" s="30" t="n">
        <v>0.114812738385699</v>
      </c>
      <c r="C801" s="30" t="n">
        <v>0.404847134278673</v>
      </c>
      <c r="D801" s="30" t="n">
        <v>0.0888523374764438</v>
      </c>
      <c r="E801" s="30" t="n">
        <v>0.305644536770732</v>
      </c>
      <c r="F801" s="30" t="n">
        <v>0.0175678450980995</v>
      </c>
      <c r="G801" s="30" t="n">
        <v>0.156607253225988</v>
      </c>
      <c r="H801" s="31" t="n">
        <f aca="false">MAX(D801,F801+0.015)</f>
        <v>0.0888523374764438</v>
      </c>
      <c r="I801" s="25" t="n">
        <f aca="false">(C801-'DCF Base Case'!$B$3)*(1-E801)+'DCF Base Case'!$B$3-G801</f>
        <v>0.164234356013317</v>
      </c>
      <c r="J801" s="24" t="n">
        <f aca="false">'DCF Base Case'!$B$2*(1+B801)^1*$I801-'DCF Base Case'!$B$2*(1+B801)^0*B801*'DCF Base Case'!$B$4</f>
        <v>26.0486946518338</v>
      </c>
      <c r="K801" s="24" t="n">
        <f aca="false">'DCF Base Case'!$B$2*(1+B801)^2*$I801-'DCF Base Case'!$B$2*(1+B801)^1*B801*'DCF Base Case'!$B$4</f>
        <v>29.0394166161837</v>
      </c>
      <c r="L801" s="24" t="n">
        <f aca="false">'DCF Base Case'!$B$2*(1+B801)^3*$I801-'DCF Base Case'!$B$2*(1+B801)^2*B801*'DCF Base Case'!$B$4</f>
        <v>32.3735115590109</v>
      </c>
      <c r="M801" s="24" t="n">
        <f aca="false">'DCF Base Case'!$B$2*(1+B801)^4*$I801-'DCF Base Case'!$B$2*(1+B801)^3*B801*'DCF Base Case'!$B$4</f>
        <v>36.090403072262</v>
      </c>
      <c r="N801" s="24" t="n">
        <f aca="false">'DCF Base Case'!$B$2*(1+B801)^5*$I801-'DCF Base Case'!$B$2*(1+B801)^4*B801*'DCF Base Case'!$B$4</f>
        <v>40.2340410784321</v>
      </c>
      <c r="O801" s="24" t="n">
        <f aca="false">J801/(1+H801)^1+K801/(1+H801)^2+L801/(1+H801)^3+M801/(1+H801)^4+N801/(1+H801)^5</f>
        <v>125.456721007965</v>
      </c>
      <c r="P801" s="24" t="n">
        <f aca="false">N801*(1+F801)/(H801-F801)</f>
        <v>574.330616853857</v>
      </c>
      <c r="Q801" s="24" t="n">
        <f aca="false">O801+P801/(1+H801)^5</f>
        <v>500.703548947929</v>
      </c>
      <c r="R801" s="24" t="n">
        <f aca="false">Q801-'DCF Base Case'!$B$5</f>
        <v>315.703548947929</v>
      </c>
      <c r="S801" s="32" t="n">
        <f aca="false">R801/'DCF Base Case'!$B$6</f>
        <v>12.6281419579172</v>
      </c>
    </row>
    <row r="802" customFormat="false" ht="15" hidden="false" customHeight="true" outlineLevel="0" collapsed="false">
      <c r="A802" s="6" t="n">
        <v>801</v>
      </c>
      <c r="B802" s="30" t="n">
        <v>0.0905064317070143</v>
      </c>
      <c r="C802" s="30" t="n">
        <v>0.425214347414279</v>
      </c>
      <c r="D802" s="30" t="n">
        <v>0.084842325950369</v>
      </c>
      <c r="E802" s="30" t="n">
        <v>0.309579845743074</v>
      </c>
      <c r="F802" s="30" t="n">
        <v>0.0175074084968694</v>
      </c>
      <c r="G802" s="30" t="n">
        <v>0.139185806344161</v>
      </c>
      <c r="H802" s="31" t="n">
        <f aca="false">MAX(D802,F802+0.015)</f>
        <v>0.084842325950369</v>
      </c>
      <c r="I802" s="25" t="n">
        <f aca="false">(C802-'DCF Base Case'!$B$3)*(1-E802)+'DCF Base Case'!$B$3-G802</f>
        <v>0.194636128936463</v>
      </c>
      <c r="J802" s="24" t="n">
        <f aca="false">'DCF Base Case'!$B$2*(1+B802)^1*$I802-'DCF Base Case'!$B$2*(1+B802)^0*B802*'DCF Base Case'!$B$4</f>
        <v>30.382829837001</v>
      </c>
      <c r="K802" s="24" t="n">
        <f aca="false">'DCF Base Case'!$B$2*(1+B802)^2*$I802-'DCF Base Case'!$B$2*(1+B802)^1*B802*'DCF Base Case'!$B$4</f>
        <v>33.1326713507093</v>
      </c>
      <c r="L802" s="24" t="n">
        <f aca="false">'DCF Base Case'!$B$2*(1+B802)^3*$I802-'DCF Base Case'!$B$2*(1+B802)^2*B802*'DCF Base Case'!$B$4</f>
        <v>36.1313912075833</v>
      </c>
      <c r="M802" s="24" t="n">
        <f aca="false">'DCF Base Case'!$B$2*(1+B802)^4*$I802-'DCF Base Case'!$B$2*(1+B802)^3*B802*'DCF Base Case'!$B$4</f>
        <v>39.4015144983918</v>
      </c>
      <c r="N802" s="24" t="n">
        <f aca="false">'DCF Base Case'!$B$2*(1+B802)^5*$I802-'DCF Base Case'!$B$2*(1+B802)^4*B802*'DCF Base Case'!$B$4</f>
        <v>42.9676049794935</v>
      </c>
      <c r="O802" s="24" t="n">
        <f aca="false">J802/(1+H802)^1+K802/(1+H802)^2+L802/(1+H802)^3+M802/(1+H802)^4+N802/(1+H802)^5</f>
        <v>141.503311083535</v>
      </c>
      <c r="P802" s="24" t="n">
        <f aca="false">N802*(1+F802)/(H802-F802)</f>
        <v>649.289522366962</v>
      </c>
      <c r="Q802" s="24" t="n">
        <f aca="false">O802+P802/(1+H802)^5</f>
        <v>573.62422782041</v>
      </c>
      <c r="R802" s="24" t="n">
        <f aca="false">Q802-'DCF Base Case'!$B$5</f>
        <v>388.62422782041</v>
      </c>
      <c r="S802" s="32" t="n">
        <f aca="false">R802/'DCF Base Case'!$B$6</f>
        <v>15.5449691128164</v>
      </c>
    </row>
    <row r="803" customFormat="false" ht="15" hidden="false" customHeight="true" outlineLevel="0" collapsed="false">
      <c r="A803" s="6" t="n">
        <v>802</v>
      </c>
      <c r="B803" s="30" t="n">
        <v>0.129040481929633</v>
      </c>
      <c r="C803" s="30" t="n">
        <v>0.417443343600182</v>
      </c>
      <c r="D803" s="30" t="n">
        <v>0.0787471370791048</v>
      </c>
      <c r="E803" s="30" t="n">
        <v>0.277821716147265</v>
      </c>
      <c r="F803" s="30" t="n">
        <v>0.0196013913938276</v>
      </c>
      <c r="G803" s="30" t="n">
        <v>0.157389582168127</v>
      </c>
      <c r="H803" s="31" t="n">
        <f aca="false">MAX(D803,F803+0.015)</f>
        <v>0.0787471370791048</v>
      </c>
      <c r="I803" s="25" t="n">
        <f aca="false">(C803-'DCF Base Case'!$B$3)*(1-E803)+'DCF Base Case'!$B$3-G803</f>
        <v>0.180195758417944</v>
      </c>
      <c r="J803" s="24" t="n">
        <f aca="false">'DCF Base Case'!$B$2*(1+B803)^1*$I803-'DCF Base Case'!$B$2*(1+B803)^0*B803*'DCF Base Case'!$B$4</f>
        <v>28.9386782628575</v>
      </c>
      <c r="K803" s="24" t="n">
        <f aca="false">'DCF Base Case'!$B$2*(1+B803)^2*$I803-'DCF Base Case'!$B$2*(1+B803)^1*B803*'DCF Base Case'!$B$4</f>
        <v>32.6729392523032</v>
      </c>
      <c r="L803" s="24" t="n">
        <f aca="false">'DCF Base Case'!$B$2*(1+B803)^3*$I803-'DCF Base Case'!$B$2*(1+B803)^2*B803*'DCF Base Case'!$B$4</f>
        <v>36.8890710794781</v>
      </c>
      <c r="M803" s="24" t="n">
        <f aca="false">'DCF Base Case'!$B$2*(1+B803)^4*$I803-'DCF Base Case'!$B$2*(1+B803)^3*B803*'DCF Base Case'!$B$4</f>
        <v>41.6492545895104</v>
      </c>
      <c r="N803" s="24" t="n">
        <f aca="false">'DCF Base Case'!$B$2*(1+B803)^5*$I803-'DCF Base Case'!$B$2*(1+B803)^4*B803*'DCF Base Case'!$B$4</f>
        <v>47.0236944737508</v>
      </c>
      <c r="O803" s="24" t="n">
        <f aca="false">J803/(1+H803)^1+K803/(1+H803)^2+L803/(1+H803)^3+M803/(1+H803)^4+N803/(1+H803)^5</f>
        <v>147.23468470208</v>
      </c>
      <c r="P803" s="24" t="n">
        <f aca="false">N803*(1+F803)/(H803-F803)</f>
        <v>810.631834266472</v>
      </c>
      <c r="Q803" s="24" t="n">
        <f aca="false">O803+P803/(1+H803)^5</f>
        <v>702.148291641671</v>
      </c>
      <c r="R803" s="24" t="n">
        <f aca="false">Q803-'DCF Base Case'!$B$5</f>
        <v>517.148291641671</v>
      </c>
      <c r="S803" s="32" t="n">
        <f aca="false">R803/'DCF Base Case'!$B$6</f>
        <v>20.6859316656668</v>
      </c>
    </row>
    <row r="804" customFormat="false" ht="15" hidden="false" customHeight="true" outlineLevel="0" collapsed="false">
      <c r="A804" s="6" t="n">
        <v>803</v>
      </c>
      <c r="B804" s="30" t="n">
        <v>0.0896510439821171</v>
      </c>
      <c r="C804" s="30" t="n">
        <v>0.413817001981109</v>
      </c>
      <c r="D804" s="30" t="n">
        <v>0.0869230125972289</v>
      </c>
      <c r="E804" s="30" t="n">
        <v>0.244498775883267</v>
      </c>
      <c r="F804" s="30" t="n">
        <v>0.0255158726062098</v>
      </c>
      <c r="G804" s="30" t="n">
        <v>0.162109701753909</v>
      </c>
      <c r="H804" s="31" t="n">
        <f aca="false">MAX(D804,F804+0.015)</f>
        <v>0.0869230125972289</v>
      </c>
      <c r="I804" s="25" t="n">
        <f aca="false">(C804-'DCF Base Case'!$B$3)*(1-E804)+'DCF Base Case'!$B$3-G804</f>
        <v>0.18231439066796</v>
      </c>
      <c r="J804" s="24" t="n">
        <f aca="false">'DCF Base Case'!$B$2*(1+B804)^1*$I804-'DCF Base Case'!$B$2*(1+B804)^0*B804*'DCF Base Case'!$B$4</f>
        <v>28.4155825467022</v>
      </c>
      <c r="K804" s="24" t="n">
        <f aca="false">'DCF Base Case'!$B$2*(1+B804)^2*$I804-'DCF Base Case'!$B$2*(1+B804)^1*B804*'DCF Base Case'!$B$4</f>
        <v>30.9630691873741</v>
      </c>
      <c r="L804" s="24" t="n">
        <f aca="false">'DCF Base Case'!$B$2*(1+B804)^3*$I804-'DCF Base Case'!$B$2*(1+B804)^2*B804*'DCF Base Case'!$B$4</f>
        <v>33.7389406649127</v>
      </c>
      <c r="M804" s="24" t="n">
        <f aca="false">'DCF Base Case'!$B$2*(1+B804)^4*$I804-'DCF Base Case'!$B$2*(1+B804)^3*B804*'DCF Base Case'!$B$4</f>
        <v>36.7636719183728</v>
      </c>
      <c r="N804" s="24" t="n">
        <f aca="false">'DCF Base Case'!$B$2*(1+B804)^5*$I804-'DCF Base Case'!$B$2*(1+B804)^4*B804*'DCF Base Case'!$B$4</f>
        <v>40.059573486471</v>
      </c>
      <c r="O804" s="24" t="n">
        <f aca="false">J804/(1+H804)^1+K804/(1+H804)^2+L804/(1+H804)^3+M804/(1+H804)^4+N804/(1+H804)^5</f>
        <v>131.373516303601</v>
      </c>
      <c r="P804" s="24" t="n">
        <f aca="false">N804*(1+F804)/(H804-F804)</f>
        <v>669.005729076768</v>
      </c>
      <c r="Q804" s="24" t="n">
        <f aca="false">O804+P804/(1+H804)^5</f>
        <v>572.370803289046</v>
      </c>
      <c r="R804" s="24" t="n">
        <f aca="false">Q804-'DCF Base Case'!$B$5</f>
        <v>387.370803289046</v>
      </c>
      <c r="S804" s="32" t="n">
        <f aca="false">R804/'DCF Base Case'!$B$6</f>
        <v>15.4948321315619</v>
      </c>
    </row>
    <row r="805" customFormat="false" ht="15" hidden="false" customHeight="true" outlineLevel="0" collapsed="false">
      <c r="A805" s="6" t="n">
        <v>804</v>
      </c>
      <c r="B805" s="30" t="n">
        <v>0.102533520847086</v>
      </c>
      <c r="C805" s="30" t="n">
        <v>0.388812475124273</v>
      </c>
      <c r="D805" s="30" t="n">
        <v>0.0798189971262583</v>
      </c>
      <c r="E805" s="30" t="n">
        <v>0.263871282510942</v>
      </c>
      <c r="F805" s="30" t="n">
        <v>0.0244512460238845</v>
      </c>
      <c r="G805" s="30" t="n">
        <v>0.153406609490909</v>
      </c>
      <c r="H805" s="31" t="n">
        <f aca="false">MAX(D805,F805+0.015)</f>
        <v>0.0798189971262583</v>
      </c>
      <c r="I805" s="25" t="n">
        <f aca="false">(C805-'DCF Base Case'!$B$3)*(1-E805)+'DCF Base Case'!$B$3-G805</f>
        <v>0.167112685892491</v>
      </c>
      <c r="J805" s="24" t="n">
        <f aca="false">'DCF Base Case'!$B$2*(1+B805)^1*$I805-'DCF Base Case'!$B$2*(1+B805)^0*B805*'DCF Base Case'!$B$4</f>
        <v>26.269843187828</v>
      </c>
      <c r="K805" s="24" t="n">
        <f aca="false">'DCF Base Case'!$B$2*(1+B805)^2*$I805-'DCF Base Case'!$B$2*(1+B805)^1*B805*'DCF Base Case'!$B$4</f>
        <v>28.9633827019769</v>
      </c>
      <c r="L805" s="24" t="n">
        <f aca="false">'DCF Base Case'!$B$2*(1+B805)^3*$I805-'DCF Base Case'!$B$2*(1+B805)^2*B805*'DCF Base Case'!$B$4</f>
        <v>31.9331003060522</v>
      </c>
      <c r="M805" s="24" t="n">
        <f aca="false">'DCF Base Case'!$B$2*(1+B805)^4*$I805-'DCF Base Case'!$B$2*(1+B805)^3*B805*'DCF Base Case'!$B$4</f>
        <v>35.2073135119949</v>
      </c>
      <c r="N805" s="24" t="n">
        <f aca="false">'DCF Base Case'!$B$2*(1+B805)^5*$I805-'DCF Base Case'!$B$2*(1+B805)^4*B805*'DCF Base Case'!$B$4</f>
        <v>38.8172433259469</v>
      </c>
      <c r="O805" s="24" t="n">
        <f aca="false">J805/(1+H805)^1+K805/(1+H805)^2+L805/(1+H805)^3+M805/(1+H805)^4+N805/(1+H805)^5</f>
        <v>126.866332883471</v>
      </c>
      <c r="P805" s="24" t="n">
        <f aca="false">N805*(1+F805)/(H805-F805)</f>
        <v>718.222656704106</v>
      </c>
      <c r="Q805" s="24" t="n">
        <f aca="false">O805+P805/(1+H805)^5</f>
        <v>616.086422199633</v>
      </c>
      <c r="R805" s="24" t="n">
        <f aca="false">Q805-'DCF Base Case'!$B$5</f>
        <v>431.086422199633</v>
      </c>
      <c r="S805" s="32" t="n">
        <f aca="false">R805/'DCF Base Case'!$B$6</f>
        <v>17.2434568879853</v>
      </c>
    </row>
    <row r="806" customFormat="false" ht="15" hidden="false" customHeight="true" outlineLevel="0" collapsed="false">
      <c r="A806" s="6" t="n">
        <v>805</v>
      </c>
      <c r="B806" s="30" t="n">
        <v>0.106518546186999</v>
      </c>
      <c r="C806" s="30" t="n">
        <v>0.406825682244583</v>
      </c>
      <c r="D806" s="30" t="n">
        <v>0.0800211916638066</v>
      </c>
      <c r="E806" s="30" t="n">
        <v>0.273122505434392</v>
      </c>
      <c r="F806" s="30" t="n">
        <v>0.0238844436992288</v>
      </c>
      <c r="G806" s="30" t="n">
        <v>0.130842293901889</v>
      </c>
      <c r="H806" s="31" t="n">
        <f aca="false">MAX(D806,F806+0.015)</f>
        <v>0.0800211916638066</v>
      </c>
      <c r="I806" s="25" t="n">
        <f aca="false">(C806-'DCF Base Case'!$B$3)*(1-E806)+'DCF Base Case'!$B$3-G806</f>
        <v>0.200376064439469</v>
      </c>
      <c r="J806" s="24" t="n">
        <f aca="false">'DCF Base Case'!$B$2*(1+B806)^1*$I806-'DCF Base Case'!$B$2*(1+B806)^0*B806*'DCF Base Case'!$B$4</f>
        <v>31.6860198936504</v>
      </c>
      <c r="K806" s="24" t="n">
        <f aca="false">'DCF Base Case'!$B$2*(1+B806)^2*$I806-'DCF Base Case'!$B$2*(1+B806)^1*B806*'DCF Base Case'!$B$4</f>
        <v>35.0611686671743</v>
      </c>
      <c r="L806" s="24" t="n">
        <f aca="false">'DCF Base Case'!$B$2*(1+B806)^3*$I806-'DCF Base Case'!$B$2*(1+B806)^2*B806*'DCF Base Case'!$B$4</f>
        <v>38.7958333812189</v>
      </c>
      <c r="M806" s="24" t="n">
        <f aca="false">'DCF Base Case'!$B$2*(1+B806)^4*$I806-'DCF Base Case'!$B$2*(1+B806)^3*B806*'DCF Base Case'!$B$4</f>
        <v>42.9283091510994</v>
      </c>
      <c r="N806" s="24" t="n">
        <f aca="false">'DCF Base Case'!$B$2*(1+B806)^5*$I806-'DCF Base Case'!$B$2*(1+B806)^4*B806*'DCF Base Case'!$B$4</f>
        <v>47.5009702321406</v>
      </c>
      <c r="O806" s="24" t="n">
        <f aca="false">J806/(1+H806)^1+K806/(1+H806)^2+L806/(1+H806)^3+M806/(1+H806)^4+N806/(1+H806)^5</f>
        <v>154.06832648611</v>
      </c>
      <c r="P806" s="24" t="n">
        <f aca="false">N806*(1+F806)/(H806-F806)</f>
        <v>866.375524852238</v>
      </c>
      <c r="Q806" s="24" t="n">
        <f aca="false">O806+P806/(1+H806)^5</f>
        <v>743.651105047949</v>
      </c>
      <c r="R806" s="24" t="n">
        <f aca="false">Q806-'DCF Base Case'!$B$5</f>
        <v>558.651105047949</v>
      </c>
      <c r="S806" s="32" t="n">
        <f aca="false">R806/'DCF Base Case'!$B$6</f>
        <v>22.346044201918</v>
      </c>
    </row>
    <row r="807" customFormat="false" ht="15" hidden="false" customHeight="true" outlineLevel="0" collapsed="false">
      <c r="A807" s="6" t="n">
        <v>806</v>
      </c>
      <c r="B807" s="30" t="n">
        <v>0.0616960244983271</v>
      </c>
      <c r="C807" s="30" t="n">
        <v>0.368185682462253</v>
      </c>
      <c r="D807" s="30" t="n">
        <v>0.0730374766826241</v>
      </c>
      <c r="E807" s="30" t="n">
        <v>0.261480255035743</v>
      </c>
      <c r="F807" s="30" t="n">
        <v>0.0130515601708449</v>
      </c>
      <c r="G807" s="30" t="n">
        <v>0.150425604223392</v>
      </c>
      <c r="H807" s="31" t="n">
        <f aca="false">MAX(D807,F807+0.015)</f>
        <v>0.0730374766826241</v>
      </c>
      <c r="I807" s="25" t="n">
        <f aca="false">(C807-'DCF Base Case'!$B$3)*(1-E807)+'DCF Base Case'!$B$3-G807</f>
        <v>0.155479225242769</v>
      </c>
      <c r="J807" s="24" t="n">
        <f aca="false">'DCF Base Case'!$B$2*(1+B807)^1*$I807-'DCF Base Case'!$B$2*(1+B807)^0*B807*'DCF Base Case'!$B$4</f>
        <v>23.6670152166197</v>
      </c>
      <c r="K807" s="24" t="n">
        <f aca="false">'DCF Base Case'!$B$2*(1+B807)^2*$I807-'DCF Base Case'!$B$2*(1+B807)^1*B807*'DCF Base Case'!$B$4</f>
        <v>25.1271759672266</v>
      </c>
      <c r="L807" s="24" t="n">
        <f aca="false">'DCF Base Case'!$B$2*(1+B807)^3*$I807-'DCF Base Case'!$B$2*(1+B807)^2*B807*'DCF Base Case'!$B$4</f>
        <v>26.6774228312744</v>
      </c>
      <c r="M807" s="24" t="n">
        <f aca="false">'DCF Base Case'!$B$2*(1+B807)^4*$I807-'DCF Base Case'!$B$2*(1+B807)^3*B807*'DCF Base Case'!$B$4</f>
        <v>28.3233137638249</v>
      </c>
      <c r="N807" s="24" t="n">
        <f aca="false">'DCF Base Case'!$B$2*(1+B807)^5*$I807-'DCF Base Case'!$B$2*(1+B807)^4*B807*'DCF Base Case'!$B$4</f>
        <v>30.0707496236717</v>
      </c>
      <c r="O807" s="24" t="n">
        <f aca="false">J807/(1+H807)^1+K807/(1+H807)^2+L807/(1+H807)^3+M807/(1+H807)^4+N807/(1+H807)^5</f>
        <v>107.973763458649</v>
      </c>
      <c r="P807" s="24" t="n">
        <f aca="false">N807*(1+F807)/(H807-F807)</f>
        <v>507.839532897451</v>
      </c>
      <c r="Q807" s="24" t="n">
        <f aca="false">O807+P807/(1+H807)^5</f>
        <v>464.96047813927</v>
      </c>
      <c r="R807" s="24" t="n">
        <f aca="false">Q807-'DCF Base Case'!$B$5</f>
        <v>279.96047813927</v>
      </c>
      <c r="S807" s="32" t="n">
        <f aca="false">R807/'DCF Base Case'!$B$6</f>
        <v>11.1984191255708</v>
      </c>
    </row>
    <row r="808" customFormat="false" ht="15" hidden="false" customHeight="true" outlineLevel="0" collapsed="false">
      <c r="A808" s="6" t="n">
        <v>807</v>
      </c>
      <c r="B808" s="30" t="n">
        <v>0.0504802879285872</v>
      </c>
      <c r="C808" s="30" t="n">
        <v>0.377073315883361</v>
      </c>
      <c r="D808" s="30" t="n">
        <v>0.0982046243990122</v>
      </c>
      <c r="E808" s="30" t="n">
        <v>0.291705467532177</v>
      </c>
      <c r="F808" s="30" t="n">
        <v>0.0200256326914793</v>
      </c>
      <c r="G808" s="30" t="n">
        <v>0.145138326014804</v>
      </c>
      <c r="H808" s="31" t="n">
        <f aca="false">MAX(D808,F808+0.015)</f>
        <v>0.0982046243990122</v>
      </c>
      <c r="I808" s="25" t="n">
        <f aca="false">(C808-'DCF Base Case'!$B$3)*(1-E808)+'DCF Base Case'!$B$3-G808</f>
        <v>0.159862352744076</v>
      </c>
      <c r="J808" s="24" t="n">
        <f aca="false">'DCF Base Case'!$B$2*(1+B808)^1*$I808-'DCF Base Case'!$B$2*(1+B808)^0*B808*'DCF Base Case'!$B$4</f>
        <v>24.1305870467437</v>
      </c>
      <c r="K808" s="24" t="n">
        <f aca="false">'DCF Base Case'!$B$2*(1+B808)^2*$I808-'DCF Base Case'!$B$2*(1+B808)^1*B808*'DCF Base Case'!$B$4</f>
        <v>25.3487060287492</v>
      </c>
      <c r="L808" s="24" t="n">
        <f aca="false">'DCF Base Case'!$B$2*(1+B808)^3*$I808-'DCF Base Case'!$B$2*(1+B808)^2*B808*'DCF Base Case'!$B$4</f>
        <v>26.6283160076975</v>
      </c>
      <c r="M808" s="24" t="n">
        <f aca="false">'DCF Base Case'!$B$2*(1+B808)^4*$I808-'DCF Base Case'!$B$2*(1+B808)^3*B808*'DCF Base Case'!$B$4</f>
        <v>27.9725210668195</v>
      </c>
      <c r="N808" s="24" t="n">
        <f aca="false">'DCF Base Case'!$B$2*(1+B808)^5*$I808-'DCF Base Case'!$B$2*(1+B808)^4*B808*'DCF Base Case'!$B$4</f>
        <v>29.384581984361</v>
      </c>
      <c r="O808" s="24" t="n">
        <f aca="false">J808/(1+H808)^1+K808/(1+H808)^2+L808/(1+H808)^3+M808/(1+H808)^4+N808/(1+H808)^5</f>
        <v>100.721181932116</v>
      </c>
      <c r="P808" s="24" t="n">
        <f aca="false">N808*(1+F808)/(H808-F808)</f>
        <v>383.389785098552</v>
      </c>
      <c r="Q808" s="24" t="n">
        <f aca="false">O808+P808/(1+H808)^5</f>
        <v>340.7283413018</v>
      </c>
      <c r="R808" s="24" t="n">
        <f aca="false">Q808-'DCF Base Case'!$B$5</f>
        <v>155.7283413018</v>
      </c>
      <c r="S808" s="32" t="n">
        <f aca="false">R808/'DCF Base Case'!$B$6</f>
        <v>6.229133652072</v>
      </c>
    </row>
    <row r="809" customFormat="false" ht="15" hidden="false" customHeight="true" outlineLevel="0" collapsed="false">
      <c r="A809" s="6" t="n">
        <v>808</v>
      </c>
      <c r="B809" s="30" t="n">
        <v>0.0576435218077152</v>
      </c>
      <c r="C809" s="30" t="n">
        <v>0.3780459737661</v>
      </c>
      <c r="D809" s="30" t="n">
        <v>0.0845246919041438</v>
      </c>
      <c r="E809" s="30" t="n">
        <v>0.306328236340431</v>
      </c>
      <c r="F809" s="30" t="n">
        <v>0.0225933411971633</v>
      </c>
      <c r="G809" s="30" t="n">
        <v>0.18018942300325</v>
      </c>
      <c r="H809" s="31" t="n">
        <f aca="false">MAX(D809,F809+0.015)</f>
        <v>0.0845246919041438</v>
      </c>
      <c r="I809" s="25" t="n">
        <f aca="false">(C809-'DCF Base Case'!$B$3)*(1-E809)+'DCF Base Case'!$B$3-G809</f>
        <v>0.121873065087736</v>
      </c>
      <c r="J809" s="24" t="n">
        <f aca="false">'DCF Base Case'!$B$2*(1+B809)^1*$I809-'DCF Base Case'!$B$2*(1+B809)^0*B809*'DCF Base Case'!$B$4</f>
        <v>18.439498057206</v>
      </c>
      <c r="K809" s="24" t="n">
        <f aca="false">'DCF Base Case'!$B$2*(1+B809)^2*$I809-'DCF Base Case'!$B$2*(1+B809)^1*B809*'DCF Base Case'!$B$4</f>
        <v>19.5024156655899</v>
      </c>
      <c r="L809" s="24" t="n">
        <f aca="false">'DCF Base Case'!$B$2*(1+B809)^3*$I809-'DCF Base Case'!$B$2*(1+B809)^2*B809*'DCF Base Case'!$B$4</f>
        <v>20.6266035883125</v>
      </c>
      <c r="M809" s="24" t="n">
        <f aca="false">'DCF Base Case'!$B$2*(1+B809)^4*$I809-'DCF Base Case'!$B$2*(1+B809)^3*B809*'DCF Base Case'!$B$4</f>
        <v>21.8155936620745</v>
      </c>
      <c r="N809" s="24" t="n">
        <f aca="false">'DCF Base Case'!$B$2*(1+B809)^5*$I809-'DCF Base Case'!$B$2*(1+B809)^4*B809*'DCF Base Case'!$B$4</f>
        <v>23.0731213110825</v>
      </c>
      <c r="O809" s="24" t="n">
        <f aca="false">J809/(1+H809)^1+K809/(1+H809)^2+L809/(1+H809)^3+M809/(1+H809)^4+N809/(1+H809)^5</f>
        <v>80.9008217751924</v>
      </c>
      <c r="P809" s="24" t="n">
        <f aca="false">N809*(1+F809)/(H809-F809)</f>
        <v>380.977000243076</v>
      </c>
      <c r="Q809" s="24" t="n">
        <f aca="false">O809+P809/(1+H809)^5</f>
        <v>334.823527191623</v>
      </c>
      <c r="R809" s="24" t="n">
        <f aca="false">Q809-'DCF Base Case'!$B$5</f>
        <v>149.823527191622</v>
      </c>
      <c r="S809" s="32" t="n">
        <f aca="false">R809/'DCF Base Case'!$B$6</f>
        <v>5.9929410876649</v>
      </c>
    </row>
    <row r="810" customFormat="false" ht="15" hidden="false" customHeight="true" outlineLevel="0" collapsed="false">
      <c r="A810" s="6" t="n">
        <v>809</v>
      </c>
      <c r="B810" s="30" t="n">
        <v>0.0739405279957102</v>
      </c>
      <c r="C810" s="30" t="n">
        <v>0.409419448928388</v>
      </c>
      <c r="D810" s="30" t="n">
        <v>0.0814652321695903</v>
      </c>
      <c r="E810" s="30" t="n">
        <v>0.274241987006036</v>
      </c>
      <c r="F810" s="30" t="n">
        <v>0.0258469897095914</v>
      </c>
      <c r="G810" s="30" t="n">
        <v>0.132495539799289</v>
      </c>
      <c r="H810" s="31" t="n">
        <f aca="false">MAX(D810,F810+0.015)</f>
        <v>0.0814652321695903</v>
      </c>
      <c r="I810" s="25" t="n">
        <f aca="false">(C810-'DCF Base Case'!$B$3)*(1-E810)+'DCF Base Case'!$B$3-G810</f>
        <v>0.200295364246846</v>
      </c>
      <c r="J810" s="24" t="n">
        <f aca="false">'DCF Base Case'!$B$2*(1+B810)^1*$I810-'DCF Base Case'!$B$2*(1+B810)^0*B810*'DCF Base Case'!$B$4</f>
        <v>30.8686285421996</v>
      </c>
      <c r="K810" s="24" t="n">
        <f aca="false">'DCF Base Case'!$B$2*(1+B810)^2*$I810-'DCF Base Case'!$B$2*(1+B810)^1*B810*'DCF Base Case'!$B$4</f>
        <v>33.1510712351133</v>
      </c>
      <c r="L810" s="24" t="n">
        <f aca="false">'DCF Base Case'!$B$2*(1+B810)^3*$I810-'DCF Base Case'!$B$2*(1+B810)^2*B810*'DCF Base Case'!$B$4</f>
        <v>35.6022789458609</v>
      </c>
      <c r="M810" s="24" t="n">
        <f aca="false">'DCF Base Case'!$B$2*(1+B810)^4*$I810-'DCF Base Case'!$B$2*(1+B810)^3*B810*'DCF Base Case'!$B$4</f>
        <v>38.2347302489685</v>
      </c>
      <c r="N810" s="24" t="n">
        <f aca="false">'DCF Base Case'!$B$2*(1+B810)^5*$I810-'DCF Base Case'!$B$2*(1+B810)^4*B810*'DCF Base Case'!$B$4</f>
        <v>41.0618263913508</v>
      </c>
      <c r="O810" s="24" t="n">
        <f aca="false">J810/(1+H810)^1+K810/(1+H810)^2+L810/(1+H810)^3+M810/(1+H810)^4+N810/(1+H810)^5</f>
        <v>140.744453546379</v>
      </c>
      <c r="P810" s="24" t="n">
        <f aca="false">N810*(1+F810)/(H810-F810)</f>
        <v>757.362137536805</v>
      </c>
      <c r="Q810" s="24" t="n">
        <f aca="false">O810+P810/(1+H810)^5</f>
        <v>652.710052699023</v>
      </c>
      <c r="R810" s="24" t="n">
        <f aca="false">Q810-'DCF Base Case'!$B$5</f>
        <v>467.710052699023</v>
      </c>
      <c r="S810" s="32" t="n">
        <f aca="false">R810/'DCF Base Case'!$B$6</f>
        <v>18.7084021079609</v>
      </c>
    </row>
    <row r="811" customFormat="false" ht="15" hidden="false" customHeight="true" outlineLevel="0" collapsed="false">
      <c r="A811" s="6" t="n">
        <v>810</v>
      </c>
      <c r="B811" s="30" t="n">
        <v>0.0851237072799653</v>
      </c>
      <c r="C811" s="30" t="n">
        <v>0.435819205504826</v>
      </c>
      <c r="D811" s="30" t="n">
        <v>0.0688751935546311</v>
      </c>
      <c r="E811" s="30" t="n">
        <v>0.264400404174224</v>
      </c>
      <c r="F811" s="30" t="n">
        <v>0.0172262120177431</v>
      </c>
      <c r="G811" s="30" t="n">
        <v>0.160585608459648</v>
      </c>
      <c r="H811" s="31" t="n">
        <f aca="false">MAX(D811,F811+0.015)</f>
        <v>0.0688751935546311</v>
      </c>
      <c r="I811" s="25" t="n">
        <f aca="false">(C811-'DCF Base Case'!$B$3)*(1-E811)+'DCF Base Case'!$B$3-G811</f>
        <v>0.194374875505462</v>
      </c>
      <c r="J811" s="24" t="n">
        <f aca="false">'DCF Base Case'!$B$2*(1+B811)^1*$I811-'DCF Base Case'!$B$2*(1+B811)^0*B811*'DCF Base Case'!$B$4</f>
        <v>30.2132257723646</v>
      </c>
      <c r="K811" s="24" t="n">
        <f aca="false">'DCF Base Case'!$B$2*(1+B811)^2*$I811-'DCF Base Case'!$B$2*(1+B811)^1*B811*'DCF Base Case'!$B$4</f>
        <v>32.7850875589949</v>
      </c>
      <c r="L811" s="24" t="n">
        <f aca="false">'DCF Base Case'!$B$2*(1+B811)^3*$I811-'DCF Base Case'!$B$2*(1+B811)^2*B811*'DCF Base Case'!$B$4</f>
        <v>35.5758757555148</v>
      </c>
      <c r="M811" s="24" t="n">
        <f aca="false">'DCF Base Case'!$B$2*(1+B811)^4*$I811-'DCF Base Case'!$B$2*(1+B811)^3*B811*'DCF Base Case'!$B$4</f>
        <v>38.6042261895556</v>
      </c>
      <c r="N811" s="24" t="n">
        <f aca="false">'DCF Base Case'!$B$2*(1+B811)^5*$I811-'DCF Base Case'!$B$2*(1+B811)^4*B811*'DCF Base Case'!$B$4</f>
        <v>41.8903610394849</v>
      </c>
      <c r="O811" s="24" t="n">
        <f aca="false">J811/(1+H811)^1+K811/(1+H811)^2+L811/(1+H811)^3+M811/(1+H811)^4+N811/(1+H811)^5</f>
        <v>145.694601384425</v>
      </c>
      <c r="P811" s="24" t="n">
        <f aca="false">N811*(1+F811)/(H811-F811)</f>
        <v>825.030271890593</v>
      </c>
      <c r="Q811" s="24" t="n">
        <f aca="false">O811+P811/(1+H811)^5</f>
        <v>737.031383252614</v>
      </c>
      <c r="R811" s="24" t="n">
        <f aca="false">Q811-'DCF Base Case'!$B$5</f>
        <v>552.031383252614</v>
      </c>
      <c r="S811" s="32" t="n">
        <f aca="false">R811/'DCF Base Case'!$B$6</f>
        <v>22.0812553301046</v>
      </c>
    </row>
    <row r="812" customFormat="false" ht="15" hidden="false" customHeight="true" outlineLevel="0" collapsed="false">
      <c r="A812" s="6" t="n">
        <v>811</v>
      </c>
      <c r="B812" s="30" t="n">
        <v>0.0566206466776948</v>
      </c>
      <c r="C812" s="30" t="n">
        <v>0.414751472247958</v>
      </c>
      <c r="D812" s="30" t="n">
        <v>0.0923291601076446</v>
      </c>
      <c r="E812" s="30" t="n">
        <v>0.294996443190258</v>
      </c>
      <c r="F812" s="30" t="n">
        <v>0.0157972769469278</v>
      </c>
      <c r="G812" s="30" t="n">
        <v>0.167149445269952</v>
      </c>
      <c r="H812" s="31" t="n">
        <f aca="false">MAX(D812,F812+0.015)</f>
        <v>0.0923291601076446</v>
      </c>
      <c r="I812" s="25" t="n">
        <f aca="false">(C812-'DCF Base Case'!$B$3)*(1-E812)+'DCF Base Case'!$B$3-G812</f>
        <v>0.163601355471669</v>
      </c>
      <c r="J812" s="24" t="n">
        <f aca="false">'DCF Base Case'!$B$2*(1+B812)^1*$I812-'DCF Base Case'!$B$2*(1+B812)^0*B812*'DCF Base Case'!$B$4</f>
        <v>24.8190628392463</v>
      </c>
      <c r="K812" s="24" t="n">
        <f aca="false">'DCF Base Case'!$B$2*(1+B812)^2*$I812-'DCF Base Case'!$B$2*(1+B812)^1*B812*'DCF Base Case'!$B$4</f>
        <v>26.2243342271387</v>
      </c>
      <c r="L812" s="24" t="n">
        <f aca="false">'DCF Base Case'!$B$2*(1+B812)^3*$I812-'DCF Base Case'!$B$2*(1+B812)^2*B812*'DCF Base Case'!$B$4</f>
        <v>27.7091729897713</v>
      </c>
      <c r="M812" s="24" t="n">
        <f aca="false">'DCF Base Case'!$B$2*(1+B812)^4*$I812-'DCF Base Case'!$B$2*(1+B812)^3*B812*'DCF Base Case'!$B$4</f>
        <v>29.2780842833563</v>
      </c>
      <c r="N812" s="24" t="n">
        <f aca="false">'DCF Base Case'!$B$2*(1+B812)^5*$I812-'DCF Base Case'!$B$2*(1+B812)^4*B812*'DCF Base Case'!$B$4</f>
        <v>30.935828348964</v>
      </c>
      <c r="O812" s="24" t="n">
        <f aca="false">J812/(1+H812)^1+K812/(1+H812)^2+L812/(1+H812)^3+M812/(1+H812)^4+N812/(1+H812)^5</f>
        <v>106.41739448657</v>
      </c>
      <c r="P812" s="24" t="n">
        <f aca="false">N812*(1+F812)/(H812-F812)</f>
        <v>410.607042439864</v>
      </c>
      <c r="Q812" s="24" t="n">
        <f aca="false">O812+P812/(1+H812)^5</f>
        <v>370.450726594056</v>
      </c>
      <c r="R812" s="24" t="n">
        <f aca="false">Q812-'DCF Base Case'!$B$5</f>
        <v>185.450726594056</v>
      </c>
      <c r="S812" s="32" t="n">
        <f aca="false">R812/'DCF Base Case'!$B$6</f>
        <v>7.41802906376226</v>
      </c>
    </row>
    <row r="813" customFormat="false" ht="15" hidden="false" customHeight="true" outlineLevel="0" collapsed="false">
      <c r="A813" s="6" t="n">
        <v>812</v>
      </c>
      <c r="B813" s="30" t="n">
        <v>0.0703487320045873</v>
      </c>
      <c r="C813" s="30" t="n">
        <v>0.399915270701663</v>
      </c>
      <c r="D813" s="30" t="n">
        <v>0.10868814719888</v>
      </c>
      <c r="E813" s="30" t="n">
        <v>0.282378816666879</v>
      </c>
      <c r="F813" s="30" t="n">
        <v>0.0145347820530227</v>
      </c>
      <c r="G813" s="30" t="n">
        <v>0.169298245219358</v>
      </c>
      <c r="H813" s="31" t="n">
        <f aca="false">MAX(D813,F813+0.015)</f>
        <v>0.10868814719888</v>
      </c>
      <c r="I813" s="25" t="n">
        <f aca="false">(C813-'DCF Base Case'!$B$3)*(1-E813)+'DCF Base Case'!$B$3-G813</f>
        <v>0.154398670741249</v>
      </c>
      <c r="J813" s="24" t="n">
        <f aca="false">'DCF Base Case'!$B$2*(1+B813)^1*$I813-'DCF Base Case'!$B$2*(1+B813)^0*B813*'DCF Base Case'!$B$4</f>
        <v>23.6567441261881</v>
      </c>
      <c r="K813" s="24" t="n">
        <f aca="false">'DCF Base Case'!$B$2*(1+B813)^2*$I813-'DCF Base Case'!$B$2*(1+B813)^1*B813*'DCF Base Case'!$B$4</f>
        <v>25.3209660788224</v>
      </c>
      <c r="L813" s="24" t="n">
        <f aca="false">'DCF Base Case'!$B$2*(1+B813)^3*$I813-'DCF Base Case'!$B$2*(1+B813)^2*B813*'DCF Base Case'!$B$4</f>
        <v>27.1022639355987</v>
      </c>
      <c r="M813" s="24" t="n">
        <f aca="false">'DCF Base Case'!$B$2*(1+B813)^4*$I813-'DCF Base Case'!$B$2*(1+B813)^3*B813*'DCF Base Case'!$B$4</f>
        <v>29.0088738379217</v>
      </c>
      <c r="N813" s="24" t="n">
        <f aca="false">'DCF Base Case'!$B$2*(1+B813)^5*$I813-'DCF Base Case'!$B$2*(1+B813)^4*B813*'DCF Base Case'!$B$4</f>
        <v>31.0496113293005</v>
      </c>
      <c r="O813" s="24" t="n">
        <f aca="false">J813/(1+H813)^1+K813/(1+H813)^2+L813/(1+H813)^3+M813/(1+H813)^4+N813/(1+H813)^5</f>
        <v>99.5600507889958</v>
      </c>
      <c r="P813" s="24" t="n">
        <f aca="false">N813*(1+F813)/(H813-F813)</f>
        <v>334.57020483552</v>
      </c>
      <c r="Q813" s="24" t="n">
        <f aca="false">O813+P813/(1+H813)^5</f>
        <v>299.288642278138</v>
      </c>
      <c r="R813" s="24" t="n">
        <f aca="false">Q813-'DCF Base Case'!$B$5</f>
        <v>114.288642278138</v>
      </c>
      <c r="S813" s="32" t="n">
        <f aca="false">R813/'DCF Base Case'!$B$6</f>
        <v>4.57154569112552</v>
      </c>
    </row>
    <row r="814" customFormat="false" ht="15" hidden="false" customHeight="true" outlineLevel="0" collapsed="false">
      <c r="A814" s="6" t="n">
        <v>813</v>
      </c>
      <c r="B814" s="30" t="n">
        <v>0.061002416990032</v>
      </c>
      <c r="C814" s="30" t="n">
        <v>0.378200678212864</v>
      </c>
      <c r="D814" s="30" t="n">
        <v>0.0735476455045633</v>
      </c>
      <c r="E814" s="30" t="n">
        <v>0.268460153288058</v>
      </c>
      <c r="F814" s="30" t="n">
        <v>0.02271582535987</v>
      </c>
      <c r="G814" s="30" t="n">
        <v>0.178902725993</v>
      </c>
      <c r="H814" s="31" t="n">
        <f aca="false">MAX(D814,F814+0.015)</f>
        <v>0.0735476455045633</v>
      </c>
      <c r="I814" s="25" t="n">
        <f aca="false">(C814-'DCF Base Case'!$B$3)*(1-E814)+'DCF Base Case'!$B$3-G814</f>
        <v>0.132665960100639</v>
      </c>
      <c r="J814" s="24" t="n">
        <f aca="false">'DCF Base Case'!$B$2*(1+B814)^1*$I814-'DCF Base Case'!$B$2*(1+B814)^0*B814*'DCF Base Case'!$B$4</f>
        <v>20.1446806123601</v>
      </c>
      <c r="K814" s="24" t="n">
        <f aca="false">'DCF Base Case'!$B$2*(1+B814)^2*$I814-'DCF Base Case'!$B$2*(1+B814)^1*B814*'DCF Base Case'!$B$4</f>
        <v>21.3735548192063</v>
      </c>
      <c r="L814" s="24" t="n">
        <f aca="false">'DCF Base Case'!$B$2*(1+B814)^3*$I814-'DCF Base Case'!$B$2*(1+B814)^2*B814*'DCF Base Case'!$B$4</f>
        <v>22.6773933228468</v>
      </c>
      <c r="M814" s="24" t="n">
        <f aca="false">'DCF Base Case'!$B$2*(1+B814)^4*$I814-'DCF Base Case'!$B$2*(1+B814)^3*B814*'DCF Base Case'!$B$4</f>
        <v>24.0607691265741</v>
      </c>
      <c r="N814" s="24" t="n">
        <f aca="false">'DCF Base Case'!$B$2*(1+B814)^5*$I814-'DCF Base Case'!$B$2*(1+B814)^4*B814*'DCF Base Case'!$B$4</f>
        <v>25.5285341979342</v>
      </c>
      <c r="O814" s="24" t="n">
        <f aca="false">J814/(1+H814)^1+K814/(1+H814)^2+L814/(1+H814)^3+M814/(1+H814)^4+N814/(1+H814)^5</f>
        <v>91.6556349608175</v>
      </c>
      <c r="P814" s="24" t="n">
        <f aca="false">N814*(1+F814)/(H814-F814)</f>
        <v>513.623864897028</v>
      </c>
      <c r="Q814" s="24" t="n">
        <f aca="false">O814+P814/(1+H814)^5</f>
        <v>451.851377806433</v>
      </c>
      <c r="R814" s="24" t="n">
        <f aca="false">Q814-'DCF Base Case'!$B$5</f>
        <v>266.851377806433</v>
      </c>
      <c r="S814" s="32" t="n">
        <f aca="false">R814/'DCF Base Case'!$B$6</f>
        <v>10.6740551122573</v>
      </c>
    </row>
    <row r="815" customFormat="false" ht="15" hidden="false" customHeight="true" outlineLevel="0" collapsed="false">
      <c r="A815" s="6" t="n">
        <v>814</v>
      </c>
      <c r="B815" s="30" t="n">
        <v>0.101238630561385</v>
      </c>
      <c r="C815" s="30" t="n">
        <v>0.394525946188352</v>
      </c>
      <c r="D815" s="30" t="n">
        <v>0.0790455420902079</v>
      </c>
      <c r="E815" s="30" t="n">
        <v>0.287639557547644</v>
      </c>
      <c r="F815" s="30" t="n">
        <v>0.0168085978675834</v>
      </c>
      <c r="G815" s="30" t="n">
        <v>0.159515340781968</v>
      </c>
      <c r="H815" s="31" t="n">
        <f aca="false">MAX(D815,F815+0.015)</f>
        <v>0.0790455420902079</v>
      </c>
      <c r="I815" s="25" t="n">
        <f aca="false">(C815-'DCF Base Case'!$B$3)*(1-E815)+'DCF Base Case'!$B$3-G815</f>
        <v>0.158922479284895</v>
      </c>
      <c r="J815" s="24" t="n">
        <f aca="false">'DCF Base Case'!$B$2*(1+B815)^1*$I815-'DCF Base Case'!$B$2*(1+B815)^0*B815*'DCF Base Case'!$B$4</f>
        <v>24.93629010776</v>
      </c>
      <c r="K815" s="24" t="n">
        <f aca="false">'DCF Base Case'!$B$2*(1+B815)^2*$I815-'DCF Base Case'!$B$2*(1+B815)^1*B815*'DCF Base Case'!$B$4</f>
        <v>27.460805969551</v>
      </c>
      <c r="L815" s="24" t="n">
        <f aca="false">'DCF Base Case'!$B$2*(1+B815)^3*$I815-'DCF Base Case'!$B$2*(1+B815)^2*B815*'DCF Base Case'!$B$4</f>
        <v>30.2409003600203</v>
      </c>
      <c r="M815" s="24" t="n">
        <f aca="false">'DCF Base Case'!$B$2*(1+B815)^4*$I815-'DCF Base Case'!$B$2*(1+B815)^3*B815*'DCF Base Case'!$B$4</f>
        <v>33.302447699412</v>
      </c>
      <c r="N815" s="24" t="n">
        <f aca="false">'DCF Base Case'!$B$2*(1+B815)^5*$I815-'DCF Base Case'!$B$2*(1+B815)^4*B815*'DCF Base Case'!$B$4</f>
        <v>36.6739418988427</v>
      </c>
      <c r="O815" s="24" t="n">
        <f aca="false">J815/(1+H815)^1+K815/(1+H815)^2+L815/(1+H815)^3+M815/(1+H815)^4+N815/(1+H815)^5</f>
        <v>120.399694631087</v>
      </c>
      <c r="P815" s="24" t="n">
        <f aca="false">N815*(1+F815)/(H815-F815)</f>
        <v>599.167904308572</v>
      </c>
      <c r="Q815" s="24" t="n">
        <f aca="false">O815+P815/(1+H815)^5</f>
        <v>529.989998474499</v>
      </c>
      <c r="R815" s="24" t="n">
        <f aca="false">Q815-'DCF Base Case'!$B$5</f>
        <v>344.989998474499</v>
      </c>
      <c r="S815" s="32" t="n">
        <f aca="false">R815/'DCF Base Case'!$B$6</f>
        <v>13.7995999389799</v>
      </c>
    </row>
    <row r="816" customFormat="false" ht="15" hidden="false" customHeight="true" outlineLevel="0" collapsed="false">
      <c r="A816" s="6" t="n">
        <v>815</v>
      </c>
      <c r="B816" s="30" t="n">
        <v>0.0994120294362435</v>
      </c>
      <c r="C816" s="30" t="n">
        <v>0.41088961829349</v>
      </c>
      <c r="D816" s="30" t="n">
        <v>0.0874866554801223</v>
      </c>
      <c r="E816" s="30" t="n">
        <v>0.326536314252862</v>
      </c>
      <c r="F816" s="30" t="n">
        <v>0.0186925541179998</v>
      </c>
      <c r="G816" s="30" t="n">
        <v>0.193264423238063</v>
      </c>
      <c r="H816" s="31" t="n">
        <f aca="false">MAX(D816,F816+0.015)</f>
        <v>0.0874866554801223</v>
      </c>
      <c r="I816" s="25" t="n">
        <f aca="false">(C816-'DCF Base Case'!$B$3)*(1-E816)+'DCF Base Case'!$B$3-G816</f>
        <v>0.125904534385978</v>
      </c>
      <c r="J816" s="24" t="n">
        <f aca="false">'DCF Base Case'!$B$2*(1+B816)^1*$I816-'DCF Base Case'!$B$2*(1+B816)^0*B816*'DCF Base Case'!$B$4</f>
        <v>19.6385968233067</v>
      </c>
      <c r="K816" s="24" t="n">
        <f aca="false">'DCF Base Case'!$B$2*(1+B816)^2*$I816-'DCF Base Case'!$B$2*(1+B816)^1*B816*'DCF Base Case'!$B$4</f>
        <v>21.5909095887918</v>
      </c>
      <c r="L816" s="24" t="n">
        <f aca="false">'DCF Base Case'!$B$2*(1+B816)^3*$I816-'DCF Base Case'!$B$2*(1+B816)^2*B816*'DCF Base Case'!$B$4</f>
        <v>23.737305728388</v>
      </c>
      <c r="M816" s="24" t="n">
        <f aca="false">'DCF Base Case'!$B$2*(1+B816)^4*$I816-'DCF Base Case'!$B$2*(1+B816)^3*B816*'DCF Base Case'!$B$4</f>
        <v>26.0970794641956</v>
      </c>
      <c r="N816" s="24" t="n">
        <f aca="false">'DCF Base Case'!$B$2*(1+B816)^5*$I816-'DCF Base Case'!$B$2*(1+B816)^4*B816*'DCF Base Case'!$B$4</f>
        <v>28.6914430960903</v>
      </c>
      <c r="O816" s="24" t="n">
        <f aca="false">J816/(1+H816)^1+K816/(1+H816)^2+L816/(1+H816)^3+M816/(1+H816)^4+N816/(1+H816)^5</f>
        <v>92.2956590525276</v>
      </c>
      <c r="P816" s="24" t="n">
        <f aca="false">N816*(1+F816)/(H816-F816)</f>
        <v>424.858510688825</v>
      </c>
      <c r="Q816" s="24" t="n">
        <f aca="false">O816+P816/(1+H816)^5</f>
        <v>371.630199176237</v>
      </c>
      <c r="R816" s="24" t="n">
        <f aca="false">Q816-'DCF Base Case'!$B$5</f>
        <v>186.630199176237</v>
      </c>
      <c r="S816" s="32" t="n">
        <f aca="false">R816/'DCF Base Case'!$B$6</f>
        <v>7.46520796704949</v>
      </c>
    </row>
    <row r="817" customFormat="false" ht="15" hidden="false" customHeight="true" outlineLevel="0" collapsed="false">
      <c r="A817" s="6" t="n">
        <v>816</v>
      </c>
      <c r="B817" s="30" t="n">
        <v>0.102055659669444</v>
      </c>
      <c r="C817" s="30" t="n">
        <v>0.386750738221822</v>
      </c>
      <c r="D817" s="30" t="n">
        <v>0.0728764926781012</v>
      </c>
      <c r="E817" s="30" t="n">
        <v>0.261131098208686</v>
      </c>
      <c r="F817" s="30" t="n">
        <v>0.0158614181465161</v>
      </c>
      <c r="G817" s="30" t="n">
        <v>0.163291719342533</v>
      </c>
      <c r="H817" s="31" t="n">
        <f aca="false">MAX(D817,F817+0.015)</f>
        <v>0.0728764926781012</v>
      </c>
      <c r="I817" s="25" t="n">
        <f aca="false">(C817-'DCF Base Case'!$B$3)*(1-E817)+'DCF Base Case'!$B$3-G817</f>
        <v>0.156413416641534</v>
      </c>
      <c r="J817" s="24" t="n">
        <f aca="false">'DCF Base Case'!$B$2*(1+B817)^1*$I817-'DCF Base Case'!$B$2*(1+B817)^0*B817*'DCF Base Case'!$B$4</f>
        <v>24.5506200838533</v>
      </c>
      <c r="K817" s="24" t="n">
        <f aca="false">'DCF Base Case'!$B$2*(1+B817)^2*$I817-'DCF Base Case'!$B$2*(1+B817)^1*B817*'DCF Base Case'!$B$4</f>
        <v>27.0561498118048</v>
      </c>
      <c r="L817" s="24" t="n">
        <f aca="false">'DCF Base Case'!$B$2*(1+B817)^3*$I817-'DCF Base Case'!$B$2*(1+B817)^2*B817*'DCF Base Case'!$B$4</f>
        <v>29.8173830289639</v>
      </c>
      <c r="M817" s="24" t="n">
        <f aca="false">'DCF Base Case'!$B$2*(1+B817)^4*$I817-'DCF Base Case'!$B$2*(1+B817)^3*B817*'DCF Base Case'!$B$4</f>
        <v>32.8604157236013</v>
      </c>
      <c r="N817" s="24" t="n">
        <f aca="false">'DCF Base Case'!$B$2*(1+B817)^5*$I817-'DCF Base Case'!$B$2*(1+B817)^4*B817*'DCF Base Case'!$B$4</f>
        <v>36.2140071272856</v>
      </c>
      <c r="O817" s="24" t="n">
        <f aca="false">J817/(1+H817)^1+K817/(1+H817)^2+L817/(1+H817)^3+M817/(1+H817)^4+N817/(1+H817)^5</f>
        <v>120.810034121733</v>
      </c>
      <c r="P817" s="24" t="n">
        <f aca="false">N817*(1+F817)/(H817-F817)</f>
        <v>645.240104294039</v>
      </c>
      <c r="Q817" s="24" t="n">
        <f aca="false">O817+P817/(1+H817)^5</f>
        <v>574.723120731628</v>
      </c>
      <c r="R817" s="24" t="n">
        <f aca="false">Q817-'DCF Base Case'!$B$5</f>
        <v>389.723120731628</v>
      </c>
      <c r="S817" s="32" t="n">
        <f aca="false">R817/'DCF Base Case'!$B$6</f>
        <v>15.5889248292651</v>
      </c>
    </row>
    <row r="818" customFormat="false" ht="15" hidden="false" customHeight="true" outlineLevel="0" collapsed="false">
      <c r="A818" s="6" t="n">
        <v>817</v>
      </c>
      <c r="B818" s="30" t="n">
        <v>0.103298848173984</v>
      </c>
      <c r="C818" s="30" t="n">
        <v>0.441875024732649</v>
      </c>
      <c r="D818" s="30" t="n">
        <v>0.0883899259759759</v>
      </c>
      <c r="E818" s="30" t="n">
        <v>0.268430105029883</v>
      </c>
      <c r="F818" s="30" t="n">
        <v>0.0118070800978813</v>
      </c>
      <c r="G818" s="30" t="n">
        <v>0.166791229839588</v>
      </c>
      <c r="H818" s="31" t="n">
        <f aca="false">MAX(D818,F818+0.015)</f>
        <v>0.0883899259759759</v>
      </c>
      <c r="I818" s="25" t="n">
        <f aca="false">(C818-'DCF Base Case'!$B$3)*(1-E818)+'DCF Base Case'!$B$3-G818</f>
        <v>0.191367149247879</v>
      </c>
      <c r="J818" s="24" t="n">
        <f aca="false">'DCF Base Case'!$B$2*(1+B818)^1*$I818-'DCF Base Case'!$B$2*(1+B818)^0*B818*'DCF Base Case'!$B$4</f>
        <v>30.1652475352541</v>
      </c>
      <c r="K818" s="24" t="n">
        <f aca="false">'DCF Base Case'!$B$2*(1+B818)^2*$I818-'DCF Base Case'!$B$2*(1+B818)^1*B818*'DCF Base Case'!$B$4</f>
        <v>33.2812828605289</v>
      </c>
      <c r="L818" s="24" t="n">
        <f aca="false">'DCF Base Case'!$B$2*(1+B818)^3*$I818-'DCF Base Case'!$B$2*(1+B818)^2*B818*'DCF Base Case'!$B$4</f>
        <v>36.7192010457741</v>
      </c>
      <c r="M818" s="24" t="n">
        <f aca="false">'DCF Base Case'!$B$2*(1+B818)^4*$I818-'DCF Base Case'!$B$2*(1+B818)^3*B818*'DCF Base Case'!$B$4</f>
        <v>40.5122522196716</v>
      </c>
      <c r="N818" s="24" t="n">
        <f aca="false">'DCF Base Case'!$B$2*(1+B818)^5*$I818-'DCF Base Case'!$B$2*(1+B818)^4*B818*'DCF Base Case'!$B$4</f>
        <v>44.6971212108976</v>
      </c>
      <c r="O818" s="24" t="n">
        <f aca="false">J818/(1+H818)^1+K818/(1+H818)^2+L818/(1+H818)^3+M818/(1+H818)^4+N818/(1+H818)^5</f>
        <v>142.42626070202</v>
      </c>
      <c r="P818" s="24" t="n">
        <f aca="false">N818*(1+F818)/(H818-F818)</f>
        <v>590.535167277131</v>
      </c>
      <c r="Q818" s="24" t="n">
        <f aca="false">O818+P818/(1+H818)^5</f>
        <v>529.080876373388</v>
      </c>
      <c r="R818" s="24" t="n">
        <f aca="false">Q818-'DCF Base Case'!$B$5</f>
        <v>344.080876373388</v>
      </c>
      <c r="S818" s="32" t="n">
        <f aca="false">R818/'DCF Base Case'!$B$6</f>
        <v>13.7632350549355</v>
      </c>
    </row>
    <row r="819" customFormat="false" ht="15" hidden="false" customHeight="true" outlineLevel="0" collapsed="false">
      <c r="A819" s="6" t="n">
        <v>818</v>
      </c>
      <c r="B819" s="30" t="n">
        <v>0.090516653409054</v>
      </c>
      <c r="C819" s="30" t="n">
        <v>0.418561357396109</v>
      </c>
      <c r="D819" s="30" t="n">
        <v>0.108168643274737</v>
      </c>
      <c r="E819" s="30" t="n">
        <v>0.317395760996175</v>
      </c>
      <c r="F819" s="30" t="n">
        <v>0.022172953767625</v>
      </c>
      <c r="G819" s="30" t="n">
        <v>0.145923381770852</v>
      </c>
      <c r="H819" s="31" t="n">
        <f aca="false">MAX(D819,F819+0.015)</f>
        <v>0.108168643274737</v>
      </c>
      <c r="I819" s="25" t="n">
        <f aca="false">(C819-'DCF Base Case'!$B$3)*(1-E819)+'DCF Base Case'!$B$3-G819</f>
        <v>0.18104982400043</v>
      </c>
      <c r="J819" s="24" t="n">
        <f aca="false">'DCF Base Case'!$B$2*(1+B819)^1*$I819-'DCF Base Case'!$B$2*(1+B819)^0*B819*'DCF Base Case'!$B$4</f>
        <v>28.2347405422114</v>
      </c>
      <c r="K819" s="24" t="n">
        <f aca="false">'DCF Base Case'!$B$2*(1+B819)^2*$I819-'DCF Base Case'!$B$2*(1+B819)^1*B819*'DCF Base Case'!$B$4</f>
        <v>30.7904547659653</v>
      </c>
      <c r="L819" s="24" t="n">
        <f aca="false">'DCF Base Case'!$B$2*(1+B819)^3*$I819-'DCF Base Case'!$B$2*(1+B819)^2*B819*'DCF Base Case'!$B$4</f>
        <v>33.5775036883234</v>
      </c>
      <c r="M819" s="24" t="n">
        <f aca="false">'DCF Base Case'!$B$2*(1+B819)^4*$I819-'DCF Base Case'!$B$2*(1+B819)^3*B819*'DCF Base Case'!$B$4</f>
        <v>36.6168269520206</v>
      </c>
      <c r="N819" s="24" t="n">
        <f aca="false">'DCF Base Case'!$B$2*(1+B819)^5*$I819-'DCF Base Case'!$B$2*(1+B819)^4*B819*'DCF Base Case'!$B$4</f>
        <v>39.9312595861759</v>
      </c>
      <c r="O819" s="24" t="n">
        <f aca="false">J819/(1+H819)^1+K819/(1+H819)^2+L819/(1+H819)^3+M819/(1+H819)^4+N819/(1+H819)^5</f>
        <v>123.39933171827</v>
      </c>
      <c r="P819" s="24" t="n">
        <f aca="false">N819*(1+F819)/(H819-F819)</f>
        <v>474.636040396974</v>
      </c>
      <c r="Q819" s="24" t="n">
        <f aca="false">O819+P819/(1+H819)^5</f>
        <v>407.407889364181</v>
      </c>
      <c r="R819" s="24" t="n">
        <f aca="false">Q819-'DCF Base Case'!$B$5</f>
        <v>222.407889364181</v>
      </c>
      <c r="S819" s="32" t="n">
        <f aca="false">R819/'DCF Base Case'!$B$6</f>
        <v>8.89631557456723</v>
      </c>
    </row>
    <row r="820" customFormat="false" ht="15" hidden="false" customHeight="true" outlineLevel="0" collapsed="false">
      <c r="A820" s="6" t="n">
        <v>819</v>
      </c>
      <c r="B820" s="30" t="n">
        <v>0.0789857343679852</v>
      </c>
      <c r="C820" s="30" t="n">
        <v>0.408633204599731</v>
      </c>
      <c r="D820" s="30" t="n">
        <v>0.0764705216358861</v>
      </c>
      <c r="E820" s="30" t="n">
        <v>0.294746920951284</v>
      </c>
      <c r="F820" s="30" t="n">
        <v>0.020620601193965</v>
      </c>
      <c r="G820" s="30" t="n">
        <v>0.143514219159918</v>
      </c>
      <c r="H820" s="31" t="n">
        <f aca="false">MAX(D820,F820+0.015)</f>
        <v>0.0764705216358861</v>
      </c>
      <c r="I820" s="25" t="n">
        <f aca="false">(C820-'DCF Base Case'!$B$3)*(1-E820)+'DCF Base Case'!$B$3-G820</f>
        <v>0.182992706309253</v>
      </c>
      <c r="J820" s="24" t="n">
        <f aca="false">'DCF Base Case'!$B$2*(1+B820)^1*$I820-'DCF Base Case'!$B$2*(1+B820)^0*B820*'DCF Base Case'!$B$4</f>
        <v>28.2861573976551</v>
      </c>
      <c r="K820" s="24" t="n">
        <f aca="false">'DCF Base Case'!$B$2*(1+B820)^2*$I820-'DCF Base Case'!$B$2*(1+B820)^1*B820*'DCF Base Case'!$B$4</f>
        <v>30.5203603121573</v>
      </c>
      <c r="L820" s="24" t="n">
        <f aca="false">'DCF Base Case'!$B$2*(1+B820)^3*$I820-'DCF Base Case'!$B$2*(1+B820)^2*B820*'DCF Base Case'!$B$4</f>
        <v>32.9310333845885</v>
      </c>
      <c r="M820" s="24" t="n">
        <f aca="false">'DCF Base Case'!$B$2*(1+B820)^4*$I820-'DCF Base Case'!$B$2*(1+B820)^3*B820*'DCF Base Case'!$B$4</f>
        <v>35.5321152399669</v>
      </c>
      <c r="N820" s="24" t="n">
        <f aca="false">'DCF Base Case'!$B$2*(1+B820)^5*$I820-'DCF Base Case'!$B$2*(1+B820)^4*B820*'DCF Base Case'!$B$4</f>
        <v>38.3386454558436</v>
      </c>
      <c r="O820" s="24" t="n">
        <f aca="false">J820/(1+H820)^1+K820/(1+H820)^2+L820/(1+H820)^3+M820/(1+H820)^4+N820/(1+H820)^5</f>
        <v>131.999201652382</v>
      </c>
      <c r="P820" s="24" t="n">
        <f aca="false">N820*(1+F820)/(H820-F820)</f>
        <v>700.613556196489</v>
      </c>
      <c r="Q820" s="24" t="n">
        <f aca="false">O820+P820/(1+H820)^5</f>
        <v>616.693408320123</v>
      </c>
      <c r="R820" s="24" t="n">
        <f aca="false">Q820-'DCF Base Case'!$B$5</f>
        <v>431.693408320123</v>
      </c>
      <c r="S820" s="32" t="n">
        <f aca="false">R820/'DCF Base Case'!$B$6</f>
        <v>17.2677363328049</v>
      </c>
    </row>
    <row r="821" customFormat="false" ht="15" hidden="false" customHeight="true" outlineLevel="0" collapsed="false">
      <c r="A821" s="6" t="n">
        <v>820</v>
      </c>
      <c r="B821" s="30" t="n">
        <v>0.11594911622891</v>
      </c>
      <c r="C821" s="30" t="n">
        <v>0.425164811318291</v>
      </c>
      <c r="D821" s="30" t="n">
        <v>0.0659802173858353</v>
      </c>
      <c r="E821" s="30" t="n">
        <v>0.278217752679651</v>
      </c>
      <c r="F821" s="30" t="n">
        <v>0.0203520997142038</v>
      </c>
      <c r="G821" s="30" t="n">
        <v>0.188504452226076</v>
      </c>
      <c r="H821" s="31" t="n">
        <f aca="false">MAX(D821,F821+0.015)</f>
        <v>0.0659802173858353</v>
      </c>
      <c r="I821" s="25" t="n">
        <f aca="false">(C821-'DCF Base Case'!$B$3)*(1-E821)+'DCF Base Case'!$B$3-G821</f>
        <v>0.154540268617127</v>
      </c>
      <c r="J821" s="24" t="n">
        <f aca="false">'DCF Base Case'!$B$2*(1+B821)^1*$I821-'DCF Base Case'!$B$2*(1+B821)^0*B821*'DCF Base Case'!$B$4</f>
        <v>24.5021873912381</v>
      </c>
      <c r="K821" s="24" t="n">
        <f aca="false">'DCF Base Case'!$B$2*(1+B821)^2*$I821-'DCF Base Case'!$B$2*(1+B821)^1*B821*'DCF Base Case'!$B$4</f>
        <v>27.3431943649273</v>
      </c>
      <c r="L821" s="24" t="n">
        <f aca="false">'DCF Base Case'!$B$2*(1+B821)^3*$I821-'DCF Base Case'!$B$2*(1+B821)^2*B821*'DCF Base Case'!$B$4</f>
        <v>30.5136135864159</v>
      </c>
      <c r="M821" s="24" t="n">
        <f aca="false">'DCF Base Case'!$B$2*(1+B821)^4*$I821-'DCF Base Case'!$B$2*(1+B821)^3*B821*'DCF Base Case'!$B$4</f>
        <v>34.0516401147113</v>
      </c>
      <c r="N821" s="24" t="n">
        <f aca="false">'DCF Base Case'!$B$2*(1+B821)^5*$I821-'DCF Base Case'!$B$2*(1+B821)^4*B821*'DCF Base Case'!$B$4</f>
        <v>37.999897692157</v>
      </c>
      <c r="O821" s="24" t="n">
        <f aca="false">J821/(1+H821)^1+K821/(1+H821)^2+L821/(1+H821)^3+M821/(1+H821)^4+N821/(1+H821)^5</f>
        <v>126.219718857722</v>
      </c>
      <c r="P821" s="24" t="n">
        <f aca="false">N821*(1+F821)/(H821-F821)</f>
        <v>849.767147489056</v>
      </c>
      <c r="Q821" s="24" t="n">
        <f aca="false">O821+P821/(1+H821)^5</f>
        <v>743.602071901504</v>
      </c>
      <c r="R821" s="24" t="n">
        <f aca="false">Q821-'DCF Base Case'!$B$5</f>
        <v>558.602071901504</v>
      </c>
      <c r="S821" s="32" t="n">
        <f aca="false">R821/'DCF Base Case'!$B$6</f>
        <v>22.3440828760602</v>
      </c>
    </row>
    <row r="822" customFormat="false" ht="15" hidden="false" customHeight="true" outlineLevel="0" collapsed="false">
      <c r="A822" s="6" t="n">
        <v>821</v>
      </c>
      <c r="B822" s="30" t="n">
        <v>0.0828881626287706</v>
      </c>
      <c r="C822" s="30" t="n">
        <v>0.428034740034464</v>
      </c>
      <c r="D822" s="30" t="n">
        <v>0.0870585618544724</v>
      </c>
      <c r="E822" s="30" t="n">
        <v>0.254399330022552</v>
      </c>
      <c r="F822" s="30" t="n">
        <v>0.0137066447562814</v>
      </c>
      <c r="G822" s="30" t="n">
        <v>0.191984407902415</v>
      </c>
      <c r="H822" s="31" t="n">
        <f aca="false">MAX(D822,F822+0.015)</f>
        <v>0.0870585618544724</v>
      </c>
      <c r="I822" s="25" t="n">
        <f aca="false">(C822-'DCF Base Case'!$B$3)*(1-E822)+'DCF Base Case'!$B$3-G822</f>
        <v>0.160230493943836</v>
      </c>
      <c r="J822" s="24" t="n">
        <f aca="false">'DCF Base Case'!$B$2*(1+B822)^1*$I822-'DCF Base Case'!$B$2*(1+B822)^0*B822*'DCF Base Case'!$B$4</f>
        <v>24.7986337442363</v>
      </c>
      <c r="K822" s="24" t="n">
        <f aca="false">'DCF Base Case'!$B$2*(1+B822)^2*$I822-'DCF Base Case'!$B$2*(1+B822)^1*B822*'DCF Base Case'!$B$4</f>
        <v>26.8541469309998</v>
      </c>
      <c r="L822" s="24" t="n">
        <f aca="false">'DCF Base Case'!$B$2*(1+B822)^3*$I822-'DCF Base Case'!$B$2*(1+B822)^2*B822*'DCF Base Case'!$B$4</f>
        <v>29.0800378290735</v>
      </c>
      <c r="M822" s="24" t="n">
        <f aca="false">'DCF Base Case'!$B$2*(1+B822)^4*$I822-'DCF Base Case'!$B$2*(1+B822)^3*B822*'DCF Base Case'!$B$4</f>
        <v>31.4904287339005</v>
      </c>
      <c r="N822" s="24" t="n">
        <f aca="false">'DCF Base Case'!$B$2*(1+B822)^5*$I822-'DCF Base Case'!$B$2*(1+B822)^4*B822*'DCF Base Case'!$B$4</f>
        <v>34.1006125120457</v>
      </c>
      <c r="O822" s="24" t="n">
        <f aca="false">J822/(1+H822)^1+K822/(1+H822)^2+L822/(1+H822)^3+M822/(1+H822)^4+N822/(1+H822)^5</f>
        <v>113.191174197888</v>
      </c>
      <c r="P822" s="24" t="n">
        <f aca="false">N822*(1+F822)/(H822-F822)</f>
        <v>471.262631724352</v>
      </c>
      <c r="Q822" s="24" t="n">
        <f aca="false">O822+P822/(1+H822)^5</f>
        <v>423.645917325595</v>
      </c>
      <c r="R822" s="24" t="n">
        <f aca="false">Q822-'DCF Base Case'!$B$5</f>
        <v>238.645917325595</v>
      </c>
      <c r="S822" s="32" t="n">
        <f aca="false">R822/'DCF Base Case'!$B$6</f>
        <v>9.54583669302381</v>
      </c>
    </row>
    <row r="823" customFormat="false" ht="15" hidden="false" customHeight="true" outlineLevel="0" collapsed="false">
      <c r="A823" s="6" t="n">
        <v>822</v>
      </c>
      <c r="B823" s="30" t="n">
        <v>0.11593224494681</v>
      </c>
      <c r="C823" s="30" t="n">
        <v>0.429312525373323</v>
      </c>
      <c r="D823" s="30" t="n">
        <v>0.10145277393298</v>
      </c>
      <c r="E823" s="30" t="n">
        <v>0.312066980951087</v>
      </c>
      <c r="F823" s="30" t="n">
        <v>0.0218050454332763</v>
      </c>
      <c r="G823" s="30" t="n">
        <v>0.146912126439575</v>
      </c>
      <c r="H823" s="31" t="n">
        <f aca="false">MAX(D823,F823+0.015)</f>
        <v>0.10145277393298</v>
      </c>
      <c r="I823" s="25" t="n">
        <f aca="false">(C823-'DCF Base Case'!$B$3)*(1-E823)+'DCF Base Case'!$B$3-G823</f>
        <v>0.188994842779649</v>
      </c>
      <c r="J823" s="24" t="n">
        <f aca="false">'DCF Base Case'!$B$2*(1+B823)^1*$I823-'DCF Base Case'!$B$2*(1+B823)^0*B823*'DCF Base Case'!$B$4</f>
        <v>30.0769834165186</v>
      </c>
      <c r="K823" s="24" t="n">
        <f aca="false">'DCF Base Case'!$B$2*(1+B823)^2*$I823-'DCF Base Case'!$B$2*(1+B823)^1*B823*'DCF Base Case'!$B$4</f>
        <v>33.5638756252236</v>
      </c>
      <c r="L823" s="24" t="n">
        <f aca="false">'DCF Base Case'!$B$2*(1+B823)^3*$I823-'DCF Base Case'!$B$2*(1+B823)^2*B823*'DCF Base Case'!$B$4</f>
        <v>37.4550110755713</v>
      </c>
      <c r="M823" s="24" t="n">
        <f aca="false">'DCF Base Case'!$B$2*(1+B823)^4*$I823-'DCF Base Case'!$B$2*(1+B823)^3*B823*'DCF Base Case'!$B$4</f>
        <v>41.7972545940699</v>
      </c>
      <c r="N823" s="24" t="n">
        <f aca="false">'DCF Base Case'!$B$2*(1+B823)^5*$I823-'DCF Base Case'!$B$2*(1+B823)^4*B823*'DCF Base Case'!$B$4</f>
        <v>46.6429041517738</v>
      </c>
      <c r="O823" s="24" t="n">
        <f aca="false">J823/(1+H823)^1+K823/(1+H823)^2+L823/(1+H823)^3+M823/(1+H823)^4+N823/(1+H823)^5</f>
        <v>140.170416824408</v>
      </c>
      <c r="P823" s="24" t="n">
        <f aca="false">N823*(1+F823)/(H823-F823)</f>
        <v>598.384356888727</v>
      </c>
      <c r="Q823" s="24" t="n">
        <f aca="false">O823+P823/(1+H823)^5</f>
        <v>509.276180229367</v>
      </c>
      <c r="R823" s="24" t="n">
        <f aca="false">Q823-'DCF Base Case'!$B$5</f>
        <v>324.276180229367</v>
      </c>
      <c r="S823" s="32" t="n">
        <f aca="false">R823/'DCF Base Case'!$B$6</f>
        <v>12.9710472091747</v>
      </c>
    </row>
    <row r="824" customFormat="false" ht="15" hidden="false" customHeight="true" outlineLevel="0" collapsed="false">
      <c r="A824" s="6" t="n">
        <v>823</v>
      </c>
      <c r="B824" s="30" t="n">
        <v>0.125562607370424</v>
      </c>
      <c r="C824" s="30" t="n">
        <v>0.436861390588249</v>
      </c>
      <c r="D824" s="30" t="n">
        <v>0.0807557734792722</v>
      </c>
      <c r="E824" s="30" t="n">
        <v>0.263945413939297</v>
      </c>
      <c r="F824" s="30" t="n">
        <v>0.0202663417994837</v>
      </c>
      <c r="G824" s="30" t="n">
        <v>0.133762994434932</v>
      </c>
      <c r="H824" s="31" t="n">
        <f aca="false">MAX(D824,F824+0.015)</f>
        <v>0.0807557734792722</v>
      </c>
      <c r="I824" s="25" t="n">
        <f aca="false">(C824-'DCF Base Case'!$B$3)*(1-E824)+'DCF Base Case'!$B$3-G824</f>
        <v>0.222103739392513</v>
      </c>
      <c r="J824" s="24" t="n">
        <f aca="false">'DCF Base Case'!$B$2*(1+B824)^1*$I824-'DCF Base Case'!$B$2*(1+B824)^0*B824*'DCF Base Case'!$B$4</f>
        <v>35.7025939404556</v>
      </c>
      <c r="K824" s="24" t="n">
        <f aca="false">'DCF Base Case'!$B$2*(1+B824)^2*$I824-'DCF Base Case'!$B$2*(1+B824)^1*B824*'DCF Base Case'!$B$4</f>
        <v>40.1855047255067</v>
      </c>
      <c r="L824" s="24" t="n">
        <f aca="false">'DCF Base Case'!$B$2*(1+B824)^3*$I824-'DCF Base Case'!$B$2*(1+B824)^2*B824*'DCF Base Case'!$B$4</f>
        <v>45.2313014773379</v>
      </c>
      <c r="M824" s="24" t="n">
        <f aca="false">'DCF Base Case'!$B$2*(1+B824)^4*$I824-'DCF Base Case'!$B$2*(1+B824)^3*B824*'DCF Base Case'!$B$4</f>
        <v>50.9106616255901</v>
      </c>
      <c r="N824" s="24" t="n">
        <f aca="false">'DCF Base Case'!$B$2*(1+B824)^5*$I824-'DCF Base Case'!$B$2*(1+B824)^4*B824*'DCF Base Case'!$B$4</f>
        <v>57.3031370422526</v>
      </c>
      <c r="O824" s="24" t="n">
        <f aca="false">J824/(1+H824)^1+K824/(1+H824)^2+L824/(1+H824)^3+M824/(1+H824)^4+N824/(1+H824)^5</f>
        <v>179.449727943314</v>
      </c>
      <c r="P824" s="24" t="n">
        <f aca="false">N824*(1+F824)/(H824-F824)</f>
        <v>966.523579081144</v>
      </c>
      <c r="Q824" s="24" t="n">
        <f aca="false">O824+P824/(1+H824)^5</f>
        <v>834.952650318161</v>
      </c>
      <c r="R824" s="24" t="n">
        <f aca="false">Q824-'DCF Base Case'!$B$5</f>
        <v>649.952650318161</v>
      </c>
      <c r="S824" s="32" t="n">
        <f aca="false">R824/'DCF Base Case'!$B$6</f>
        <v>25.9981060127264</v>
      </c>
    </row>
    <row r="825" customFormat="false" ht="15" hidden="false" customHeight="true" outlineLevel="0" collapsed="false">
      <c r="A825" s="6" t="n">
        <v>824</v>
      </c>
      <c r="B825" s="30" t="n">
        <v>0.105210225284948</v>
      </c>
      <c r="C825" s="30" t="n">
        <v>0.399373011605453</v>
      </c>
      <c r="D825" s="30" t="n">
        <v>0.0890766891970672</v>
      </c>
      <c r="E825" s="30" t="n">
        <v>0.266810918786097</v>
      </c>
      <c r="F825" s="30" t="n">
        <v>0.0183218094913408</v>
      </c>
      <c r="G825" s="30" t="n">
        <v>0.149970113784035</v>
      </c>
      <c r="H825" s="31" t="n">
        <f aca="false">MAX(D825,F825+0.015)</f>
        <v>0.0890766891970672</v>
      </c>
      <c r="I825" s="25" t="n">
        <f aca="false">(C825-'DCF Base Case'!$B$3)*(1-E825)+'DCF Base Case'!$B$3-G825</f>
        <v>0.177531237098789</v>
      </c>
      <c r="J825" s="24" t="n">
        <f aca="false">'DCF Base Case'!$B$2*(1+B825)^1*$I825-'DCF Base Case'!$B$2*(1+B825)^0*B825*'DCF Base Case'!$B$4</f>
        <v>27.9926896096254</v>
      </c>
      <c r="K825" s="24" t="n">
        <f aca="false">'DCF Base Case'!$B$2*(1+B825)^2*$I825-'DCF Base Case'!$B$2*(1+B825)^1*B825*'DCF Base Case'!$B$4</f>
        <v>30.9378067897857</v>
      </c>
      <c r="L825" s="24" t="n">
        <f aca="false">'DCF Base Case'!$B$2*(1+B825)^3*$I825-'DCF Base Case'!$B$2*(1+B825)^2*B825*'DCF Base Case'!$B$4</f>
        <v>34.1927804119612</v>
      </c>
      <c r="M825" s="24" t="n">
        <f aca="false">'DCF Base Case'!$B$2*(1+B825)^4*$I825-'DCF Base Case'!$B$2*(1+B825)^3*B825*'DCF Base Case'!$B$4</f>
        <v>37.7902105422225</v>
      </c>
      <c r="N825" s="24" t="n">
        <f aca="false">'DCF Base Case'!$B$2*(1+B825)^5*$I825-'DCF Base Case'!$B$2*(1+B825)^4*B825*'DCF Base Case'!$B$4</f>
        <v>41.7661271069353</v>
      </c>
      <c r="O825" s="24" t="n">
        <f aca="false">J825/(1+H825)^1+K825/(1+H825)^2+L825/(1+H825)^3+M825/(1+H825)^4+N825/(1+H825)^5</f>
        <v>132.380173000051</v>
      </c>
      <c r="P825" s="24" t="n">
        <f aca="false">N825*(1+F825)/(H825-F825)</f>
        <v>601.108479130627</v>
      </c>
      <c r="Q825" s="24" t="n">
        <f aca="false">O825+P825/(1+H825)^5</f>
        <v>524.718324874369</v>
      </c>
      <c r="R825" s="24" t="n">
        <f aca="false">Q825-'DCF Base Case'!$B$5</f>
        <v>339.718324874369</v>
      </c>
      <c r="S825" s="32" t="n">
        <f aca="false">R825/'DCF Base Case'!$B$6</f>
        <v>13.5887329949748</v>
      </c>
    </row>
    <row r="826" customFormat="false" ht="15" hidden="false" customHeight="true" outlineLevel="0" collapsed="false">
      <c r="A826" s="6" t="n">
        <v>825</v>
      </c>
      <c r="B826" s="30" t="n">
        <v>0.0866881329038314</v>
      </c>
      <c r="C826" s="30" t="n">
        <v>0.446837125990443</v>
      </c>
      <c r="D826" s="30" t="n">
        <v>0.100235655897535</v>
      </c>
      <c r="E826" s="30" t="n">
        <v>0.290177338189664</v>
      </c>
      <c r="F826" s="30" t="n">
        <v>0.0192592803008653</v>
      </c>
      <c r="G826" s="30" t="n">
        <v>0.18542152449975</v>
      </c>
      <c r="H826" s="31" t="n">
        <f aca="false">MAX(D826,F826+0.015)</f>
        <v>0.100235655897535</v>
      </c>
      <c r="I826" s="25" t="n">
        <f aca="false">(C826-'DCF Base Case'!$B$3)*(1-E826)+'DCF Base Case'!$B$3-G826</f>
        <v>0.169476647631123</v>
      </c>
      <c r="J826" s="24" t="n">
        <f aca="false">'DCF Base Case'!$B$2*(1+B826)^1*$I826-'DCF Base Case'!$B$2*(1+B826)^0*B826*'DCF Base Case'!$B$4</f>
        <v>26.3273045807029</v>
      </c>
      <c r="K826" s="24" t="n">
        <f aca="false">'DCF Base Case'!$B$2*(1+B826)^2*$I826-'DCF Base Case'!$B$2*(1+B826)^1*B826*'DCF Base Case'!$B$4</f>
        <v>28.6095694591945</v>
      </c>
      <c r="L826" s="24" t="n">
        <f aca="false">'DCF Base Case'!$B$2*(1+B826)^3*$I826-'DCF Base Case'!$B$2*(1+B826)^2*B826*'DCF Base Case'!$B$4</f>
        <v>31.0896796187945</v>
      </c>
      <c r="M826" s="24" t="n">
        <f aca="false">'DCF Base Case'!$B$2*(1+B826)^4*$I826-'DCF Base Case'!$B$2*(1+B826)^3*B826*'DCF Base Case'!$B$4</f>
        <v>33.7847858975261</v>
      </c>
      <c r="N826" s="24" t="n">
        <f aca="false">'DCF Base Case'!$B$2*(1+B826)^5*$I826-'DCF Base Case'!$B$2*(1+B826)^4*B826*'DCF Base Case'!$B$4</f>
        <v>36.7135259075383</v>
      </c>
      <c r="O826" s="24" t="n">
        <f aca="false">J826/(1+H826)^1+K826/(1+H826)^2+L826/(1+H826)^3+M826/(1+H826)^4+N826/(1+H826)^5</f>
        <v>116.733570547401</v>
      </c>
      <c r="P826" s="24" t="n">
        <f aca="false">N826*(1+F826)/(H826-F826)</f>
        <v>462.117521537525</v>
      </c>
      <c r="Q826" s="24" t="n">
        <f aca="false">O826+P826/(1+H826)^5</f>
        <v>403.365032783935</v>
      </c>
      <c r="R826" s="24" t="n">
        <f aca="false">Q826-'DCF Base Case'!$B$5</f>
        <v>218.365032783935</v>
      </c>
      <c r="S826" s="32" t="n">
        <f aca="false">R826/'DCF Base Case'!$B$6</f>
        <v>8.73460131135739</v>
      </c>
    </row>
    <row r="827" customFormat="false" ht="15" hidden="false" customHeight="true" outlineLevel="0" collapsed="false">
      <c r="A827" s="6" t="n">
        <v>826</v>
      </c>
      <c r="B827" s="30" t="n">
        <v>0.114579108013473</v>
      </c>
      <c r="C827" s="30" t="n">
        <v>0.405910070973077</v>
      </c>
      <c r="D827" s="30" t="n">
        <v>0.0841481724560458</v>
      </c>
      <c r="E827" s="30" t="n">
        <v>0.248677986876337</v>
      </c>
      <c r="F827" s="30" t="n">
        <v>0.0233582624683369</v>
      </c>
      <c r="G827" s="30" t="n">
        <v>0.20919434798892</v>
      </c>
      <c r="H827" s="31" t="n">
        <f aca="false">MAX(D827,F827+0.015)</f>
        <v>0.0841481724560458</v>
      </c>
      <c r="I827" s="25" t="n">
        <f aca="false">(C827-'DCF Base Case'!$B$3)*(1-E827)+'DCF Base Case'!$B$3-G827</f>
        <v>0.128102961975665</v>
      </c>
      <c r="J827" s="24" t="n">
        <f aca="false">'DCF Base Case'!$B$2*(1+B827)^1*$I827-'DCF Base Case'!$B$2*(1+B827)^0*B827*'DCF Base Case'!$B$4</f>
        <v>20.2048092185859</v>
      </c>
      <c r="K827" s="24" t="n">
        <f aca="false">'DCF Base Case'!$B$2*(1+B827)^2*$I827-'DCF Base Case'!$B$2*(1+B827)^1*B827*'DCF Base Case'!$B$4</f>
        <v>22.5198582364338</v>
      </c>
      <c r="L827" s="24" t="n">
        <f aca="false">'DCF Base Case'!$B$2*(1+B827)^3*$I827-'DCF Base Case'!$B$2*(1+B827)^2*B827*'DCF Base Case'!$B$4</f>
        <v>25.1001635057543</v>
      </c>
      <c r="M827" s="24" t="n">
        <f aca="false">'DCF Base Case'!$B$2*(1+B827)^4*$I827-'DCF Base Case'!$B$2*(1+B827)^3*B827*'DCF Base Case'!$B$4</f>
        <v>27.9761178512359</v>
      </c>
      <c r="N827" s="24" t="n">
        <f aca="false">'DCF Base Case'!$B$2*(1+B827)^5*$I827-'DCF Base Case'!$B$2*(1+B827)^4*B827*'DCF Base Case'!$B$4</f>
        <v>31.1815964803104</v>
      </c>
      <c r="O827" s="24" t="n">
        <f aca="false">J827/(1+H827)^1+K827/(1+H827)^2+L827/(1+H827)^3+M827/(1+H827)^4+N827/(1+H827)^5</f>
        <v>98.5628781221846</v>
      </c>
      <c r="P827" s="24" t="n">
        <f aca="false">N827*(1+F827)/(H827-F827)</f>
        <v>524.921724699561</v>
      </c>
      <c r="Q827" s="24" t="n">
        <f aca="false">O827+P827/(1+H827)^5</f>
        <v>449.03327211955</v>
      </c>
      <c r="R827" s="24" t="n">
        <f aca="false">Q827-'DCF Base Case'!$B$5</f>
        <v>264.03327211955</v>
      </c>
      <c r="S827" s="32" t="n">
        <f aca="false">R827/'DCF Base Case'!$B$6</f>
        <v>10.561330884782</v>
      </c>
    </row>
    <row r="828" customFormat="false" ht="15" hidden="false" customHeight="true" outlineLevel="0" collapsed="false">
      <c r="A828" s="6" t="n">
        <v>827</v>
      </c>
      <c r="B828" s="30" t="n">
        <v>0.0916220209728455</v>
      </c>
      <c r="C828" s="30" t="n">
        <v>0.372210126749091</v>
      </c>
      <c r="D828" s="30" t="n">
        <v>0.0916977956823473</v>
      </c>
      <c r="E828" s="30" t="n">
        <v>0.260063595840495</v>
      </c>
      <c r="F828" s="30" t="n">
        <v>0.0166612193398816</v>
      </c>
      <c r="G828" s="30" t="n">
        <v>0.180089965591359</v>
      </c>
      <c r="H828" s="31" t="n">
        <f aca="false">MAX(D828,F828+0.015)</f>
        <v>0.0916977956823473</v>
      </c>
      <c r="I828" s="25" t="n">
        <f aca="false">(C828-'DCF Base Case'!$B$3)*(1-E828)+'DCF Base Case'!$B$3-G828</f>
        <v>0.129130124646381</v>
      </c>
      <c r="J828" s="24" t="n">
        <f aca="false">'DCF Base Case'!$B$2*(1+B828)^1*$I828-'DCF Base Case'!$B$2*(1+B828)^0*B828*'DCF Base Case'!$B$4</f>
        <v>20.0408309158371</v>
      </c>
      <c r="K828" s="24" t="n">
        <f aca="false">'DCF Base Case'!$B$2*(1+B828)^2*$I828-'DCF Base Case'!$B$2*(1+B828)^1*B828*'DCF Base Case'!$B$4</f>
        <v>21.8770123463211</v>
      </c>
      <c r="L828" s="24" t="n">
        <f aca="false">'DCF Base Case'!$B$2*(1+B828)^3*$I828-'DCF Base Case'!$B$2*(1+B828)^2*B828*'DCF Base Case'!$B$4</f>
        <v>23.881428430339</v>
      </c>
      <c r="M828" s="24" t="n">
        <f aca="false">'DCF Base Case'!$B$2*(1+B828)^4*$I828-'DCF Base Case'!$B$2*(1+B828)^3*B828*'DCF Base Case'!$B$4</f>
        <v>26.069493166845</v>
      </c>
      <c r="N828" s="24" t="n">
        <f aca="false">'DCF Base Case'!$B$2*(1+B828)^5*$I828-'DCF Base Case'!$B$2*(1+B828)^4*B828*'DCF Base Case'!$B$4</f>
        <v>28.4580328165291</v>
      </c>
      <c r="O828" s="24" t="n">
        <f aca="false">J828/(1+H828)^1+K828/(1+H828)^2+L828/(1+H828)^3+M828/(1+H828)^4+N828/(1+H828)^5</f>
        <v>91.7747068891346</v>
      </c>
      <c r="P828" s="24" t="n">
        <f aca="false">N828*(1+F828)/(H828-F828)</f>
        <v>385.574339255844</v>
      </c>
      <c r="Q828" s="24" t="n">
        <f aca="false">O828+P828/(1+H828)^5</f>
        <v>340.428996656107</v>
      </c>
      <c r="R828" s="24" t="n">
        <f aca="false">Q828-'DCF Base Case'!$B$5</f>
        <v>155.428996656107</v>
      </c>
      <c r="S828" s="32" t="n">
        <f aca="false">R828/'DCF Base Case'!$B$6</f>
        <v>6.21715986624426</v>
      </c>
    </row>
    <row r="829" customFormat="false" ht="15" hidden="false" customHeight="true" outlineLevel="0" collapsed="false">
      <c r="A829" s="6" t="n">
        <v>828</v>
      </c>
      <c r="B829" s="30" t="n">
        <v>0.0953047123668064</v>
      </c>
      <c r="C829" s="30" t="n">
        <v>0.406241783074954</v>
      </c>
      <c r="D829" s="30" t="n">
        <v>0.0778543380413817</v>
      </c>
      <c r="E829" s="30" t="n">
        <v>0.283259342089505</v>
      </c>
      <c r="F829" s="30" t="n">
        <v>0.0177260810658706</v>
      </c>
      <c r="G829" s="30" t="n">
        <v>0.143122625164889</v>
      </c>
      <c r="H829" s="31" t="n">
        <f aca="false">MAX(D829,F829+0.015)</f>
        <v>0.0778543380413817</v>
      </c>
      <c r="I829" s="25" t="n">
        <f aca="false">(C829-'DCF Base Case'!$B$3)*(1-E829)+'DCF Base Case'!$B$3-G829</f>
        <v>0.184871092178622</v>
      </c>
      <c r="J829" s="24" t="n">
        <f aca="false">'DCF Base Case'!$B$2*(1+B829)^1*$I829-'DCF Base Case'!$B$2*(1+B829)^0*B829*'DCF Base Case'!$B$4</f>
        <v>28.9465003755326</v>
      </c>
      <c r="K829" s="24" t="n">
        <f aca="false">'DCF Base Case'!$B$2*(1+B829)^2*$I829-'DCF Base Case'!$B$2*(1+B829)^1*B829*'DCF Base Case'!$B$4</f>
        <v>31.7052382678484</v>
      </c>
      <c r="L829" s="24" t="n">
        <f aca="false">'DCF Base Case'!$B$2*(1+B829)^3*$I829-'DCF Base Case'!$B$2*(1+B829)^2*B829*'DCF Base Case'!$B$4</f>
        <v>34.7268968814867</v>
      </c>
      <c r="M829" s="24" t="n">
        <f aca="false">'DCF Base Case'!$B$2*(1+B829)^4*$I829-'DCF Base Case'!$B$2*(1+B829)^3*B829*'DCF Base Case'!$B$4</f>
        <v>38.0365338001686</v>
      </c>
      <c r="N829" s="24" t="n">
        <f aca="false">'DCF Base Case'!$B$2*(1+B829)^5*$I829-'DCF Base Case'!$B$2*(1+B829)^4*B829*'DCF Base Case'!$B$4</f>
        <v>41.661594713424</v>
      </c>
      <c r="O829" s="24" t="n">
        <f aca="false">J829/(1+H829)^1+K829/(1+H829)^2+L829/(1+H829)^3+M829/(1+H829)^4+N829/(1+H829)^5</f>
        <v>138.697225024877</v>
      </c>
      <c r="P829" s="24" t="n">
        <f aca="false">N829*(1+F829)/(H829-F829)</f>
        <v>705.160828725106</v>
      </c>
      <c r="Q829" s="24" t="n">
        <f aca="false">O829+P829/(1+H829)^5</f>
        <v>623.413731795281</v>
      </c>
      <c r="R829" s="24" t="n">
        <f aca="false">Q829-'DCF Base Case'!$B$5</f>
        <v>438.413731795281</v>
      </c>
      <c r="S829" s="32" t="n">
        <f aca="false">R829/'DCF Base Case'!$B$6</f>
        <v>17.5365492718112</v>
      </c>
    </row>
    <row r="830" customFormat="false" ht="15" hidden="false" customHeight="true" outlineLevel="0" collapsed="false">
      <c r="A830" s="6" t="n">
        <v>829</v>
      </c>
      <c r="B830" s="30" t="n">
        <v>0.0829960474843633</v>
      </c>
      <c r="C830" s="30" t="n">
        <v>0.418988000037042</v>
      </c>
      <c r="D830" s="30" t="n">
        <v>0.083040861864984</v>
      </c>
      <c r="E830" s="30" t="n">
        <v>0.253162707113101</v>
      </c>
      <c r="F830" s="30" t="n">
        <v>0.0228986204377506</v>
      </c>
      <c r="G830" s="30" t="n">
        <v>0.1235117439508</v>
      </c>
      <c r="H830" s="31" t="n">
        <f aca="false">MAX(D830,F830+0.015)</f>
        <v>0.083040861864984</v>
      </c>
      <c r="I830" s="25" t="n">
        <f aca="false">(C830-'DCF Base Case'!$B$3)*(1-E830)+'DCF Base Case'!$B$3-G830</f>
        <v>0.222315271673664</v>
      </c>
      <c r="J830" s="24" t="n">
        <f aca="false">'DCF Base Case'!$B$2*(1+B830)^1*$I830-'DCF Base Case'!$B$2*(1+B830)^0*B830*'DCF Base Case'!$B$4</f>
        <v>34.5501184685516</v>
      </c>
      <c r="K830" s="24" t="n">
        <f aca="false">'DCF Base Case'!$B$2*(1+B830)^2*$I830-'DCF Base Case'!$B$2*(1+B830)^1*B830*'DCF Base Case'!$B$4</f>
        <v>37.4176417415579</v>
      </c>
      <c r="L830" s="24" t="n">
        <f aca="false">'DCF Base Case'!$B$2*(1+B830)^3*$I830-'DCF Base Case'!$B$2*(1+B830)^2*B830*'DCF Base Case'!$B$4</f>
        <v>40.5231581122931</v>
      </c>
      <c r="M830" s="24" t="n">
        <f aca="false">'DCF Base Case'!$B$2*(1+B830)^4*$I830-'DCF Base Case'!$B$2*(1+B830)^3*B830*'DCF Base Case'!$B$4</f>
        <v>43.8864200671973</v>
      </c>
      <c r="N830" s="24" t="n">
        <f aca="false">'DCF Base Case'!$B$2*(1+B830)^5*$I830-'DCF Base Case'!$B$2*(1+B830)^4*B830*'DCF Base Case'!$B$4</f>
        <v>47.5288194710132</v>
      </c>
      <c r="O830" s="24" t="n">
        <f aca="false">J830/(1+H830)^1+K830/(1+H830)^2+L830/(1+H830)^3+M830/(1+H830)^4+N830/(1+H830)^5</f>
        <v>159.491947873577</v>
      </c>
      <c r="P830" s="24" t="n">
        <f aca="false">N830*(1+F830)/(H830-F830)</f>
        <v>808.369670205202</v>
      </c>
      <c r="Q830" s="24" t="n">
        <f aca="false">O830+P830/(1+H830)^5</f>
        <v>701.974530270997</v>
      </c>
      <c r="R830" s="24" t="n">
        <f aca="false">Q830-'DCF Base Case'!$B$5</f>
        <v>516.974530270997</v>
      </c>
      <c r="S830" s="32" t="n">
        <f aca="false">R830/'DCF Base Case'!$B$6</f>
        <v>20.6789812108399</v>
      </c>
    </row>
    <row r="831" customFormat="false" ht="15" hidden="false" customHeight="true" outlineLevel="0" collapsed="false">
      <c r="A831" s="6" t="n">
        <v>830</v>
      </c>
      <c r="B831" s="30" t="n">
        <v>0.0804763356386407</v>
      </c>
      <c r="C831" s="30" t="n">
        <v>0.397188773835564</v>
      </c>
      <c r="D831" s="30" t="n">
        <v>0.0866299676565856</v>
      </c>
      <c r="E831" s="30" t="n">
        <v>0.29668006959055</v>
      </c>
      <c r="F831" s="30" t="n">
        <v>0.0233705779012787</v>
      </c>
      <c r="G831" s="30" t="n">
        <v>0.150861435437631</v>
      </c>
      <c r="H831" s="31" t="n">
        <f aca="false">MAX(D831,F831+0.015)</f>
        <v>0.0866299676565856</v>
      </c>
      <c r="I831" s="25" t="n">
        <f aca="false">(C831-'DCF Base Case'!$B$3)*(1-E831)+'DCF Base Case'!$B$3-G831</f>
        <v>0.167057754382584</v>
      </c>
      <c r="J831" s="24" t="n">
        <f aca="false">'DCF Base Case'!$B$2*(1+B831)^1*$I831-'DCF Base Case'!$B$2*(1+B831)^0*B831*'DCF Base Case'!$B$4</f>
        <v>25.8227107327925</v>
      </c>
      <c r="K831" s="24" t="n">
        <f aca="false">'DCF Base Case'!$B$2*(1+B831)^2*$I831-'DCF Base Case'!$B$2*(1+B831)^1*B831*'DCF Base Case'!$B$4</f>
        <v>27.9008278688243</v>
      </c>
      <c r="L831" s="24" t="n">
        <f aca="false">'DCF Base Case'!$B$2*(1+B831)^3*$I831-'DCF Base Case'!$B$2*(1+B831)^2*B831*'DCF Base Case'!$B$4</f>
        <v>30.1461842569917</v>
      </c>
      <c r="M831" s="24" t="n">
        <f aca="false">'DCF Base Case'!$B$2*(1+B831)^4*$I831-'DCF Base Case'!$B$2*(1+B831)^3*B831*'DCF Base Case'!$B$4</f>
        <v>32.5722386994817</v>
      </c>
      <c r="N831" s="24" t="n">
        <f aca="false">'DCF Base Case'!$B$2*(1+B831)^5*$I831-'DCF Base Case'!$B$2*(1+B831)^4*B831*'DCF Base Case'!$B$4</f>
        <v>35.1935331135631</v>
      </c>
      <c r="O831" s="24" t="n">
        <f aca="false">J831/(1+H831)^1+K831/(1+H831)^2+L831/(1+H831)^3+M831/(1+H831)^4+N831/(1+H831)^5</f>
        <v>117.481998690409</v>
      </c>
      <c r="P831" s="24" t="n">
        <f aca="false">N831*(1+F831)/(H831-F831)</f>
        <v>569.33882005704</v>
      </c>
      <c r="Q831" s="24" t="n">
        <f aca="false">O831+P831/(1+H831)^5</f>
        <v>493.286871168878</v>
      </c>
      <c r="R831" s="24" t="n">
        <f aca="false">Q831-'DCF Base Case'!$B$5</f>
        <v>308.286871168878</v>
      </c>
      <c r="S831" s="32" t="n">
        <f aca="false">R831/'DCF Base Case'!$B$6</f>
        <v>12.3314748467551</v>
      </c>
    </row>
    <row r="832" customFormat="false" ht="15" hidden="false" customHeight="true" outlineLevel="0" collapsed="false">
      <c r="A832" s="6" t="n">
        <v>831</v>
      </c>
      <c r="B832" s="30" t="n">
        <v>0.102667566112981</v>
      </c>
      <c r="C832" s="30" t="n">
        <v>0.422651078207144</v>
      </c>
      <c r="D832" s="30" t="n">
        <v>0.0661730668729846</v>
      </c>
      <c r="E832" s="30" t="n">
        <v>0.333149386534002</v>
      </c>
      <c r="F832" s="30" t="n">
        <v>0.0136254305259255</v>
      </c>
      <c r="G832" s="30" t="n">
        <v>0.175004908675209</v>
      </c>
      <c r="H832" s="31" t="n">
        <f aca="false">MAX(D832,F832+0.015)</f>
        <v>0.0661730668729846</v>
      </c>
      <c r="I832" s="25" t="n">
        <f aca="false">(C832-'DCF Base Case'!$B$3)*(1-E832)+'DCF Base Case'!$B$3-G832</f>
        <v>0.150149642358711</v>
      </c>
      <c r="J832" s="24" t="n">
        <f aca="false">'DCF Base Case'!$B$2*(1+B832)^1*$I832-'DCF Base Case'!$B$2*(1+B832)^0*B832*'DCF Base Case'!$B$4</f>
        <v>23.5603414878086</v>
      </c>
      <c r="K832" s="24" t="n">
        <f aca="false">'DCF Base Case'!$B$2*(1+B832)^2*$I832-'DCF Base Case'!$B$2*(1+B832)^1*B832*'DCF Base Case'!$B$4</f>
        <v>25.9792244051526</v>
      </c>
      <c r="L832" s="24" t="n">
        <f aca="false">'DCF Base Case'!$B$2*(1+B832)^3*$I832-'DCF Base Case'!$B$2*(1+B832)^2*B832*'DCF Base Case'!$B$4</f>
        <v>28.6464481443325</v>
      </c>
      <c r="M832" s="24" t="n">
        <f aca="false">'DCF Base Case'!$B$2*(1+B832)^4*$I832-'DCF Base Case'!$B$2*(1+B832)^3*B832*'DCF Base Case'!$B$4</f>
        <v>31.5875092530929</v>
      </c>
      <c r="N832" s="24" t="n">
        <f aca="false">'DCF Base Case'!$B$2*(1+B832)^5*$I832-'DCF Base Case'!$B$2*(1+B832)^4*B832*'DCF Base Case'!$B$4</f>
        <v>34.8305219476792</v>
      </c>
      <c r="O832" s="24" t="n">
        <f aca="false">J832/(1+H832)^1+K832/(1+H832)^2+L832/(1+H832)^3+M832/(1+H832)^4+N832/(1+H832)^5</f>
        <v>118.317640050524</v>
      </c>
      <c r="P832" s="24" t="n">
        <f aca="false">N832*(1+F832)/(H832-F832)</f>
        <v>671.868522714912</v>
      </c>
      <c r="Q832" s="24" t="n">
        <f aca="false">O832+P832/(1+H832)^5</f>
        <v>606.009781704677</v>
      </c>
      <c r="R832" s="24" t="n">
        <f aca="false">Q832-'DCF Base Case'!$B$5</f>
        <v>421.009781704677</v>
      </c>
      <c r="S832" s="32" t="n">
        <f aca="false">R832/'DCF Base Case'!$B$6</f>
        <v>16.8403912681871</v>
      </c>
    </row>
    <row r="833" customFormat="false" ht="15" hidden="false" customHeight="true" outlineLevel="0" collapsed="false">
      <c r="A833" s="6" t="n">
        <v>832</v>
      </c>
      <c r="B833" s="30" t="n">
        <v>0.0982697302118298</v>
      </c>
      <c r="C833" s="30" t="n">
        <v>0.422769026939418</v>
      </c>
      <c r="D833" s="30" t="n">
        <v>0.0795596542962223</v>
      </c>
      <c r="E833" s="30" t="n">
        <v>0.305054870339393</v>
      </c>
      <c r="F833" s="30" t="n">
        <v>0.0132224048984476</v>
      </c>
      <c r="G833" s="30" t="n">
        <v>0.163808740961606</v>
      </c>
      <c r="H833" s="31" t="n">
        <f aca="false">MAX(D833,F833+0.015)</f>
        <v>0.0795596542962223</v>
      </c>
      <c r="I833" s="25" t="n">
        <f aca="false">(C833-'DCF Base Case'!$B$3)*(1-E833)+'DCF Base Case'!$B$3-G833</f>
        <v>0.169649668425418</v>
      </c>
      <c r="J833" s="24" t="n">
        <f aca="false">'DCF Base Case'!$B$2*(1+B833)^1*$I833-'DCF Base Case'!$B$2*(1+B833)^0*B833*'DCF Base Case'!$B$4</f>
        <v>26.5890855315345</v>
      </c>
      <c r="K833" s="24" t="n">
        <f aca="false">'DCF Base Case'!$B$2*(1+B833)^2*$I833-'DCF Base Case'!$B$2*(1+B833)^1*B833*'DCF Base Case'!$B$4</f>
        <v>29.2019877932976</v>
      </c>
      <c r="L833" s="24" t="n">
        <f aca="false">'DCF Base Case'!$B$2*(1+B833)^3*$I833-'DCF Base Case'!$B$2*(1+B833)^2*B833*'DCF Base Case'!$B$4</f>
        <v>32.0716592553941</v>
      </c>
      <c r="M833" s="24" t="n">
        <f aca="false">'DCF Base Case'!$B$2*(1+B833)^4*$I833-'DCF Base Case'!$B$2*(1+B833)^3*B833*'DCF Base Case'!$B$4</f>
        <v>35.2233325578674</v>
      </c>
      <c r="N833" s="24" t="n">
        <f aca="false">'DCF Base Case'!$B$2*(1+B833)^5*$I833-'DCF Base Case'!$B$2*(1+B833)^4*B833*'DCF Base Case'!$B$4</f>
        <v>38.6847199454906</v>
      </c>
      <c r="O833" s="24" t="n">
        <f aca="false">J833/(1+H833)^1+K833/(1+H833)^2+L833/(1+H833)^3+M833/(1+H833)^4+N833/(1+H833)^5</f>
        <v>127.491054263669</v>
      </c>
      <c r="P833" s="24" t="n">
        <f aca="false">N833*(1+F833)/(H833-F833)</f>
        <v>590.862981685638</v>
      </c>
      <c r="Q833" s="24" t="n">
        <f aca="false">O833+P833/(1+H833)^5</f>
        <v>530.443275262038</v>
      </c>
      <c r="R833" s="24" t="n">
        <f aca="false">Q833-'DCF Base Case'!$B$5</f>
        <v>345.443275262038</v>
      </c>
      <c r="S833" s="32" t="n">
        <f aca="false">R833/'DCF Base Case'!$B$6</f>
        <v>13.8177310104815</v>
      </c>
    </row>
    <row r="834" customFormat="false" ht="15" hidden="false" customHeight="true" outlineLevel="0" collapsed="false">
      <c r="A834" s="6" t="n">
        <v>833</v>
      </c>
      <c r="B834" s="30" t="n">
        <v>0.077843078141074</v>
      </c>
      <c r="C834" s="30" t="n">
        <v>0.394878940621442</v>
      </c>
      <c r="D834" s="30" t="n">
        <v>0.089716225661989</v>
      </c>
      <c r="E834" s="30" t="n">
        <v>0.312686874531357</v>
      </c>
      <c r="F834" s="30" t="n">
        <v>0.0179998768795605</v>
      </c>
      <c r="G834" s="30" t="n">
        <v>0.183875627951896</v>
      </c>
      <c r="H834" s="31" t="n">
        <f aca="false">MAX(D834,F834+0.015)</f>
        <v>0.089716225661989</v>
      </c>
      <c r="I834" s="25" t="n">
        <f aca="false">(C834-'DCF Base Case'!$B$3)*(1-E834)+'DCF Base Case'!$B$3-G834</f>
        <v>0.12817914459745</v>
      </c>
      <c r="J834" s="24" t="n">
        <f aca="false">'DCF Base Case'!$B$2*(1+B834)^1*$I834-'DCF Base Case'!$B$2*(1+B834)^0*B834*'DCF Base Case'!$B$4</f>
        <v>19.6941481562152</v>
      </c>
      <c r="K834" s="24" t="n">
        <f aca="false">'DCF Base Case'!$B$2*(1+B834)^2*$I834-'DCF Base Case'!$B$2*(1+B834)^1*B834*'DCF Base Case'!$B$4</f>
        <v>21.2272012700613</v>
      </c>
      <c r="L834" s="24" t="n">
        <f aca="false">'DCF Base Case'!$B$2*(1+B834)^3*$I834-'DCF Base Case'!$B$2*(1+B834)^2*B834*'DCF Base Case'!$B$4</f>
        <v>22.879591957243</v>
      </c>
      <c r="M834" s="24" t="n">
        <f aca="false">'DCF Base Case'!$B$2*(1+B834)^4*$I834-'DCF Base Case'!$B$2*(1+B834)^3*B834*'DCF Base Case'!$B$4</f>
        <v>24.6606098218066</v>
      </c>
      <c r="N834" s="24" t="n">
        <f aca="false">'DCF Base Case'!$B$2*(1+B834)^5*$I834-'DCF Base Case'!$B$2*(1+B834)^4*B834*'DCF Base Case'!$B$4</f>
        <v>26.580267599172</v>
      </c>
      <c r="O834" s="24" t="n">
        <f aca="false">J834/(1+H834)^1+K834/(1+H834)^2+L834/(1+H834)^3+M834/(1+H834)^4+N834/(1+H834)^5</f>
        <v>88.4158547739405</v>
      </c>
      <c r="P834" s="24" t="n">
        <f aca="false">N834*(1+F834)/(H834-F834)</f>
        <v>377.301823123664</v>
      </c>
      <c r="Q834" s="24" t="n">
        <f aca="false">O834+P834/(1+H834)^5</f>
        <v>333.955608657123</v>
      </c>
      <c r="R834" s="24" t="n">
        <f aca="false">Q834-'DCF Base Case'!$B$5</f>
        <v>148.955608657123</v>
      </c>
      <c r="S834" s="32" t="n">
        <f aca="false">R834/'DCF Base Case'!$B$6</f>
        <v>5.95822434628491</v>
      </c>
    </row>
    <row r="835" customFormat="false" ht="15" hidden="false" customHeight="true" outlineLevel="0" collapsed="false">
      <c r="A835" s="6" t="n">
        <v>834</v>
      </c>
      <c r="B835" s="30" t="n">
        <v>0.0910018099770148</v>
      </c>
      <c r="C835" s="30" t="n">
        <v>0.395193796879558</v>
      </c>
      <c r="D835" s="30" t="n">
        <v>0.0821625269743483</v>
      </c>
      <c r="E835" s="30" t="n">
        <v>0.271799093434447</v>
      </c>
      <c r="F835" s="30" t="n">
        <v>0.0165212245428914</v>
      </c>
      <c r="G835" s="30" t="n">
        <v>0.175223905046718</v>
      </c>
      <c r="H835" s="31" t="n">
        <f aca="false">MAX(D835,F835+0.015)</f>
        <v>0.0821625269743483</v>
      </c>
      <c r="I835" s="25" t="n">
        <f aca="false">(C835-'DCF Base Case'!$B$3)*(1-E835)+'DCF Base Case'!$B$3-G835</f>
        <v>0.147890458256537</v>
      </c>
      <c r="J835" s="24" t="n">
        <f aca="false">'DCF Base Case'!$B$2*(1+B835)^1*$I835-'DCF Base Case'!$B$2*(1+B835)^0*B835*'DCF Base Case'!$B$4</f>
        <v>22.9997119838508</v>
      </c>
      <c r="K835" s="24" t="n">
        <f aca="false">'DCF Base Case'!$B$2*(1+B835)^2*$I835-'DCF Base Case'!$B$2*(1+B835)^1*B835*'DCF Base Case'!$B$4</f>
        <v>25.0927274033312</v>
      </c>
      <c r="L835" s="24" t="n">
        <f aca="false">'DCF Base Case'!$B$2*(1+B835)^3*$I835-'DCF Base Case'!$B$2*(1+B835)^2*B835*'DCF Base Case'!$B$4</f>
        <v>27.3762110142942</v>
      </c>
      <c r="M835" s="24" t="n">
        <f aca="false">'DCF Base Case'!$B$2*(1+B835)^4*$I835-'DCF Base Case'!$B$2*(1+B835)^3*B835*'DCF Base Case'!$B$4</f>
        <v>29.8674957669077</v>
      </c>
      <c r="N835" s="24" t="n">
        <f aca="false">'DCF Base Case'!$B$2*(1+B835)^5*$I835-'DCF Base Case'!$B$2*(1+B835)^4*B835*'DCF Base Case'!$B$4</f>
        <v>32.5854919411771</v>
      </c>
      <c r="O835" s="24" t="n">
        <f aca="false">J835/(1+H835)^1+K835/(1+H835)^2+L835/(1+H835)^3+M835/(1+H835)^4+N835/(1+H835)^5</f>
        <v>108.017621718039</v>
      </c>
      <c r="P835" s="24" t="n">
        <f aca="false">N835*(1+F835)/(H835-F835)</f>
        <v>504.618935691686</v>
      </c>
      <c r="Q835" s="24" t="n">
        <f aca="false">O835+P835/(1+H835)^5</f>
        <v>448.034978974428</v>
      </c>
      <c r="R835" s="24" t="n">
        <f aca="false">Q835-'DCF Base Case'!$B$5</f>
        <v>263.034978974428</v>
      </c>
      <c r="S835" s="32" t="n">
        <f aca="false">R835/'DCF Base Case'!$B$6</f>
        <v>10.5213991589771</v>
      </c>
    </row>
    <row r="836" customFormat="false" ht="15" hidden="false" customHeight="true" outlineLevel="0" collapsed="false">
      <c r="A836" s="6" t="n">
        <v>835</v>
      </c>
      <c r="B836" s="30" t="n">
        <v>0.0948756341432461</v>
      </c>
      <c r="C836" s="30" t="n">
        <v>0.381851068645928</v>
      </c>
      <c r="D836" s="30" t="n">
        <v>0.0668332140523671</v>
      </c>
      <c r="E836" s="30" t="n">
        <v>0.29236511249872</v>
      </c>
      <c r="F836" s="30" t="n">
        <v>0.0160253201432509</v>
      </c>
      <c r="G836" s="30" t="n">
        <v>0.172168398837262</v>
      </c>
      <c r="H836" s="31" t="n">
        <f aca="false">MAX(D836,F836+0.015)</f>
        <v>0.0668332140523671</v>
      </c>
      <c r="I836" s="25" t="n">
        <f aca="false">(C836-'DCF Base Case'!$B$3)*(1-E836)+'DCF Base Case'!$B$3-G836</f>
        <v>0.136050203791076</v>
      </c>
      <c r="J836" s="24" t="n">
        <f aca="false">'DCF Base Case'!$B$2*(1+B836)^1*$I836-'DCF Base Case'!$B$2*(1+B836)^0*B836*'DCF Base Case'!$B$4</f>
        <v>21.1862086983824</v>
      </c>
      <c r="K836" s="24" t="n">
        <f aca="false">'DCF Base Case'!$B$2*(1+B836)^2*$I836-'DCF Base Case'!$B$2*(1+B836)^1*B836*'DCF Base Case'!$B$4</f>
        <v>23.1962636837326</v>
      </c>
      <c r="L836" s="24" t="n">
        <f aca="false">'DCF Base Case'!$B$2*(1+B836)^3*$I836-'DCF Base Case'!$B$2*(1+B836)^2*B836*'DCF Base Case'!$B$4</f>
        <v>25.3970239104807</v>
      </c>
      <c r="M836" s="24" t="n">
        <f aca="false">'DCF Base Case'!$B$2*(1+B836)^4*$I836-'DCF Base Case'!$B$2*(1+B836)^3*B836*'DCF Base Case'!$B$4</f>
        <v>27.8065826593387</v>
      </c>
      <c r="N836" s="24" t="n">
        <f aca="false">'DCF Base Case'!$B$2*(1+B836)^5*$I836-'DCF Base Case'!$B$2*(1+B836)^4*B836*'DCF Base Case'!$B$4</f>
        <v>30.4447498225001</v>
      </c>
      <c r="O836" s="24" t="n">
        <f aca="false">J836/(1+H836)^1+K836/(1+H836)^2+L836/(1+H836)^3+M836/(1+H836)^4+N836/(1+H836)^5</f>
        <v>104.653937439585</v>
      </c>
      <c r="P836" s="24" t="n">
        <f aca="false">N836*(1+F836)/(H836-F836)</f>
        <v>608.815565951588</v>
      </c>
      <c r="Q836" s="24" t="n">
        <f aca="false">O836+P836/(1+H836)^5</f>
        <v>545.211952237155</v>
      </c>
      <c r="R836" s="24" t="n">
        <f aca="false">Q836-'DCF Base Case'!$B$5</f>
        <v>360.211952237155</v>
      </c>
      <c r="S836" s="32" t="n">
        <f aca="false">R836/'DCF Base Case'!$B$6</f>
        <v>14.4084780894862</v>
      </c>
    </row>
    <row r="837" customFormat="false" ht="15" hidden="false" customHeight="true" outlineLevel="0" collapsed="false">
      <c r="A837" s="6" t="n">
        <v>836</v>
      </c>
      <c r="B837" s="30" t="n">
        <v>0.107028696637258</v>
      </c>
      <c r="C837" s="30" t="n">
        <v>0.392818482817039</v>
      </c>
      <c r="D837" s="30" t="n">
        <v>0.069473090199662</v>
      </c>
      <c r="E837" s="30" t="n">
        <v>0.328423933092888</v>
      </c>
      <c r="F837" s="30" t="n">
        <v>0.0206015482315477</v>
      </c>
      <c r="G837" s="30" t="n">
        <v>0.15674344190887</v>
      </c>
      <c r="H837" s="31" t="n">
        <f aca="false">MAX(D837,F837+0.015)</f>
        <v>0.069473090199662</v>
      </c>
      <c r="I837" s="25" t="n">
        <f aca="false">(C837-'DCF Base Case'!$B$3)*(1-E837)+'DCF Base Case'!$B$3-G837</f>
        <v>0.149759161091892</v>
      </c>
      <c r="J837" s="24" t="n">
        <f aca="false">'DCF Base Case'!$B$2*(1+B837)^1*$I837-'DCF Base Case'!$B$2*(1+B837)^0*B837*'DCF Base Case'!$B$4</f>
        <v>23.5736400620196</v>
      </c>
      <c r="K837" s="24" t="n">
        <f aca="false">'DCF Base Case'!$B$2*(1+B837)^2*$I837-'DCF Base Case'!$B$2*(1+B837)^1*B837*'DCF Base Case'!$B$4</f>
        <v>26.0966960328534</v>
      </c>
      <c r="L837" s="24" t="n">
        <f aca="false">'DCF Base Case'!$B$2*(1+B837)^3*$I837-'DCF Base Case'!$B$2*(1+B837)^2*B837*'DCF Base Case'!$B$4</f>
        <v>28.8897913957884</v>
      </c>
      <c r="M837" s="24" t="n">
        <f aca="false">'DCF Base Case'!$B$2*(1+B837)^4*$I837-'DCF Base Case'!$B$2*(1+B837)^3*B837*'DCF Base Case'!$B$4</f>
        <v>31.9818281150019</v>
      </c>
      <c r="N837" s="24" t="n">
        <f aca="false">'DCF Base Case'!$B$2*(1+B837)^5*$I837-'DCF Base Case'!$B$2*(1+B837)^4*B837*'DCF Base Case'!$B$4</f>
        <v>35.4048014942273</v>
      </c>
      <c r="O837" s="24" t="n">
        <f aca="false">J837/(1+H837)^1+K837/(1+H837)^2+L837/(1+H837)^3+M837/(1+H837)^4+N837/(1+H837)^5</f>
        <v>118.228455405233</v>
      </c>
      <c r="P837" s="24" t="n">
        <f aca="false">N837*(1+F837)/(H837-F837)</f>
        <v>739.370884663602</v>
      </c>
      <c r="Q837" s="24" t="n">
        <f aca="false">O837+P837/(1+H837)^5</f>
        <v>646.689571306561</v>
      </c>
      <c r="R837" s="24" t="n">
        <f aca="false">Q837-'DCF Base Case'!$B$5</f>
        <v>461.689571306561</v>
      </c>
      <c r="S837" s="32" t="n">
        <f aca="false">R837/'DCF Base Case'!$B$6</f>
        <v>18.4675828522624</v>
      </c>
    </row>
    <row r="838" customFormat="false" ht="15" hidden="false" customHeight="true" outlineLevel="0" collapsed="false">
      <c r="A838" s="6" t="n">
        <v>837</v>
      </c>
      <c r="B838" s="30" t="n">
        <v>0.0695945354088563</v>
      </c>
      <c r="C838" s="30" t="n">
        <v>0.395530259856055</v>
      </c>
      <c r="D838" s="30" t="n">
        <v>0.0719037043027536</v>
      </c>
      <c r="E838" s="30" t="n">
        <v>0.306800261611851</v>
      </c>
      <c r="F838" s="30" t="n">
        <v>0.0161858095706223</v>
      </c>
      <c r="G838" s="30" t="n">
        <v>0.191321132280142</v>
      </c>
      <c r="H838" s="31" t="n">
        <f aca="false">MAX(D838,F838+0.015)</f>
        <v>0.0719037043027536</v>
      </c>
      <c r="I838" s="25" t="n">
        <f aca="false">(C838-'DCF Base Case'!$B$3)*(1-E838)+'DCF Base Case'!$B$3-G838</f>
        <v>0.122744374386213</v>
      </c>
      <c r="J838" s="24" t="n">
        <f aca="false">'DCF Base Case'!$B$2*(1+B838)^1*$I838-'DCF Base Case'!$B$2*(1+B838)^0*B838*'DCF Base Case'!$B$4</f>
        <v>18.7338370248439</v>
      </c>
      <c r="K838" s="24" t="n">
        <f aca="false">'DCF Base Case'!$B$2*(1+B838)^2*$I838-'DCF Base Case'!$B$2*(1+B838)^1*B838*'DCF Base Case'!$B$4</f>
        <v>20.0376097090131</v>
      </c>
      <c r="L838" s="24" t="n">
        <f aca="false">'DCF Base Case'!$B$2*(1+B838)^3*$I838-'DCF Base Case'!$B$2*(1+B838)^2*B838*'DCF Base Case'!$B$4</f>
        <v>21.4321178474159</v>
      </c>
      <c r="M838" s="24" t="n">
        <f aca="false">'DCF Base Case'!$B$2*(1+B838)^4*$I838-'DCF Base Case'!$B$2*(1+B838)^3*B838*'DCF Base Case'!$B$4</f>
        <v>22.9236761318346</v>
      </c>
      <c r="N838" s="24" t="n">
        <f aca="false">'DCF Base Case'!$B$2*(1+B838)^5*$I838-'DCF Base Case'!$B$2*(1+B838)^4*B838*'DCF Base Case'!$B$4</f>
        <v>24.5190387220928</v>
      </c>
      <c r="O838" s="24" t="n">
        <f aca="false">J838/(1+H838)^1+K838/(1+H838)^2+L838/(1+H838)^3+M838/(1+H838)^4+N838/(1+H838)^5</f>
        <v>87.0101259925842</v>
      </c>
      <c r="P838" s="24" t="n">
        <f aca="false">N838*(1+F838)/(H838-F838)</f>
        <v>447.179480371408</v>
      </c>
      <c r="Q838" s="24" t="n">
        <f aca="false">O838+P838/(1+H838)^5</f>
        <v>403.021713871874</v>
      </c>
      <c r="R838" s="24" t="n">
        <f aca="false">Q838-'DCF Base Case'!$B$5</f>
        <v>218.021713871874</v>
      </c>
      <c r="S838" s="32" t="n">
        <f aca="false">R838/'DCF Base Case'!$B$6</f>
        <v>8.72086855487497</v>
      </c>
    </row>
    <row r="839" customFormat="false" ht="15" hidden="false" customHeight="true" outlineLevel="0" collapsed="false">
      <c r="A839" s="6" t="n">
        <v>838</v>
      </c>
      <c r="B839" s="30" t="n">
        <v>0.0814937751454165</v>
      </c>
      <c r="C839" s="30" t="n">
        <v>0.388129018611322</v>
      </c>
      <c r="D839" s="30" t="n">
        <v>0.0803106825318482</v>
      </c>
      <c r="E839" s="30" t="n">
        <v>0.243091073678517</v>
      </c>
      <c r="F839" s="30" t="n">
        <v>0.0188931999165749</v>
      </c>
      <c r="G839" s="30" t="n">
        <v>0.161645473213185</v>
      </c>
      <c r="H839" s="31" t="n">
        <f aca="false">MAX(D839,F839+0.015)</f>
        <v>0.0803106825318482</v>
      </c>
      <c r="I839" s="25" t="n">
        <f aca="false">(C839-'DCF Base Case'!$B$3)*(1-E839)+'DCF Base Case'!$B$3-G839</f>
        <v>0.163734685116329</v>
      </c>
      <c r="J839" s="24" t="n">
        <f aca="false">'DCF Base Case'!$B$2*(1+B839)^1*$I839-'DCF Base Case'!$B$2*(1+B839)^0*B839*'DCF Base Case'!$B$4</f>
        <v>25.3218182737796</v>
      </c>
      <c r="K839" s="24" t="n">
        <f aca="false">'DCF Base Case'!$B$2*(1+B839)^2*$I839-'DCF Base Case'!$B$2*(1+B839)^1*B839*'DCF Base Case'!$B$4</f>
        <v>27.3853888384561</v>
      </c>
      <c r="L839" s="24" t="n">
        <f aca="false">'DCF Base Case'!$B$2*(1+B839)^3*$I839-'DCF Base Case'!$B$2*(1+B839)^2*B839*'DCF Base Case'!$B$4</f>
        <v>29.617127558727</v>
      </c>
      <c r="M839" s="24" t="n">
        <f aca="false">'DCF Base Case'!$B$2*(1+B839)^4*$I839-'DCF Base Case'!$B$2*(1+B839)^3*B839*'DCF Base Case'!$B$4</f>
        <v>32.030739092451</v>
      </c>
      <c r="N839" s="24" t="n">
        <f aca="false">'DCF Base Case'!$B$2*(1+B839)^5*$I839-'DCF Base Case'!$B$2*(1+B839)^4*B839*'DCF Base Case'!$B$4</f>
        <v>34.6410449417928</v>
      </c>
      <c r="O839" s="24" t="n">
        <f aca="false">J839/(1+H839)^1+K839/(1+H839)^2+L839/(1+H839)^3+M839/(1+H839)^4+N839/(1+H839)^5</f>
        <v>117.453901841038</v>
      </c>
      <c r="P839" s="24" t="n">
        <f aca="false">N839*(1+F839)/(H839-F839)</f>
        <v>574.682055112754</v>
      </c>
      <c r="Q839" s="24" t="n">
        <f aca="false">O839+P839/(1+H839)^5</f>
        <v>508.010773350517</v>
      </c>
      <c r="R839" s="24" t="n">
        <f aca="false">Q839-'DCF Base Case'!$B$5</f>
        <v>323.010773350517</v>
      </c>
      <c r="S839" s="32" t="n">
        <f aca="false">R839/'DCF Base Case'!$B$6</f>
        <v>12.9204309340207</v>
      </c>
    </row>
    <row r="840" customFormat="false" ht="15" hidden="false" customHeight="true" outlineLevel="0" collapsed="false">
      <c r="A840" s="6" t="n">
        <v>839</v>
      </c>
      <c r="B840" s="30" t="n">
        <v>0.108003216665806</v>
      </c>
      <c r="C840" s="30" t="n">
        <v>0.380443921084845</v>
      </c>
      <c r="D840" s="30" t="n">
        <v>0.097780529969499</v>
      </c>
      <c r="E840" s="30" t="n">
        <v>0.304847159341749</v>
      </c>
      <c r="F840" s="30" t="n">
        <v>0.0237827959940956</v>
      </c>
      <c r="G840" s="30" t="n">
        <v>0.164088120415809</v>
      </c>
      <c r="H840" s="31" t="n">
        <f aca="false">MAX(D840,F840+0.015)</f>
        <v>0.097780529969499</v>
      </c>
      <c r="I840" s="25" t="n">
        <f aca="false">(C840-'DCF Base Case'!$B$3)*(1-E840)+'DCF Base Case'!$B$3-G840</f>
        <v>0.140008682751912</v>
      </c>
      <c r="J840" s="24" t="n">
        <f aca="false">'DCF Base Case'!$B$2*(1+B840)^1*$I840-'DCF Base Case'!$B$2*(1+B840)^0*B840*'DCF Base Case'!$B$4</f>
        <v>22.0240462807915</v>
      </c>
      <c r="K840" s="24" t="n">
        <f aca="false">'DCF Base Case'!$B$2*(1+B840)^2*$I840-'DCF Base Case'!$B$2*(1+B840)^1*B840*'DCF Base Case'!$B$4</f>
        <v>24.4027141231136</v>
      </c>
      <c r="L840" s="24" t="n">
        <f aca="false">'DCF Base Case'!$B$2*(1+B840)^3*$I840-'DCF Base Case'!$B$2*(1+B840)^2*B840*'DCF Base Case'!$B$4</f>
        <v>27.038285743786</v>
      </c>
      <c r="M840" s="24" t="n">
        <f aca="false">'DCF Base Case'!$B$2*(1+B840)^4*$I840-'DCF Base Case'!$B$2*(1+B840)^3*B840*'DCF Base Case'!$B$4</f>
        <v>29.9585075772441</v>
      </c>
      <c r="N840" s="24" t="n">
        <f aca="false">'DCF Base Case'!$B$2*(1+B840)^5*$I840-'DCF Base Case'!$B$2*(1+B840)^4*B840*'DCF Base Case'!$B$4</f>
        <v>33.1941227620933</v>
      </c>
      <c r="O840" s="24" t="n">
        <f aca="false">J840/(1+H840)^1+K840/(1+H840)^2+L840/(1+H840)^3+M840/(1+H840)^4+N840/(1+H840)^5</f>
        <v>102.197411923589</v>
      </c>
      <c r="P840" s="24" t="n">
        <f aca="false">N840*(1+F840)/(H840-F840)</f>
        <v>459.251520097132</v>
      </c>
      <c r="Q840" s="24" t="n">
        <f aca="false">O840+P840/(1+H840)^5</f>
        <v>390.250796668883</v>
      </c>
      <c r="R840" s="24" t="n">
        <f aca="false">Q840-'DCF Base Case'!$B$5</f>
        <v>205.250796668883</v>
      </c>
      <c r="S840" s="32" t="n">
        <f aca="false">R840/'DCF Base Case'!$B$6</f>
        <v>8.2100318667553</v>
      </c>
    </row>
    <row r="841" customFormat="false" ht="15" hidden="false" customHeight="true" outlineLevel="0" collapsed="false">
      <c r="A841" s="6" t="n">
        <v>840</v>
      </c>
      <c r="B841" s="30" t="n">
        <v>0.112132815795272</v>
      </c>
      <c r="C841" s="30" t="n">
        <v>0.39030618296427</v>
      </c>
      <c r="D841" s="30" t="n">
        <v>0.0928435232172499</v>
      </c>
      <c r="E841" s="30" t="n">
        <v>0.262142284305998</v>
      </c>
      <c r="F841" s="30" t="n">
        <v>0.0129381028242272</v>
      </c>
      <c r="G841" s="30" t="n">
        <v>0.142845280415087</v>
      </c>
      <c r="H841" s="31" t="n">
        <f aca="false">MAX(D841,F841+0.015)</f>
        <v>0.0928435232172499</v>
      </c>
      <c r="I841" s="25" t="n">
        <f aca="false">(C841-'DCF Base Case'!$B$3)*(1-E841)+'DCF Base Case'!$B$3-G841</f>
        <v>0.179223645127954</v>
      </c>
      <c r="J841" s="24" t="n">
        <f aca="false">'DCF Base Case'!$B$2*(1+B841)^1*$I841-'DCF Base Case'!$B$2*(1+B841)^0*B841*'DCF Base Case'!$B$4</f>
        <v>28.413694332711</v>
      </c>
      <c r="K841" s="24" t="n">
        <f aca="false">'DCF Base Case'!$B$2*(1+B841)^2*$I841-'DCF Base Case'!$B$2*(1+B841)^1*B841*'DCF Base Case'!$B$4</f>
        <v>31.599801885384</v>
      </c>
      <c r="L841" s="24" t="n">
        <f aca="false">'DCF Base Case'!$B$2*(1+B841)^3*$I841-'DCF Base Case'!$B$2*(1+B841)^2*B841*'DCF Base Case'!$B$4</f>
        <v>35.1431766493649</v>
      </c>
      <c r="M841" s="24" t="n">
        <f aca="false">'DCF Base Case'!$B$2*(1+B841)^4*$I841-'DCF Base Case'!$B$2*(1+B841)^3*B841*'DCF Base Case'!$B$4</f>
        <v>39.0838800030488</v>
      </c>
      <c r="N841" s="24" t="n">
        <f aca="false">'DCF Base Case'!$B$2*(1+B841)^5*$I841-'DCF Base Case'!$B$2*(1+B841)^4*B841*'DCF Base Case'!$B$4</f>
        <v>43.4664655199952</v>
      </c>
      <c r="O841" s="24" t="n">
        <f aca="false">J841/(1+H841)^1+K841/(1+H841)^2+L841/(1+H841)^3+M841/(1+H841)^4+N841/(1+H841)^5</f>
        <v>134.66973752617</v>
      </c>
      <c r="P841" s="24" t="n">
        <f aca="false">N841*(1+F841)/(H841-F841)</f>
        <v>551.011920139315</v>
      </c>
      <c r="Q841" s="24" t="n">
        <f aca="false">O841+P841/(1+H841)^5</f>
        <v>488.154811579351</v>
      </c>
      <c r="R841" s="24" t="n">
        <f aca="false">Q841-'DCF Base Case'!$B$5</f>
        <v>303.154811579351</v>
      </c>
      <c r="S841" s="32" t="n">
        <f aca="false">R841/'DCF Base Case'!$B$6</f>
        <v>12.1261924631741</v>
      </c>
    </row>
    <row r="842" customFormat="false" ht="15" hidden="false" customHeight="true" outlineLevel="0" collapsed="false">
      <c r="A842" s="6" t="n">
        <v>841</v>
      </c>
      <c r="B842" s="30" t="n">
        <v>0.0901104516860864</v>
      </c>
      <c r="C842" s="30" t="n">
        <v>0.396379902230343</v>
      </c>
      <c r="D842" s="30" t="n">
        <v>0.0891368088486538</v>
      </c>
      <c r="E842" s="30" t="n">
        <v>0.248810589626312</v>
      </c>
      <c r="F842" s="30" t="n">
        <v>0.011709838645016</v>
      </c>
      <c r="G842" s="30" t="n">
        <v>0.197420616051825</v>
      </c>
      <c r="H842" s="31" t="n">
        <f aca="false">MAX(D842,F842+0.015)</f>
        <v>0.0891368088486538</v>
      </c>
      <c r="I842" s="25" t="n">
        <f aca="false">(C842-'DCF Base Case'!$B$3)*(1-E842)+'DCF Base Case'!$B$3-G842</f>
        <v>0.132681145639987</v>
      </c>
      <c r="J842" s="24" t="n">
        <f aca="false">'DCF Base Case'!$B$2*(1+B842)^1*$I842-'DCF Base Case'!$B$2*(1+B842)^0*B842*'DCF Base Case'!$B$4</f>
        <v>20.5803995577214</v>
      </c>
      <c r="K842" s="24" t="n">
        <f aca="false">'DCF Base Case'!$B$2*(1+B842)^2*$I842-'DCF Base Case'!$B$2*(1+B842)^1*B842*'DCF Base Case'!$B$4</f>
        <v>22.4349086577478</v>
      </c>
      <c r="L842" s="24" t="n">
        <f aca="false">'DCF Base Case'!$B$2*(1+B842)^3*$I842-'DCF Base Case'!$B$2*(1+B842)^2*B842*'DCF Base Case'!$B$4</f>
        <v>24.4565284104336</v>
      </c>
      <c r="M842" s="24" t="n">
        <f aca="false">'DCF Base Case'!$B$2*(1+B842)^4*$I842-'DCF Base Case'!$B$2*(1+B842)^3*B842*'DCF Base Case'!$B$4</f>
        <v>26.6603172321713</v>
      </c>
      <c r="N842" s="24" t="n">
        <f aca="false">'DCF Base Case'!$B$2*(1+B842)^5*$I842-'DCF Base Case'!$B$2*(1+B842)^4*B842*'DCF Base Case'!$B$4</f>
        <v>29.0626904600566</v>
      </c>
      <c r="O842" s="24" t="n">
        <f aca="false">J842/(1+H842)^1+K842/(1+H842)^2+L842/(1+H842)^3+M842/(1+H842)^4+N842/(1+H842)^5</f>
        <v>94.6493972798291</v>
      </c>
      <c r="P842" s="24" t="n">
        <f aca="false">N842*(1+F842)/(H842-F842)</f>
        <v>379.751523256072</v>
      </c>
      <c r="Q842" s="24" t="n">
        <f aca="false">O842+P842/(1+H842)^5</f>
        <v>342.441433952835</v>
      </c>
      <c r="R842" s="24" t="n">
        <f aca="false">Q842-'DCF Base Case'!$B$5</f>
        <v>157.441433952835</v>
      </c>
      <c r="S842" s="32" t="n">
        <f aca="false">R842/'DCF Base Case'!$B$6</f>
        <v>6.29765735811339</v>
      </c>
    </row>
    <row r="843" customFormat="false" ht="15" hidden="false" customHeight="true" outlineLevel="0" collapsed="false">
      <c r="A843" s="6" t="n">
        <v>842</v>
      </c>
      <c r="B843" s="30" t="n">
        <v>0.109746843423959</v>
      </c>
      <c r="C843" s="30" t="n">
        <v>0.398924105345674</v>
      </c>
      <c r="D843" s="30" t="n">
        <v>0.0849670039218241</v>
      </c>
      <c r="E843" s="30" t="n">
        <v>0.310956262983577</v>
      </c>
      <c r="F843" s="30" t="n">
        <v>0.020844067477232</v>
      </c>
      <c r="G843" s="30" t="n">
        <v>0.168555854414012</v>
      </c>
      <c r="H843" s="31" t="n">
        <f aca="false">MAX(D843,F843+0.015)</f>
        <v>0.0849670039218241</v>
      </c>
      <c r="I843" s="25" t="n">
        <f aca="false">(C843-'DCF Base Case'!$B$3)*(1-E843)+'DCF Base Case'!$B$3-G843</f>
        <v>0.14674461610717</v>
      </c>
      <c r="J843" s="24" t="n">
        <f aca="false">'DCF Base Case'!$B$2*(1+B843)^1*$I843-'DCF Base Case'!$B$2*(1+B843)^0*B843*'DCF Base Case'!$B$4</f>
        <v>23.1357605356926</v>
      </c>
      <c r="K843" s="24" t="n">
        <f aca="false">'DCF Base Case'!$B$2*(1+B843)^2*$I843-'DCF Base Case'!$B$2*(1+B843)^1*B843*'DCF Base Case'!$B$4</f>
        <v>25.6748372246975</v>
      </c>
      <c r="L843" s="24" t="n">
        <f aca="false">'DCF Base Case'!$B$2*(1+B843)^3*$I843-'DCF Base Case'!$B$2*(1+B843)^2*B843*'DCF Base Case'!$B$4</f>
        <v>28.492569565532</v>
      </c>
      <c r="M843" s="24" t="n">
        <f aca="false">'DCF Base Case'!$B$2*(1+B843)^4*$I843-'DCF Base Case'!$B$2*(1+B843)^3*B843*'DCF Base Case'!$B$4</f>
        <v>31.6195391363867</v>
      </c>
      <c r="N843" s="24" t="n">
        <f aca="false">'DCF Base Case'!$B$2*(1+B843)^5*$I843-'DCF Base Case'!$B$2*(1+B843)^4*B843*'DCF Base Case'!$B$4</f>
        <v>35.0896837471255</v>
      </c>
      <c r="O843" s="24" t="n">
        <f aca="false">J843/(1+H843)^1+K843/(1+H843)^2+L843/(1+H843)^3+M843/(1+H843)^4+N843/(1+H843)^5</f>
        <v>111.602385870911</v>
      </c>
      <c r="P843" s="24" t="n">
        <f aca="false">N843*(1+F843)/(H843-F843)</f>
        <v>558.63155165793</v>
      </c>
      <c r="Q843" s="24" t="n">
        <f aca="false">O843+P843/(1+H843)^5</f>
        <v>483.17423877246</v>
      </c>
      <c r="R843" s="24" t="n">
        <f aca="false">Q843-'DCF Base Case'!$B$5</f>
        <v>298.17423877246</v>
      </c>
      <c r="S843" s="32" t="n">
        <f aca="false">R843/'DCF Base Case'!$B$6</f>
        <v>11.9269695508984</v>
      </c>
    </row>
    <row r="844" customFormat="false" ht="15" hidden="false" customHeight="true" outlineLevel="0" collapsed="false">
      <c r="A844" s="6" t="n">
        <v>843</v>
      </c>
      <c r="B844" s="30" t="n">
        <v>0.11385381773243</v>
      </c>
      <c r="C844" s="30" t="n">
        <v>0.407851928889832</v>
      </c>
      <c r="D844" s="30" t="n">
        <v>0.0853429629353109</v>
      </c>
      <c r="E844" s="30" t="n">
        <v>0.279144584086692</v>
      </c>
      <c r="F844" s="30" t="n">
        <v>0.0182879829772935</v>
      </c>
      <c r="G844" s="30" t="n">
        <v>0.157327747534656</v>
      </c>
      <c r="H844" s="31" t="n">
        <f aca="false">MAX(D844,F844+0.015)</f>
        <v>0.0853429629353109</v>
      </c>
      <c r="I844" s="25" t="n">
        <f aca="false">(C844-'DCF Base Case'!$B$3)*(1-E844)+'DCF Base Case'!$B$3-G844</f>
        <v>0.172963320227539</v>
      </c>
      <c r="J844" s="24" t="n">
        <f aca="false">'DCF Base Case'!$B$2*(1+B844)^1*$I844-'DCF Base Case'!$B$2*(1+B844)^0*B844*'DCF Base Case'!$B$4</f>
        <v>27.4398348045165</v>
      </c>
      <c r="K844" s="24" t="n">
        <f aca="false">'DCF Base Case'!$B$2*(1+B844)^2*$I844-'DCF Base Case'!$B$2*(1+B844)^1*B844*'DCF Base Case'!$B$4</f>
        <v>30.5639647549579</v>
      </c>
      <c r="L844" s="24" t="n">
        <f aca="false">'DCF Base Case'!$B$2*(1+B844)^3*$I844-'DCF Base Case'!$B$2*(1+B844)^2*B844*'DCF Base Case'!$B$4</f>
        <v>34.0437888273492</v>
      </c>
      <c r="M844" s="24" t="n">
        <f aca="false">'DCF Base Case'!$B$2*(1+B844)^4*$I844-'DCF Base Case'!$B$2*(1+B844)^3*B844*'DCF Base Case'!$B$4</f>
        <v>37.9198041554196</v>
      </c>
      <c r="N844" s="24" t="n">
        <f aca="false">'DCF Base Case'!$B$2*(1+B844)^5*$I844-'DCF Base Case'!$B$2*(1+B844)^4*B844*'DCF Base Case'!$B$4</f>
        <v>42.2371186261802</v>
      </c>
      <c r="O844" s="24" t="n">
        <f aca="false">J844/(1+H844)^1+K844/(1+H844)^2+L844/(1+H844)^3+M844/(1+H844)^4+N844/(1+H844)^5</f>
        <v>133.229030360051</v>
      </c>
      <c r="P844" s="24" t="n">
        <f aca="false">N844*(1+F844)/(H844-F844)</f>
        <v>641.407250580846</v>
      </c>
      <c r="Q844" s="24" t="n">
        <f aca="false">O844+P844/(1+H844)^5</f>
        <v>559.120450686416</v>
      </c>
      <c r="R844" s="24" t="n">
        <f aca="false">Q844-'DCF Base Case'!$B$5</f>
        <v>374.120450686416</v>
      </c>
      <c r="S844" s="32" t="n">
        <f aca="false">R844/'DCF Base Case'!$B$6</f>
        <v>14.9648180274566</v>
      </c>
    </row>
    <row r="845" customFormat="false" ht="15" hidden="false" customHeight="true" outlineLevel="0" collapsed="false">
      <c r="A845" s="6" t="n">
        <v>844</v>
      </c>
      <c r="B845" s="30" t="n">
        <v>0.0914739510863034</v>
      </c>
      <c r="C845" s="30" t="n">
        <v>0.416018935047309</v>
      </c>
      <c r="D845" s="30" t="n">
        <v>0.0734672959321202</v>
      </c>
      <c r="E845" s="30" t="n">
        <v>0.304259191374964</v>
      </c>
      <c r="F845" s="30" t="n">
        <v>0.0153643676972654</v>
      </c>
      <c r="G845" s="30" t="n">
        <v>0.160685091959215</v>
      </c>
      <c r="H845" s="31" t="n">
        <f aca="false">MAX(D845,F845+0.015)</f>
        <v>0.0734672959321202</v>
      </c>
      <c r="I845" s="25" t="n">
        <f aca="false">(C845-'DCF Base Case'!$B$3)*(1-E845)+'DCF Base Case'!$B$3-G845</f>
        <v>0.168309953192672</v>
      </c>
      <c r="J845" s="24" t="n">
        <f aca="false">'DCF Base Case'!$B$2*(1+B845)^1*$I845-'DCF Base Case'!$B$2*(1+B845)^0*B845*'DCF Base Case'!$B$4</f>
        <v>26.2394481074362</v>
      </c>
      <c r="K845" s="24" t="n">
        <f aca="false">'DCF Base Case'!$B$2*(1+B845)^2*$I845-'DCF Base Case'!$B$2*(1+B845)^1*B845*'DCF Base Case'!$B$4</f>
        <v>28.6396741001474</v>
      </c>
      <c r="L845" s="24" t="n">
        <f aca="false">'DCF Base Case'!$B$2*(1+B845)^3*$I845-'DCF Base Case'!$B$2*(1+B845)^2*B845*'DCF Base Case'!$B$4</f>
        <v>31.259458247912</v>
      </c>
      <c r="M845" s="24" t="n">
        <f aca="false">'DCF Base Case'!$B$2*(1+B845)^4*$I845-'DCF Base Case'!$B$2*(1+B845)^3*B845*'DCF Base Case'!$B$4</f>
        <v>34.1188844026658</v>
      </c>
      <c r="N845" s="24" t="n">
        <f aca="false">'DCF Base Case'!$B$2*(1+B845)^5*$I845-'DCF Base Case'!$B$2*(1+B845)^4*B845*'DCF Base Case'!$B$4</f>
        <v>37.2398735656345</v>
      </c>
      <c r="O845" s="24" t="n">
        <f aca="false">J845/(1+H845)^1+K845/(1+H845)^2+L845/(1+H845)^3+M845/(1+H845)^4+N845/(1+H845)^5</f>
        <v>126.387805266965</v>
      </c>
      <c r="P845" s="24" t="n">
        <f aca="false">N845*(1+F845)/(H845-F845)</f>
        <v>650.776851095327</v>
      </c>
      <c r="Q845" s="24" t="n">
        <f aca="false">O845+P845/(1+H845)^5</f>
        <v>582.93744772227</v>
      </c>
      <c r="R845" s="24" t="n">
        <f aca="false">Q845-'DCF Base Case'!$B$5</f>
        <v>397.93744772227</v>
      </c>
      <c r="S845" s="32" t="n">
        <f aca="false">R845/'DCF Base Case'!$B$6</f>
        <v>15.9174979088908</v>
      </c>
    </row>
    <row r="846" customFormat="false" ht="15" hidden="false" customHeight="true" outlineLevel="0" collapsed="false">
      <c r="A846" s="6" t="n">
        <v>845</v>
      </c>
      <c r="B846" s="30" t="n">
        <v>0.0838115176736708</v>
      </c>
      <c r="C846" s="30" t="n">
        <v>0.419587173807756</v>
      </c>
      <c r="D846" s="30" t="n">
        <v>0.0616898566576093</v>
      </c>
      <c r="E846" s="30" t="n">
        <v>0.307032117876398</v>
      </c>
      <c r="F846" s="30" t="n">
        <v>0.0166038668124849</v>
      </c>
      <c r="G846" s="30" t="n">
        <v>0.194165210104108</v>
      </c>
      <c r="H846" s="31" t="n">
        <f aca="false">MAX(D846,F846+0.015)</f>
        <v>0.0616898566576093</v>
      </c>
      <c r="I846" s="25" t="n">
        <f aca="false">(C846-'DCF Base Case'!$B$3)*(1-E846)+'DCF Base Case'!$B$3-G846</f>
        <v>0.136509400419612</v>
      </c>
      <c r="J846" s="24" t="n">
        <f aca="false">'DCF Base Case'!$B$2*(1+B846)^1*$I846-'DCF Base Case'!$B$2*(1+B846)^0*B846*'DCF Base Case'!$B$4</f>
        <v>21.0882366627174</v>
      </c>
      <c r="K846" s="24" t="n">
        <f aca="false">'DCF Base Case'!$B$2*(1+B846)^2*$I846-'DCF Base Case'!$B$2*(1+B846)^1*B846*'DCF Base Case'!$B$4</f>
        <v>22.8556737824813</v>
      </c>
      <c r="L846" s="24" t="n">
        <f aca="false">'DCF Base Case'!$B$2*(1+B846)^3*$I846-'DCF Base Case'!$B$2*(1+B846)^2*B846*'DCF Base Case'!$B$4</f>
        <v>24.7712424896454</v>
      </c>
      <c r="M846" s="24" t="n">
        <f aca="false">'DCF Base Case'!$B$2*(1+B846)^4*$I846-'DCF Base Case'!$B$2*(1+B846)^3*B846*'DCF Base Case'!$B$4</f>
        <v>26.8473579173651</v>
      </c>
      <c r="N846" s="24" t="n">
        <f aca="false">'DCF Base Case'!$B$2*(1+B846)^5*$I846-'DCF Base Case'!$B$2*(1+B846)^4*B846*'DCF Base Case'!$B$4</f>
        <v>29.0974757299477</v>
      </c>
      <c r="O846" s="24" t="n">
        <f aca="false">J846/(1+H846)^1+K846/(1+H846)^2+L846/(1+H846)^3+M846/(1+H846)^4+N846/(1+H846)^5</f>
        <v>103.540311608199</v>
      </c>
      <c r="P846" s="24" t="n">
        <f aca="false">N846*(1+F846)/(H846-F846)</f>
        <v>656.093088854434</v>
      </c>
      <c r="Q846" s="24" t="n">
        <f aca="false">O846+P846/(1+H846)^5</f>
        <v>589.921895077969</v>
      </c>
      <c r="R846" s="24" t="n">
        <f aca="false">Q846-'DCF Base Case'!$B$5</f>
        <v>404.921895077969</v>
      </c>
      <c r="S846" s="32" t="n">
        <f aca="false">R846/'DCF Base Case'!$B$6</f>
        <v>16.1968758031187</v>
      </c>
    </row>
    <row r="847" customFormat="false" ht="15" hidden="false" customHeight="true" outlineLevel="0" collapsed="false">
      <c r="A847" s="6" t="n">
        <v>846</v>
      </c>
      <c r="B847" s="30" t="n">
        <v>0.0797659661395599</v>
      </c>
      <c r="C847" s="30" t="n">
        <v>0.409937150102832</v>
      </c>
      <c r="D847" s="30" t="n">
        <v>0.106051646440753</v>
      </c>
      <c r="E847" s="30" t="n">
        <v>0.272337435631878</v>
      </c>
      <c r="F847" s="30" t="n">
        <v>0.0237402530775108</v>
      </c>
      <c r="G847" s="30" t="n">
        <v>0.166087447391599</v>
      </c>
      <c r="H847" s="31" t="n">
        <f aca="false">MAX(D847,F847+0.015)</f>
        <v>0.106051646440753</v>
      </c>
      <c r="I847" s="25" t="n">
        <f aca="false">(C847-'DCF Base Case'!$B$3)*(1-E847)+'DCF Base Case'!$B$3-G847</f>
        <v>0.167612337114132</v>
      </c>
      <c r="J847" s="24" t="n">
        <f aca="false">'DCF Base Case'!$B$2*(1+B847)^1*$I847-'DCF Base Case'!$B$2*(1+B847)^0*B847*'DCF Base Case'!$B$4</f>
        <v>25.8954221298307</v>
      </c>
      <c r="K847" s="24" t="n">
        <f aca="false">'DCF Base Case'!$B$2*(1+B847)^2*$I847-'DCF Base Case'!$B$2*(1+B847)^1*B847*'DCF Base Case'!$B$4</f>
        <v>27.9609954946083</v>
      </c>
      <c r="L847" s="24" t="n">
        <f aca="false">'DCF Base Case'!$B$2*(1+B847)^3*$I847-'DCF Base Case'!$B$2*(1+B847)^2*B847*'DCF Base Case'!$B$4</f>
        <v>30.1913313144597</v>
      </c>
      <c r="M847" s="24" t="n">
        <f aca="false">'DCF Base Case'!$B$2*(1+B847)^4*$I847-'DCF Base Case'!$B$2*(1+B847)^3*B847*'DCF Base Case'!$B$4</f>
        <v>32.5995720257971</v>
      </c>
      <c r="N847" s="24" t="n">
        <f aca="false">'DCF Base Case'!$B$2*(1+B847)^5*$I847-'DCF Base Case'!$B$2*(1+B847)^4*B847*'DCF Base Case'!$B$4</f>
        <v>35.199908384171</v>
      </c>
      <c r="O847" s="24" t="n">
        <f aca="false">J847/(1+H847)^1+K847/(1+H847)^2+L847/(1+H847)^3+M847/(1+H847)^4+N847/(1+H847)^5</f>
        <v>111.629058495423</v>
      </c>
      <c r="P847" s="24" t="n">
        <f aca="false">N847*(1+F847)/(H847-F847)</f>
        <v>437.795566872384</v>
      </c>
      <c r="Q847" s="24" t="n">
        <f aca="false">O847+P847/(1+H847)^5</f>
        <v>376.109966189823</v>
      </c>
      <c r="R847" s="24" t="n">
        <f aca="false">Q847-'DCF Base Case'!$B$5</f>
        <v>191.109966189823</v>
      </c>
      <c r="S847" s="32" t="n">
        <f aca="false">R847/'DCF Base Case'!$B$6</f>
        <v>7.64439864759292</v>
      </c>
    </row>
    <row r="848" customFormat="false" ht="15" hidden="false" customHeight="true" outlineLevel="0" collapsed="false">
      <c r="A848" s="6" t="n">
        <v>847</v>
      </c>
      <c r="B848" s="30" t="n">
        <v>0.0988346224279084</v>
      </c>
      <c r="C848" s="30" t="n">
        <v>0.419170727297938</v>
      </c>
      <c r="D848" s="30" t="n">
        <v>0.0943263678893014</v>
      </c>
      <c r="E848" s="30" t="n">
        <v>0.263630978756146</v>
      </c>
      <c r="F848" s="30" t="n">
        <v>0.0153334341521255</v>
      </c>
      <c r="G848" s="30" t="n">
        <v>0.152344974091987</v>
      </c>
      <c r="H848" s="31" t="n">
        <f aca="false">MAX(D848,F848+0.015)</f>
        <v>0.0943263678893014</v>
      </c>
      <c r="I848" s="25" t="n">
        <f aca="false">(C848-'DCF Base Case'!$B$3)*(1-E848)+'DCF Base Case'!$B$3-G848</f>
        <v>0.190591391340769</v>
      </c>
      <c r="J848" s="24" t="n">
        <f aca="false">'DCF Base Case'!$B$2*(1+B848)^1*$I848-'DCF Base Case'!$B$2*(1+B848)^0*B848*'DCF Base Case'!$B$4</f>
        <v>29.9371902260204</v>
      </c>
      <c r="K848" s="24" t="n">
        <f aca="false">'DCF Base Case'!$B$2*(1+B848)^2*$I848-'DCF Base Case'!$B$2*(1+B848)^1*B848*'DCF Base Case'!$B$4</f>
        <v>32.8960211185616</v>
      </c>
      <c r="L848" s="24" t="n">
        <f aca="false">'DCF Base Case'!$B$2*(1+B848)^3*$I848-'DCF Base Case'!$B$2*(1+B848)^2*B848*'DCF Base Case'!$B$4</f>
        <v>36.1472869451952</v>
      </c>
      <c r="M848" s="24" t="n">
        <f aca="false">'DCF Base Case'!$B$2*(1+B848)^4*$I848-'DCF Base Case'!$B$2*(1+B848)^3*B848*'DCF Base Case'!$B$4</f>
        <v>39.7198904022168</v>
      </c>
      <c r="N848" s="24" t="n">
        <f aca="false">'DCF Base Case'!$B$2*(1+B848)^5*$I848-'DCF Base Case'!$B$2*(1+B848)^4*B848*'DCF Base Case'!$B$4</f>
        <v>43.6455907729978</v>
      </c>
      <c r="O848" s="24" t="n">
        <f aca="false">J848/(1+H848)^1+K848/(1+H848)^2+L848/(1+H848)^3+M848/(1+H848)^4+N848/(1+H848)^5</f>
        <v>137.915303741144</v>
      </c>
      <c r="P848" s="24" t="n">
        <f aca="false">N848*(1+F848)/(H848-F848)</f>
        <v>560.997363543805</v>
      </c>
      <c r="Q848" s="24" t="n">
        <f aca="false">O848+P848/(1+H848)^5</f>
        <v>495.374522364844</v>
      </c>
      <c r="R848" s="24" t="n">
        <f aca="false">Q848-'DCF Base Case'!$B$5</f>
        <v>310.374522364844</v>
      </c>
      <c r="S848" s="32" t="n">
        <f aca="false">R848/'DCF Base Case'!$B$6</f>
        <v>12.4149808945938</v>
      </c>
    </row>
    <row r="849" customFormat="false" ht="15" hidden="false" customHeight="true" outlineLevel="0" collapsed="false">
      <c r="A849" s="6" t="n">
        <v>848</v>
      </c>
      <c r="B849" s="30" t="n">
        <v>0.0920267193511744</v>
      </c>
      <c r="C849" s="30" t="n">
        <v>0.410896195646218</v>
      </c>
      <c r="D849" s="30" t="n">
        <v>0.092813023641183</v>
      </c>
      <c r="E849" s="30" t="n">
        <v>0.319172708432566</v>
      </c>
      <c r="F849" s="30" t="n">
        <v>0.0153665772177902</v>
      </c>
      <c r="G849" s="30" t="n">
        <v>0.150429589169966</v>
      </c>
      <c r="H849" s="31" t="n">
        <f aca="false">MAX(D849,F849+0.015)</f>
        <v>0.092813023641183</v>
      </c>
      <c r="I849" s="25" t="n">
        <f aca="false">(C849-'DCF Base Case'!$B$3)*(1-E849)+'DCF Base Case'!$B$3-G849</f>
        <v>0.170812206923445</v>
      </c>
      <c r="J849" s="24" t="n">
        <f aca="false">'DCF Base Case'!$B$2*(1+B849)^1*$I849-'DCF Base Case'!$B$2*(1+B849)^0*B849*'DCF Base Case'!$B$4</f>
        <v>26.6467503938252</v>
      </c>
      <c r="K849" s="24" t="n">
        <f aca="false">'DCF Base Case'!$B$2*(1+B849)^2*$I849-'DCF Base Case'!$B$2*(1+B849)^1*B849*'DCF Base Case'!$B$4</f>
        <v>29.0989634139385</v>
      </c>
      <c r="L849" s="24" t="n">
        <f aca="false">'DCF Base Case'!$B$2*(1+B849)^3*$I849-'DCF Base Case'!$B$2*(1+B849)^2*B849*'DCF Base Case'!$B$4</f>
        <v>31.7768455534431</v>
      </c>
      <c r="M849" s="24" t="n">
        <f aca="false">'DCF Base Case'!$B$2*(1+B849)^4*$I849-'DCF Base Case'!$B$2*(1+B849)^3*B849*'DCF Base Case'!$B$4</f>
        <v>34.7011644010554</v>
      </c>
      <c r="N849" s="24" t="n">
        <f aca="false">'DCF Base Case'!$B$2*(1+B849)^5*$I849-'DCF Base Case'!$B$2*(1+B849)^4*B849*'DCF Base Case'!$B$4</f>
        <v>37.8945987185503</v>
      </c>
      <c r="O849" s="24" t="n">
        <f aca="false">J849/(1+H849)^1+K849/(1+H849)^2+L849/(1+H849)^3+M849/(1+H849)^4+N849/(1+H849)^5</f>
        <v>121.742839307648</v>
      </c>
      <c r="P849" s="24" t="n">
        <f aca="false">N849*(1+F849)/(H849-F849)</f>
        <v>496.819554322044</v>
      </c>
      <c r="Q849" s="24" t="n">
        <f aca="false">O849+P849/(1+H849)^5</f>
        <v>440.506914567991</v>
      </c>
      <c r="R849" s="24" t="n">
        <f aca="false">Q849-'DCF Base Case'!$B$5</f>
        <v>255.506914567991</v>
      </c>
      <c r="S849" s="32" t="n">
        <f aca="false">R849/'DCF Base Case'!$B$6</f>
        <v>10.2202765827197</v>
      </c>
    </row>
    <row r="850" customFormat="false" ht="15" hidden="false" customHeight="true" outlineLevel="0" collapsed="false">
      <c r="A850" s="6" t="n">
        <v>849</v>
      </c>
      <c r="B850" s="30" t="n">
        <v>0.0594251271566378</v>
      </c>
      <c r="C850" s="30" t="n">
        <v>0.442014851473027</v>
      </c>
      <c r="D850" s="30" t="n">
        <v>0.0883513644903401</v>
      </c>
      <c r="E850" s="30" t="n">
        <v>0.294095872988917</v>
      </c>
      <c r="F850" s="30" t="n">
        <v>0.0139705844093602</v>
      </c>
      <c r="G850" s="30" t="n">
        <v>0.165202184825892</v>
      </c>
      <c r="H850" s="31" t="n">
        <f aca="false">MAX(D850,F850+0.015)</f>
        <v>0.0883513644903401</v>
      </c>
      <c r="I850" s="25" t="n">
        <f aca="false">(C850-'DCF Base Case'!$B$3)*(1-E850)+'DCF Base Case'!$B$3-G850</f>
        <v>0.185050386517668</v>
      </c>
      <c r="J850" s="24" t="n">
        <f aca="false">'DCF Base Case'!$B$2*(1+B850)^1*$I850-'DCF Base Case'!$B$2*(1+B850)^0*B850*'DCF Base Case'!$B$4</f>
        <v>28.1683199405641</v>
      </c>
      <c r="K850" s="24" t="n">
        <f aca="false">'DCF Base Case'!$B$2*(1+B850)^2*$I850-'DCF Base Case'!$B$2*(1+B850)^1*B850*'DCF Base Case'!$B$4</f>
        <v>29.842225934821</v>
      </c>
      <c r="L850" s="24" t="n">
        <f aca="false">'DCF Base Case'!$B$2*(1+B850)^3*$I850-'DCF Base Case'!$B$2*(1+B850)^2*B850*'DCF Base Case'!$B$4</f>
        <v>31.6156040056348</v>
      </c>
      <c r="M850" s="24" t="n">
        <f aca="false">'DCF Base Case'!$B$2*(1+B850)^4*$I850-'DCF Base Case'!$B$2*(1+B850)^3*B850*'DCF Base Case'!$B$4</f>
        <v>33.4943652938036</v>
      </c>
      <c r="N850" s="24" t="n">
        <f aca="false">'DCF Base Case'!$B$2*(1+B850)^5*$I850-'DCF Base Case'!$B$2*(1+B850)^4*B850*'DCF Base Case'!$B$4</f>
        <v>35.4847722104187</v>
      </c>
      <c r="O850" s="24" t="n">
        <f aca="false">J850/(1+H850)^1+K850/(1+H850)^2+L850/(1+H850)^3+M850/(1+H850)^4+N850/(1+H850)^5</f>
        <v>122.709786112853</v>
      </c>
      <c r="P850" s="24" t="n">
        <f aca="false">N850*(1+F850)/(H850-F850)</f>
        <v>483.73403958198</v>
      </c>
      <c r="Q850" s="24" t="n">
        <f aca="false">O850+P850/(1+H850)^5</f>
        <v>439.492167054357</v>
      </c>
      <c r="R850" s="24" t="n">
        <f aca="false">Q850-'DCF Base Case'!$B$5</f>
        <v>254.492167054357</v>
      </c>
      <c r="S850" s="32" t="n">
        <f aca="false">R850/'DCF Base Case'!$B$6</f>
        <v>10.1796866821743</v>
      </c>
    </row>
    <row r="851" customFormat="false" ht="15" hidden="false" customHeight="true" outlineLevel="0" collapsed="false">
      <c r="A851" s="6" t="n">
        <v>850</v>
      </c>
      <c r="B851" s="30" t="n">
        <v>0.100930241468162</v>
      </c>
      <c r="C851" s="30" t="n">
        <v>0.413478688190517</v>
      </c>
      <c r="D851" s="30" t="n">
        <v>0.0968327618730904</v>
      </c>
      <c r="E851" s="30" t="n">
        <v>0.339856252784055</v>
      </c>
      <c r="F851" s="30" t="n">
        <v>0.0154832100057138</v>
      </c>
      <c r="G851" s="30" t="n">
        <v>0.14476851263358</v>
      </c>
      <c r="H851" s="31" t="n">
        <f aca="false">MAX(D851,F851+0.015)</f>
        <v>0.0968327618730904</v>
      </c>
      <c r="I851" s="25" t="n">
        <f aca="false">(C851-'DCF Base Case'!$B$3)*(1-E851)+'DCF Base Case'!$B$3-G851</f>
        <v>0.172368170844368</v>
      </c>
      <c r="J851" s="24" t="n">
        <f aca="false">'DCF Base Case'!$B$2*(1+B851)^1*$I851-'DCF Base Case'!$B$2*(1+B851)^0*B851*'DCF Base Case'!$B$4</f>
        <v>27.0769265822353</v>
      </c>
      <c r="K851" s="24" t="n">
        <f aca="false">'DCF Base Case'!$B$2*(1+B851)^2*$I851-'DCF Base Case'!$B$2*(1+B851)^1*B851*'DCF Base Case'!$B$4</f>
        <v>29.809807320396</v>
      </c>
      <c r="L851" s="24" t="n">
        <f aca="false">'DCF Base Case'!$B$2*(1+B851)^3*$I851-'DCF Base Case'!$B$2*(1+B851)^2*B851*'DCF Base Case'!$B$4</f>
        <v>32.818518371363</v>
      </c>
      <c r="M851" s="24" t="n">
        <f aca="false">'DCF Base Case'!$B$2*(1+B851)^4*$I851-'DCF Base Case'!$B$2*(1+B851)^3*B851*'DCF Base Case'!$B$4</f>
        <v>36.1308993552119</v>
      </c>
      <c r="N851" s="24" t="n">
        <f aca="false">'DCF Base Case'!$B$2*(1+B851)^5*$I851-'DCF Base Case'!$B$2*(1+B851)^4*B851*'DCF Base Case'!$B$4</f>
        <v>39.7775997515953</v>
      </c>
      <c r="O851" s="24" t="n">
        <f aca="false">J851/(1+H851)^1+K851/(1+H851)^2+L851/(1+H851)^3+M851/(1+H851)^4+N851/(1+H851)^5</f>
        <v>124.358011976614</v>
      </c>
      <c r="P851" s="24" t="n">
        <f aca="false">N851*(1+F851)/(H851-F851)</f>
        <v>496.542190520307</v>
      </c>
      <c r="Q851" s="24" t="n">
        <f aca="false">O851+P851/(1+H851)^5</f>
        <v>437.148894268681</v>
      </c>
      <c r="R851" s="24" t="n">
        <f aca="false">Q851-'DCF Base Case'!$B$5</f>
        <v>252.148894268681</v>
      </c>
      <c r="S851" s="32" t="n">
        <f aca="false">R851/'DCF Base Case'!$B$6</f>
        <v>10.0859557707472</v>
      </c>
    </row>
    <row r="852" customFormat="false" ht="15" hidden="false" customHeight="true" outlineLevel="0" collapsed="false">
      <c r="A852" s="6" t="n">
        <v>851</v>
      </c>
      <c r="B852" s="30" t="n">
        <v>0.0708251565904651</v>
      </c>
      <c r="C852" s="30" t="n">
        <v>0.438498659728641</v>
      </c>
      <c r="D852" s="30" t="n">
        <v>0.0964659084873265</v>
      </c>
      <c r="E852" s="30" t="n">
        <v>0.275948417505679</v>
      </c>
      <c r="F852" s="30" t="n">
        <v>0.0194895648371571</v>
      </c>
      <c r="G852" s="30" t="n">
        <v>0.148781566411254</v>
      </c>
      <c r="H852" s="31" t="n">
        <f aca="false">MAX(D852,F852+0.015)</f>
        <v>0.0964659084873265</v>
      </c>
      <c r="I852" s="25" t="n">
        <f aca="false">(C852-'DCF Base Case'!$B$3)*(1-E852)+'DCF Base Case'!$B$3-G852</f>
        <v>0.204587376362646</v>
      </c>
      <c r="J852" s="24" t="n">
        <f aca="false">'DCF Base Case'!$B$2*(1+B852)^1*$I852-'DCF Base Case'!$B$2*(1+B852)^0*B852*'DCF Base Case'!$B$4</f>
        <v>31.458120421676</v>
      </c>
      <c r="K852" s="24" t="n">
        <f aca="false">'DCF Base Case'!$B$2*(1+B852)^2*$I852-'DCF Base Case'!$B$2*(1+B852)^1*B852*'DCF Base Case'!$B$4</f>
        <v>33.6861467265829</v>
      </c>
      <c r="L852" s="24" t="n">
        <f aca="false">'DCF Base Case'!$B$2*(1+B852)^3*$I852-'DCF Base Case'!$B$2*(1+B852)^2*B852*'DCF Base Case'!$B$4</f>
        <v>36.0719733434226</v>
      </c>
      <c r="M852" s="24" t="n">
        <f aca="false">'DCF Base Case'!$B$2*(1+B852)^4*$I852-'DCF Base Case'!$B$2*(1+B852)^3*B852*'DCF Base Case'!$B$4</f>
        <v>38.6267765039975</v>
      </c>
      <c r="N852" s="24" t="n">
        <f aca="false">'DCF Base Case'!$B$2*(1+B852)^5*$I852-'DCF Base Case'!$B$2*(1+B852)^4*B852*'DCF Base Case'!$B$4</f>
        <v>41.3625239984781</v>
      </c>
      <c r="O852" s="24" t="n">
        <f aca="false">J852/(1+H852)^1+K852/(1+H852)^2+L852/(1+H852)^3+M852/(1+H852)^4+N852/(1+H852)^5</f>
        <v>136.898171691067</v>
      </c>
      <c r="P852" s="24" t="n">
        <f aca="false">N852*(1+F852)/(H852-F852)</f>
        <v>547.813257842133</v>
      </c>
      <c r="Q852" s="24" t="n">
        <f aca="false">O852+P852/(1+H852)^5</f>
        <v>482.564338192924</v>
      </c>
      <c r="R852" s="24" t="n">
        <f aca="false">Q852-'DCF Base Case'!$B$5</f>
        <v>297.564338192924</v>
      </c>
      <c r="S852" s="32" t="n">
        <f aca="false">R852/'DCF Base Case'!$B$6</f>
        <v>11.902573527717</v>
      </c>
    </row>
    <row r="853" customFormat="false" ht="15" hidden="false" customHeight="true" outlineLevel="0" collapsed="false">
      <c r="A853" s="6" t="n">
        <v>852</v>
      </c>
      <c r="B853" s="30" t="n">
        <v>0.109444668887004</v>
      </c>
      <c r="C853" s="30" t="n">
        <v>0.413794462278694</v>
      </c>
      <c r="D853" s="30" t="n">
        <v>0.082139158065995</v>
      </c>
      <c r="E853" s="30" t="n">
        <v>0.298171573615806</v>
      </c>
      <c r="F853" s="30" t="n">
        <v>0.0186285603773325</v>
      </c>
      <c r="G853" s="30" t="n">
        <v>0.160356939908016</v>
      </c>
      <c r="H853" s="31" t="n">
        <f aca="false">MAX(D853,F853+0.015)</f>
        <v>0.082139158065995</v>
      </c>
      <c r="I853" s="25" t="n">
        <f aca="false">(C853-'DCF Base Case'!$B$3)*(1-E853)+'DCF Base Case'!$B$3-G853</f>
        <v>0.168818080969588</v>
      </c>
      <c r="J853" s="24" t="n">
        <f aca="false">'DCF Base Case'!$B$2*(1+B853)^1*$I853-'DCF Base Case'!$B$2*(1+B853)^0*B853*'DCF Base Case'!$B$4</f>
        <v>26.681592082141</v>
      </c>
      <c r="K853" s="24" t="n">
        <f aca="false">'DCF Base Case'!$B$2*(1+B853)^2*$I853-'DCF Base Case'!$B$2*(1+B853)^1*B853*'DCF Base Case'!$B$4</f>
        <v>29.601750092949</v>
      </c>
      <c r="L853" s="24" t="n">
        <f aca="false">'DCF Base Case'!$B$2*(1+B853)^3*$I853-'DCF Base Case'!$B$2*(1+B853)^2*B853*'DCF Base Case'!$B$4</f>
        <v>32.8415038303476</v>
      </c>
      <c r="M853" s="24" t="n">
        <f aca="false">'DCF Base Case'!$B$2*(1+B853)^4*$I853-'DCF Base Case'!$B$2*(1+B853)^3*B853*'DCF Base Case'!$B$4</f>
        <v>36.4358313428113</v>
      </c>
      <c r="N853" s="24" t="n">
        <f aca="false">'DCF Base Case'!$B$2*(1+B853)^5*$I853-'DCF Base Case'!$B$2*(1+B853)^4*B853*'DCF Base Case'!$B$4</f>
        <v>40.423538839748</v>
      </c>
      <c r="O853" s="24" t="n">
        <f aca="false">J853/(1+H853)^1+K853/(1+H853)^2+L853/(1+H853)^3+M853/(1+H853)^4+N853/(1+H853)^5</f>
        <v>129.662192571002</v>
      </c>
      <c r="P853" s="24" t="n">
        <f aca="false">N853*(1+F853)/(H853-F853)</f>
        <v>648.341736217675</v>
      </c>
      <c r="Q853" s="24" t="n">
        <f aca="false">O853+P853/(1+H853)^5</f>
        <v>566.568602754961</v>
      </c>
      <c r="R853" s="24" t="n">
        <f aca="false">Q853-'DCF Base Case'!$B$5</f>
        <v>381.56860275496</v>
      </c>
      <c r="S853" s="32" t="n">
        <f aca="false">R853/'DCF Base Case'!$B$6</f>
        <v>15.2627441101984</v>
      </c>
    </row>
    <row r="854" customFormat="false" ht="15" hidden="false" customHeight="true" outlineLevel="0" collapsed="false">
      <c r="A854" s="6" t="n">
        <v>853</v>
      </c>
      <c r="B854" s="30" t="n">
        <v>0.090211387746499</v>
      </c>
      <c r="C854" s="30" t="n">
        <v>0.429866704787538</v>
      </c>
      <c r="D854" s="30" t="n">
        <v>0.103111423830322</v>
      </c>
      <c r="E854" s="30" t="n">
        <v>0.297433917154641</v>
      </c>
      <c r="F854" s="30" t="n">
        <v>0.0222388048185972</v>
      </c>
      <c r="G854" s="30" t="n">
        <v>0.161049038651232</v>
      </c>
      <c r="H854" s="31" t="n">
        <f aca="false">MAX(D854,F854+0.015)</f>
        <v>0.103111423830322</v>
      </c>
      <c r="I854" s="25" t="n">
        <f aca="false">(C854-'DCF Base Case'!$B$3)*(1-E854)+'DCF Base Case'!$B$3-G854</f>
        <v>0.179627137507094</v>
      </c>
      <c r="J854" s="24" t="n">
        <f aca="false">'DCF Base Case'!$B$2*(1+B854)^1*$I854-'DCF Base Case'!$B$2*(1+B854)^0*B854*'DCF Base Case'!$B$4</f>
        <v>28.0031553377911</v>
      </c>
      <c r="K854" s="24" t="n">
        <f aca="false">'DCF Base Case'!$B$2*(1+B854)^2*$I854-'DCF Base Case'!$B$2*(1+B854)^1*B854*'DCF Base Case'!$B$4</f>
        <v>30.529358842094</v>
      </c>
      <c r="L854" s="24" t="n">
        <f aca="false">'DCF Base Case'!$B$2*(1+B854)^3*$I854-'DCF Base Case'!$B$2*(1+B854)^2*B854*'DCF Base Case'!$B$4</f>
        <v>33.2834546702501</v>
      </c>
      <c r="M854" s="24" t="n">
        <f aca="false">'DCF Base Case'!$B$2*(1+B854)^4*$I854-'DCF Base Case'!$B$2*(1+B854)^3*B854*'DCF Base Case'!$B$4</f>
        <v>36.2860013050511</v>
      </c>
      <c r="N854" s="24" t="n">
        <f aca="false">'DCF Base Case'!$B$2*(1+B854)^5*$I854-'DCF Base Case'!$B$2*(1+B854)^4*B854*'DCF Base Case'!$B$4</f>
        <v>39.559411838551</v>
      </c>
      <c r="O854" s="24" t="n">
        <f aca="false">J854/(1+H854)^1+K854/(1+H854)^2+L854/(1+H854)^3+M854/(1+H854)^4+N854/(1+H854)^5</f>
        <v>123.993907882271</v>
      </c>
      <c r="P854" s="24" t="n">
        <f aca="false">N854*(1+F854)/(H854-F854)</f>
        <v>500.035319386705</v>
      </c>
      <c r="Q854" s="24" t="n">
        <f aca="false">O854+P854/(1+H854)^5</f>
        <v>430.122412775278</v>
      </c>
      <c r="R854" s="24" t="n">
        <f aca="false">Q854-'DCF Base Case'!$B$5</f>
        <v>245.122412775278</v>
      </c>
      <c r="S854" s="32" t="n">
        <f aca="false">R854/'DCF Base Case'!$B$6</f>
        <v>9.80489651101112</v>
      </c>
    </row>
    <row r="855" customFormat="false" ht="15" hidden="false" customHeight="true" outlineLevel="0" collapsed="false">
      <c r="A855" s="6" t="n">
        <v>854</v>
      </c>
      <c r="B855" s="30" t="n">
        <v>0.0746074700584941</v>
      </c>
      <c r="C855" s="30" t="n">
        <v>0.422179584590444</v>
      </c>
      <c r="D855" s="30" t="n">
        <v>0.0868836490706063</v>
      </c>
      <c r="E855" s="30" t="n">
        <v>0.253050985324091</v>
      </c>
      <c r="F855" s="30" t="n">
        <v>0.0180622679403037</v>
      </c>
      <c r="G855" s="30" t="n">
        <v>0.163447371965953</v>
      </c>
      <c r="H855" s="31" t="n">
        <f aca="false">MAX(D855,F855+0.015)</f>
        <v>0.0868836490706063</v>
      </c>
      <c r="I855" s="25" t="n">
        <f aca="false">(C855-'DCF Base Case'!$B$3)*(1-E855)+'DCF Base Case'!$B$3-G855</f>
        <v>0.184795880852296</v>
      </c>
      <c r="J855" s="24" t="n">
        <f aca="false">'DCF Base Case'!$B$2*(1+B855)^1*$I855-'DCF Base Case'!$B$2*(1+B855)^0*B855*'DCF Base Case'!$B$4</f>
        <v>28.4699974352334</v>
      </c>
      <c r="K855" s="24" t="n">
        <f aca="false">'DCF Base Case'!$B$2*(1+B855)^2*$I855-'DCF Base Case'!$B$2*(1+B855)^1*B855*'DCF Base Case'!$B$4</f>
        <v>30.594071916448</v>
      </c>
      <c r="L855" s="24" t="n">
        <f aca="false">'DCF Base Case'!$B$2*(1+B855)^3*$I855-'DCF Base Case'!$B$2*(1+B855)^2*B855*'DCF Base Case'!$B$4</f>
        <v>32.8766182209218</v>
      </c>
      <c r="M855" s="24" t="n">
        <f aca="false">'DCF Base Case'!$B$2*(1+B855)^4*$I855-'DCF Base Case'!$B$2*(1+B855)^3*B855*'DCF Base Case'!$B$4</f>
        <v>35.3294595304638</v>
      </c>
      <c r="N855" s="24" t="n">
        <f aca="false">'DCF Base Case'!$B$2*(1+B855)^5*$I855-'DCF Base Case'!$B$2*(1+B855)^4*B855*'DCF Base Case'!$B$4</f>
        <v>37.9653011245656</v>
      </c>
      <c r="O855" s="24" t="n">
        <f aca="false">J855/(1+H855)^1+K855/(1+H855)^2+L855/(1+H855)^3+M855/(1+H855)^4+N855/(1+H855)^5</f>
        <v>128.045409087501</v>
      </c>
      <c r="P855" s="24" t="n">
        <f aca="false">N855*(1+F855)/(H855-F855)</f>
        <v>561.613846323893</v>
      </c>
      <c r="Q855" s="24" t="n">
        <f aca="false">O855+P855/(1+H855)^5</f>
        <v>498.318822665097</v>
      </c>
      <c r="R855" s="24" t="n">
        <f aca="false">Q855-'DCF Base Case'!$B$5</f>
        <v>313.318822665097</v>
      </c>
      <c r="S855" s="32" t="n">
        <f aca="false">R855/'DCF Base Case'!$B$6</f>
        <v>12.5327529066039</v>
      </c>
    </row>
    <row r="856" customFormat="false" ht="15" hidden="false" customHeight="true" outlineLevel="0" collapsed="false">
      <c r="A856" s="6" t="n">
        <v>855</v>
      </c>
      <c r="B856" s="30" t="n">
        <v>0.0790426281470834</v>
      </c>
      <c r="C856" s="30" t="n">
        <v>0.438714960979553</v>
      </c>
      <c r="D856" s="30" t="n">
        <v>0.0902782294059244</v>
      </c>
      <c r="E856" s="30" t="n">
        <v>0.321017160645004</v>
      </c>
      <c r="F856" s="30" t="n">
        <v>0.0202896170216956</v>
      </c>
      <c r="G856" s="30" t="n">
        <v>0.167033967805414</v>
      </c>
      <c r="H856" s="31" t="n">
        <f aca="false">MAX(D856,F856+0.015)</f>
        <v>0.0902782294059244</v>
      </c>
      <c r="I856" s="25" t="n">
        <f aca="false">(C856-'DCF Base Case'!$B$3)*(1-E856)+'DCF Base Case'!$B$3-G856</f>
        <v>0.17257819295185</v>
      </c>
      <c r="J856" s="24" t="n">
        <f aca="false">'DCF Base Case'!$B$2*(1+B856)^1*$I856-'DCF Base Case'!$B$2*(1+B856)^0*B856*'DCF Base Case'!$B$4</f>
        <v>26.6579524656877</v>
      </c>
      <c r="K856" s="24" t="n">
        <f aca="false">'DCF Base Case'!$B$2*(1+B856)^2*$I856-'DCF Base Case'!$B$2*(1+B856)^1*B856*'DCF Base Case'!$B$4</f>
        <v>28.7650670895957</v>
      </c>
      <c r="L856" s="24" t="n">
        <f aca="false">'DCF Base Case'!$B$2*(1+B856)^3*$I856-'DCF Base Case'!$B$2*(1+B856)^2*B856*'DCF Base Case'!$B$4</f>
        <v>31.0387335911846</v>
      </c>
      <c r="M856" s="24" t="n">
        <f aca="false">'DCF Base Case'!$B$2*(1+B856)^4*$I856-'DCF Base Case'!$B$2*(1+B856)^3*B856*'DCF Base Case'!$B$4</f>
        <v>33.4921166685889</v>
      </c>
      <c r="N856" s="24" t="n">
        <f aca="false">'DCF Base Case'!$B$2*(1+B856)^5*$I856-'DCF Base Case'!$B$2*(1+B856)^4*B856*'DCF Base Case'!$B$4</f>
        <v>36.139421592283</v>
      </c>
      <c r="O856" s="24" t="n">
        <f aca="false">J856/(1+H856)^1+K856/(1+H856)^2+L856/(1+H856)^3+M856/(1+H856)^4+N856/(1+H856)^5</f>
        <v>119.759114770686</v>
      </c>
      <c r="P856" s="24" t="n">
        <f aca="false">N856*(1+F856)/(H856-F856)</f>
        <v>526.838229244346</v>
      </c>
      <c r="Q856" s="24" t="n">
        <f aca="false">O856+P856/(1+H856)^5</f>
        <v>461.731139956626</v>
      </c>
      <c r="R856" s="24" t="n">
        <f aca="false">Q856-'DCF Base Case'!$B$5</f>
        <v>276.731139956626</v>
      </c>
      <c r="S856" s="32" t="n">
        <f aca="false">R856/'DCF Base Case'!$B$6</f>
        <v>11.0692455982651</v>
      </c>
    </row>
    <row r="857" customFormat="false" ht="15" hidden="false" customHeight="true" outlineLevel="0" collapsed="false">
      <c r="A857" s="6" t="n">
        <v>856</v>
      </c>
      <c r="B857" s="30" t="n">
        <v>0.0695366499040165</v>
      </c>
      <c r="C857" s="30" t="n">
        <v>0.407482243351943</v>
      </c>
      <c r="D857" s="30" t="n">
        <v>0.0851435931824299</v>
      </c>
      <c r="E857" s="30" t="n">
        <v>0.253738579740067</v>
      </c>
      <c r="F857" s="30" t="n">
        <v>0.0171821485599743</v>
      </c>
      <c r="G857" s="30" t="n">
        <v>0.15863887243251</v>
      </c>
      <c r="H857" s="31" t="n">
        <f aca="false">MAX(D857,F857+0.015)</f>
        <v>0.0851435931824299</v>
      </c>
      <c r="I857" s="25" t="n">
        <f aca="false">(C857-'DCF Base Case'!$B$3)*(1-E857)+'DCF Base Case'!$B$3-G857</f>
        <v>0.178435420588223</v>
      </c>
      <c r="J857" s="24" t="n">
        <f aca="false">'DCF Base Case'!$B$2*(1+B857)^1*$I857-'DCF Base Case'!$B$2*(1+B857)^0*B857*'DCF Base Case'!$B$4</f>
        <v>27.3697827571382</v>
      </c>
      <c r="K857" s="24" t="n">
        <f aca="false">'DCF Base Case'!$B$2*(1+B857)^2*$I857-'DCF Base Case'!$B$2*(1+B857)^1*B857*'DCF Base Case'!$B$4</f>
        <v>29.2729857586703</v>
      </c>
      <c r="L857" s="24" t="n">
        <f aca="false">'DCF Base Case'!$B$2*(1+B857)^3*$I857-'DCF Base Case'!$B$2*(1+B857)^2*B857*'DCF Base Case'!$B$4</f>
        <v>31.3085311210162</v>
      </c>
      <c r="M857" s="24" t="n">
        <f aca="false">'DCF Base Case'!$B$2*(1+B857)^4*$I857-'DCF Base Case'!$B$2*(1+B857)^3*B857*'DCF Base Case'!$B$4</f>
        <v>33.4856214885873</v>
      </c>
      <c r="N857" s="24" t="n">
        <f aca="false">'DCF Base Case'!$B$2*(1+B857)^5*$I857-'DCF Base Case'!$B$2*(1+B857)^4*B857*'DCF Base Case'!$B$4</f>
        <v>35.8140994268576</v>
      </c>
      <c r="O857" s="24" t="n">
        <f aca="false">J857/(1+H857)^1+K857/(1+H857)^2+L857/(1+H857)^3+M857/(1+H857)^4+N857/(1+H857)^5</f>
        <v>122.535578438312</v>
      </c>
      <c r="P857" s="24" t="n">
        <f aca="false">N857*(1+F857)/(H857-F857)</f>
        <v>536.031316081158</v>
      </c>
      <c r="Q857" s="24" t="n">
        <f aca="false">O857+P857/(1+H857)^5</f>
        <v>478.784952291158</v>
      </c>
      <c r="R857" s="24" t="n">
        <f aca="false">Q857-'DCF Base Case'!$B$5</f>
        <v>293.784952291158</v>
      </c>
      <c r="S857" s="32" t="n">
        <f aca="false">R857/'DCF Base Case'!$B$6</f>
        <v>11.7513980916463</v>
      </c>
    </row>
    <row r="858" customFormat="false" ht="15" hidden="false" customHeight="true" outlineLevel="0" collapsed="false">
      <c r="A858" s="6" t="n">
        <v>857</v>
      </c>
      <c r="B858" s="30" t="n">
        <v>0.0987915267630486</v>
      </c>
      <c r="C858" s="30" t="n">
        <v>0.426413826959015</v>
      </c>
      <c r="D858" s="30" t="n">
        <v>0.0786054966983828</v>
      </c>
      <c r="E858" s="30" t="n">
        <v>0.293751834842561</v>
      </c>
      <c r="F858" s="30" t="n">
        <v>0.0186520557454946</v>
      </c>
      <c r="G858" s="30" t="n">
        <v>0.122866933299437</v>
      </c>
      <c r="H858" s="31" t="n">
        <f aca="false">MAX(D858,F858+0.015)</f>
        <v>0.0786054966983828</v>
      </c>
      <c r="I858" s="25" t="n">
        <f aca="false">(C858-'DCF Base Case'!$B$3)*(1-E858)+'DCF Base Case'!$B$3-G858</f>
        <v>0.216474788117662</v>
      </c>
      <c r="J858" s="24" t="n">
        <f aca="false">'DCF Base Case'!$B$2*(1+B858)^1*$I858-'DCF Base Case'!$B$2*(1+B858)^0*B858*'DCF Base Case'!$B$4</f>
        <v>34.0600529851002</v>
      </c>
      <c r="K858" s="24" t="n">
        <f aca="false">'DCF Base Case'!$B$2*(1+B858)^2*$I858-'DCF Base Case'!$B$2*(1+B858)^1*B858*'DCF Base Case'!$B$4</f>
        <v>37.4248976211285</v>
      </c>
      <c r="L858" s="24" t="n">
        <f aca="false">'DCF Base Case'!$B$2*(1+B858)^3*$I858-'DCF Base Case'!$B$2*(1+B858)^2*B858*'DCF Base Case'!$B$4</f>
        <v>41.1221603960706</v>
      </c>
      <c r="M858" s="24" t="n">
        <f aca="false">'DCF Base Case'!$B$2*(1+B858)^4*$I858-'DCF Base Case'!$B$2*(1+B858)^3*B858*'DCF Base Case'!$B$4</f>
        <v>45.1846814053934</v>
      </c>
      <c r="N858" s="24" t="n">
        <f aca="false">'DCF Base Case'!$B$2*(1+B858)^5*$I858-'DCF Base Case'!$B$2*(1+B858)^4*B858*'DCF Base Case'!$B$4</f>
        <v>49.6485450677341</v>
      </c>
      <c r="O858" s="24" t="n">
        <f aca="false">J858/(1+H858)^1+K858/(1+H858)^2+L858/(1+H858)^3+M858/(1+H858)^4+N858/(1+H858)^5</f>
        <v>163.91071349859</v>
      </c>
      <c r="P858" s="24" t="n">
        <f aca="false">N858*(1+F858)/(H858-F858)</f>
        <v>843.564467596815</v>
      </c>
      <c r="Q858" s="24" t="n">
        <f aca="false">O858+P858/(1+H858)^5</f>
        <v>741.747427771499</v>
      </c>
      <c r="R858" s="24" t="n">
        <f aca="false">Q858-'DCF Base Case'!$B$5</f>
        <v>556.747427771499</v>
      </c>
      <c r="S858" s="32" t="n">
        <f aca="false">R858/'DCF Base Case'!$B$6</f>
        <v>22.26989711086</v>
      </c>
    </row>
    <row r="859" customFormat="false" ht="15" hidden="false" customHeight="true" outlineLevel="0" collapsed="false">
      <c r="A859" s="6" t="n">
        <v>858</v>
      </c>
      <c r="B859" s="30" t="n">
        <v>0.0796196833947417</v>
      </c>
      <c r="C859" s="30" t="n">
        <v>0.431705342040226</v>
      </c>
      <c r="D859" s="30" t="n">
        <v>0.0665001366770955</v>
      </c>
      <c r="E859" s="30" t="n">
        <v>0.282874273781171</v>
      </c>
      <c r="F859" s="30" t="n">
        <v>0.0247779563360795</v>
      </c>
      <c r="G859" s="30" t="n">
        <v>0.149896096091074</v>
      </c>
      <c r="H859" s="31" t="n">
        <f aca="false">MAX(D859,F859+0.015)</f>
        <v>0.0665001366770955</v>
      </c>
      <c r="I859" s="25" t="n">
        <f aca="false">(C859-'DCF Base Case'!$B$3)*(1-E859)+'DCF Base Case'!$B$3-G859</f>
        <v>0.196464566423623</v>
      </c>
      <c r="J859" s="24" t="n">
        <f aca="false">'DCF Base Case'!$B$2*(1+B859)^1*$I859-'DCF Base Case'!$B$2*(1+B859)^0*B859*'DCF Base Case'!$B$4</f>
        <v>30.4091712623137</v>
      </c>
      <c r="K859" s="24" t="n">
        <f aca="false">'DCF Base Case'!$B$2*(1+B859)^2*$I859-'DCF Base Case'!$B$2*(1+B859)^1*B859*'DCF Base Case'!$B$4</f>
        <v>32.8303398505156</v>
      </c>
      <c r="L859" s="24" t="n">
        <f aca="false">'DCF Base Case'!$B$2*(1+B859)^3*$I859-'DCF Base Case'!$B$2*(1+B859)^2*B859*'DCF Base Case'!$B$4</f>
        <v>35.4442811151554</v>
      </c>
      <c r="M859" s="24" t="n">
        <f aca="false">'DCF Base Case'!$B$2*(1+B859)^4*$I859-'DCF Base Case'!$B$2*(1+B859)^3*B859*'DCF Base Case'!$B$4</f>
        <v>38.2663435556983</v>
      </c>
      <c r="N859" s="24" t="n">
        <f aca="false">'DCF Base Case'!$B$2*(1+B859)^5*$I859-'DCF Base Case'!$B$2*(1+B859)^4*B859*'DCF Base Case'!$B$4</f>
        <v>41.3130977142774</v>
      </c>
      <c r="O859" s="24" t="n">
        <f aca="false">J859/(1+H859)^1+K859/(1+H859)^2+L859/(1+H859)^3+M859/(1+H859)^4+N859/(1+H859)^5</f>
        <v>146.116193305349</v>
      </c>
      <c r="P859" s="24" t="n">
        <f aca="false">N859*(1+F859)/(H859-F859)</f>
        <v>1014.73009079369</v>
      </c>
      <c r="Q859" s="24" t="n">
        <f aca="false">O859+P859/(1+H859)^5</f>
        <v>881.554016947954</v>
      </c>
      <c r="R859" s="24" t="n">
        <f aca="false">Q859-'DCF Base Case'!$B$5</f>
        <v>696.554016947954</v>
      </c>
      <c r="S859" s="32" t="n">
        <f aca="false">R859/'DCF Base Case'!$B$6</f>
        <v>27.8621606779182</v>
      </c>
    </row>
    <row r="860" customFormat="false" ht="15" hidden="false" customHeight="true" outlineLevel="0" collapsed="false">
      <c r="A860" s="6" t="n">
        <v>859</v>
      </c>
      <c r="B860" s="30" t="n">
        <v>0.0900428863116888</v>
      </c>
      <c r="C860" s="30" t="n">
        <v>0.385816713403611</v>
      </c>
      <c r="D860" s="30" t="n">
        <v>0.102899542558299</v>
      </c>
      <c r="E860" s="30" t="n">
        <v>0.277345034145535</v>
      </c>
      <c r="F860" s="30" t="n">
        <v>0.0195264930162843</v>
      </c>
      <c r="G860" s="30" t="n">
        <v>0.19704522678972</v>
      </c>
      <c r="H860" s="31" t="n">
        <f aca="false">MAX(D860,F860+0.015)</f>
        <v>0.102899542558299</v>
      </c>
      <c r="I860" s="25" t="n">
        <f aca="false">(C860-'DCF Base Case'!$B$3)*(1-E860)+'DCF Base Case'!$B$3-G860</f>
        <v>0.117821991499968</v>
      </c>
      <c r="J860" s="24" t="n">
        <f aca="false">'DCF Base Case'!$B$2*(1+B860)^1*$I860-'DCF Base Case'!$B$2*(1+B860)^0*B860*'DCF Base Case'!$B$4</f>
        <v>18.2308118789585</v>
      </c>
      <c r="K860" s="24" t="n">
        <f aca="false">'DCF Base Case'!$B$2*(1+B860)^2*$I860-'DCF Base Case'!$B$2*(1+B860)^1*B860*'DCF Base Case'!$B$4</f>
        <v>19.8723668003454</v>
      </c>
      <c r="L860" s="24" t="n">
        <f aca="false">'DCF Base Case'!$B$2*(1+B860)^3*$I860-'DCF Base Case'!$B$2*(1+B860)^2*B860*'DCF Base Case'!$B$4</f>
        <v>21.6617320648931</v>
      </c>
      <c r="M860" s="24" t="n">
        <f aca="false">'DCF Base Case'!$B$2*(1+B860)^4*$I860-'DCF Base Case'!$B$2*(1+B860)^3*B860*'DCF Base Case'!$B$4</f>
        <v>23.6122169425265</v>
      </c>
      <c r="N860" s="24" t="n">
        <f aca="false">'DCF Base Case'!$B$2*(1+B860)^5*$I860-'DCF Base Case'!$B$2*(1+B860)^4*B860*'DCF Base Case'!$B$4</f>
        <v>25.7383291082493</v>
      </c>
      <c r="O860" s="24" t="n">
        <f aca="false">J860/(1+H860)^1+K860/(1+H860)^2+L860/(1+H860)^3+M860/(1+H860)^4+N860/(1+H860)^5</f>
        <v>80.7448856272674</v>
      </c>
      <c r="P860" s="24" t="n">
        <f aca="false">N860*(1+F860)/(H860-F860)</f>
        <v>314.740897160163</v>
      </c>
      <c r="Q860" s="24" t="n">
        <f aca="false">O860+P860/(1+H860)^5</f>
        <v>273.618755986649</v>
      </c>
      <c r="R860" s="24" t="n">
        <f aca="false">Q860-'DCF Base Case'!$B$5</f>
        <v>88.6187559866492</v>
      </c>
      <c r="S860" s="32" t="n">
        <f aca="false">R860/'DCF Base Case'!$B$6</f>
        <v>3.54475023946597</v>
      </c>
    </row>
    <row r="861" customFormat="false" ht="15" hidden="false" customHeight="true" outlineLevel="0" collapsed="false">
      <c r="A861" s="6" t="n">
        <v>860</v>
      </c>
      <c r="B861" s="30" t="n">
        <v>0.104352224272258</v>
      </c>
      <c r="C861" s="30" t="n">
        <v>0.400842774552344</v>
      </c>
      <c r="D861" s="30" t="n">
        <v>0.0778799428350395</v>
      </c>
      <c r="E861" s="30" t="n">
        <v>0.294572474064236</v>
      </c>
      <c r="F861" s="30" t="n">
        <v>0.0168262696725734</v>
      </c>
      <c r="G861" s="30" t="n">
        <v>0.128275168063193</v>
      </c>
      <c r="H861" s="31" t="n">
        <f aca="false">MAX(D861,F861+0.015)</f>
        <v>0.0778799428350395</v>
      </c>
      <c r="I861" s="25" t="n">
        <f aca="false">(C861-'DCF Base Case'!$B$3)*(1-E861)+'DCF Base Case'!$B$3-G861</f>
        <v>0.192784780306845</v>
      </c>
      <c r="J861" s="24" t="n">
        <f aca="false">'DCF Base Case'!$B$2*(1+B861)^1*$I861-'DCF Base Case'!$B$2*(1+B861)^0*B861*'DCF Base Case'!$B$4</f>
        <v>30.4169014603826</v>
      </c>
      <c r="K861" s="24" t="n">
        <f aca="false">'DCF Base Case'!$B$2*(1+B861)^2*$I861-'DCF Base Case'!$B$2*(1+B861)^1*B861*'DCF Base Case'!$B$4</f>
        <v>33.5909727832436</v>
      </c>
      <c r="L861" s="24" t="n">
        <f aca="false">'DCF Base Case'!$B$2*(1+B861)^3*$I861-'DCF Base Case'!$B$2*(1+B861)^2*B861*'DCF Base Case'!$B$4</f>
        <v>37.096265508644</v>
      </c>
      <c r="M861" s="24" t="n">
        <f aca="false">'DCF Base Case'!$B$2*(1+B861)^4*$I861-'DCF Base Case'!$B$2*(1+B861)^3*B861*'DCF Base Case'!$B$4</f>
        <v>40.9673433266652</v>
      </c>
      <c r="N861" s="24" t="n">
        <f aca="false">'DCF Base Case'!$B$2*(1+B861)^5*$I861-'DCF Base Case'!$B$2*(1+B861)^4*B861*'DCF Base Case'!$B$4</f>
        <v>45.242376725328</v>
      </c>
      <c r="O861" s="24" t="n">
        <f aca="false">J861/(1+H861)^1+K861/(1+H861)^2+L861/(1+H861)^3+M861/(1+H861)^4+N861/(1+H861)^5</f>
        <v>148.198788697207</v>
      </c>
      <c r="P861" s="24" t="n">
        <f aca="false">N861*(1+F861)/(H861-F861)</f>
        <v>753.494995040169</v>
      </c>
      <c r="Q861" s="24" t="n">
        <f aca="false">O861+P861/(1+H861)^5</f>
        <v>666.077929308524</v>
      </c>
      <c r="R861" s="24" t="n">
        <f aca="false">Q861-'DCF Base Case'!$B$5</f>
        <v>481.077929308524</v>
      </c>
      <c r="S861" s="32" t="n">
        <f aca="false">R861/'DCF Base Case'!$B$6</f>
        <v>19.243117172341</v>
      </c>
    </row>
    <row r="862" customFormat="false" ht="15" hidden="false" customHeight="true" outlineLevel="0" collapsed="false">
      <c r="A862" s="6" t="n">
        <v>861</v>
      </c>
      <c r="B862" s="30" t="n">
        <v>0.088926987672483</v>
      </c>
      <c r="C862" s="30" t="n">
        <v>0.381905818634967</v>
      </c>
      <c r="D862" s="30" t="n">
        <v>0.102779099289201</v>
      </c>
      <c r="E862" s="30" t="n">
        <v>0.284766632474501</v>
      </c>
      <c r="F862" s="30" t="n">
        <v>0.0156542114587134</v>
      </c>
      <c r="G862" s="30" t="n">
        <v>0.151137815623953</v>
      </c>
      <c r="H862" s="31" t="n">
        <f aca="false">MAX(D862,F862+0.015)</f>
        <v>0.102779099289201</v>
      </c>
      <c r="I862" s="25" t="n">
        <f aca="false">(C862-'DCF Base Case'!$B$3)*(1-E862)+'DCF Base Case'!$B$3-G862</f>
        <v>0.159033631337602</v>
      </c>
      <c r="J862" s="24" t="n">
        <f aca="false">'DCF Base Case'!$B$2*(1+B862)^1*$I862-'DCF Base Case'!$B$2*(1+B862)^0*B862*'DCF Base Case'!$B$4</f>
        <v>24.72368950473</v>
      </c>
      <c r="K862" s="24" t="n">
        <f aca="false">'DCF Base Case'!$B$2*(1+B862)^2*$I862-'DCF Base Case'!$B$2*(1+B862)^1*B862*'DCF Base Case'!$B$4</f>
        <v>26.9222927365354</v>
      </c>
      <c r="L862" s="24" t="n">
        <f aca="false">'DCF Base Case'!$B$2*(1+B862)^3*$I862-'DCF Base Case'!$B$2*(1+B862)^2*B862*'DCF Base Case'!$B$4</f>
        <v>29.3164111308323</v>
      </c>
      <c r="M862" s="24" t="n">
        <f aca="false">'DCF Base Case'!$B$2*(1+B862)^4*$I862-'DCF Base Case'!$B$2*(1+B862)^3*B862*'DCF Base Case'!$B$4</f>
        <v>31.9234312620653</v>
      </c>
      <c r="N862" s="24" t="n">
        <f aca="false">'DCF Base Case'!$B$2*(1+B862)^5*$I862-'DCF Base Case'!$B$2*(1+B862)^4*B862*'DCF Base Case'!$B$4</f>
        <v>34.7622858403703</v>
      </c>
      <c r="O862" s="24" t="n">
        <f aca="false">J862/(1+H862)^1+K862/(1+H862)^2+L862/(1+H862)^3+M862/(1+H862)^4+N862/(1+H862)^5</f>
        <v>109.316223630793</v>
      </c>
      <c r="P862" s="24" t="n">
        <f aca="false">N862*(1+F862)/(H862-F862)</f>
        <v>405.23968400851</v>
      </c>
      <c r="Q862" s="24" t="n">
        <f aca="false">O862+P862/(1+H862)^5</f>
        <v>357.783578084774</v>
      </c>
      <c r="R862" s="24" t="n">
        <f aca="false">Q862-'DCF Base Case'!$B$5</f>
        <v>172.783578084774</v>
      </c>
      <c r="S862" s="32" t="n">
        <f aca="false">R862/'DCF Base Case'!$B$6</f>
        <v>6.91134312339096</v>
      </c>
    </row>
    <row r="863" customFormat="false" ht="15" hidden="false" customHeight="true" outlineLevel="0" collapsed="false">
      <c r="A863" s="6" t="n">
        <v>862</v>
      </c>
      <c r="B863" s="30" t="n">
        <v>0.0521283319000163</v>
      </c>
      <c r="C863" s="30" t="n">
        <v>0.376504249441189</v>
      </c>
      <c r="D863" s="30" t="n">
        <v>0.0961795552279477</v>
      </c>
      <c r="E863" s="30" t="n">
        <v>0.338736605877006</v>
      </c>
      <c r="F863" s="30" t="n">
        <v>0.0219605081768859</v>
      </c>
      <c r="G863" s="30" t="n">
        <v>0.163254892072122</v>
      </c>
      <c r="H863" s="31" t="n">
        <f aca="false">MAX(D863,F863+0.015)</f>
        <v>0.0961795552279477</v>
      </c>
      <c r="I863" s="25" t="n">
        <f aca="false">(C863-'DCF Base Case'!$B$3)*(1-E863)+'DCF Base Case'!$B$3-G863</f>
        <v>0.1297493445791</v>
      </c>
      <c r="J863" s="24" t="n">
        <f aca="false">'DCF Base Case'!$B$2*(1+B863)^1*$I863-'DCF Base Case'!$B$2*(1+B863)^0*B863*'DCF Base Case'!$B$4</f>
        <v>19.5676211704186</v>
      </c>
      <c r="K863" s="24" t="n">
        <f aca="false">'DCF Base Case'!$B$2*(1+B863)^2*$I863-'DCF Base Case'!$B$2*(1+B863)^1*B863*'DCF Base Case'!$B$4</f>
        <v>20.587648621284</v>
      </c>
      <c r="L863" s="24" t="n">
        <f aca="false">'DCF Base Case'!$B$2*(1+B863)^3*$I863-'DCF Base Case'!$B$2*(1+B863)^2*B863*'DCF Base Case'!$B$4</f>
        <v>21.6608484016552</v>
      </c>
      <c r="M863" s="24" t="n">
        <f aca="false">'DCF Base Case'!$B$2*(1+B863)^4*$I863-'DCF Base Case'!$B$2*(1+B863)^3*B863*'DCF Base Case'!$B$4</f>
        <v>22.7899922963726</v>
      </c>
      <c r="N863" s="24" t="n">
        <f aca="false">'DCF Base Case'!$B$2*(1+B863)^5*$I863-'DCF Base Case'!$B$2*(1+B863)^4*B863*'DCF Base Case'!$B$4</f>
        <v>23.9779965787967</v>
      </c>
      <c r="O863" s="24" t="n">
        <f aca="false">J863/(1+H863)^1+K863/(1+H863)^2+L863/(1+H863)^3+M863/(1+H863)^4+N863/(1+H863)^5</f>
        <v>82.3627280883643</v>
      </c>
      <c r="P863" s="24" t="n">
        <f aca="false">N863*(1+F863)/(H863-F863)</f>
        <v>330.165456744168</v>
      </c>
      <c r="Q863" s="24" t="n">
        <f aca="false">O863+P863/(1+H863)^5</f>
        <v>290.966974385852</v>
      </c>
      <c r="R863" s="24" t="n">
        <f aca="false">Q863-'DCF Base Case'!$B$5</f>
        <v>105.966974385852</v>
      </c>
      <c r="S863" s="32" t="n">
        <f aca="false">R863/'DCF Base Case'!$B$6</f>
        <v>4.23867897543408</v>
      </c>
    </row>
    <row r="864" customFormat="false" ht="15" hidden="false" customHeight="true" outlineLevel="0" collapsed="false">
      <c r="A864" s="6" t="n">
        <v>863</v>
      </c>
      <c r="B864" s="30" t="n">
        <v>0.0807973938879072</v>
      </c>
      <c r="C864" s="30" t="n">
        <v>0.389749716392381</v>
      </c>
      <c r="D864" s="30" t="n">
        <v>0.107657424892737</v>
      </c>
      <c r="E864" s="30" t="n">
        <v>0.274560848401355</v>
      </c>
      <c r="F864" s="30" t="n">
        <v>0.0259980196845529</v>
      </c>
      <c r="G864" s="30" t="n">
        <v>0.197855288470527</v>
      </c>
      <c r="H864" s="31" t="n">
        <f aca="false">MAX(D864,F864+0.015)</f>
        <v>0.107657424892737</v>
      </c>
      <c r="I864" s="25" t="n">
        <f aca="false">(C864-'DCF Base Case'!$B$3)*(1-E864)+'DCF Base Case'!$B$3-G864</f>
        <v>0.120577325417151</v>
      </c>
      <c r="J864" s="24" t="n">
        <f aca="false">'DCF Base Case'!$B$2*(1+B864)^1*$I864-'DCF Base Case'!$B$2*(1+B864)^0*B864*'DCF Base Case'!$B$4</f>
        <v>18.544881902148</v>
      </c>
      <c r="K864" s="24" t="n">
        <f aca="false">'DCF Base Case'!$B$2*(1+B864)^2*$I864-'DCF Base Case'!$B$2*(1+B864)^1*B864*'DCF Base Case'!$B$4</f>
        <v>20.0432600298006</v>
      </c>
      <c r="L864" s="24" t="n">
        <f aca="false">'DCF Base Case'!$B$2*(1+B864)^3*$I864-'DCF Base Case'!$B$2*(1+B864)^2*B864*'DCF Base Case'!$B$4</f>
        <v>21.6627032052261</v>
      </c>
      <c r="M864" s="24" t="n">
        <f aca="false">'DCF Base Case'!$B$2*(1+B864)^4*$I864-'DCF Base Case'!$B$2*(1+B864)^3*B864*'DCF Base Case'!$B$4</f>
        <v>23.4129931687756</v>
      </c>
      <c r="N864" s="24" t="n">
        <f aca="false">'DCF Base Case'!$B$2*(1+B864)^5*$I864-'DCF Base Case'!$B$2*(1+B864)^4*B864*'DCF Base Case'!$B$4</f>
        <v>25.3047019999281</v>
      </c>
      <c r="O864" s="24" t="n">
        <f aca="false">J864/(1+H864)^1+K864/(1+H864)^2+L864/(1+H864)^3+M864/(1+H864)^4+N864/(1+H864)^5</f>
        <v>79.7494954309482</v>
      </c>
      <c r="P864" s="24" t="n">
        <f aca="false">N864*(1+F864)/(H864-F864)</f>
        <v>317.937340768579</v>
      </c>
      <c r="Q864" s="24" t="n">
        <f aca="false">O864+P864/(1+H864)^5</f>
        <v>270.433481710224</v>
      </c>
      <c r="R864" s="24" t="n">
        <f aca="false">Q864-'DCF Base Case'!$B$5</f>
        <v>85.4334817102244</v>
      </c>
      <c r="S864" s="32" t="n">
        <f aca="false">R864/'DCF Base Case'!$B$6</f>
        <v>3.41733926840898</v>
      </c>
    </row>
    <row r="865" customFormat="false" ht="15" hidden="false" customHeight="true" outlineLevel="0" collapsed="false">
      <c r="A865" s="6" t="n">
        <v>864</v>
      </c>
      <c r="B865" s="30" t="n">
        <v>0.0542932910609833</v>
      </c>
      <c r="C865" s="30" t="n">
        <v>0.385546130588294</v>
      </c>
      <c r="D865" s="30" t="n">
        <v>0.077640503634088</v>
      </c>
      <c r="E865" s="30" t="n">
        <v>0.277439537429179</v>
      </c>
      <c r="F865" s="30" t="n">
        <v>0.019126429649573</v>
      </c>
      <c r="G865" s="30" t="n">
        <v>0.217136442630746</v>
      </c>
      <c r="H865" s="31" t="n">
        <f aca="false">MAX(D865,F865+0.015)</f>
        <v>0.077640503634088</v>
      </c>
      <c r="I865" s="25" t="n">
        <f aca="false">(C865-'DCF Base Case'!$B$3)*(1-E865)+'DCF Base Case'!$B$3-G865</f>
        <v>0.0975110876953152</v>
      </c>
      <c r="J865" s="24" t="n">
        <f aca="false">'DCF Base Case'!$B$2*(1+B865)^1*$I865-'DCF Base Case'!$B$2*(1+B865)^0*B865*'DCF Base Case'!$B$4</f>
        <v>14.6705905902631</v>
      </c>
      <c r="K865" s="24" t="n">
        <f aca="false">'DCF Base Case'!$B$2*(1+B865)^2*$I865-'DCF Base Case'!$B$2*(1+B865)^1*B865*'DCF Base Case'!$B$4</f>
        <v>15.4671052352167</v>
      </c>
      <c r="L865" s="24" t="n">
        <f aca="false">'DCF Base Case'!$B$2*(1+B865)^3*$I865-'DCF Base Case'!$B$2*(1+B865)^2*B865*'DCF Base Case'!$B$4</f>
        <v>16.3068652816232</v>
      </c>
      <c r="M865" s="24" t="n">
        <f aca="false">'DCF Base Case'!$B$2*(1+B865)^4*$I865-'DCF Base Case'!$B$2*(1+B865)^3*B865*'DCF Base Case'!$B$4</f>
        <v>17.1922186646506</v>
      </c>
      <c r="N865" s="24" t="n">
        <f aca="false">'DCF Base Case'!$B$2*(1+B865)^5*$I865-'DCF Base Case'!$B$2*(1+B865)^4*B865*'DCF Base Case'!$B$4</f>
        <v>18.1256407965946</v>
      </c>
      <c r="O865" s="24" t="n">
        <f aca="false">J865/(1+H865)^1+K865/(1+H865)^2+L865/(1+H865)^3+M865/(1+H865)^4+N865/(1+H865)^5</f>
        <v>65.1819128628779</v>
      </c>
      <c r="P865" s="24" t="n">
        <f aca="false">N865*(1+F865)/(H865-F865)</f>
        <v>315.690197798098</v>
      </c>
      <c r="Q865" s="24" t="n">
        <f aca="false">O865+P865/(1+H865)^5</f>
        <v>282.397789986448</v>
      </c>
      <c r="R865" s="24" t="n">
        <f aca="false">Q865-'DCF Base Case'!$B$5</f>
        <v>97.397789986448</v>
      </c>
      <c r="S865" s="32" t="n">
        <f aca="false">R865/'DCF Base Case'!$B$6</f>
        <v>3.89591159945792</v>
      </c>
    </row>
    <row r="866" customFormat="false" ht="15" hidden="false" customHeight="true" outlineLevel="0" collapsed="false">
      <c r="A866" s="6" t="n">
        <v>865</v>
      </c>
      <c r="B866" s="30" t="n">
        <v>0.0665225599836886</v>
      </c>
      <c r="C866" s="30" t="n">
        <v>0.41111395708733</v>
      </c>
      <c r="D866" s="30" t="n">
        <v>0.0917815851671458</v>
      </c>
      <c r="E866" s="30" t="n">
        <v>0.279599654304716</v>
      </c>
      <c r="F866" s="30" t="n">
        <v>0.0197558551930497</v>
      </c>
      <c r="G866" s="30" t="n">
        <v>0.144335624228967</v>
      </c>
      <c r="H866" s="31" t="n">
        <f aca="false">MAX(D866,F866+0.015)</f>
        <v>0.0917815851671458</v>
      </c>
      <c r="I866" s="25" t="n">
        <f aca="false">(C866-'DCF Base Case'!$B$3)*(1-E866)+'DCF Base Case'!$B$3-G866</f>
        <v>0.188178967636515</v>
      </c>
      <c r="J866" s="24" t="n">
        <f aca="false">'DCF Base Case'!$B$2*(1+B866)^1*$I866-'DCF Base Case'!$B$2*(1+B866)^0*B866*'DCF Base Case'!$B$4</f>
        <v>28.8117084373945</v>
      </c>
      <c r="K866" s="24" t="n">
        <f aca="false">'DCF Base Case'!$B$2*(1+B866)^2*$I866-'DCF Base Case'!$B$2*(1+B866)^1*B866*'DCF Base Case'!$B$4</f>
        <v>30.7283370401537</v>
      </c>
      <c r="L866" s="24" t="n">
        <f aca="false">'DCF Base Case'!$B$2*(1+B866)^3*$I866-'DCF Base Case'!$B$2*(1+B866)^2*B866*'DCF Base Case'!$B$4</f>
        <v>32.7724646841063</v>
      </c>
      <c r="M866" s="24" t="n">
        <f aca="false">'DCF Base Case'!$B$2*(1+B866)^4*$I866-'DCF Base Case'!$B$2*(1+B866)^3*B866*'DCF Base Case'!$B$4</f>
        <v>34.9525729318681</v>
      </c>
      <c r="N866" s="24" t="n">
        <f aca="false">'DCF Base Case'!$B$2*(1+B866)^5*$I866-'DCF Base Case'!$B$2*(1+B866)^4*B866*'DCF Base Case'!$B$4</f>
        <v>37.2777075613125</v>
      </c>
      <c r="O866" s="24" t="n">
        <f aca="false">J866/(1+H866)^1+K866/(1+H866)^2+L866/(1+H866)^3+M866/(1+H866)^4+N866/(1+H866)^5</f>
        <v>125.982359797623</v>
      </c>
      <c r="P866" s="24" t="n">
        <f aca="false">N866*(1+F866)/(H866-F866)</f>
        <v>527.785842191316</v>
      </c>
      <c r="Q866" s="24" t="n">
        <f aca="false">O866+P866/(1+H866)^5</f>
        <v>466.217300432807</v>
      </c>
      <c r="R866" s="24" t="n">
        <f aca="false">Q866-'DCF Base Case'!$B$5</f>
        <v>281.217300432807</v>
      </c>
      <c r="S866" s="32" t="n">
        <f aca="false">R866/'DCF Base Case'!$B$6</f>
        <v>11.2486920173123</v>
      </c>
    </row>
    <row r="867" customFormat="false" ht="15" hidden="false" customHeight="true" outlineLevel="0" collapsed="false">
      <c r="A867" s="6" t="n">
        <v>866</v>
      </c>
      <c r="B867" s="30" t="n">
        <v>0.0921670456630621</v>
      </c>
      <c r="C867" s="30" t="n">
        <v>0.425196873186746</v>
      </c>
      <c r="D867" s="30" t="n">
        <v>0.0886036064269824</v>
      </c>
      <c r="E867" s="30" t="n">
        <v>0.296950210713802</v>
      </c>
      <c r="F867" s="30" t="n">
        <v>0.024282279562915</v>
      </c>
      <c r="G867" s="30" t="n">
        <v>0.187653017050105</v>
      </c>
      <c r="H867" s="31" t="n">
        <f aca="false">MAX(D867,F867+0.015)</f>
        <v>0.0886036064269824</v>
      </c>
      <c r="I867" s="25" t="n">
        <f aca="false">(C867-'DCF Base Case'!$B$3)*(1-E867)+'DCF Base Case'!$B$3-G867</f>
        <v>0.149885082441781</v>
      </c>
      <c r="J867" s="24" t="n">
        <f aca="false">'DCF Base Case'!$B$2*(1+B867)^1*$I867-'DCF Base Case'!$B$2*(1+B867)^0*B867*'DCF Base Case'!$B$4</f>
        <v>23.3355077648794</v>
      </c>
      <c r="K867" s="24" t="n">
        <f aca="false">'DCF Base Case'!$B$2*(1+B867)^2*$I867-'DCF Base Case'!$B$2*(1+B867)^1*B867*'DCF Base Case'!$B$4</f>
        <v>25.4862725746157</v>
      </c>
      <c r="L867" s="24" t="n">
        <f aca="false">'DCF Base Case'!$B$2*(1+B867)^3*$I867-'DCF Base Case'!$B$2*(1+B867)^2*B867*'DCF Base Case'!$B$4</f>
        <v>27.8352670227816</v>
      </c>
      <c r="M867" s="24" t="n">
        <f aca="false">'DCF Base Case'!$B$2*(1+B867)^4*$I867-'DCF Base Case'!$B$2*(1+B867)^3*B867*'DCF Base Case'!$B$4</f>
        <v>30.4007613495138</v>
      </c>
      <c r="N867" s="24" t="n">
        <f aca="false">'DCF Base Case'!$B$2*(1+B867)^5*$I867-'DCF Base Case'!$B$2*(1+B867)^4*B867*'DCF Base Case'!$B$4</f>
        <v>33.2027097090063</v>
      </c>
      <c r="O867" s="24" t="n">
        <f aca="false">J867/(1+H867)^1+K867/(1+H867)^2+L867/(1+H867)^3+M867/(1+H867)^4+N867/(1+H867)^5</f>
        <v>107.8849161216</v>
      </c>
      <c r="P867" s="24" t="n">
        <f aca="false">N867*(1+F867)/(H867-F867)</f>
        <v>528.735162138043</v>
      </c>
      <c r="Q867" s="24" t="n">
        <f aca="false">O867+P867/(1+H867)^5</f>
        <v>453.736165745249</v>
      </c>
      <c r="R867" s="24" t="n">
        <f aca="false">Q867-'DCF Base Case'!$B$5</f>
        <v>268.736165745249</v>
      </c>
      <c r="S867" s="32" t="n">
        <f aca="false">R867/'DCF Base Case'!$B$6</f>
        <v>10.74944662981</v>
      </c>
    </row>
    <row r="868" customFormat="false" ht="15" hidden="false" customHeight="true" outlineLevel="0" collapsed="false">
      <c r="A868" s="6" t="n">
        <v>867</v>
      </c>
      <c r="B868" s="30" t="n">
        <v>0.0914417030228437</v>
      </c>
      <c r="C868" s="30" t="n">
        <v>0.389158688430364</v>
      </c>
      <c r="D868" s="30" t="n">
        <v>0.0783999419781777</v>
      </c>
      <c r="E868" s="30" t="n">
        <v>0.273773260719482</v>
      </c>
      <c r="F868" s="30" t="n">
        <v>0.0202508084327505</v>
      </c>
      <c r="G868" s="30" t="n">
        <v>0.155564403046239</v>
      </c>
      <c r="H868" s="31" t="n">
        <f aca="false">MAX(D868,F868+0.015)</f>
        <v>0.0783999419781777</v>
      </c>
      <c r="I868" s="25" t="n">
        <f aca="false">(C868-'DCF Base Case'!$B$3)*(1-E868)+'DCF Base Case'!$B$3-G868</f>
        <v>0.16264356620876</v>
      </c>
      <c r="J868" s="24" t="n">
        <f aca="false">'DCF Base Case'!$B$2*(1+B868)^1*$I868-'DCF Base Case'!$B$2*(1+B868)^0*B868*'DCF Base Case'!$B$4</f>
        <v>25.3420443706973</v>
      </c>
      <c r="K868" s="24" t="n">
        <f aca="false">'DCF Base Case'!$B$2*(1+B868)^2*$I868-'DCF Base Case'!$B$2*(1+B868)^1*B868*'DCF Base Case'!$B$4</f>
        <v>27.6593640660343</v>
      </c>
      <c r="L868" s="24" t="n">
        <f aca="false">'DCF Base Case'!$B$2*(1+B868)^3*$I868-'DCF Base Case'!$B$2*(1+B868)^2*B868*'DCF Base Case'!$B$4</f>
        <v>30.1885834207613</v>
      </c>
      <c r="M868" s="24" t="n">
        <f aca="false">'DCF Base Case'!$B$2*(1+B868)^4*$I868-'DCF Base Case'!$B$2*(1+B868)^3*B868*'DCF Base Case'!$B$4</f>
        <v>32.9490789006029</v>
      </c>
      <c r="N868" s="24" t="n">
        <f aca="false">'DCF Base Case'!$B$2*(1+B868)^5*$I868-'DCF Base Case'!$B$2*(1+B868)^4*B868*'DCF Base Case'!$B$4</f>
        <v>35.9619987883081</v>
      </c>
      <c r="O868" s="24" t="n">
        <f aca="false">J868/(1+H868)^1+K868/(1+H868)^2+L868/(1+H868)^3+M868/(1+H868)^4+N868/(1+H868)^5</f>
        <v>120.374896776115</v>
      </c>
      <c r="P868" s="24" t="n">
        <f aca="false">N868*(1+F868)/(H868-F868)</f>
        <v>630.968272432913</v>
      </c>
      <c r="Q868" s="24" t="n">
        <f aca="false">O868+P868/(1+H868)^5</f>
        <v>552.996540075246</v>
      </c>
      <c r="R868" s="24" t="n">
        <f aca="false">Q868-'DCF Base Case'!$B$5</f>
        <v>367.996540075246</v>
      </c>
      <c r="S868" s="32" t="n">
        <f aca="false">R868/'DCF Base Case'!$B$6</f>
        <v>14.7198616030098</v>
      </c>
    </row>
    <row r="869" customFormat="false" ht="15" hidden="false" customHeight="true" outlineLevel="0" collapsed="false">
      <c r="A869" s="6" t="n">
        <v>868</v>
      </c>
      <c r="B869" s="30" t="n">
        <v>0.069555480574887</v>
      </c>
      <c r="C869" s="30" t="n">
        <v>0.381192790980721</v>
      </c>
      <c r="D869" s="30" t="n">
        <v>0.0668370446503892</v>
      </c>
      <c r="E869" s="30" t="n">
        <v>0.273387485518805</v>
      </c>
      <c r="F869" s="30" t="n">
        <v>0.0135205942440047</v>
      </c>
      <c r="G869" s="30" t="n">
        <v>0.145181587494722</v>
      </c>
      <c r="H869" s="31" t="n">
        <f aca="false">MAX(D869,F869+0.015)</f>
        <v>0.0668370446503892</v>
      </c>
      <c r="I869" s="25" t="n">
        <f aca="false">(C869-'DCF Base Case'!$B$3)*(1-E869)+'DCF Base Case'!$B$3-G869</f>
        <v>0.167338237979329</v>
      </c>
      <c r="J869" s="24" t="n">
        <f aca="false">'DCF Base Case'!$B$2*(1+B869)^1*$I869-'DCF Base Case'!$B$2*(1+B869)^0*B869*'DCF Base Case'!$B$4</f>
        <v>25.649175442877</v>
      </c>
      <c r="K869" s="24" t="n">
        <f aca="false">'DCF Base Case'!$B$2*(1+B869)^2*$I869-'DCF Base Case'!$B$2*(1+B869)^1*B869*'DCF Base Case'!$B$4</f>
        <v>27.4332161671559</v>
      </c>
      <c r="L869" s="24" t="n">
        <f aca="false">'DCF Base Case'!$B$2*(1+B869)^3*$I869-'DCF Base Case'!$B$2*(1+B869)^2*B869*'DCF Base Case'!$B$4</f>
        <v>29.3413467013771</v>
      </c>
      <c r="M869" s="24" t="n">
        <f aca="false">'DCF Base Case'!$B$2*(1+B869)^4*$I869-'DCF Base Case'!$B$2*(1+B869)^3*B869*'DCF Base Case'!$B$4</f>
        <v>31.3821981719058</v>
      </c>
      <c r="N869" s="24" t="n">
        <f aca="false">'DCF Base Case'!$B$2*(1+B869)^5*$I869-'DCF Base Case'!$B$2*(1+B869)^4*B869*'DCF Base Case'!$B$4</f>
        <v>33.5650020472491</v>
      </c>
      <c r="O869" s="24" t="n">
        <f aca="false">J869/(1+H869)^1+K869/(1+H869)^2+L869/(1+H869)^3+M869/(1+H869)^4+N869/(1+H869)^5</f>
        <v>120.82549893762</v>
      </c>
      <c r="P869" s="24" t="n">
        <f aca="false">N869*(1+F869)/(H869-F869)</f>
        <v>638.05486977159</v>
      </c>
      <c r="Q869" s="24" t="n">
        <f aca="false">O869+P869/(1+H869)^5</f>
        <v>582.533700742039</v>
      </c>
      <c r="R869" s="24" t="n">
        <f aca="false">Q869-'DCF Base Case'!$B$5</f>
        <v>397.533700742039</v>
      </c>
      <c r="S869" s="32" t="n">
        <f aca="false">R869/'DCF Base Case'!$B$6</f>
        <v>15.9013480296816</v>
      </c>
    </row>
    <row r="870" customFormat="false" ht="15" hidden="false" customHeight="true" outlineLevel="0" collapsed="false">
      <c r="A870" s="6" t="n">
        <v>869</v>
      </c>
      <c r="B870" s="30" t="n">
        <v>0.0816429312009082</v>
      </c>
      <c r="C870" s="30" t="n">
        <v>0.382231454876163</v>
      </c>
      <c r="D870" s="30" t="n">
        <v>0.0891772740734857</v>
      </c>
      <c r="E870" s="30" t="n">
        <v>0.302325425605831</v>
      </c>
      <c r="F870" s="30" t="n">
        <v>0.0171405418641242</v>
      </c>
      <c r="G870" s="30" t="n">
        <v>0.156389326568247</v>
      </c>
      <c r="H870" s="31" t="n">
        <f aca="false">MAX(D870,F870+0.015)</f>
        <v>0.0891772740734857</v>
      </c>
      <c r="I870" s="25" t="n">
        <f aca="false">(C870-'DCF Base Case'!$B$3)*(1-E870)+'DCF Base Case'!$B$3-G870</f>
        <v>0.149586146361302</v>
      </c>
      <c r="J870" s="24" t="n">
        <f aca="false">'DCF Base Case'!$B$2*(1+B870)^1*$I870-'DCF Base Case'!$B$2*(1+B870)^0*B870*'DCF Base Case'!$B$4</f>
        <v>23.1056789327826</v>
      </c>
      <c r="K870" s="24" t="n">
        <f aca="false">'DCF Base Case'!$B$2*(1+B870)^2*$I870-'DCF Base Case'!$B$2*(1+B870)^1*B870*'DCF Base Case'!$B$4</f>
        <v>24.9920942882421</v>
      </c>
      <c r="L870" s="24" t="n">
        <f aca="false">'DCF Base Case'!$B$2*(1+B870)^3*$I870-'DCF Base Case'!$B$2*(1+B870)^2*B870*'DCF Base Case'!$B$4</f>
        <v>27.0325221227836</v>
      </c>
      <c r="M870" s="24" t="n">
        <f aca="false">'DCF Base Case'!$B$2*(1+B870)^4*$I870-'DCF Base Case'!$B$2*(1+B870)^3*B870*'DCF Base Case'!$B$4</f>
        <v>29.2395364666411</v>
      </c>
      <c r="N870" s="24" t="n">
        <f aca="false">'DCF Base Case'!$B$2*(1+B870)^5*$I870-'DCF Base Case'!$B$2*(1+B870)^4*B870*'DCF Base Case'!$B$4</f>
        <v>31.6267379307335</v>
      </c>
      <c r="O870" s="24" t="n">
        <f aca="false">J870/(1+H870)^1+K870/(1+H870)^2+L870/(1+H870)^3+M870/(1+H870)^4+N870/(1+H870)^5</f>
        <v>104.612067193641</v>
      </c>
      <c r="P870" s="24" t="n">
        <f aca="false">N870*(1+F870)/(H870-F870)</f>
        <v>446.561585591753</v>
      </c>
      <c r="Q870" s="24" t="n">
        <f aca="false">O870+P870/(1+H870)^5</f>
        <v>395.944278724752</v>
      </c>
      <c r="R870" s="24" t="n">
        <f aca="false">Q870-'DCF Base Case'!$B$5</f>
        <v>210.944278724751</v>
      </c>
      <c r="S870" s="32" t="n">
        <f aca="false">R870/'DCF Base Case'!$B$6</f>
        <v>8.43777114899006</v>
      </c>
    </row>
    <row r="871" customFormat="false" ht="15" hidden="false" customHeight="true" outlineLevel="0" collapsed="false">
      <c r="A871" s="6" t="n">
        <v>870</v>
      </c>
      <c r="B871" s="30" t="n">
        <v>0.101562687914001</v>
      </c>
      <c r="C871" s="30" t="n">
        <v>0.403498460969688</v>
      </c>
      <c r="D871" s="30" t="n">
        <v>0.0763899269724298</v>
      </c>
      <c r="E871" s="30" t="n">
        <v>0.316148333041535</v>
      </c>
      <c r="F871" s="30" t="n">
        <v>0.0225286783703807</v>
      </c>
      <c r="G871" s="30" t="n">
        <v>0.179473204483517</v>
      </c>
      <c r="H871" s="31" t="n">
        <f aca="false">MAX(D871,F871+0.015)</f>
        <v>0.0763899269724298</v>
      </c>
      <c r="I871" s="25" t="n">
        <f aca="false">(C871-'DCF Base Case'!$B$3)*(1-E871)+'DCF Base Case'!$B$3-G871</f>
        <v>0.137559173961179</v>
      </c>
      <c r="J871" s="24" t="n">
        <f aca="false">'DCF Base Case'!$B$2*(1+B871)^1*$I871-'DCF Base Case'!$B$2*(1+B871)^0*B871*'DCF Base Case'!$B$4</f>
        <v>21.5300600528804</v>
      </c>
      <c r="K871" s="24" t="n">
        <f aca="false">'DCF Base Case'!$B$2*(1+B871)^2*$I871-'DCF Base Case'!$B$2*(1+B871)^1*B871*'DCF Base Case'!$B$4</f>
        <v>23.7167108228008</v>
      </c>
      <c r="L871" s="24" t="n">
        <f aca="false">'DCF Base Case'!$B$2*(1+B871)^3*$I871-'DCF Base Case'!$B$2*(1+B871)^2*B871*'DCF Base Case'!$B$4</f>
        <v>26.1254437224436</v>
      </c>
      <c r="M871" s="24" t="n">
        <f aca="false">'DCF Base Case'!$B$2*(1+B871)^4*$I871-'DCF Base Case'!$B$2*(1+B871)^3*B871*'DCF Base Case'!$B$4</f>
        <v>28.7788140098409</v>
      </c>
      <c r="N871" s="24" t="n">
        <f aca="false">'DCF Base Case'!$B$2*(1+B871)^5*$I871-'DCF Base Case'!$B$2*(1+B871)^4*B871*'DCF Base Case'!$B$4</f>
        <v>31.7016677156574</v>
      </c>
      <c r="O871" s="24" t="n">
        <f aca="false">J871/(1+H871)^1+K871/(1+H871)^2+L871/(1+H871)^3+M871/(1+H871)^4+N871/(1+H871)^5</f>
        <v>104.798933617737</v>
      </c>
      <c r="P871" s="24" t="n">
        <f aca="false">N871*(1+F871)/(H871-F871)</f>
        <v>601.840195553783</v>
      </c>
      <c r="Q871" s="24" t="n">
        <f aca="false">O871+P871/(1+H871)^5</f>
        <v>521.316253627286</v>
      </c>
      <c r="R871" s="24" t="n">
        <f aca="false">Q871-'DCF Base Case'!$B$5</f>
        <v>336.316253627286</v>
      </c>
      <c r="S871" s="32" t="n">
        <f aca="false">R871/'DCF Base Case'!$B$6</f>
        <v>13.4526501450914</v>
      </c>
    </row>
    <row r="872" customFormat="false" ht="15" hidden="false" customHeight="true" outlineLevel="0" collapsed="false">
      <c r="A872" s="6" t="n">
        <v>871</v>
      </c>
      <c r="B872" s="30" t="n">
        <v>0.110224561458528</v>
      </c>
      <c r="C872" s="30" t="n">
        <v>0.379477144408054</v>
      </c>
      <c r="D872" s="30" t="n">
        <v>0.0998921910147242</v>
      </c>
      <c r="E872" s="30" t="n">
        <v>0.291345835840642</v>
      </c>
      <c r="F872" s="30" t="n">
        <v>0.0229741911722817</v>
      </c>
      <c r="G872" s="30" t="n">
        <v>0.174218897662089</v>
      </c>
      <c r="H872" s="31" t="n">
        <f aca="false">MAX(D872,F872+0.015)</f>
        <v>0.0998921910147242</v>
      </c>
      <c r="I872" s="25" t="n">
        <f aca="false">(C872-'DCF Base Case'!$B$3)*(1-E872)+'DCF Base Case'!$B$3-G872</f>
        <v>0.132574119585264</v>
      </c>
      <c r="J872" s="24" t="n">
        <f aca="false">'DCF Base Case'!$B$2*(1+B872)^1*$I872-'DCF Base Case'!$B$2*(1+B872)^0*B872*'DCF Base Case'!$B$4</f>
        <v>20.8626445053639</v>
      </c>
      <c r="K872" s="24" t="n">
        <f aca="false">'DCF Base Case'!$B$2*(1+B872)^2*$I872-'DCF Base Case'!$B$2*(1+B872)^1*B872*'DCF Base Case'!$B$4</f>
        <v>23.1622203468328</v>
      </c>
      <c r="L872" s="24" t="n">
        <f aca="false">'DCF Base Case'!$B$2*(1+B872)^3*$I872-'DCF Base Case'!$B$2*(1+B872)^2*B872*'DCF Base Case'!$B$4</f>
        <v>25.7152659269683</v>
      </c>
      <c r="M872" s="24" t="n">
        <f aca="false">'DCF Base Case'!$B$2*(1+B872)^4*$I872-'DCF Base Case'!$B$2*(1+B872)^3*B872*'DCF Base Case'!$B$4</f>
        <v>28.5497198365578</v>
      </c>
      <c r="N872" s="24" t="n">
        <f aca="false">'DCF Base Case'!$B$2*(1+B872)^5*$I872-'DCF Base Case'!$B$2*(1+B872)^4*B872*'DCF Base Case'!$B$4</f>
        <v>31.6966001853062</v>
      </c>
      <c r="O872" s="24" t="n">
        <f aca="false">J872/(1+H872)^1+K872/(1+H872)^2+L872/(1+H872)^3+M872/(1+H872)^4+N872/(1+H872)^5</f>
        <v>96.6381562829886</v>
      </c>
      <c r="P872" s="24" t="n">
        <f aca="false">N872*(1+F872)/(H872-F872)</f>
        <v>421.55027436872</v>
      </c>
      <c r="Q872" s="24" t="n">
        <f aca="false">O872+P872/(1+H872)^5</f>
        <v>358.516016074443</v>
      </c>
      <c r="R872" s="24" t="n">
        <f aca="false">Q872-'DCF Base Case'!$B$5</f>
        <v>173.516016074443</v>
      </c>
      <c r="S872" s="32" t="n">
        <f aca="false">R872/'DCF Base Case'!$B$6</f>
        <v>6.94064064297772</v>
      </c>
    </row>
    <row r="873" customFormat="false" ht="15" hidden="false" customHeight="true" outlineLevel="0" collapsed="false">
      <c r="A873" s="6" t="n">
        <v>872</v>
      </c>
      <c r="B873" s="30" t="n">
        <v>0.0909852265813093</v>
      </c>
      <c r="C873" s="30" t="n">
        <v>0.409286866262706</v>
      </c>
      <c r="D873" s="30" t="n">
        <v>0.0890385881457483</v>
      </c>
      <c r="E873" s="30" t="n">
        <v>0.271504133671577</v>
      </c>
      <c r="F873" s="30" t="n">
        <v>0.0224704916231316</v>
      </c>
      <c r="G873" s="30" t="n">
        <v>0.135009047913743</v>
      </c>
      <c r="H873" s="31" t="n">
        <f aca="false">MAX(D873,F873+0.015)</f>
        <v>0.0890385881457483</v>
      </c>
      <c r="I873" s="25" t="n">
        <f aca="false">(C873-'DCF Base Case'!$B$3)*(1-E873)+'DCF Base Case'!$B$3-G873</f>
        <v>0.198450279678457</v>
      </c>
      <c r="J873" s="24" t="n">
        <f aca="false">'DCF Base Case'!$B$2*(1+B873)^1*$I873-'DCF Base Case'!$B$2*(1+B873)^0*B873*'DCF Base Case'!$B$4</f>
        <v>30.9976311486896</v>
      </c>
      <c r="K873" s="24" t="n">
        <f aca="false">'DCF Base Case'!$B$2*(1+B873)^2*$I873-'DCF Base Case'!$B$2*(1+B873)^1*B873*'DCF Base Case'!$B$4</f>
        <v>33.817957642237</v>
      </c>
      <c r="L873" s="24" t="n">
        <f aca="false">'DCF Base Case'!$B$2*(1+B873)^3*$I873-'DCF Base Case'!$B$2*(1+B873)^2*B873*'DCF Base Case'!$B$4</f>
        <v>36.894892180833</v>
      </c>
      <c r="M873" s="24" t="n">
        <f aca="false">'DCF Base Case'!$B$2*(1+B873)^4*$I873-'DCF Base Case'!$B$2*(1+B873)^3*B873*'DCF Base Case'!$B$4</f>
        <v>40.2517823055991</v>
      </c>
      <c r="N873" s="24" t="n">
        <f aca="false">'DCF Base Case'!$B$2*(1+B873)^5*$I873-'DCF Base Case'!$B$2*(1+B873)^4*B873*'DCF Base Case'!$B$4</f>
        <v>43.9140998389756</v>
      </c>
      <c r="O873" s="24" t="n">
        <f aca="false">J873/(1+H873)^1+K873/(1+H873)^2+L873/(1+H873)^3+M873/(1+H873)^4+N873/(1+H873)^5</f>
        <v>142.82618288113</v>
      </c>
      <c r="P873" s="24" t="n">
        <f aca="false">N873*(1+F873)/(H873-F873)</f>
        <v>674.510367534536</v>
      </c>
      <c r="Q873" s="24" t="n">
        <f aca="false">O873+P873/(1+H873)^5</f>
        <v>583.150111398179</v>
      </c>
      <c r="R873" s="24" t="n">
        <f aca="false">Q873-'DCF Base Case'!$B$5</f>
        <v>398.150111398179</v>
      </c>
      <c r="S873" s="32" t="n">
        <f aca="false">R873/'DCF Base Case'!$B$6</f>
        <v>15.9260044559272</v>
      </c>
    </row>
    <row r="874" customFormat="false" ht="15" hidden="false" customHeight="true" outlineLevel="0" collapsed="false">
      <c r="A874" s="6" t="n">
        <v>873</v>
      </c>
      <c r="B874" s="30" t="n">
        <v>0.0783441887423355</v>
      </c>
      <c r="C874" s="30" t="n">
        <v>0.447010856454534</v>
      </c>
      <c r="D874" s="30" t="n">
        <v>0.0781131149007037</v>
      </c>
      <c r="E874" s="30" t="n">
        <v>0.273293981029377</v>
      </c>
      <c r="F874" s="30" t="n">
        <v>0.0157469982791943</v>
      </c>
      <c r="G874" s="30" t="n">
        <v>0.1729791350618</v>
      </c>
      <c r="H874" s="31" t="n">
        <f aca="false">MAX(D874,F874+0.015)</f>
        <v>0.0781131149007037</v>
      </c>
      <c r="I874" s="25" t="n">
        <f aca="false">(C874-'DCF Base Case'!$B$3)*(1-E874)+'DCF Base Case'!$B$3-G874</f>
        <v>0.187394562402742</v>
      </c>
      <c r="J874" s="24" t="n">
        <f aca="false">'DCF Base Case'!$B$2*(1+B874)^1*$I874-'DCF Base Case'!$B$2*(1+B874)^0*B874*'DCF Base Case'!$B$4</f>
        <v>28.9601991974628</v>
      </c>
      <c r="K874" s="24" t="n">
        <f aca="false">'DCF Base Case'!$B$2*(1+B874)^2*$I874-'DCF Base Case'!$B$2*(1+B874)^1*B874*'DCF Base Case'!$B$4</f>
        <v>31.2290625094044</v>
      </c>
      <c r="L874" s="24" t="n">
        <f aca="false">'DCF Base Case'!$B$2*(1+B874)^3*$I874-'DCF Base Case'!$B$2*(1+B874)^2*B874*'DCF Base Case'!$B$4</f>
        <v>33.6756780768874</v>
      </c>
      <c r="M874" s="24" t="n">
        <f aca="false">'DCF Base Case'!$B$2*(1+B874)^4*$I874-'DCF Base Case'!$B$2*(1+B874)^3*B874*'DCF Base Case'!$B$4</f>
        <v>36.3139717561692</v>
      </c>
      <c r="N874" s="24" t="n">
        <f aca="false">'DCF Base Case'!$B$2*(1+B874)^5*$I874-'DCF Base Case'!$B$2*(1+B874)^4*B874*'DCF Base Case'!$B$4</f>
        <v>39.1589604134183</v>
      </c>
      <c r="O874" s="24" t="n">
        <f aca="false">J874/(1+H874)^1+K874/(1+H874)^2+L874/(1+H874)^3+M874/(1+H874)^4+N874/(1+H874)^5</f>
        <v>134.367236780903</v>
      </c>
      <c r="P874" s="24" t="n">
        <f aca="false">N874*(1+F874)/(H874-F874)</f>
        <v>637.775745074134</v>
      </c>
      <c r="Q874" s="24" t="n">
        <f aca="false">O874+P874/(1+H874)^5</f>
        <v>572.238408327618</v>
      </c>
      <c r="R874" s="24" t="n">
        <f aca="false">Q874-'DCF Base Case'!$B$5</f>
        <v>387.238408327618</v>
      </c>
      <c r="S874" s="32" t="n">
        <f aca="false">R874/'DCF Base Case'!$B$6</f>
        <v>15.4895363331047</v>
      </c>
    </row>
    <row r="875" customFormat="false" ht="15" hidden="false" customHeight="true" outlineLevel="0" collapsed="false">
      <c r="A875" s="6" t="n">
        <v>874</v>
      </c>
      <c r="B875" s="30" t="n">
        <v>0.0739694535085559</v>
      </c>
      <c r="C875" s="30" t="n">
        <v>0.404700957935872</v>
      </c>
      <c r="D875" s="30" t="n">
        <v>0.0943375318963858</v>
      </c>
      <c r="E875" s="30" t="n">
        <v>0.26339321315063</v>
      </c>
      <c r="F875" s="30" t="n">
        <v>0.022185772065924</v>
      </c>
      <c r="G875" s="30" t="n">
        <v>0.184888190143266</v>
      </c>
      <c r="H875" s="31" t="n">
        <f aca="false">MAX(D875,F875+0.015)</f>
        <v>0.0943375318963858</v>
      </c>
      <c r="I875" s="25" t="n">
        <f aca="false">(C875-'DCF Base Case'!$B$3)*(1-E875)+'DCF Base Case'!$B$3-G875</f>
        <v>0.147458399826321</v>
      </c>
      <c r="J875" s="24" t="n">
        <f aca="false">'DCF Base Case'!$B$2*(1+B875)^1*$I875-'DCF Base Case'!$B$2*(1+B875)^0*B875*'DCF Base Case'!$B$4</f>
        <v>22.6412763533621</v>
      </c>
      <c r="K875" s="24" t="n">
        <f aca="false">'DCF Base Case'!$B$2*(1+B875)^2*$I875-'DCF Base Case'!$B$2*(1+B875)^1*B875*'DCF Base Case'!$B$4</f>
        <v>24.3160391919565</v>
      </c>
      <c r="L875" s="24" t="n">
        <f aca="false">'DCF Base Case'!$B$2*(1+B875)^3*$I875-'DCF Base Case'!$B$2*(1+B875)^2*B875*'DCF Base Case'!$B$4</f>
        <v>26.1146833224782</v>
      </c>
      <c r="M875" s="24" t="n">
        <f aca="false">'DCF Base Case'!$B$2*(1+B875)^4*$I875-'DCF Base Case'!$B$2*(1+B875)^3*B875*'DCF Base Case'!$B$4</f>
        <v>28.0463721763909</v>
      </c>
      <c r="N875" s="24" t="n">
        <f aca="false">'DCF Base Case'!$B$2*(1+B875)^5*$I875-'DCF Base Case'!$B$2*(1+B875)^4*B875*'DCF Base Case'!$B$4</f>
        <v>30.1209469991761</v>
      </c>
      <c r="O875" s="24" t="n">
        <f aca="false">J875/(1+H875)^1+K875/(1+H875)^2+L875/(1+H875)^3+M875/(1+H875)^4+N875/(1+H875)^5</f>
        <v>99.6676386160248</v>
      </c>
      <c r="P875" s="24" t="n">
        <f aca="false">N875*(1+F875)/(H875-F875)</f>
        <v>426.728378296751</v>
      </c>
      <c r="Q875" s="24" t="n">
        <f aca="false">O875+P875/(1+H875)^5</f>
        <v>371.558777637646</v>
      </c>
      <c r="R875" s="24" t="n">
        <f aca="false">Q875-'DCF Base Case'!$B$5</f>
        <v>186.558777637646</v>
      </c>
      <c r="S875" s="32" t="n">
        <f aca="false">R875/'DCF Base Case'!$B$6</f>
        <v>7.46235110550584</v>
      </c>
    </row>
    <row r="876" customFormat="false" ht="15" hidden="false" customHeight="true" outlineLevel="0" collapsed="false">
      <c r="A876" s="6" t="n">
        <v>875</v>
      </c>
      <c r="B876" s="30" t="n">
        <v>0.113007158109038</v>
      </c>
      <c r="C876" s="30" t="n">
        <v>0.424887292984662</v>
      </c>
      <c r="D876" s="30" t="n">
        <v>0.120653849846745</v>
      </c>
      <c r="E876" s="30" t="n">
        <v>0.312005115133746</v>
      </c>
      <c r="F876" s="30" t="n">
        <v>0.0205065326158544</v>
      </c>
      <c r="G876" s="30" t="n">
        <v>0.147606923993837</v>
      </c>
      <c r="H876" s="31" t="n">
        <f aca="false">MAX(D876,F876+0.015)</f>
        <v>0.120653849846745</v>
      </c>
      <c r="I876" s="25" t="n">
        <f aca="false">(C876-'DCF Base Case'!$B$3)*(1-E876)+'DCF Base Case'!$B$3-G876</f>
        <v>0.185274025191667</v>
      </c>
      <c r="J876" s="24" t="n">
        <f aca="false">'DCF Base Case'!$B$2*(1+B876)^1*$I876-'DCF Base Case'!$B$2*(1+B876)^0*B876*'DCF Base Case'!$B$4</f>
        <v>29.4090597184756</v>
      </c>
      <c r="K876" s="24" t="n">
        <f aca="false">'DCF Base Case'!$B$2*(1+B876)^2*$I876-'DCF Base Case'!$B$2*(1+B876)^1*B876*'DCF Base Case'!$B$4</f>
        <v>32.7324939799195</v>
      </c>
      <c r="L876" s="24" t="n">
        <f aca="false">'DCF Base Case'!$B$2*(1+B876)^3*$I876-'DCF Base Case'!$B$2*(1+B876)^2*B876*'DCF Base Case'!$B$4</f>
        <v>36.4315001024114</v>
      </c>
      <c r="M876" s="24" t="n">
        <f aca="false">'DCF Base Case'!$B$2*(1+B876)^4*$I876-'DCF Base Case'!$B$2*(1+B876)^3*B876*'DCF Base Case'!$B$4</f>
        <v>40.548520394634</v>
      </c>
      <c r="N876" s="24" t="n">
        <f aca="false">'DCF Base Case'!$B$2*(1+B876)^5*$I876-'DCF Base Case'!$B$2*(1+B876)^4*B876*'DCF Base Case'!$B$4</f>
        <v>45.130793449958</v>
      </c>
      <c r="O876" s="24" t="n">
        <f aca="false">J876/(1+H876)^1+K876/(1+H876)^2+L876/(1+H876)^3+M876/(1+H876)^4+N876/(1+H876)^5</f>
        <v>129.435365719828</v>
      </c>
      <c r="P876" s="24" t="n">
        <f aca="false">N876*(1+F876)/(H876-F876)</f>
        <v>459.885205228571</v>
      </c>
      <c r="Q876" s="24" t="n">
        <f aca="false">O876+P876/(1+H876)^5</f>
        <v>389.626204513235</v>
      </c>
      <c r="R876" s="24" t="n">
        <f aca="false">Q876-'DCF Base Case'!$B$5</f>
        <v>204.626204513235</v>
      </c>
      <c r="S876" s="32" t="n">
        <f aca="false">R876/'DCF Base Case'!$B$6</f>
        <v>8.18504818052941</v>
      </c>
    </row>
    <row r="877" customFormat="false" ht="15" hidden="false" customHeight="true" outlineLevel="0" collapsed="false">
      <c r="A877" s="6" t="n">
        <v>876</v>
      </c>
      <c r="B877" s="30" t="n">
        <v>0.0880281022001569</v>
      </c>
      <c r="C877" s="30" t="n">
        <v>0.440359821725768</v>
      </c>
      <c r="D877" s="30" t="n">
        <v>0.103804880771889</v>
      </c>
      <c r="E877" s="30" t="n">
        <v>0.32373914366118</v>
      </c>
      <c r="F877" s="30" t="n">
        <v>0.0221734282442458</v>
      </c>
      <c r="G877" s="30" t="n">
        <v>0.140456744252879</v>
      </c>
      <c r="H877" s="31" t="n">
        <f aca="false">MAX(D877,F877+0.015)</f>
        <v>0.103804880771889</v>
      </c>
      <c r="I877" s="25" t="n">
        <f aca="false">(C877-'DCF Base Case'!$B$3)*(1-E877)+'DCF Base Case'!$B$3-G877</f>
        <v>0.199427454560552</v>
      </c>
      <c r="J877" s="24" t="n">
        <f aca="false">'DCF Base Case'!$B$2*(1+B877)^1*$I877-'DCF Base Case'!$B$2*(1+B877)^0*B877*'DCF Base Case'!$B$4</f>
        <v>31.0795656176876</v>
      </c>
      <c r="K877" s="24" t="n">
        <f aca="false">'DCF Base Case'!$B$2*(1+B877)^2*$I877-'DCF Base Case'!$B$2*(1+B877)^1*B877*'DCF Base Case'!$B$4</f>
        <v>33.8154407962179</v>
      </c>
      <c r="L877" s="24" t="n">
        <f aca="false">'DCF Base Case'!$B$2*(1+B877)^3*$I877-'DCF Base Case'!$B$2*(1+B877)^2*B877*'DCF Base Case'!$B$4</f>
        <v>36.7921498745707</v>
      </c>
      <c r="M877" s="24" t="n">
        <f aca="false">'DCF Base Case'!$B$2*(1+B877)^4*$I877-'DCF Base Case'!$B$2*(1+B877)^3*B877*'DCF Base Case'!$B$4</f>
        <v>40.0308930038929</v>
      </c>
      <c r="N877" s="24" t="n">
        <f aca="false">'DCF Base Case'!$B$2*(1+B877)^5*$I877-'DCF Base Case'!$B$2*(1+B877)^4*B877*'DCF Base Case'!$B$4</f>
        <v>43.5547365444031</v>
      </c>
      <c r="O877" s="24" t="n">
        <f aca="false">J877/(1+H877)^1+K877/(1+H877)^2+L877/(1+H877)^3+M877/(1+H877)^4+N877/(1+H877)^5</f>
        <v>136.816426749789</v>
      </c>
      <c r="P877" s="24" t="n">
        <f aca="false">N877*(1+F877)/(H877-F877)</f>
        <v>545.384076741637</v>
      </c>
      <c r="Q877" s="24" t="n">
        <f aca="false">O877+P877/(1+H877)^5</f>
        <v>469.660557777593</v>
      </c>
      <c r="R877" s="24" t="n">
        <f aca="false">Q877-'DCF Base Case'!$B$5</f>
        <v>284.660557777593</v>
      </c>
      <c r="S877" s="32" t="n">
        <f aca="false">R877/'DCF Base Case'!$B$6</f>
        <v>11.3864223111037</v>
      </c>
    </row>
    <row r="878" customFormat="false" ht="15" hidden="false" customHeight="true" outlineLevel="0" collapsed="false">
      <c r="A878" s="6" t="n">
        <v>877</v>
      </c>
      <c r="B878" s="30" t="n">
        <v>0.100435380033507</v>
      </c>
      <c r="C878" s="30" t="n">
        <v>0.391032909108046</v>
      </c>
      <c r="D878" s="30" t="n">
        <v>0.0686378168728117</v>
      </c>
      <c r="E878" s="30" t="n">
        <v>0.286640994615188</v>
      </c>
      <c r="F878" s="30" t="n">
        <v>0.0212206825642512</v>
      </c>
      <c r="G878" s="30" t="n">
        <v>0.186849172393442</v>
      </c>
      <c r="H878" s="31" t="n">
        <f aca="false">MAX(D878,F878+0.015)</f>
        <v>0.0686378168728117</v>
      </c>
      <c r="I878" s="25" t="n">
        <f aca="false">(C878-'DCF Base Case'!$B$3)*(1-E878)+'DCF Base Case'!$B$3-G878</f>
        <v>0.129361004020578</v>
      </c>
      <c r="J878" s="24" t="n">
        <f aca="false">'DCF Base Case'!$B$2*(1+B878)^1*$I878-'DCF Base Case'!$B$2*(1+B878)^0*B878*'DCF Base Case'!$B$4</f>
        <v>20.2043528118848</v>
      </c>
      <c r="K878" s="24" t="n">
        <f aca="false">'DCF Base Case'!$B$2*(1+B878)^2*$I878-'DCF Base Case'!$B$2*(1+B878)^1*B878*'DCF Base Case'!$B$4</f>
        <v>22.2335846648775</v>
      </c>
      <c r="L878" s="24" t="n">
        <f aca="false">'DCF Base Case'!$B$2*(1+B878)^3*$I878-'DCF Base Case'!$B$2*(1+B878)^2*B878*'DCF Base Case'!$B$4</f>
        <v>24.4666231902016</v>
      </c>
      <c r="M878" s="24" t="n">
        <f aca="false">'DCF Base Case'!$B$2*(1+B878)^4*$I878-'DCF Base Case'!$B$2*(1+B878)^3*B878*'DCF Base Case'!$B$4</f>
        <v>26.9239377884462</v>
      </c>
      <c r="N878" s="24" t="n">
        <f aca="false">'DCF Base Case'!$B$2*(1+B878)^5*$I878-'DCF Base Case'!$B$2*(1+B878)^4*B878*'DCF Base Case'!$B$4</f>
        <v>29.6280537122272</v>
      </c>
      <c r="O878" s="24" t="n">
        <f aca="false">J878/(1+H878)^1+K878/(1+H878)^2+L878/(1+H878)^3+M878/(1+H878)^4+N878/(1+H878)^5</f>
        <v>100.328825235316</v>
      </c>
      <c r="P878" s="24" t="n">
        <f aca="false">N878*(1+F878)/(H878-F878)</f>
        <v>638.098056246064</v>
      </c>
      <c r="Q878" s="24" t="n">
        <f aca="false">O878+P878/(1+H878)^5</f>
        <v>558.1909582853</v>
      </c>
      <c r="R878" s="24" t="n">
        <f aca="false">Q878-'DCF Base Case'!$B$5</f>
        <v>373.1909582853</v>
      </c>
      <c r="S878" s="32" t="n">
        <f aca="false">R878/'DCF Base Case'!$B$6</f>
        <v>14.927638331412</v>
      </c>
    </row>
    <row r="879" customFormat="false" ht="15" hidden="false" customHeight="true" outlineLevel="0" collapsed="false">
      <c r="A879" s="6" t="n">
        <v>878</v>
      </c>
      <c r="B879" s="30" t="n">
        <v>0.100658769084603</v>
      </c>
      <c r="C879" s="30" t="n">
        <v>0.428326392125075</v>
      </c>
      <c r="D879" s="30" t="n">
        <v>0.0741688215650839</v>
      </c>
      <c r="E879" s="30" t="n">
        <v>0.276761702856797</v>
      </c>
      <c r="F879" s="30" t="n">
        <v>0.0133957051453366</v>
      </c>
      <c r="G879" s="30" t="n">
        <v>0.129501334899262</v>
      </c>
      <c r="H879" s="31" t="n">
        <f aca="false">MAX(D879,F879+0.015)</f>
        <v>0.0741688215650839</v>
      </c>
      <c r="I879" s="25" t="n">
        <f aca="false">(C879-'DCF Base Case'!$B$3)*(1-E879)+'DCF Base Case'!$B$3-G879</f>
        <v>0.216259736934153</v>
      </c>
      <c r="J879" s="24" t="n">
        <f aca="false">'DCF Base Case'!$B$2*(1+B879)^1*$I879-'DCF Base Case'!$B$2*(1+B879)^0*B879*'DCF Base Case'!$B$4</f>
        <v>34.0762198536751</v>
      </c>
      <c r="K879" s="24" t="n">
        <f aca="false">'DCF Base Case'!$B$2*(1+B879)^2*$I879-'DCF Base Case'!$B$2*(1+B879)^1*B879*'DCF Base Case'!$B$4</f>
        <v>37.5062901992024</v>
      </c>
      <c r="L879" s="24" t="n">
        <f aca="false">'DCF Base Case'!$B$2*(1+B879)^3*$I879-'DCF Base Case'!$B$2*(1+B879)^2*B879*'DCF Base Case'!$B$4</f>
        <v>41.281627203584</v>
      </c>
      <c r="M879" s="24" t="n">
        <f aca="false">'DCF Base Case'!$B$2*(1+B879)^4*$I879-'DCF Base Case'!$B$2*(1+B879)^3*B879*'DCF Base Case'!$B$4</f>
        <v>45.4369849837062</v>
      </c>
      <c r="N879" s="24" t="n">
        <f aca="false">'DCF Base Case'!$B$2*(1+B879)^5*$I879-'DCF Base Case'!$B$2*(1+B879)^4*B879*'DCF Base Case'!$B$4</f>
        <v>50.0106159630817</v>
      </c>
      <c r="O879" s="24" t="n">
        <f aca="false">J879/(1+H879)^1+K879/(1+H879)^2+L879/(1+H879)^3+M879/(1+H879)^4+N879/(1+H879)^5</f>
        <v>166.635259372842</v>
      </c>
      <c r="P879" s="24" t="n">
        <f aca="false">N879*(1+F879)/(H879-F879)</f>
        <v>833.930303633268</v>
      </c>
      <c r="Q879" s="24" t="n">
        <f aca="false">O879+P879/(1+H879)^5</f>
        <v>749.76748557005</v>
      </c>
      <c r="R879" s="24" t="n">
        <f aca="false">Q879-'DCF Base Case'!$B$5</f>
        <v>564.76748557005</v>
      </c>
      <c r="S879" s="32" t="n">
        <f aca="false">R879/'DCF Base Case'!$B$6</f>
        <v>22.590699422802</v>
      </c>
    </row>
    <row r="880" customFormat="false" ht="15" hidden="false" customHeight="true" outlineLevel="0" collapsed="false">
      <c r="A880" s="6" t="n">
        <v>879</v>
      </c>
      <c r="B880" s="30" t="n">
        <v>0.106128547989395</v>
      </c>
      <c r="C880" s="30" t="n">
        <v>0.404342073169092</v>
      </c>
      <c r="D880" s="30" t="n">
        <v>0.0945974835235736</v>
      </c>
      <c r="E880" s="30" t="n">
        <v>0.313597073064449</v>
      </c>
      <c r="F880" s="30" t="n">
        <v>0.0168464875440054</v>
      </c>
      <c r="G880" s="30" t="n">
        <v>0.179196246398865</v>
      </c>
      <c r="H880" s="31" t="n">
        <f aca="false">MAX(D880,F880+0.015)</f>
        <v>0.0945974835235736</v>
      </c>
      <c r="I880" s="25" t="n">
        <f aca="false">(C880-'DCF Base Case'!$B$3)*(1-E880)+'DCF Base Case'!$B$3-G880</f>
        <v>0.139112955605967</v>
      </c>
      <c r="J880" s="24" t="n">
        <f aca="false">'DCF Base Case'!$B$2*(1+B880)^1*$I880-'DCF Base Case'!$B$2*(1+B880)^0*B880*'DCF Base Case'!$B$4</f>
        <v>21.8504784969326</v>
      </c>
      <c r="K880" s="24" t="n">
        <f aca="false">'DCF Base Case'!$B$2*(1+B880)^2*$I880-'DCF Base Case'!$B$2*(1+B880)^1*B880*'DCF Base Case'!$B$4</f>
        <v>24.1694380526856</v>
      </c>
      <c r="L880" s="24" t="n">
        <f aca="false">'DCF Base Case'!$B$2*(1+B880)^3*$I880-'DCF Base Case'!$B$2*(1+B880)^2*B880*'DCF Base Case'!$B$4</f>
        <v>26.7345054189367</v>
      </c>
      <c r="M880" s="24" t="n">
        <f aca="false">'DCF Base Case'!$B$2*(1+B880)^4*$I880-'DCF Base Case'!$B$2*(1+B880)^3*B880*'DCF Base Case'!$B$4</f>
        <v>29.5717996602631</v>
      </c>
      <c r="N880" s="24" t="n">
        <f aca="false">'DCF Base Case'!$B$2*(1+B880)^5*$I880-'DCF Base Case'!$B$2*(1+B880)^4*B880*'DCF Base Case'!$B$4</f>
        <v>32.7102118196401</v>
      </c>
      <c r="O880" s="24" t="n">
        <f aca="false">J880/(1+H880)^1+K880/(1+H880)^2+L880/(1+H880)^3+M880/(1+H880)^4+N880/(1+H880)^5</f>
        <v>101.935748158006</v>
      </c>
      <c r="P880" s="24" t="n">
        <f aca="false">N880*(1+F880)/(H880-F880)</f>
        <v>427.792127632191</v>
      </c>
      <c r="Q880" s="24" t="n">
        <f aca="false">O880+P880/(1+H880)^5</f>
        <v>374.181155071887</v>
      </c>
      <c r="R880" s="24" t="n">
        <f aca="false">Q880-'DCF Base Case'!$B$5</f>
        <v>189.181155071887</v>
      </c>
      <c r="S880" s="32" t="n">
        <f aca="false">R880/'DCF Base Case'!$B$6</f>
        <v>7.56724620287549</v>
      </c>
    </row>
    <row r="881" customFormat="false" ht="15" hidden="false" customHeight="true" outlineLevel="0" collapsed="false">
      <c r="A881" s="6" t="n">
        <v>880</v>
      </c>
      <c r="B881" s="30" t="n">
        <v>0.0756550069451362</v>
      </c>
      <c r="C881" s="30" t="n">
        <v>0.372239328290283</v>
      </c>
      <c r="D881" s="30" t="n">
        <v>0.0863564034488671</v>
      </c>
      <c r="E881" s="30" t="n">
        <v>0.267882812210016</v>
      </c>
      <c r="F881" s="30" t="n">
        <v>0.017598608825261</v>
      </c>
      <c r="G881" s="30" t="n">
        <v>0.207971381223788</v>
      </c>
      <c r="H881" s="31" t="n">
        <f aca="false">MAX(D881,F881+0.015)</f>
        <v>0.0863564034488671</v>
      </c>
      <c r="I881" s="25" t="n">
        <f aca="false">(C881-'DCF Base Case'!$B$3)*(1-E881)+'DCF Base Case'!$B$3-G881</f>
        <v>0.0993761945762287</v>
      </c>
      <c r="J881" s="24" t="n">
        <f aca="false">'DCF Base Case'!$B$2*(1+B881)^1*$I881-'DCF Base Case'!$B$2*(1+B881)^0*B881*'DCF Base Case'!$B$4</f>
        <v>15.1706034035145</v>
      </c>
      <c r="K881" s="24" t="n">
        <f aca="false">'DCF Base Case'!$B$2*(1+B881)^2*$I881-'DCF Base Case'!$B$2*(1+B881)^1*B881*'DCF Base Case'!$B$4</f>
        <v>16.3183355093693</v>
      </c>
      <c r="L881" s="24" t="n">
        <f aca="false">'DCF Base Case'!$B$2*(1+B881)^3*$I881-'DCF Base Case'!$B$2*(1+B881)^2*B881*'DCF Base Case'!$B$4</f>
        <v>17.5528992956636</v>
      </c>
      <c r="M881" s="24" t="n">
        <f aca="false">'DCF Base Case'!$B$2*(1+B881)^4*$I881-'DCF Base Case'!$B$2*(1+B881)^3*B881*'DCF Base Case'!$B$4</f>
        <v>18.8808640137844</v>
      </c>
      <c r="N881" s="24" t="n">
        <f aca="false">'DCF Base Case'!$B$2*(1+B881)^5*$I881-'DCF Base Case'!$B$2*(1+B881)^4*B881*'DCF Base Case'!$B$4</f>
        <v>20.3092959118774</v>
      </c>
      <c r="O881" s="24" t="n">
        <f aca="false">J881/(1+H881)^1+K881/(1+H881)^2+L881/(1+H881)^3+M881/(1+H881)^4+N881/(1+H881)^5</f>
        <v>68.4611894318862</v>
      </c>
      <c r="P881" s="24" t="n">
        <f aca="false">N881*(1+F881)/(H881-F881)</f>
        <v>300.5726314999</v>
      </c>
      <c r="Q881" s="24" t="n">
        <f aca="false">O881+P881/(1+H881)^5</f>
        <v>267.11083314411</v>
      </c>
      <c r="R881" s="24" t="n">
        <f aca="false">Q881-'DCF Base Case'!$B$5</f>
        <v>82.1108331441102</v>
      </c>
      <c r="S881" s="32" t="n">
        <f aca="false">R881/'DCF Base Case'!$B$6</f>
        <v>3.28443332576441</v>
      </c>
    </row>
    <row r="882" customFormat="false" ht="15" hidden="false" customHeight="true" outlineLevel="0" collapsed="false">
      <c r="A882" s="6" t="n">
        <v>881</v>
      </c>
      <c r="B882" s="30" t="n">
        <v>0.0578217203044219</v>
      </c>
      <c r="C882" s="30" t="n">
        <v>0.410816400648976</v>
      </c>
      <c r="D882" s="30" t="n">
        <v>0.0740571203914077</v>
      </c>
      <c r="E882" s="30" t="n">
        <v>0.307567540436043</v>
      </c>
      <c r="F882" s="30" t="n">
        <v>0.0204128516218124</v>
      </c>
      <c r="G882" s="30" t="n">
        <v>0.174029395138586</v>
      </c>
      <c r="H882" s="31" t="n">
        <f aca="false">MAX(D882,F882+0.015)</f>
        <v>0.0740571203914077</v>
      </c>
      <c r="I882" s="25" t="n">
        <f aca="false">(C882-'DCF Base Case'!$B$3)*(1-E882)+'DCF Base Case'!$B$3-G882</f>
        <v>0.150416995848682</v>
      </c>
      <c r="J882" s="24" t="n">
        <f aca="false">'DCF Base Case'!$B$2*(1+B882)^1*$I882-'DCF Base Case'!$B$2*(1+B882)^0*B882*'DCF Base Case'!$B$4</f>
        <v>22.8200584868688</v>
      </c>
      <c r="K882" s="24" t="n">
        <f aca="false">'DCF Base Case'!$B$2*(1+B882)^2*$I882-'DCF Base Case'!$B$2*(1+B882)^1*B882*'DCF Base Case'!$B$4</f>
        <v>24.1395535260271</v>
      </c>
      <c r="L882" s="24" t="n">
        <f aca="false">'DCF Base Case'!$B$2*(1+B882)^3*$I882-'DCF Base Case'!$B$2*(1+B882)^2*B882*'DCF Base Case'!$B$4</f>
        <v>25.5353440382826</v>
      </c>
      <c r="M882" s="24" t="n">
        <f aca="false">'DCF Base Case'!$B$2*(1+B882)^4*$I882-'DCF Base Case'!$B$2*(1+B882)^3*B882*'DCF Base Case'!$B$4</f>
        <v>27.0118415591414</v>
      </c>
      <c r="N882" s="24" t="n">
        <f aca="false">'DCF Base Case'!$B$2*(1+B882)^5*$I882-'DCF Base Case'!$B$2*(1+B882)^4*B882*'DCF Base Case'!$B$4</f>
        <v>28.5737127066814</v>
      </c>
      <c r="O882" s="24" t="n">
        <f aca="false">J882/(1+H882)^1+K882/(1+H882)^2+L882/(1+H882)^3+M882/(1+H882)^4+N882/(1+H882)^5</f>
        <v>103.06953837942</v>
      </c>
      <c r="P882" s="24" t="n">
        <f aca="false">N882*(1+F882)/(H882-F882)</f>
        <v>543.524673431151</v>
      </c>
      <c r="Q882" s="24" t="n">
        <f aca="false">O882+P882/(1+H882)^5</f>
        <v>483.331050514776</v>
      </c>
      <c r="R882" s="24" t="n">
        <f aca="false">Q882-'DCF Base Case'!$B$5</f>
        <v>298.331050514776</v>
      </c>
      <c r="S882" s="32" t="n">
        <f aca="false">R882/'DCF Base Case'!$B$6</f>
        <v>11.933242020591</v>
      </c>
    </row>
    <row r="883" customFormat="false" ht="15" hidden="false" customHeight="true" outlineLevel="0" collapsed="false">
      <c r="A883" s="6" t="n">
        <v>882</v>
      </c>
      <c r="B883" s="30" t="n">
        <v>0.069356227303781</v>
      </c>
      <c r="C883" s="30" t="n">
        <v>0.389733613248141</v>
      </c>
      <c r="D883" s="30" t="n">
        <v>0.0951997555808048</v>
      </c>
      <c r="E883" s="30" t="n">
        <v>0.330528430790566</v>
      </c>
      <c r="F883" s="30" t="n">
        <v>0.0210649448444013</v>
      </c>
      <c r="G883" s="30" t="n">
        <v>0.147184350640799</v>
      </c>
      <c r="H883" s="31" t="n">
        <f aca="false">MAX(D883,F883+0.015)</f>
        <v>0.0951997555808048</v>
      </c>
      <c r="I883" s="25" t="n">
        <f aca="false">(C883-'DCF Base Case'!$B$3)*(1-E883)+'DCF Base Case'!$B$3-G883</f>
        <v>0.15669991899687</v>
      </c>
      <c r="J883" s="24" t="n">
        <f aca="false">'DCF Base Case'!$B$2*(1+B883)^1*$I883-'DCF Base Case'!$B$2*(1+B883)^0*B883*'DCF Base Case'!$B$4</f>
        <v>23.9956653698372</v>
      </c>
      <c r="K883" s="24" t="n">
        <f aca="false">'DCF Base Case'!$B$2*(1+B883)^2*$I883-'DCF Base Case'!$B$2*(1+B883)^1*B883*'DCF Base Case'!$B$4</f>
        <v>25.6599141915331</v>
      </c>
      <c r="L883" s="24" t="n">
        <f aca="false">'DCF Base Case'!$B$2*(1+B883)^3*$I883-'DCF Base Case'!$B$2*(1+B883)^2*B883*'DCF Base Case'!$B$4</f>
        <v>27.4395890327966</v>
      </c>
      <c r="M883" s="24" t="n">
        <f aca="false">'DCF Base Case'!$B$2*(1+B883)^4*$I883-'DCF Base Case'!$B$2*(1+B883)^3*B883*'DCF Base Case'!$B$4</f>
        <v>29.3426954068776</v>
      </c>
      <c r="N883" s="24" t="n">
        <f aca="false">'DCF Base Case'!$B$2*(1+B883)^5*$I883-'DCF Base Case'!$B$2*(1+B883)^4*B883*'DCF Base Case'!$B$4</f>
        <v>31.3777940592226</v>
      </c>
      <c r="O883" s="24" t="n">
        <f aca="false">J883/(1+H883)^1+K883/(1+H883)^2+L883/(1+H883)^3+M883/(1+H883)^4+N883/(1+H883)^5</f>
        <v>104.499742249138</v>
      </c>
      <c r="P883" s="24" t="n">
        <f aca="false">N883*(1+F883)/(H883-F883)</f>
        <v>432.168980296414</v>
      </c>
      <c r="Q883" s="24" t="n">
        <f aca="false">O883+P883/(1+H883)^5</f>
        <v>378.77516958553</v>
      </c>
      <c r="R883" s="24" t="n">
        <f aca="false">Q883-'DCF Base Case'!$B$5</f>
        <v>193.77516958553</v>
      </c>
      <c r="S883" s="32" t="n">
        <f aca="false">R883/'DCF Base Case'!$B$6</f>
        <v>7.75100678342119</v>
      </c>
    </row>
    <row r="884" customFormat="false" ht="15" hidden="false" customHeight="true" outlineLevel="0" collapsed="false">
      <c r="A884" s="6" t="n">
        <v>883</v>
      </c>
      <c r="B884" s="30" t="n">
        <v>0.0971439606495876</v>
      </c>
      <c r="C884" s="30" t="n">
        <v>0.45421533193858</v>
      </c>
      <c r="D884" s="30" t="n">
        <v>0.086126650917908</v>
      </c>
      <c r="E884" s="30" t="n">
        <v>0.323321640212442</v>
      </c>
      <c r="F884" s="30" t="n">
        <v>0.0163380805117572</v>
      </c>
      <c r="G884" s="30" t="n">
        <v>0.164315983428847</v>
      </c>
      <c r="H884" s="31" t="n">
        <f aca="false">MAX(D884,F884+0.015)</f>
        <v>0.086126650917908</v>
      </c>
      <c r="I884" s="25" t="n">
        <f aca="false">(C884-'DCF Base Case'!$B$3)*(1-E884)+'DCF Base Case'!$B$3-G884</f>
        <v>0.18507351560533</v>
      </c>
      <c r="J884" s="24" t="n">
        <f aca="false">'DCF Base Case'!$B$2*(1+B884)^1*$I884-'DCF Base Case'!$B$2*(1+B884)^0*B884*'DCF Base Case'!$B$4</f>
        <v>29.0200058099477</v>
      </c>
      <c r="K884" s="24" t="n">
        <f aca="false">'DCF Base Case'!$B$2*(1+B884)^2*$I884-'DCF Base Case'!$B$2*(1+B884)^1*B884*'DCF Base Case'!$B$4</f>
        <v>31.8391241124</v>
      </c>
      <c r="L884" s="24" t="n">
        <f aca="false">'DCF Base Case'!$B$2*(1+B884)^3*$I884-'DCF Base Case'!$B$2*(1+B884)^2*B884*'DCF Base Case'!$B$4</f>
        <v>34.9321027322924</v>
      </c>
      <c r="M884" s="24" t="n">
        <f aca="false">'DCF Base Case'!$B$2*(1+B884)^4*$I884-'DCF Base Case'!$B$2*(1+B884)^3*B884*'DCF Base Case'!$B$4</f>
        <v>38.3255455455255</v>
      </c>
      <c r="N884" s="24" t="n">
        <f aca="false">'DCF Base Case'!$B$2*(1+B884)^5*$I884-'DCF Base Case'!$B$2*(1+B884)^4*B884*'DCF Base Case'!$B$4</f>
        <v>42.048640833874</v>
      </c>
      <c r="O884" s="24" t="n">
        <f aca="false">J884/(1+H884)^1+K884/(1+H884)^2+L884/(1+H884)^3+M884/(1+H884)^4+N884/(1+H884)^5</f>
        <v>136.331922243453</v>
      </c>
      <c r="P884" s="24" t="n">
        <f aca="false">N884*(1+F884)/(H884-F884)</f>
        <v>612.358652205051</v>
      </c>
      <c r="Q884" s="24" t="n">
        <f aca="false">O884+P884/(1+H884)^5</f>
        <v>541.470413737603</v>
      </c>
      <c r="R884" s="24" t="n">
        <f aca="false">Q884-'DCF Base Case'!$B$5</f>
        <v>356.470413737603</v>
      </c>
      <c r="S884" s="32" t="n">
        <f aca="false">R884/'DCF Base Case'!$B$6</f>
        <v>14.2588165495041</v>
      </c>
    </row>
    <row r="885" customFormat="false" ht="15" hidden="false" customHeight="true" outlineLevel="0" collapsed="false">
      <c r="A885" s="6" t="n">
        <v>884</v>
      </c>
      <c r="B885" s="30" t="n">
        <v>0.103409561363146</v>
      </c>
      <c r="C885" s="30" t="n">
        <v>0.426658401658821</v>
      </c>
      <c r="D885" s="30" t="n">
        <v>0.0765697245187772</v>
      </c>
      <c r="E885" s="30" t="n">
        <v>0.26151371264167</v>
      </c>
      <c r="F885" s="30" t="n">
        <v>0.0228958982222902</v>
      </c>
      <c r="G885" s="30" t="n">
        <v>0.193536586306965</v>
      </c>
      <c r="H885" s="31" t="n">
        <f aca="false">MAX(D885,F885+0.015)</f>
        <v>0.0765697245187772</v>
      </c>
      <c r="I885" s="25" t="n">
        <f aca="false">(C885-'DCF Base Case'!$B$3)*(1-E885)+'DCF Base Case'!$B$3-G885</f>
        <v>0.155541575347714</v>
      </c>
      <c r="J885" s="24" t="n">
        <f aca="false">'DCF Base Case'!$B$2*(1+B885)^1*$I885-'DCF Base Case'!$B$2*(1+B885)^0*B885*'DCF Base Case'!$B$4</f>
        <v>24.4359473151526</v>
      </c>
      <c r="K885" s="24" t="n">
        <f aca="false">'DCF Base Case'!$B$2*(1+B885)^2*$I885-'DCF Base Case'!$B$2*(1+B885)^1*B885*'DCF Base Case'!$B$4</f>
        <v>26.9628579085055</v>
      </c>
      <c r="L885" s="24" t="n">
        <f aca="false">'DCF Base Case'!$B$2*(1+B885)^3*$I885-'DCF Base Case'!$B$2*(1+B885)^2*B885*'DCF Base Case'!$B$4</f>
        <v>29.7510752179209</v>
      </c>
      <c r="M885" s="24" t="n">
        <f aca="false">'DCF Base Case'!$B$2*(1+B885)^4*$I885-'DCF Base Case'!$B$2*(1+B885)^3*B885*'DCF Base Case'!$B$4</f>
        <v>32.827620856288</v>
      </c>
      <c r="N885" s="24" t="n">
        <f aca="false">'DCF Base Case'!$B$2*(1+B885)^5*$I885-'DCF Base Case'!$B$2*(1+B885)^4*B885*'DCF Base Case'!$B$4</f>
        <v>36.2223107296325</v>
      </c>
      <c r="O885" s="24" t="n">
        <f aca="false">J885/(1+H885)^1+K885/(1+H885)^2+L885/(1+H885)^3+M885/(1+H885)^4+N885/(1+H885)^5</f>
        <v>119.291501403584</v>
      </c>
      <c r="P885" s="24" t="n">
        <f aca="false">N885*(1+F885)/(H885-F885)</f>
        <v>690.311379419942</v>
      </c>
      <c r="Q885" s="24" t="n">
        <f aca="false">O885+P885/(1+H885)^5</f>
        <v>596.638527066475</v>
      </c>
      <c r="R885" s="24" t="n">
        <f aca="false">Q885-'DCF Base Case'!$B$5</f>
        <v>411.638527066475</v>
      </c>
      <c r="S885" s="32" t="n">
        <f aca="false">R885/'DCF Base Case'!$B$6</f>
        <v>16.465541082659</v>
      </c>
    </row>
    <row r="886" customFormat="false" ht="15" hidden="false" customHeight="true" outlineLevel="0" collapsed="false">
      <c r="A886" s="6" t="n">
        <v>885</v>
      </c>
      <c r="B886" s="30" t="n">
        <v>0.121937791808659</v>
      </c>
      <c r="C886" s="30" t="n">
        <v>0.452722476425316</v>
      </c>
      <c r="D886" s="30" t="n">
        <v>0.0864808137995486</v>
      </c>
      <c r="E886" s="30" t="n">
        <v>0.271517284258636</v>
      </c>
      <c r="F886" s="30" t="n">
        <v>0.0240947352150237</v>
      </c>
      <c r="G886" s="30" t="n">
        <v>0.18221893781135</v>
      </c>
      <c r="H886" s="31" t="n">
        <f aca="false">MAX(D886,F886+0.015)</f>
        <v>0.0864808137995486</v>
      </c>
      <c r="I886" s="25" t="n">
        <f aca="false">(C886-'DCF Base Case'!$B$3)*(1-E886)+'DCF Base Case'!$B$3-G886</f>
        <v>0.182878808245743</v>
      </c>
      <c r="J886" s="24" t="n">
        <f aca="false">'DCF Base Case'!$B$2*(1+B886)^1*$I886-'DCF Base Case'!$B$2*(1+B886)^0*B886*'DCF Base Case'!$B$4</f>
        <v>29.2204743179473</v>
      </c>
      <c r="K886" s="24" t="n">
        <f aca="false">'DCF Base Case'!$B$2*(1+B886)^2*$I886-'DCF Base Case'!$B$2*(1+B886)^1*B886*'DCF Base Case'!$B$4</f>
        <v>32.7835544318795</v>
      </c>
      <c r="L886" s="24" t="n">
        <f aca="false">'DCF Base Case'!$B$2*(1+B886)^3*$I886-'DCF Base Case'!$B$2*(1+B886)^2*B886*'DCF Base Case'!$B$4</f>
        <v>36.7811086669418</v>
      </c>
      <c r="M886" s="24" t="n">
        <f aca="false">'DCF Base Case'!$B$2*(1+B886)^4*$I886-'DCF Base Case'!$B$2*(1+B886)^3*B886*'DCF Base Case'!$B$4</f>
        <v>41.266115838063</v>
      </c>
      <c r="N886" s="24" t="n">
        <f aca="false">'DCF Base Case'!$B$2*(1+B886)^5*$I886-'DCF Base Case'!$B$2*(1+B886)^4*B886*'DCF Base Case'!$B$4</f>
        <v>46.2980148798768</v>
      </c>
      <c r="O886" s="24" t="n">
        <f aca="false">J886/(1+H886)^1+K886/(1+H886)^2+L886/(1+H886)^3+M886/(1+H886)^4+N886/(1+H886)^5</f>
        <v>143.541147372777</v>
      </c>
      <c r="P886" s="24" t="n">
        <f aca="false">N886*(1+F886)/(H886-F886)</f>
        <v>760.002140944787</v>
      </c>
      <c r="Q886" s="24" t="n">
        <f aca="false">O886+P886/(1+H886)^5</f>
        <v>645.542061731738</v>
      </c>
      <c r="R886" s="24" t="n">
        <f aca="false">Q886-'DCF Base Case'!$B$5</f>
        <v>460.542061731738</v>
      </c>
      <c r="S886" s="32" t="n">
        <f aca="false">R886/'DCF Base Case'!$B$6</f>
        <v>18.4216824692695</v>
      </c>
    </row>
    <row r="887" customFormat="false" ht="15" hidden="false" customHeight="true" outlineLevel="0" collapsed="false">
      <c r="A887" s="6" t="n">
        <v>886</v>
      </c>
      <c r="B887" s="30" t="n">
        <v>0.0685427580352633</v>
      </c>
      <c r="C887" s="30" t="n">
        <v>0.383842016271448</v>
      </c>
      <c r="D887" s="30" t="n">
        <v>0.0904112322149194</v>
      </c>
      <c r="E887" s="30" t="n">
        <v>0.274856794260526</v>
      </c>
      <c r="F887" s="30" t="n">
        <v>0.0192549991993778</v>
      </c>
      <c r="G887" s="30" t="n">
        <v>0.190837667980698</v>
      </c>
      <c r="H887" s="31" t="n">
        <f aca="false">MAX(D887,F887+0.015)</f>
        <v>0.0904112322149194</v>
      </c>
      <c r="I887" s="25" t="n">
        <f aca="false">(C887-'DCF Base Case'!$B$3)*(1-E887)+'DCF Base Case'!$B$3-G887</f>
        <v>0.123234145449752</v>
      </c>
      <c r="J887" s="24" t="n">
        <f aca="false">'DCF Base Case'!$B$2*(1+B887)^1*$I887-'DCF Base Case'!$B$2*(1+B887)^0*B887*'DCF Base Case'!$B$4</f>
        <v>18.7955772836811</v>
      </c>
      <c r="K887" s="24" t="n">
        <f aca="false">'DCF Base Case'!$B$2*(1+B887)^2*$I887-'DCF Base Case'!$B$2*(1+B887)^1*B887*'DCF Base Case'!$B$4</f>
        <v>20.0838779895695</v>
      </c>
      <c r="L887" s="24" t="n">
        <f aca="false">'DCF Base Case'!$B$2*(1+B887)^3*$I887-'DCF Base Case'!$B$2*(1+B887)^2*B887*'DCF Base Case'!$B$4</f>
        <v>21.4604823790183</v>
      </c>
      <c r="M887" s="24" t="n">
        <f aca="false">'DCF Base Case'!$B$2*(1+B887)^4*$I887-'DCF Base Case'!$B$2*(1+B887)^3*B887*'DCF Base Case'!$B$4</f>
        <v>22.9314430300434</v>
      </c>
      <c r="N887" s="24" t="n">
        <f aca="false">'DCF Base Case'!$B$2*(1+B887)^5*$I887-'DCF Base Case'!$B$2*(1+B887)^4*B887*'DCF Base Case'!$B$4</f>
        <v>24.5032273810511</v>
      </c>
      <c r="O887" s="24" t="n">
        <f aca="false">J887/(1+H887)^1+K887/(1+H887)^2+L887/(1+H887)^3+M887/(1+H887)^4+N887/(1+H887)^5</f>
        <v>82.7974128093108</v>
      </c>
      <c r="P887" s="24" t="n">
        <f aca="false">N887*(1+F887)/(H887-F887)</f>
        <v>350.988746118706</v>
      </c>
      <c r="Q887" s="24" t="n">
        <f aca="false">O887+P887/(1+H887)^5</f>
        <v>310.486181962743</v>
      </c>
      <c r="R887" s="24" t="n">
        <f aca="false">Q887-'DCF Base Case'!$B$5</f>
        <v>125.486181962743</v>
      </c>
      <c r="S887" s="32" t="n">
        <f aca="false">R887/'DCF Base Case'!$B$6</f>
        <v>5.01944727850972</v>
      </c>
    </row>
    <row r="888" customFormat="false" ht="15" hidden="false" customHeight="true" outlineLevel="0" collapsed="false">
      <c r="A888" s="6" t="n">
        <v>887</v>
      </c>
      <c r="B888" s="30" t="n">
        <v>0.106539936603129</v>
      </c>
      <c r="C888" s="30" t="n">
        <v>0.443833297871312</v>
      </c>
      <c r="D888" s="30" t="n">
        <v>0.063753102829893</v>
      </c>
      <c r="E888" s="30" t="n">
        <v>0.287073013356824</v>
      </c>
      <c r="F888" s="30" t="n">
        <v>0.0218452837792432</v>
      </c>
      <c r="G888" s="30" t="n">
        <v>0.13592884340718</v>
      </c>
      <c r="H888" s="31" t="n">
        <f aca="false">MAX(D888,F888+0.015)</f>
        <v>0.063753102829893</v>
      </c>
      <c r="I888" s="25" t="n">
        <f aca="false">(C888-'DCF Base Case'!$B$3)*(1-E888)+'DCF Base Case'!$B$3-G888</f>
        <v>0.217811383952505</v>
      </c>
      <c r="J888" s="24" t="n">
        <f aca="false">'DCF Base Case'!$B$2*(1+B888)^1*$I888-'DCF Base Case'!$B$2*(1+B888)^0*B888*'DCF Base Case'!$B$4</f>
        <v>34.4840155493618</v>
      </c>
      <c r="K888" s="24" t="n">
        <f aca="false">'DCF Base Case'!$B$2*(1+B888)^2*$I888-'DCF Base Case'!$B$2*(1+B888)^1*B888*'DCF Base Case'!$B$4</f>
        <v>38.1579403798121</v>
      </c>
      <c r="L888" s="24" t="n">
        <f aca="false">'DCF Base Case'!$B$2*(1+B888)^3*$I888-'DCF Base Case'!$B$2*(1+B888)^2*B888*'DCF Base Case'!$B$4</f>
        <v>42.2232849287833</v>
      </c>
      <c r="M888" s="24" t="n">
        <f aca="false">'DCF Base Case'!$B$2*(1+B888)^4*$I888-'DCF Base Case'!$B$2*(1+B888)^3*B888*'DCF Base Case'!$B$4</f>
        <v>46.7217510282717</v>
      </c>
      <c r="N888" s="24" t="n">
        <f aca="false">'DCF Base Case'!$B$2*(1+B888)^5*$I888-'DCF Base Case'!$B$2*(1+B888)^4*B888*'DCF Base Case'!$B$4</f>
        <v>51.699483420811</v>
      </c>
      <c r="O888" s="24" t="n">
        <f aca="false">J888/(1+H888)^1+K888/(1+H888)^2+L888/(1+H888)^3+M888/(1+H888)^4+N888/(1+H888)^5</f>
        <v>175.660713777265</v>
      </c>
      <c r="P888" s="24" t="n">
        <f aca="false">N888*(1+F888)/(H888-F888)</f>
        <v>1260.59705573153</v>
      </c>
      <c r="Q888" s="24" t="n">
        <f aca="false">O888+P888/(1+H888)^5</f>
        <v>1101.15147784573</v>
      </c>
      <c r="R888" s="24" t="n">
        <f aca="false">Q888-'DCF Base Case'!$B$5</f>
        <v>916.151477845731</v>
      </c>
      <c r="S888" s="32" t="n">
        <f aca="false">R888/'DCF Base Case'!$B$6</f>
        <v>36.6460591138293</v>
      </c>
    </row>
    <row r="889" customFormat="false" ht="15" hidden="false" customHeight="true" outlineLevel="0" collapsed="false">
      <c r="A889" s="6" t="n">
        <v>888</v>
      </c>
      <c r="B889" s="30" t="n">
        <v>0.0757957730302654</v>
      </c>
      <c r="C889" s="30" t="n">
        <v>0.390465065497359</v>
      </c>
      <c r="D889" s="30" t="n">
        <v>0.0852386798816591</v>
      </c>
      <c r="E889" s="30" t="n">
        <v>0.327359296024885</v>
      </c>
      <c r="F889" s="30" t="n">
        <v>0.0258179017500882</v>
      </c>
      <c r="G889" s="30" t="n">
        <v>0.148826385085343</v>
      </c>
      <c r="H889" s="31" t="n">
        <f aca="false">MAX(D889,F889+0.015)</f>
        <v>0.0852386798816591</v>
      </c>
      <c r="I889" s="25" t="n">
        <f aca="false">(C889-'DCF Base Case'!$B$3)*(1-E889)+'DCF Base Case'!$B$3-G889</f>
        <v>0.156373019931725</v>
      </c>
      <c r="J889" s="24" t="n">
        <f aca="false">'DCF Base Case'!$B$2*(1+B889)^1*$I889-'DCF Base Case'!$B$2*(1+B889)^0*B889*'DCF Base Case'!$B$4</f>
        <v>24.0629762968048</v>
      </c>
      <c r="K889" s="24" t="n">
        <f aca="false">'DCF Base Case'!$B$2*(1+B889)^2*$I889-'DCF Base Case'!$B$2*(1+B889)^1*B889*'DCF Base Case'!$B$4</f>
        <v>25.8868481866301</v>
      </c>
      <c r="L889" s="24" t="n">
        <f aca="false">'DCF Base Case'!$B$2*(1+B889)^3*$I889-'DCF Base Case'!$B$2*(1+B889)^2*B889*'DCF Base Case'!$B$4</f>
        <v>27.8489618562528</v>
      </c>
      <c r="M889" s="24" t="n">
        <f aca="false">'DCF Base Case'!$B$2*(1+B889)^4*$I889-'DCF Base Case'!$B$2*(1+B889)^3*B889*'DCF Base Case'!$B$4</f>
        <v>29.9597954482379</v>
      </c>
      <c r="N889" s="24" t="n">
        <f aca="false">'DCF Base Case'!$B$2*(1+B889)^5*$I889-'DCF Base Case'!$B$2*(1+B889)^4*B889*'DCF Base Case'!$B$4</f>
        <v>32.2306213040657</v>
      </c>
      <c r="O889" s="24" t="n">
        <f aca="false">J889/(1+H889)^1+K889/(1+H889)^2+L889/(1+H889)^3+M889/(1+H889)^4+N889/(1+H889)^5</f>
        <v>108.952296890372</v>
      </c>
      <c r="P889" s="24" t="n">
        <f aca="false">N889*(1+F889)/(H889-F889)</f>
        <v>556.417289673152</v>
      </c>
      <c r="Q889" s="24" t="n">
        <f aca="false">O889+P889/(1+H889)^5</f>
        <v>478.588324552013</v>
      </c>
      <c r="R889" s="24" t="n">
        <f aca="false">Q889-'DCF Base Case'!$B$5</f>
        <v>293.588324552013</v>
      </c>
      <c r="S889" s="32" t="n">
        <f aca="false">R889/'DCF Base Case'!$B$6</f>
        <v>11.7435329820805</v>
      </c>
    </row>
    <row r="890" customFormat="false" ht="15" hidden="false" customHeight="true" outlineLevel="0" collapsed="false">
      <c r="A890" s="6" t="n">
        <v>889</v>
      </c>
      <c r="B890" s="30" t="n">
        <v>0.10131857405173</v>
      </c>
      <c r="C890" s="30" t="n">
        <v>0.429045152468948</v>
      </c>
      <c r="D890" s="30" t="n">
        <v>0.0892638834866622</v>
      </c>
      <c r="E890" s="30" t="n">
        <v>0.291561608164975</v>
      </c>
      <c r="F890" s="30" t="n">
        <v>0.0204316273164672</v>
      </c>
      <c r="G890" s="30" t="n">
        <v>0.20343252171566</v>
      </c>
      <c r="H890" s="31" t="n">
        <f aca="false">MAX(D890,F890+0.015)</f>
        <v>0.0892638834866622</v>
      </c>
      <c r="I890" s="25" t="n">
        <f aca="false">(C890-'DCF Base Case'!$B$3)*(1-E890)+'DCF Base Case'!$B$3-G890</f>
        <v>0.138422545185501</v>
      </c>
      <c r="J890" s="24" t="n">
        <f aca="false">'DCF Base Case'!$B$2*(1+B890)^1*$I890-'DCF Base Case'!$B$2*(1+B890)^0*B890*'DCF Base Case'!$B$4</f>
        <v>21.6641256145196</v>
      </c>
      <c r="K890" s="24" t="n">
        <f aca="false">'DCF Base Case'!$B$2*(1+B890)^2*$I890-'DCF Base Case'!$B$2*(1+B890)^1*B890*'DCF Base Case'!$B$4</f>
        <v>23.8591039298602</v>
      </c>
      <c r="L890" s="24" t="n">
        <f aca="false">'DCF Base Case'!$B$2*(1+B890)^3*$I890-'DCF Base Case'!$B$2*(1+B890)^2*B890*'DCF Base Case'!$B$4</f>
        <v>26.2764743181857</v>
      </c>
      <c r="M890" s="24" t="n">
        <f aca="false">'DCF Base Case'!$B$2*(1+B890)^4*$I890-'DCF Base Case'!$B$2*(1+B890)^3*B890*'DCF Base Case'!$B$4</f>
        <v>28.9387692272112</v>
      </c>
      <c r="N890" s="24" t="n">
        <f aca="false">'DCF Base Case'!$B$2*(1+B890)^5*$I890-'DCF Base Case'!$B$2*(1+B890)^4*B890*'DCF Base Case'!$B$4</f>
        <v>31.8708040601243</v>
      </c>
      <c r="O890" s="24" t="n">
        <f aca="false">J890/(1+H890)^1+K890/(1+H890)^2+L890/(1+H890)^3+M890/(1+H890)^4+N890/(1+H890)^5</f>
        <v>101.66943049254</v>
      </c>
      <c r="P890" s="24" t="n">
        <f aca="false">N890*(1+F890)/(H890-F890)</f>
        <v>472.481627952786</v>
      </c>
      <c r="Q890" s="24" t="n">
        <f aca="false">O890+P890/(1+H890)^5</f>
        <v>409.789087497642</v>
      </c>
      <c r="R890" s="24" t="n">
        <f aca="false">Q890-'DCF Base Case'!$B$5</f>
        <v>224.789087497642</v>
      </c>
      <c r="S890" s="32" t="n">
        <f aca="false">R890/'DCF Base Case'!$B$6</f>
        <v>8.99156349990569</v>
      </c>
    </row>
    <row r="891" customFormat="false" ht="15" hidden="false" customHeight="true" outlineLevel="0" collapsed="false">
      <c r="A891" s="6" t="n">
        <v>890</v>
      </c>
      <c r="B891" s="30" t="n">
        <v>0.114006784130592</v>
      </c>
      <c r="C891" s="30" t="n">
        <v>0.400386678231648</v>
      </c>
      <c r="D891" s="30" t="n">
        <v>0.093752931889686</v>
      </c>
      <c r="E891" s="30" t="n">
        <v>0.3070773422854</v>
      </c>
      <c r="F891" s="30" t="n">
        <v>0.0204713718607655</v>
      </c>
      <c r="G891" s="30" t="n">
        <v>0.192185802966835</v>
      </c>
      <c r="H891" s="31" t="n">
        <f aca="false">MAX(D891,F891+0.015)</f>
        <v>0.093752931889686</v>
      </c>
      <c r="I891" s="25" t="n">
        <f aca="false">(C891-'DCF Base Case'!$B$3)*(1-E891)+'DCF Base Case'!$B$3-G891</f>
        <v>0.125171252724061</v>
      </c>
      <c r="J891" s="24" t="n">
        <f aca="false">'DCF Base Case'!$B$2*(1+B891)^1*$I891-'DCF Base Case'!$B$2*(1+B891)^0*B891*'DCF Base Case'!$B$4</f>
        <v>19.7231060723776</v>
      </c>
      <c r="K891" s="24" t="n">
        <f aca="false">'DCF Base Case'!$B$2*(1+B891)^2*$I891-'DCF Base Case'!$B$2*(1+B891)^1*B891*'DCF Base Case'!$B$4</f>
        <v>21.9716739687559</v>
      </c>
      <c r="L891" s="24" t="n">
        <f aca="false">'DCF Base Case'!$B$2*(1+B891)^3*$I891-'DCF Base Case'!$B$2*(1+B891)^2*B891*'DCF Base Case'!$B$4</f>
        <v>24.4765938598996</v>
      </c>
      <c r="M891" s="24" t="n">
        <f aca="false">'DCF Base Case'!$B$2*(1+B891)^4*$I891-'DCF Base Case'!$B$2*(1+B891)^3*B891*'DCF Base Case'!$B$4</f>
        <v>27.2670916123374</v>
      </c>
      <c r="N891" s="24" t="n">
        <f aca="false">'DCF Base Case'!$B$2*(1+B891)^5*$I891-'DCF Base Case'!$B$2*(1+B891)^4*B891*'DCF Base Case'!$B$4</f>
        <v>30.3757250396542</v>
      </c>
      <c r="O891" s="24" t="n">
        <f aca="false">J891/(1+H891)^1+K891/(1+H891)^2+L891/(1+H891)^3+M891/(1+H891)^4+N891/(1+H891)^5</f>
        <v>93.5641541652979</v>
      </c>
      <c r="P891" s="24" t="n">
        <f aca="false">N891*(1+F891)/(H891-F891)</f>
        <v>422.992602644487</v>
      </c>
      <c r="Q891" s="24" t="n">
        <f aca="false">O891+P891/(1+H891)^5</f>
        <v>363.79605833964</v>
      </c>
      <c r="R891" s="24" t="n">
        <f aca="false">Q891-'DCF Base Case'!$B$5</f>
        <v>178.79605833964</v>
      </c>
      <c r="S891" s="32" t="n">
        <f aca="false">R891/'DCF Base Case'!$B$6</f>
        <v>7.15184233358559</v>
      </c>
    </row>
    <row r="892" customFormat="false" ht="15" hidden="false" customHeight="true" outlineLevel="0" collapsed="false">
      <c r="A892" s="6" t="n">
        <v>891</v>
      </c>
      <c r="B892" s="30" t="n">
        <v>0.0938800852263945</v>
      </c>
      <c r="C892" s="30" t="n">
        <v>0.420005155636275</v>
      </c>
      <c r="D892" s="30" t="n">
        <v>0.0863336459914475</v>
      </c>
      <c r="E892" s="30" t="n">
        <v>0.246922602942565</v>
      </c>
      <c r="F892" s="30" t="n">
        <v>0.0190494770772555</v>
      </c>
      <c r="G892" s="30" t="n">
        <v>0.151748186003009</v>
      </c>
      <c r="H892" s="31" t="n">
        <f aca="false">MAX(D892,F892+0.015)</f>
        <v>0.0863336459914475</v>
      </c>
      <c r="I892" s="25" t="n">
        <f aca="false">(C892-'DCF Base Case'!$B$3)*(1-E892)+'DCF Base Case'!$B$3-G892</f>
        <v>0.196648141736793</v>
      </c>
      <c r="J892" s="24" t="n">
        <f aca="false">'DCF Base Case'!$B$2*(1+B892)^1*$I892-'DCF Base Case'!$B$2*(1+B892)^0*B892*'DCF Base Case'!$B$4</f>
        <v>30.7824971054502</v>
      </c>
      <c r="K892" s="24" t="n">
        <f aca="false">'DCF Base Case'!$B$2*(1+B892)^2*$I892-'DCF Base Case'!$B$2*(1+B892)^1*B892*'DCF Base Case'!$B$4</f>
        <v>33.6723605571912</v>
      </c>
      <c r="L892" s="24" t="n">
        <f aca="false">'DCF Base Case'!$B$2*(1+B892)^3*$I892-'DCF Base Case'!$B$2*(1+B892)^2*B892*'DCF Base Case'!$B$4</f>
        <v>36.8335246360742</v>
      </c>
      <c r="M892" s="24" t="n">
        <f aca="false">'DCF Base Case'!$B$2*(1+B892)^4*$I892-'DCF Base Case'!$B$2*(1+B892)^3*B892*'DCF Base Case'!$B$4</f>
        <v>40.2914590680973</v>
      </c>
      <c r="N892" s="24" t="n">
        <f aca="false">'DCF Base Case'!$B$2*(1+B892)^5*$I892-'DCF Base Case'!$B$2*(1+B892)^4*B892*'DCF Base Case'!$B$4</f>
        <v>44.0740246793061</v>
      </c>
      <c r="O892" s="24" t="n">
        <f aca="false">J892/(1+H892)^1+K892/(1+H892)^2+L892/(1+H892)^3+M892/(1+H892)^4+N892/(1+H892)^5</f>
        <v>143.662825520762</v>
      </c>
      <c r="P892" s="24" t="n">
        <f aca="false">N892*(1+F892)/(H892-F892)</f>
        <v>667.521239051278</v>
      </c>
      <c r="Q892" s="24" t="n">
        <f aca="false">O892+P892/(1+H892)^5</f>
        <v>584.876470372743</v>
      </c>
      <c r="R892" s="24" t="n">
        <f aca="false">Q892-'DCF Base Case'!$B$5</f>
        <v>399.876470372743</v>
      </c>
      <c r="S892" s="32" t="n">
        <f aca="false">R892/'DCF Base Case'!$B$6</f>
        <v>15.9950588149097</v>
      </c>
    </row>
    <row r="893" customFormat="false" ht="15" hidden="false" customHeight="true" outlineLevel="0" collapsed="false">
      <c r="A893" s="6" t="n">
        <v>892</v>
      </c>
      <c r="B893" s="30" t="n">
        <v>0.0642613599180343</v>
      </c>
      <c r="C893" s="30" t="n">
        <v>0.433415163889616</v>
      </c>
      <c r="D893" s="30" t="n">
        <v>0.090546282703879</v>
      </c>
      <c r="E893" s="30" t="n">
        <v>0.278811509113994</v>
      </c>
      <c r="F893" s="30" t="n">
        <v>0.0170758857150024</v>
      </c>
      <c r="G893" s="30" t="n">
        <v>0.172028115254601</v>
      </c>
      <c r="H893" s="31" t="n">
        <f aca="false">MAX(D893,F893+0.015)</f>
        <v>0.090546282703879</v>
      </c>
      <c r="I893" s="25" t="n">
        <f aca="false">(C893-'DCF Base Case'!$B$3)*(1-E893)+'DCF Base Case'!$B$3-G893</f>
        <v>0.176791408902881</v>
      </c>
      <c r="J893" s="24" t="n">
        <f aca="false">'DCF Base Case'!$B$2*(1+B893)^1*$I893-'DCF Base Case'!$B$2*(1+B893)^0*B893*'DCF Base Case'!$B$4</f>
        <v>27.0025415471734</v>
      </c>
      <c r="K893" s="24" t="n">
        <f aca="false">'DCF Base Case'!$B$2*(1+B893)^2*$I893-'DCF Base Case'!$B$2*(1+B893)^1*B893*'DCF Base Case'!$B$4</f>
        <v>28.737761588238</v>
      </c>
      <c r="L893" s="24" t="n">
        <f aca="false">'DCF Base Case'!$B$2*(1+B893)^3*$I893-'DCF Base Case'!$B$2*(1+B893)^2*B893*'DCF Base Case'!$B$4</f>
        <v>30.5844892288984</v>
      </c>
      <c r="M893" s="24" t="n">
        <f aca="false">'DCF Base Case'!$B$2*(1+B893)^4*$I893-'DCF Base Case'!$B$2*(1+B893)^3*B893*'DCF Base Case'!$B$4</f>
        <v>32.5498900991459</v>
      </c>
      <c r="N893" s="24" t="n">
        <f aca="false">'DCF Base Case'!$B$2*(1+B893)^5*$I893-'DCF Base Case'!$B$2*(1+B893)^4*B893*'DCF Base Case'!$B$4</f>
        <v>34.6415903020996</v>
      </c>
      <c r="O893" s="24" t="n">
        <f aca="false">J893/(1+H893)^1+K893/(1+H893)^2+L893/(1+H893)^3+M893/(1+H893)^4+N893/(1+H893)^5</f>
        <v>117.977017178167</v>
      </c>
      <c r="P893" s="24" t="n">
        <f aca="false">N893*(1+F893)/(H893-F893)</f>
        <v>479.555407117488</v>
      </c>
      <c r="Q893" s="24" t="n">
        <f aca="false">O893+P893/(1+H893)^5</f>
        <v>428.875271483353</v>
      </c>
      <c r="R893" s="24" t="n">
        <f aca="false">Q893-'DCF Base Case'!$B$5</f>
        <v>243.875271483353</v>
      </c>
      <c r="S893" s="32" t="n">
        <f aca="false">R893/'DCF Base Case'!$B$6</f>
        <v>9.75501085933412</v>
      </c>
    </row>
    <row r="894" customFormat="false" ht="15" hidden="false" customHeight="true" outlineLevel="0" collapsed="false">
      <c r="A894" s="6" t="n">
        <v>893</v>
      </c>
      <c r="B894" s="30" t="n">
        <v>0.111650719439978</v>
      </c>
      <c r="C894" s="30" t="n">
        <v>0.404796224912906</v>
      </c>
      <c r="D894" s="30" t="n">
        <v>0.0849468879049573</v>
      </c>
      <c r="E894" s="30" t="n">
        <v>0.306324815380959</v>
      </c>
      <c r="F894" s="30" t="n">
        <v>0.0121507932803243</v>
      </c>
      <c r="G894" s="30" t="n">
        <v>0.163984591472069</v>
      </c>
      <c r="H894" s="31" t="n">
        <f aca="false">MAX(D894,F894+0.015)</f>
        <v>0.0849468879049573</v>
      </c>
      <c r="I894" s="25" t="n">
        <f aca="false">(C894-'DCF Base Case'!$B$3)*(1-E894)+'DCF Base Case'!$B$3-G894</f>
        <v>0.156634730577007</v>
      </c>
      <c r="J894" s="24" t="n">
        <f aca="false">'DCF Base Case'!$B$2*(1+B894)^1*$I894-'DCF Base Case'!$B$2*(1+B894)^0*B894*'DCF Base Case'!$B$4</f>
        <v>24.7621704560425</v>
      </c>
      <c r="K894" s="24" t="n">
        <f aca="false">'DCF Base Case'!$B$2*(1+B894)^2*$I894-'DCF Base Case'!$B$2*(1+B894)^1*B894*'DCF Base Case'!$B$4</f>
        <v>27.526884602355</v>
      </c>
      <c r="L894" s="24" t="n">
        <f aca="false">'DCF Base Case'!$B$2*(1+B894)^3*$I894-'DCF Base Case'!$B$2*(1+B894)^2*B894*'DCF Base Case'!$B$4</f>
        <v>30.6002810721492</v>
      </c>
      <c r="M894" s="24" t="n">
        <f aca="false">'DCF Base Case'!$B$2*(1+B894)^4*$I894-'DCF Base Case'!$B$2*(1+B894)^3*B894*'DCF Base Case'!$B$4</f>
        <v>34.0168244689202</v>
      </c>
      <c r="N894" s="24" t="n">
        <f aca="false">'DCF Base Case'!$B$2*(1+B894)^5*$I894-'DCF Base Case'!$B$2*(1+B894)^4*B894*'DCF Base Case'!$B$4</f>
        <v>37.8148273939386</v>
      </c>
      <c r="O894" s="24" t="n">
        <f aca="false">J894/(1+H894)^1+K894/(1+H894)^2+L894/(1+H894)^3+M894/(1+H894)^4+N894/(1+H894)^5</f>
        <v>119.874474214659</v>
      </c>
      <c r="P894" s="24" t="n">
        <f aca="false">N894*(1+F894)/(H894-F894)</f>
        <v>525.774188050771</v>
      </c>
      <c r="Q894" s="24" t="n">
        <f aca="false">O894+P894/(1+H894)^5</f>
        <v>469.623786592726</v>
      </c>
      <c r="R894" s="24" t="n">
        <f aca="false">Q894-'DCF Base Case'!$B$5</f>
        <v>284.623786592726</v>
      </c>
      <c r="S894" s="32" t="n">
        <f aca="false">R894/'DCF Base Case'!$B$6</f>
        <v>11.384951463709</v>
      </c>
    </row>
    <row r="895" customFormat="false" ht="15" hidden="false" customHeight="true" outlineLevel="0" collapsed="false">
      <c r="A895" s="6" t="n">
        <v>894</v>
      </c>
      <c r="B895" s="30" t="n">
        <v>0.080856798578397</v>
      </c>
      <c r="C895" s="30" t="n">
        <v>0.408461599416152</v>
      </c>
      <c r="D895" s="30" t="n">
        <v>0.0794820858799091</v>
      </c>
      <c r="E895" s="30" t="n">
        <v>0.28360603425987</v>
      </c>
      <c r="F895" s="30" t="n">
        <v>0.0256105325999783</v>
      </c>
      <c r="G895" s="30" t="n">
        <v>0.158626331143843</v>
      </c>
      <c r="H895" s="31" t="n">
        <f aca="false">MAX(D895,F895+0.015)</f>
        <v>0.0794820858799091</v>
      </c>
      <c r="I895" s="25" t="n">
        <f aca="false">(C895-'DCF Base Case'!$B$3)*(1-E895)+'DCF Base Case'!$B$3-G895</f>
        <v>0.170861878368234</v>
      </c>
      <c r="J895" s="24" t="n">
        <f aca="false">'DCF Base Case'!$B$2*(1+B895)^1*$I895-'DCF Base Case'!$B$2*(1+B895)^0*B895*'DCF Base Case'!$B$4</f>
        <v>26.4264702397501</v>
      </c>
      <c r="K895" s="24" t="n">
        <f aca="false">'DCF Base Case'!$B$2*(1+B895)^2*$I895-'DCF Base Case'!$B$2*(1+B895)^1*B895*'DCF Base Case'!$B$4</f>
        <v>28.5632300210636</v>
      </c>
      <c r="L895" s="24" t="n">
        <f aca="false">'DCF Base Case'!$B$2*(1+B895)^3*$I895-'DCF Base Case'!$B$2*(1+B895)^2*B895*'DCF Base Case'!$B$4</f>
        <v>30.8727613576252</v>
      </c>
      <c r="M895" s="24" t="n">
        <f aca="false">'DCF Base Case'!$B$2*(1+B895)^4*$I895-'DCF Base Case'!$B$2*(1+B895)^3*B895*'DCF Base Case'!$B$4</f>
        <v>33.3690340042776</v>
      </c>
      <c r="N895" s="24" t="n">
        <f aca="false">'DCF Base Case'!$B$2*(1+B895)^5*$I895-'DCF Base Case'!$B$2*(1+B895)^4*B895*'DCF Base Case'!$B$4</f>
        <v>36.0671472655172</v>
      </c>
      <c r="O895" s="24" t="n">
        <f aca="false">J895/(1+H895)^1+K895/(1+H895)^2+L895/(1+H895)^3+M895/(1+H895)^4+N895/(1+H895)^5</f>
        <v>122.715625380869</v>
      </c>
      <c r="P895" s="24" t="n">
        <f aca="false">N895*(1+F895)/(H895-F895)</f>
        <v>686.648961542555</v>
      </c>
      <c r="Q895" s="24" t="n">
        <f aca="false">O895+P895/(1+H895)^5</f>
        <v>591.159505685864</v>
      </c>
      <c r="R895" s="24" t="n">
        <f aca="false">Q895-'DCF Base Case'!$B$5</f>
        <v>406.159505685864</v>
      </c>
      <c r="S895" s="32" t="n">
        <f aca="false">R895/'DCF Base Case'!$B$6</f>
        <v>16.2463802274346</v>
      </c>
    </row>
    <row r="896" customFormat="false" ht="15" hidden="false" customHeight="true" outlineLevel="0" collapsed="false">
      <c r="A896" s="6" t="n">
        <v>895</v>
      </c>
      <c r="B896" s="30" t="n">
        <v>0.0961107191013567</v>
      </c>
      <c r="C896" s="30" t="n">
        <v>0.450124693692442</v>
      </c>
      <c r="D896" s="30" t="n">
        <v>0.0789498286379019</v>
      </c>
      <c r="E896" s="30" t="n">
        <v>0.331442241870781</v>
      </c>
      <c r="F896" s="30" t="n">
        <v>0.0193739865273781</v>
      </c>
      <c r="G896" s="30" t="n">
        <v>0.205023402643598</v>
      </c>
      <c r="H896" s="31" t="n">
        <f aca="false">MAX(D896,F896+0.015)</f>
        <v>0.0789498286379019</v>
      </c>
      <c r="I896" s="25" t="n">
        <f aca="false">(C896-'DCF Base Case'!$B$3)*(1-E896)+'DCF Base Case'!$B$3-G896</f>
        <v>0.138998444893224</v>
      </c>
      <c r="J896" s="24" t="n">
        <f aca="false">'DCF Base Case'!$B$2*(1+B896)^1*$I896-'DCF Base Case'!$B$2*(1+B896)^0*B896*'DCF Base Case'!$B$4</f>
        <v>21.673782752862</v>
      </c>
      <c r="K896" s="24" t="n">
        <f aca="false">'DCF Base Case'!$B$2*(1+B896)^2*$I896-'DCF Base Case'!$B$2*(1+B896)^1*B896*'DCF Base Case'!$B$4</f>
        <v>23.7568655988861</v>
      </c>
      <c r="L896" s="24" t="n">
        <f aca="false">'DCF Base Case'!$B$2*(1+B896)^3*$I896-'DCF Base Case'!$B$2*(1+B896)^2*B896*'DCF Base Case'!$B$4</f>
        <v>26.0401550351894</v>
      </c>
      <c r="M896" s="24" t="n">
        <f aca="false">'DCF Base Case'!$B$2*(1+B896)^4*$I896-'DCF Base Case'!$B$2*(1+B896)^3*B896*'DCF Base Case'!$B$4</f>
        <v>28.5428930611322</v>
      </c>
      <c r="N896" s="24" t="n">
        <f aca="false">'DCF Base Case'!$B$2*(1+B896)^5*$I896-'DCF Base Case'!$B$2*(1+B896)^4*B896*'DCF Base Case'!$B$4</f>
        <v>31.2861710384708</v>
      </c>
      <c r="O896" s="24" t="n">
        <f aca="false">J896/(1+H896)^1+K896/(1+H896)^2+L896/(1+H896)^3+M896/(1+H896)^4+N896/(1+H896)^5</f>
        <v>103.685483248287</v>
      </c>
      <c r="P896" s="24" t="n">
        <f aca="false">N896*(1+F896)/(H896-F896)</f>
        <v>535.322838332649</v>
      </c>
      <c r="Q896" s="24" t="n">
        <f aca="false">O896+P896/(1+H896)^5</f>
        <v>469.793737076705</v>
      </c>
      <c r="R896" s="24" t="n">
        <f aca="false">Q896-'DCF Base Case'!$B$5</f>
        <v>284.793737076705</v>
      </c>
      <c r="S896" s="32" t="n">
        <f aca="false">R896/'DCF Base Case'!$B$6</f>
        <v>11.3917494830682</v>
      </c>
    </row>
    <row r="897" customFormat="false" ht="15" hidden="false" customHeight="true" outlineLevel="0" collapsed="false">
      <c r="A897" s="6" t="n">
        <v>896</v>
      </c>
      <c r="B897" s="30" t="n">
        <v>0.106342401252081</v>
      </c>
      <c r="C897" s="30" t="n">
        <v>0.425878302240312</v>
      </c>
      <c r="D897" s="30" t="n">
        <v>0.0842780624992476</v>
      </c>
      <c r="E897" s="30" t="n">
        <v>0.264773078397223</v>
      </c>
      <c r="F897" s="30" t="n">
        <v>0.0196325654860324</v>
      </c>
      <c r="G897" s="30" t="n">
        <v>0.186704681803598</v>
      </c>
      <c r="H897" s="31" t="n">
        <f aca="false">MAX(D897,F897+0.015)</f>
        <v>0.0842780624992476</v>
      </c>
      <c r="I897" s="25" t="n">
        <f aca="false">(C897-'DCF Base Case'!$B$3)*(1-E897)+'DCF Base Case'!$B$3-G897</f>
        <v>0.160833011521603</v>
      </c>
      <c r="J897" s="24" t="n">
        <f aca="false">'DCF Base Case'!$B$2*(1+B897)^1*$I897-'DCF Base Case'!$B$2*(1+B897)^0*B897*'DCF Base Case'!$B$4</f>
        <v>25.3381856788284</v>
      </c>
      <c r="K897" s="24" t="n">
        <f aca="false">'DCF Base Case'!$B$2*(1+B897)^2*$I897-'DCF Base Case'!$B$2*(1+B897)^1*B897*'DCF Base Case'!$B$4</f>
        <v>28.0327091872861</v>
      </c>
      <c r="L897" s="24" t="n">
        <f aca="false">'DCF Base Case'!$B$2*(1+B897)^3*$I897-'DCF Base Case'!$B$2*(1+B897)^2*B897*'DCF Base Case'!$B$4</f>
        <v>31.0137747958634</v>
      </c>
      <c r="M897" s="24" t="n">
        <f aca="false">'DCF Base Case'!$B$2*(1+B897)^4*$I897-'DCF Base Case'!$B$2*(1+B897)^3*B897*'DCF Base Case'!$B$4</f>
        <v>34.3118540795468</v>
      </c>
      <c r="N897" s="24" t="n">
        <f aca="false">'DCF Base Case'!$B$2*(1+B897)^5*$I897-'DCF Base Case'!$B$2*(1+B897)^4*B897*'DCF Base Case'!$B$4</f>
        <v>37.9606590337768</v>
      </c>
      <c r="O897" s="24" t="n">
        <f aca="false">J897/(1+H897)^1+K897/(1+H897)^2+L897/(1+H897)^3+M897/(1+H897)^4+N897/(1+H897)^5</f>
        <v>121.696713903472</v>
      </c>
      <c r="P897" s="24" t="n">
        <f aca="false">N897*(1+F897)/(H897-F897)</f>
        <v>598.741226326063</v>
      </c>
      <c r="Q897" s="24" t="n">
        <f aca="false">O897+P897/(1+H897)^5</f>
        <v>521.214213735058</v>
      </c>
      <c r="R897" s="24" t="n">
        <f aca="false">Q897-'DCF Base Case'!$B$5</f>
        <v>336.214213735058</v>
      </c>
      <c r="S897" s="32" t="n">
        <f aca="false">R897/'DCF Base Case'!$B$6</f>
        <v>13.4485685494023</v>
      </c>
    </row>
    <row r="898" customFormat="false" ht="15" hidden="false" customHeight="true" outlineLevel="0" collapsed="false">
      <c r="A898" s="6" t="n">
        <v>897</v>
      </c>
      <c r="B898" s="30" t="n">
        <v>0.0897377847155993</v>
      </c>
      <c r="C898" s="30" t="n">
        <v>0.407852059032686</v>
      </c>
      <c r="D898" s="30" t="n">
        <v>0.0822413921240445</v>
      </c>
      <c r="E898" s="30" t="n">
        <v>0.310140532410444</v>
      </c>
      <c r="F898" s="30" t="n">
        <v>0.023695889445421</v>
      </c>
      <c r="G898" s="30" t="n">
        <v>0.151770300501387</v>
      </c>
      <c r="H898" s="31" t="n">
        <f aca="false">MAX(D898,F898+0.015)</f>
        <v>0.0822413921240445</v>
      </c>
      <c r="I898" s="25" t="n">
        <f aca="false">(C898-'DCF Base Case'!$B$3)*(1-E898)+'DCF Base Case'!$B$3-G898</f>
        <v>0.169908573011564</v>
      </c>
      <c r="J898" s="24" t="n">
        <f aca="false">'DCF Base Case'!$B$2*(1+B898)^1*$I898-'DCF Base Case'!$B$2*(1+B898)^0*B898*'DCF Base Case'!$B$4</f>
        <v>26.4572304703696</v>
      </c>
      <c r="K898" s="24" t="n">
        <f aca="false">'DCF Base Case'!$B$2*(1+B898)^2*$I898-'DCF Base Case'!$B$2*(1+B898)^1*B898*'DCF Base Case'!$B$4</f>
        <v>28.8314437224906</v>
      </c>
      <c r="L898" s="24" t="n">
        <f aca="false">'DCF Base Case'!$B$2*(1+B898)^3*$I898-'DCF Base Case'!$B$2*(1+B898)^2*B898*'DCF Base Case'!$B$4</f>
        <v>31.4187136122994</v>
      </c>
      <c r="M898" s="24" t="n">
        <f aca="false">'DCF Base Case'!$B$2*(1+B898)^4*$I898-'DCF Base Case'!$B$2*(1+B898)^3*B898*'DCF Base Case'!$B$4</f>
        <v>34.238159370481</v>
      </c>
      <c r="N898" s="24" t="n">
        <f aca="false">'DCF Base Case'!$B$2*(1+B898)^5*$I898-'DCF Base Case'!$B$2*(1+B898)^4*B898*'DCF Base Case'!$B$4</f>
        <v>37.3106159451276</v>
      </c>
      <c r="O898" s="24" t="n">
        <f aca="false">J898/(1+H898)^1+K898/(1+H898)^2+L898/(1+H898)^3+M898/(1+H898)^4+N898/(1+H898)^5</f>
        <v>123.938625906151</v>
      </c>
      <c r="P898" s="24" t="n">
        <f aca="false">N898*(1+F898)/(H898-F898)</f>
        <v>652.393820672579</v>
      </c>
      <c r="Q898" s="24" t="n">
        <f aca="false">O898+P898/(1+H898)^5</f>
        <v>563.368053927584</v>
      </c>
      <c r="R898" s="24" t="n">
        <f aca="false">Q898-'DCF Base Case'!$B$5</f>
        <v>378.368053927584</v>
      </c>
      <c r="S898" s="32" t="n">
        <f aca="false">R898/'DCF Base Case'!$B$6</f>
        <v>15.1347221571033</v>
      </c>
    </row>
    <row r="899" customFormat="false" ht="15" hidden="false" customHeight="true" outlineLevel="0" collapsed="false">
      <c r="A899" s="6" t="n">
        <v>898</v>
      </c>
      <c r="B899" s="30" t="n">
        <v>0.0754879705124115</v>
      </c>
      <c r="C899" s="30" t="n">
        <v>0.417356594990433</v>
      </c>
      <c r="D899" s="30" t="n">
        <v>0.10180285271233</v>
      </c>
      <c r="E899" s="30" t="n">
        <v>0.314695526446907</v>
      </c>
      <c r="F899" s="30" t="n">
        <v>0.0142929681524271</v>
      </c>
      <c r="G899" s="30" t="n">
        <v>0.159792496277434</v>
      </c>
      <c r="H899" s="31" t="n">
        <f aca="false">MAX(D899,F899+0.015)</f>
        <v>0.10180285271233</v>
      </c>
      <c r="I899" s="25" t="n">
        <f aca="false">(C899-'DCF Base Case'!$B$3)*(1-E899)+'DCF Base Case'!$B$3-G899</f>
        <v>0.167134263774494</v>
      </c>
      <c r="J899" s="24" t="n">
        <f aca="false">'DCF Base Case'!$B$2*(1+B899)^1*$I899-'DCF Base Case'!$B$2*(1+B899)^0*B899*'DCF Base Case'!$B$4</f>
        <v>25.7355064000089</v>
      </c>
      <c r="K899" s="24" t="n">
        <f aca="false">'DCF Base Case'!$B$2*(1+B899)^2*$I899-'DCF Base Case'!$B$2*(1+B899)^1*B899*'DCF Base Case'!$B$4</f>
        <v>27.6782275482548</v>
      </c>
      <c r="L899" s="24" t="n">
        <f aca="false">'DCF Base Case'!$B$2*(1+B899)^3*$I899-'DCF Base Case'!$B$2*(1+B899)^2*B899*'DCF Base Case'!$B$4</f>
        <v>29.7676007732532</v>
      </c>
      <c r="M899" s="24" t="n">
        <f aca="false">'DCF Base Case'!$B$2*(1+B899)^4*$I899-'DCF Base Case'!$B$2*(1+B899)^3*B899*'DCF Base Case'!$B$4</f>
        <v>32.0146965426498</v>
      </c>
      <c r="N899" s="24" t="n">
        <f aca="false">'DCF Base Case'!$B$2*(1+B899)^5*$I899-'DCF Base Case'!$B$2*(1+B899)^4*B899*'DCF Base Case'!$B$4</f>
        <v>34.4314210112252</v>
      </c>
      <c r="O899" s="24" t="n">
        <f aca="false">J899/(1+H899)^1+K899/(1+H899)^2+L899/(1+H899)^3+M899/(1+H899)^4+N899/(1+H899)^5</f>
        <v>111.341202340835</v>
      </c>
      <c r="P899" s="24" t="n">
        <f aca="false">N899*(1+F899)/(H899-F899)</f>
        <v>399.081182552301</v>
      </c>
      <c r="Q899" s="24" t="n">
        <f aca="false">O899+P899/(1+H899)^5</f>
        <v>357.118513135135</v>
      </c>
      <c r="R899" s="24" t="n">
        <f aca="false">Q899-'DCF Base Case'!$B$5</f>
        <v>172.118513135135</v>
      </c>
      <c r="S899" s="32" t="n">
        <f aca="false">R899/'DCF Base Case'!$B$6</f>
        <v>6.88474052540542</v>
      </c>
    </row>
    <row r="900" customFormat="false" ht="15" hidden="false" customHeight="true" outlineLevel="0" collapsed="false">
      <c r="A900" s="6" t="n">
        <v>899</v>
      </c>
      <c r="B900" s="30" t="n">
        <v>0.0696672662652082</v>
      </c>
      <c r="C900" s="30" t="n">
        <v>0.401148877684717</v>
      </c>
      <c r="D900" s="30" t="n">
        <v>0.102648509956389</v>
      </c>
      <c r="E900" s="30" t="n">
        <v>0.253051327572659</v>
      </c>
      <c r="F900" s="30" t="n">
        <v>0.013037955210159</v>
      </c>
      <c r="G900" s="30" t="n">
        <v>0.148543186218806</v>
      </c>
      <c r="H900" s="31" t="n">
        <f aca="false">MAX(D900,F900+0.015)</f>
        <v>0.102648509956389</v>
      </c>
      <c r="I900" s="25" t="n">
        <f aca="false">(C900-'DCF Base Case'!$B$3)*(1-E900)+'DCF Base Case'!$B$3-G900</f>
        <v>0.183991107997957</v>
      </c>
      <c r="J900" s="24" t="n">
        <f aca="false">'DCF Base Case'!$B$2*(1+B900)^1*$I900-'DCF Base Case'!$B$2*(1+B900)^0*B900*'DCF Base Case'!$B$4</f>
        <v>28.2342908905921</v>
      </c>
      <c r="K900" s="24" t="n">
        <f aca="false">'DCF Base Case'!$B$2*(1+B900)^2*$I900-'DCF Base Case'!$B$2*(1+B900)^1*B900*'DCF Base Case'!$B$4</f>
        <v>30.2012967518763</v>
      </c>
      <c r="L900" s="24" t="n">
        <f aca="false">'DCF Base Case'!$B$2*(1+B900)^3*$I900-'DCF Base Case'!$B$2*(1+B900)^2*B900*'DCF Base Case'!$B$4</f>
        <v>32.3053385342439</v>
      </c>
      <c r="M900" s="24" t="n">
        <f aca="false">'DCF Base Case'!$B$2*(1+B900)^4*$I900-'DCF Base Case'!$B$2*(1+B900)^3*B900*'DCF Base Case'!$B$4</f>
        <v>34.5559631556967</v>
      </c>
      <c r="N900" s="24" t="n">
        <f aca="false">'DCF Base Case'!$B$2*(1+B900)^5*$I900-'DCF Base Case'!$B$2*(1+B900)^4*B900*'DCF Base Case'!$B$4</f>
        <v>36.9633826419154</v>
      </c>
      <c r="O900" s="24" t="n">
        <f aca="false">J900/(1+H900)^1+K900/(1+H900)^2+L900/(1+H900)^3+M900/(1+H900)^4+N900/(1+H900)^5</f>
        <v>120.596147127851</v>
      </c>
      <c r="P900" s="24" t="n">
        <f aca="false">N900*(1+F900)/(H900-F900)</f>
        <v>417.867177312525</v>
      </c>
      <c r="Q900" s="24" t="n">
        <f aca="false">O900+P900/(1+H900)^5</f>
        <v>376.957635786465</v>
      </c>
      <c r="R900" s="24" t="n">
        <f aca="false">Q900-'DCF Base Case'!$B$5</f>
        <v>191.957635786465</v>
      </c>
      <c r="S900" s="32" t="n">
        <f aca="false">R900/'DCF Base Case'!$B$6</f>
        <v>7.67830543145858</v>
      </c>
    </row>
    <row r="901" customFormat="false" ht="15" hidden="false" customHeight="true" outlineLevel="0" collapsed="false">
      <c r="A901" s="6" t="n">
        <v>900</v>
      </c>
      <c r="B901" s="30" t="n">
        <v>0.0960149313668104</v>
      </c>
      <c r="C901" s="30" t="n">
        <v>0.428529157810007</v>
      </c>
      <c r="D901" s="30" t="n">
        <v>0.0898119327834769</v>
      </c>
      <c r="E901" s="30" t="n">
        <v>0.315552691865749</v>
      </c>
      <c r="F901" s="30" t="n">
        <v>0.012610561198188</v>
      </c>
      <c r="G901" s="30" t="n">
        <v>0.193465069366516</v>
      </c>
      <c r="H901" s="31" t="n">
        <f aca="false">MAX(D901,F901+0.015)</f>
        <v>0.0898119327834769</v>
      </c>
      <c r="I901" s="25" t="n">
        <f aca="false">(C901-'DCF Base Case'!$B$3)*(1-E901)+'DCF Base Case'!$B$3-G901</f>
        <v>0.140862409096128</v>
      </c>
      <c r="J901" s="24" t="n">
        <f aca="false">'DCF Base Case'!$B$2*(1+B901)^1*$I901-'DCF Base Case'!$B$2*(1+B901)^0*B901*'DCF Base Case'!$B$4</f>
        <v>21.9684940760146</v>
      </c>
      <c r="K901" s="24" t="n">
        <f aca="false">'DCF Base Case'!$B$2*(1+B901)^2*$I901-'DCF Base Case'!$B$2*(1+B901)^1*B901*'DCF Base Case'!$B$4</f>
        <v>24.0777975269553</v>
      </c>
      <c r="L901" s="24" t="n">
        <f aca="false">'DCF Base Case'!$B$2*(1+B901)^3*$I901-'DCF Base Case'!$B$2*(1+B901)^2*B901*'DCF Base Case'!$B$4</f>
        <v>26.3896256039699</v>
      </c>
      <c r="M901" s="24" t="n">
        <f aca="false">'DCF Base Case'!$B$2*(1+B901)^4*$I901-'DCF Base Case'!$B$2*(1+B901)^3*B901*'DCF Base Case'!$B$4</f>
        <v>28.9234236951309</v>
      </c>
      <c r="N901" s="24" t="n">
        <f aca="false">'DCF Base Case'!$B$2*(1+B901)^5*$I901-'DCF Base Case'!$B$2*(1+B901)^4*B901*'DCF Base Case'!$B$4</f>
        <v>31.700504236112</v>
      </c>
      <c r="O901" s="24" t="n">
        <f aca="false">J901/(1+H901)^1+K901/(1+H901)^2+L901/(1+H901)^3+M901/(1+H901)^4+N901/(1+H901)^5</f>
        <v>101.944205725553</v>
      </c>
      <c r="P901" s="24" t="n">
        <f aca="false">N901*(1+F901)/(H901-F901)</f>
        <v>415.799159077529</v>
      </c>
      <c r="Q901" s="24" t="n">
        <f aca="false">O901+P901/(1+H901)^5</f>
        <v>372.418385459638</v>
      </c>
      <c r="R901" s="24" t="n">
        <f aca="false">Q901-'DCF Base Case'!$B$5</f>
        <v>187.418385459638</v>
      </c>
      <c r="S901" s="32" t="n">
        <f aca="false">R901/'DCF Base Case'!$B$6</f>
        <v>7.4967354183855</v>
      </c>
    </row>
    <row r="902" customFormat="false" ht="15" hidden="false" customHeight="true" outlineLevel="0" collapsed="false">
      <c r="A902" s="6" t="n">
        <v>901</v>
      </c>
      <c r="B902" s="30" t="n">
        <v>0.0834444496770305</v>
      </c>
      <c r="C902" s="30" t="n">
        <v>0.426395850522057</v>
      </c>
      <c r="D902" s="30" t="n">
        <v>0.0704423203056048</v>
      </c>
      <c r="E902" s="30" t="n">
        <v>0.279783025815104</v>
      </c>
      <c r="F902" s="30" t="n">
        <v>0.0201946779035243</v>
      </c>
      <c r="G902" s="30" t="n">
        <v>0.192735572322414</v>
      </c>
      <c r="H902" s="31" t="n">
        <f aca="false">MAX(D902,F902+0.015)</f>
        <v>0.0704423203056048</v>
      </c>
      <c r="I902" s="25" t="n">
        <f aca="false">(C902-'DCF Base Case'!$B$3)*(1-E902)+'DCF Base Case'!$B$3-G902</f>
        <v>0.150733750301541</v>
      </c>
      <c r="J902" s="24" t="n">
        <f aca="false">'DCF Base Case'!$B$2*(1+B902)^1*$I902-'DCF Base Case'!$B$2*(1+B902)^0*B902*'DCF Base Case'!$B$4</f>
        <v>23.31720518967</v>
      </c>
      <c r="K902" s="24" t="n">
        <f aca="false">'DCF Base Case'!$B$2*(1+B902)^2*$I902-'DCF Base Case'!$B$2*(1+B902)^1*B902*'DCF Base Case'!$B$4</f>
        <v>25.2628965447284</v>
      </c>
      <c r="L902" s="24" t="n">
        <f aca="false">'DCF Base Case'!$B$2*(1+B902)^3*$I902-'DCF Base Case'!$B$2*(1+B902)^2*B902*'DCF Base Case'!$B$4</f>
        <v>27.3709450441511</v>
      </c>
      <c r="M902" s="24" t="n">
        <f aca="false">'DCF Base Case'!$B$2*(1+B902)^4*$I902-'DCF Base Case'!$B$2*(1+B902)^3*B902*'DCF Base Case'!$B$4</f>
        <v>29.6548984905005</v>
      </c>
      <c r="N902" s="24" t="n">
        <f aca="false">'DCF Base Case'!$B$2*(1+B902)^5*$I902-'DCF Base Case'!$B$2*(1+B902)^4*B902*'DCF Base Case'!$B$4</f>
        <v>32.1294351752685</v>
      </c>
      <c r="O902" s="24" t="n">
        <f aca="false">J902/(1+H902)^1+K902/(1+H902)^2+L902/(1+H902)^3+M902/(1+H902)^4+N902/(1+H902)^5</f>
        <v>111.592058204649</v>
      </c>
      <c r="P902" s="24" t="n">
        <f aca="false">N902*(1+F902)/(H902-F902)</f>
        <v>652.334660949148</v>
      </c>
      <c r="Q902" s="24" t="n">
        <f aca="false">O902+P902/(1+H902)^5</f>
        <v>575.73751209678</v>
      </c>
      <c r="R902" s="24" t="n">
        <f aca="false">Q902-'DCF Base Case'!$B$5</f>
        <v>390.73751209678</v>
      </c>
      <c r="S902" s="32" t="n">
        <f aca="false">R902/'DCF Base Case'!$B$6</f>
        <v>15.6295004838712</v>
      </c>
    </row>
    <row r="903" customFormat="false" ht="15" hidden="false" customHeight="true" outlineLevel="0" collapsed="false">
      <c r="A903" s="6" t="n">
        <v>902</v>
      </c>
      <c r="B903" s="30" t="n">
        <v>0.0568009296234589</v>
      </c>
      <c r="C903" s="30" t="n">
        <v>0.402386301952054</v>
      </c>
      <c r="D903" s="30" t="n">
        <v>0.0730624117974364</v>
      </c>
      <c r="E903" s="30" t="n">
        <v>0.294905609568828</v>
      </c>
      <c r="F903" s="30" t="n">
        <v>0.0221446138158766</v>
      </c>
      <c r="G903" s="30" t="n">
        <v>0.195625733441937</v>
      </c>
      <c r="H903" s="31" t="n">
        <f aca="false">MAX(D903,F903+0.015)</f>
        <v>0.0730624117974364</v>
      </c>
      <c r="I903" s="25" t="n">
        <f aca="false">(C903-'DCF Base Case'!$B$3)*(1-E903)+'DCF Base Case'!$B$3-G903</f>
        <v>0.126432320094748</v>
      </c>
      <c r="J903" s="24" t="n">
        <f aca="false">'DCF Base Case'!$B$2*(1+B903)^1*$I903-'DCF Base Case'!$B$2*(1+B903)^0*B903*'DCF Base Case'!$B$4</f>
        <v>19.1269160006721</v>
      </c>
      <c r="K903" s="24" t="n">
        <f aca="false">'DCF Base Case'!$B$2*(1+B903)^2*$I903-'DCF Base Case'!$B$2*(1+B903)^1*B903*'DCF Base Case'!$B$4</f>
        <v>20.21334261034</v>
      </c>
      <c r="L903" s="24" t="n">
        <f aca="false">'DCF Base Case'!$B$2*(1+B903)^3*$I903-'DCF Base Case'!$B$2*(1+B903)^2*B903*'DCF Base Case'!$B$4</f>
        <v>21.3614792614048</v>
      </c>
      <c r="M903" s="24" t="n">
        <f aca="false">'DCF Base Case'!$B$2*(1+B903)^4*$I903-'DCF Base Case'!$B$2*(1+B903)^3*B903*'DCF Base Case'!$B$4</f>
        <v>22.5748311415849</v>
      </c>
      <c r="N903" s="24" t="n">
        <f aca="false">'DCF Base Case'!$B$2*(1+B903)^5*$I903-'DCF Base Case'!$B$2*(1+B903)^4*B903*'DCF Base Case'!$B$4</f>
        <v>23.8571025365195</v>
      </c>
      <c r="O903" s="24" t="n">
        <f aca="false">J903/(1+H903)^1+K903/(1+H903)^2+L903/(1+H903)^3+M903/(1+H903)^4+N903/(1+H903)^5</f>
        <v>86.4624715122619</v>
      </c>
      <c r="P903" s="24" t="n">
        <f aca="false">N903*(1+F903)/(H903-F903)</f>
        <v>478.917192526429</v>
      </c>
      <c r="Q903" s="24" t="n">
        <f aca="false">O903+P903/(1+H903)^5</f>
        <v>423.079061821132</v>
      </c>
      <c r="R903" s="24" t="n">
        <f aca="false">Q903-'DCF Base Case'!$B$5</f>
        <v>238.079061821132</v>
      </c>
      <c r="S903" s="32" t="n">
        <f aca="false">R903/'DCF Base Case'!$B$6</f>
        <v>9.52316247284529</v>
      </c>
    </row>
    <row r="904" customFormat="false" ht="15" hidden="false" customHeight="true" outlineLevel="0" collapsed="false">
      <c r="A904" s="6" t="n">
        <v>903</v>
      </c>
      <c r="B904" s="30" t="n">
        <v>0.0784912162067442</v>
      </c>
      <c r="C904" s="30" t="n">
        <v>0.428514454890641</v>
      </c>
      <c r="D904" s="30" t="n">
        <v>0.0999699174622476</v>
      </c>
      <c r="E904" s="30" t="n">
        <v>0.250505476186464</v>
      </c>
      <c r="F904" s="30" t="n">
        <v>0.021545353420098</v>
      </c>
      <c r="G904" s="30" t="n">
        <v>0.188165819338582</v>
      </c>
      <c r="H904" s="31" t="n">
        <f aca="false">MAX(D904,F904+0.015)</f>
        <v>0.0999699174622476</v>
      </c>
      <c r="I904" s="25" t="n">
        <f aca="false">(C904-'DCF Base Case'!$B$3)*(1-E904)+'DCF Base Case'!$B$3-G904</f>
        <v>0.165569129881136</v>
      </c>
      <c r="J904" s="24" t="n">
        <f aca="false">'DCF Base Case'!$B$2*(1+B904)^1*$I904-'DCF Base Case'!$B$2*(1+B904)^0*B904*'DCF Base Case'!$B$4</f>
        <v>25.5504667860115</v>
      </c>
      <c r="K904" s="24" t="n">
        <f aca="false">'DCF Base Case'!$B$2*(1+B904)^2*$I904-'DCF Base Case'!$B$2*(1+B904)^1*B904*'DCF Base Case'!$B$4</f>
        <v>27.5559539986956</v>
      </c>
      <c r="L904" s="24" t="n">
        <f aca="false">'DCF Base Case'!$B$2*(1+B904)^3*$I904-'DCF Base Case'!$B$2*(1+B904)^2*B904*'DCF Base Case'!$B$4</f>
        <v>29.7188543417903</v>
      </c>
      <c r="M904" s="24" t="n">
        <f aca="false">'DCF Base Case'!$B$2*(1+B904)^4*$I904-'DCF Base Case'!$B$2*(1+B904)^3*B904*'DCF Base Case'!$B$4</f>
        <v>32.0515233633485</v>
      </c>
      <c r="N904" s="24" t="n">
        <f aca="false">'DCF Base Case'!$B$2*(1+B904)^5*$I904-'DCF Base Case'!$B$2*(1+B904)^4*B904*'DCF Base Case'!$B$4</f>
        <v>34.5672864134166</v>
      </c>
      <c r="O904" s="24" t="n">
        <f aca="false">J904/(1+H904)^1+K904/(1+H904)^2+L904/(1+H904)^3+M904/(1+H904)^4+N904/(1+H904)^5</f>
        <v>111.693657786849</v>
      </c>
      <c r="P904" s="24" t="n">
        <f aca="false">N904*(1+F904)/(H904-F904)</f>
        <v>450.267734953411</v>
      </c>
      <c r="Q904" s="24" t="n">
        <f aca="false">O904+P904/(1+H904)^5</f>
        <v>391.312728192128</v>
      </c>
      <c r="R904" s="24" t="n">
        <f aca="false">Q904-'DCF Base Case'!$B$5</f>
        <v>206.312728192128</v>
      </c>
      <c r="S904" s="32" t="n">
        <f aca="false">R904/'DCF Base Case'!$B$6</f>
        <v>8.25250912768511</v>
      </c>
    </row>
    <row r="905" customFormat="false" ht="15" hidden="false" customHeight="true" outlineLevel="0" collapsed="false">
      <c r="A905" s="6" t="n">
        <v>904</v>
      </c>
      <c r="B905" s="30" t="n">
        <v>0.0846051106709376</v>
      </c>
      <c r="C905" s="30" t="n">
        <v>0.385729609140645</v>
      </c>
      <c r="D905" s="30" t="n">
        <v>0.0953725133172063</v>
      </c>
      <c r="E905" s="30" t="n">
        <v>0.255917385770774</v>
      </c>
      <c r="F905" s="30" t="n">
        <v>0.0186668397582295</v>
      </c>
      <c r="G905" s="30" t="n">
        <v>0.164358133259823</v>
      </c>
      <c r="H905" s="31" t="n">
        <f aca="false">MAX(D905,F905+0.015)</f>
        <v>0.0953725133172063</v>
      </c>
      <c r="I905" s="25" t="n">
        <f aca="false">(C905-'DCF Base Case'!$B$3)*(1-E905)+'DCF Base Case'!$B$3-G905</f>
        <v>0.155925822845366</v>
      </c>
      <c r="J905" s="24" t="n">
        <f aca="false">'DCF Base Case'!$B$2*(1+B905)^1*$I905-'DCF Base Case'!$B$2*(1+B905)^0*B905*'DCF Base Case'!$B$4</f>
        <v>24.1540696984115</v>
      </c>
      <c r="K905" s="24" t="n">
        <f aca="false">'DCF Base Case'!$B$2*(1+B905)^2*$I905-'DCF Base Case'!$B$2*(1+B905)^1*B905*'DCF Base Case'!$B$4</f>
        <v>26.1976274383991</v>
      </c>
      <c r="L905" s="24" t="n">
        <f aca="false">'DCF Base Case'!$B$2*(1+B905)^3*$I905-'DCF Base Case'!$B$2*(1+B905)^2*B905*'DCF Base Case'!$B$4</f>
        <v>28.4140806071409</v>
      </c>
      <c r="M905" s="24" t="n">
        <f aca="false">'DCF Base Case'!$B$2*(1+B905)^4*$I905-'DCF Base Case'!$B$2*(1+B905)^3*B905*'DCF Base Case'!$B$4</f>
        <v>30.818057041521</v>
      </c>
      <c r="N905" s="24" t="n">
        <f aca="false">'DCF Base Case'!$B$2*(1+B905)^5*$I905-'DCF Base Case'!$B$2*(1+B905)^4*B905*'DCF Base Case'!$B$4</f>
        <v>33.4254221681821</v>
      </c>
      <c r="O905" s="24" t="n">
        <f aca="false">J905/(1+H905)^1+K905/(1+H905)^2+L905/(1+H905)^3+M905/(1+H905)^4+N905/(1+H905)^5</f>
        <v>108.108657944453</v>
      </c>
      <c r="P905" s="24" t="n">
        <f aca="false">N905*(1+F905)/(H905-F905)</f>
        <v>443.896358480799</v>
      </c>
      <c r="Q905" s="24" t="n">
        <f aca="false">O905+P905/(1+H905)^5</f>
        <v>389.604761907633</v>
      </c>
      <c r="R905" s="24" t="n">
        <f aca="false">Q905-'DCF Base Case'!$B$5</f>
        <v>204.604761907633</v>
      </c>
      <c r="S905" s="32" t="n">
        <f aca="false">R905/'DCF Base Case'!$B$6</f>
        <v>8.1841904763053</v>
      </c>
    </row>
    <row r="906" customFormat="false" ht="15" hidden="false" customHeight="true" outlineLevel="0" collapsed="false">
      <c r="A906" s="6" t="n">
        <v>905</v>
      </c>
      <c r="B906" s="30" t="n">
        <v>0.105566127256428</v>
      </c>
      <c r="C906" s="30" t="n">
        <v>0.407003712540543</v>
      </c>
      <c r="D906" s="30" t="n">
        <v>0.0774695794228936</v>
      </c>
      <c r="E906" s="30" t="n">
        <v>0.282472475052229</v>
      </c>
      <c r="F906" s="30" t="n">
        <v>0.0229589431222693</v>
      </c>
      <c r="G906" s="30" t="n">
        <v>0.211844712636039</v>
      </c>
      <c r="H906" s="31" t="n">
        <f aca="false">MAX(D906,F906+0.015)</f>
        <v>0.0774695794228936</v>
      </c>
      <c r="I906" s="25" t="n">
        <f aca="false">(C906-'DCF Base Case'!$B$3)*(1-E906)+'DCF Base Case'!$B$3-G906</f>
        <v>0.116913075624521</v>
      </c>
      <c r="J906" s="24" t="n">
        <f aca="false">'DCF Base Case'!$B$2*(1+B906)^1*$I906-'DCF Base Case'!$B$2*(1+B906)^0*B906*'DCF Base Case'!$B$4</f>
        <v>18.2827821017912</v>
      </c>
      <c r="K906" s="24" t="n">
        <f aca="false">'DCF Base Case'!$B$2*(1+B906)^2*$I906-'DCF Base Case'!$B$2*(1+B906)^1*B906*'DCF Base Case'!$B$4</f>
        <v>20.2128246037505</v>
      </c>
      <c r="L906" s="24" t="n">
        <f aca="false">'DCF Base Case'!$B$2*(1+B906)^3*$I906-'DCF Base Case'!$B$2*(1+B906)^2*B906*'DCF Base Case'!$B$4</f>
        <v>22.3466142180819</v>
      </c>
      <c r="M906" s="24" t="n">
        <f aca="false">'DCF Base Case'!$B$2*(1+B906)^4*$I906-'DCF Base Case'!$B$2*(1+B906)^3*B906*'DCF Base Case'!$B$4</f>
        <v>24.7056597383782</v>
      </c>
      <c r="N906" s="24" t="n">
        <f aca="false">'DCF Base Case'!$B$2*(1+B906)^5*$I906-'DCF Base Case'!$B$2*(1+B906)^4*B906*'DCF Base Case'!$B$4</f>
        <v>27.3137405582738</v>
      </c>
      <c r="O906" s="24" t="n">
        <f aca="false">J906/(1+H906)^1+K906/(1+H906)^2+L906/(1+H906)^3+M906/(1+H906)^4+N906/(1+H906)^5</f>
        <v>89.3828983137772</v>
      </c>
      <c r="P906" s="24" t="n">
        <f aca="false">N906*(1+F906)/(H906-F906)</f>
        <v>512.575839696952</v>
      </c>
      <c r="Q906" s="24" t="n">
        <f aca="false">O906+P906/(1+H906)^5</f>
        <v>442.349037640699</v>
      </c>
      <c r="R906" s="24" t="n">
        <f aca="false">Q906-'DCF Base Case'!$B$5</f>
        <v>257.349037640699</v>
      </c>
      <c r="S906" s="32" t="n">
        <f aca="false">R906/'DCF Base Case'!$B$6</f>
        <v>10.2939615056279</v>
      </c>
    </row>
    <row r="907" customFormat="false" ht="15" hidden="false" customHeight="true" outlineLevel="0" collapsed="false">
      <c r="A907" s="6" t="n">
        <v>906</v>
      </c>
      <c r="B907" s="30" t="n">
        <v>0.0581443764853671</v>
      </c>
      <c r="C907" s="30" t="n">
        <v>0.409488352716549</v>
      </c>
      <c r="D907" s="30" t="n">
        <v>0.0730481147114228</v>
      </c>
      <c r="E907" s="30" t="n">
        <v>0.310935331748377</v>
      </c>
      <c r="F907" s="30" t="n">
        <v>0.0155178714703878</v>
      </c>
      <c r="G907" s="30" t="n">
        <v>0.15161959172904</v>
      </c>
      <c r="H907" s="31" t="n">
        <f aca="false">MAX(D907,F907+0.015)</f>
        <v>0.0730481147114228</v>
      </c>
      <c r="I907" s="25" t="n">
        <f aca="false">(C907-'DCF Base Case'!$B$3)*(1-E907)+'DCF Base Case'!$B$3-G907</f>
        <v>0.170965957315781</v>
      </c>
      <c r="J907" s="24" t="n">
        <f aca="false">'DCF Base Case'!$B$2*(1+B907)^1*$I907-'DCF Base Case'!$B$2*(1+B907)^0*B907*'DCF Base Case'!$B$4</f>
        <v>25.9785385763877</v>
      </c>
      <c r="K907" s="24" t="n">
        <f aca="false">'DCF Base Case'!$B$2*(1+B907)^2*$I907-'DCF Base Case'!$B$2*(1+B907)^1*B907*'DCF Base Case'!$B$4</f>
        <v>27.4890445039128</v>
      </c>
      <c r="L907" s="24" t="n">
        <f aca="false">'DCF Base Case'!$B$2*(1+B907)^3*$I907-'DCF Base Case'!$B$2*(1+B907)^2*B907*'DCF Base Case'!$B$4</f>
        <v>29.0873778567714</v>
      </c>
      <c r="M907" s="24" t="n">
        <f aca="false">'DCF Base Case'!$B$2*(1+B907)^4*$I907-'DCF Base Case'!$B$2*(1+B907)^3*B907*'DCF Base Case'!$B$4</f>
        <v>30.7786453058476</v>
      </c>
      <c r="N907" s="24" t="n">
        <f aca="false">'DCF Base Case'!$B$2*(1+B907)^5*$I907-'DCF Base Case'!$B$2*(1+B907)^4*B907*'DCF Base Case'!$B$4</f>
        <v>32.5682504462204</v>
      </c>
      <c r="O907" s="24" t="n">
        <f aca="false">J907/(1+H907)^1+K907/(1+H907)^2+L907/(1+H907)^3+M907/(1+H907)^4+N907/(1+H907)^5</f>
        <v>117.73401199784</v>
      </c>
      <c r="P907" s="24" t="n">
        <f aca="false">N907*(1+F907)/(H907-F907)</f>
        <v>574.891370302247</v>
      </c>
      <c r="Q907" s="24" t="n">
        <f aca="false">O907+P907/(1+H907)^5</f>
        <v>521.834905040301</v>
      </c>
      <c r="R907" s="24" t="n">
        <f aca="false">Q907-'DCF Base Case'!$B$5</f>
        <v>336.834905040301</v>
      </c>
      <c r="S907" s="32" t="n">
        <f aca="false">R907/'DCF Base Case'!$B$6</f>
        <v>13.473396201612</v>
      </c>
    </row>
    <row r="908" customFormat="false" ht="15" hidden="false" customHeight="true" outlineLevel="0" collapsed="false">
      <c r="A908" s="6" t="n">
        <v>907</v>
      </c>
      <c r="B908" s="30" t="n">
        <v>0.0772719596331329</v>
      </c>
      <c r="C908" s="30" t="n">
        <v>0.40841386901015</v>
      </c>
      <c r="D908" s="30" t="n">
        <v>0.0885551735654458</v>
      </c>
      <c r="E908" s="30" t="n">
        <v>0.294218648905383</v>
      </c>
      <c r="F908" s="30" t="n">
        <v>0.0193325956506079</v>
      </c>
      <c r="G908" s="30" t="n">
        <v>0.139160072012754</v>
      </c>
      <c r="H908" s="31" t="n">
        <f aca="false">MAX(D908,F908+0.015)</f>
        <v>0.0885551735654458</v>
      </c>
      <c r="I908" s="25" t="n">
        <f aca="false">(C908-'DCF Base Case'!$B$3)*(1-E908)+'DCF Base Case'!$B$3-G908</f>
        <v>0.187339244620709</v>
      </c>
      <c r="J908" s="24" t="n">
        <f aca="false">'DCF Base Case'!$B$2*(1+B908)^1*$I908-'DCF Base Case'!$B$2*(1+B908)^0*B908*'DCF Base Case'!$B$4</f>
        <v>28.9270876750635</v>
      </c>
      <c r="K908" s="24" t="n">
        <f aca="false">'DCF Base Case'!$B$2*(1+B908)^2*$I908-'DCF Base Case'!$B$2*(1+B908)^1*B908*'DCF Base Case'!$B$4</f>
        <v>31.1623404261951</v>
      </c>
      <c r="L908" s="24" t="n">
        <f aca="false">'DCF Base Case'!$B$2*(1+B908)^3*$I908-'DCF Base Case'!$B$2*(1+B908)^2*B908*'DCF Base Case'!$B$4</f>
        <v>33.570315537682</v>
      </c>
      <c r="M908" s="24" t="n">
        <f aca="false">'DCF Base Case'!$B$2*(1+B908)^4*$I908-'DCF Base Case'!$B$2*(1+B908)^3*B908*'DCF Base Case'!$B$4</f>
        <v>36.1643596047813</v>
      </c>
      <c r="N908" s="24" t="n">
        <f aca="false">'DCF Base Case'!$B$2*(1+B908)^5*$I908-'DCF Base Case'!$B$2*(1+B908)^4*B908*'DCF Base Case'!$B$4</f>
        <v>38.9588505403201</v>
      </c>
      <c r="O908" s="24" t="n">
        <f aca="false">J908/(1+H908)^1+K908/(1+H908)^2+L908/(1+H908)^3+M908/(1+H908)^4+N908/(1+H908)^5</f>
        <v>130.143126760508</v>
      </c>
      <c r="P908" s="24" t="n">
        <f aca="false">N908*(1+F908)/(H908-F908)</f>
        <v>573.686034832231</v>
      </c>
      <c r="Q908" s="24" t="n">
        <f aca="false">O908+P908/(1+H908)^5</f>
        <v>505.480704552025</v>
      </c>
      <c r="R908" s="24" t="n">
        <f aca="false">Q908-'DCF Base Case'!$B$5</f>
        <v>320.480704552025</v>
      </c>
      <c r="S908" s="32" t="n">
        <f aca="false">R908/'DCF Base Case'!$B$6</f>
        <v>12.819228182081</v>
      </c>
    </row>
    <row r="909" customFormat="false" ht="15" hidden="false" customHeight="true" outlineLevel="0" collapsed="false">
      <c r="A909" s="6" t="n">
        <v>908</v>
      </c>
      <c r="B909" s="30" t="n">
        <v>0.105840649015987</v>
      </c>
      <c r="C909" s="30" t="n">
        <v>0.419055531839699</v>
      </c>
      <c r="D909" s="30" t="n">
        <v>0.0977790826901617</v>
      </c>
      <c r="E909" s="30" t="n">
        <v>0.263233543798707</v>
      </c>
      <c r="F909" s="30" t="n">
        <v>0.0130896280157511</v>
      </c>
      <c r="G909" s="30" t="n">
        <v>0.164489363601932</v>
      </c>
      <c r="H909" s="31" t="n">
        <f aca="false">MAX(D909,F909+0.015)</f>
        <v>0.0977790826901617</v>
      </c>
      <c r="I909" s="25" t="n">
        <f aca="false">(C909-'DCF Base Case'!$B$3)*(1-E909)+'DCF Base Case'!$B$3-G909</f>
        <v>0.178477056236983</v>
      </c>
      <c r="J909" s="24" t="n">
        <f aca="false">'DCF Base Case'!$B$2*(1+B909)^1*$I909-'DCF Base Case'!$B$2*(1+B909)^0*B909*'DCF Base Case'!$B$4</f>
        <v>28.1578348137978</v>
      </c>
      <c r="K909" s="24" t="n">
        <f aca="false">'DCF Base Case'!$B$2*(1+B909)^2*$I909-'DCF Base Case'!$B$2*(1+B909)^1*B909*'DCF Base Case'!$B$4</f>
        <v>31.1380783253752</v>
      </c>
      <c r="L909" s="24" t="n">
        <f aca="false">'DCF Base Case'!$B$2*(1+B909)^3*$I909-'DCF Base Case'!$B$2*(1+B909)^2*B909*'DCF Base Case'!$B$4</f>
        <v>34.4337527444435</v>
      </c>
      <c r="M909" s="24" t="n">
        <f aca="false">'DCF Base Case'!$B$2*(1+B909)^4*$I909-'DCF Base Case'!$B$2*(1+B909)^3*B909*'DCF Base Case'!$B$4</f>
        <v>38.0782434829714</v>
      </c>
      <c r="N909" s="24" t="n">
        <f aca="false">'DCF Base Case'!$B$2*(1+B909)^5*$I909-'DCF Base Case'!$B$2*(1+B909)^4*B909*'DCF Base Case'!$B$4</f>
        <v>42.1084694865979</v>
      </c>
      <c r="O909" s="24" t="n">
        <f aca="false">J909/(1+H909)^1+K909/(1+H909)^2+L909/(1+H909)^3+M909/(1+H909)^4+N909/(1+H909)^5</f>
        <v>130.146578763108</v>
      </c>
      <c r="P909" s="24" t="n">
        <f aca="false">N909*(1+F909)/(H909-F909)</f>
        <v>503.718601713702</v>
      </c>
      <c r="Q909" s="24" t="n">
        <f aca="false">O909+P909/(1+H909)^5</f>
        <v>446.092848506754</v>
      </c>
      <c r="R909" s="24" t="n">
        <f aca="false">Q909-'DCF Base Case'!$B$5</f>
        <v>261.092848506754</v>
      </c>
      <c r="S909" s="32" t="n">
        <f aca="false">R909/'DCF Base Case'!$B$6</f>
        <v>10.4437139402702</v>
      </c>
    </row>
    <row r="910" customFormat="false" ht="15" hidden="false" customHeight="true" outlineLevel="0" collapsed="false">
      <c r="A910" s="6" t="n">
        <v>909</v>
      </c>
      <c r="B910" s="30" t="n">
        <v>0.117921062905774</v>
      </c>
      <c r="C910" s="30" t="n">
        <v>0.426966269665865</v>
      </c>
      <c r="D910" s="30" t="n">
        <v>0.0828036322090986</v>
      </c>
      <c r="E910" s="30" t="n">
        <v>0.260564819104422</v>
      </c>
      <c r="F910" s="30" t="n">
        <v>0.0252261456745478</v>
      </c>
      <c r="G910" s="30" t="n">
        <v>0.144625052148507</v>
      </c>
      <c r="H910" s="31" t="n">
        <f aca="false">MAX(D910,F910+0.015)</f>
        <v>0.0828036322090986</v>
      </c>
      <c r="I910" s="25" t="n">
        <f aca="false">(C910-'DCF Base Case'!$B$3)*(1-E910)+'DCF Base Case'!$B$3-G910</f>
        <v>0.204962255181757</v>
      </c>
      <c r="J910" s="24" t="n">
        <f aca="false">'DCF Base Case'!$B$2*(1+B910)^1*$I910-'DCF Base Case'!$B$2*(1+B910)^0*B910*'DCF Base Case'!$B$4</f>
        <v>32.7111285907712</v>
      </c>
      <c r="K910" s="24" t="n">
        <f aca="false">'DCF Base Case'!$B$2*(1+B910)^2*$I910-'DCF Base Case'!$B$2*(1+B910)^1*B910*'DCF Base Case'!$B$4</f>
        <v>36.5684596430424</v>
      </c>
      <c r="L910" s="24" t="n">
        <f aca="false">'DCF Base Case'!$B$2*(1+B910)^3*$I910-'DCF Base Case'!$B$2*(1+B910)^2*B910*'DCF Base Case'!$B$4</f>
        <v>40.8806512729769</v>
      </c>
      <c r="M910" s="24" t="n">
        <f aca="false">'DCF Base Case'!$B$2*(1+B910)^4*$I910-'DCF Base Case'!$B$2*(1+B910)^3*B910*'DCF Base Case'!$B$4</f>
        <v>45.7013411233666</v>
      </c>
      <c r="N910" s="24" t="n">
        <f aca="false">'DCF Base Case'!$B$2*(1+B910)^5*$I910-'DCF Base Case'!$B$2*(1+B910)^4*B910*'DCF Base Case'!$B$4</f>
        <v>51.0904918448534</v>
      </c>
      <c r="O910" s="24" t="n">
        <f aca="false">J910/(1+H910)^1+K910/(1+H910)^2+L910/(1+H910)^3+M910/(1+H910)^4+N910/(1+H910)^5</f>
        <v>161.168817018882</v>
      </c>
      <c r="P910" s="24" t="n">
        <f aca="false">N910*(1+F910)/(H910-F910)</f>
        <v>909.718558195215</v>
      </c>
      <c r="Q910" s="24" t="n">
        <f aca="false">O910+P910/(1+H910)^5</f>
        <v>772.333900803901</v>
      </c>
      <c r="R910" s="24" t="n">
        <f aca="false">Q910-'DCF Base Case'!$B$5</f>
        <v>587.333900803901</v>
      </c>
      <c r="S910" s="32" t="n">
        <f aca="false">R910/'DCF Base Case'!$B$6</f>
        <v>23.493356032156</v>
      </c>
    </row>
    <row r="911" customFormat="false" ht="15" hidden="false" customHeight="true" outlineLevel="0" collapsed="false">
      <c r="A911" s="6" t="n">
        <v>910</v>
      </c>
      <c r="B911" s="30" t="n">
        <v>0.0742129432713784</v>
      </c>
      <c r="C911" s="30" t="n">
        <v>0.420518171163411</v>
      </c>
      <c r="D911" s="30" t="n">
        <v>0.0645837724112453</v>
      </c>
      <c r="E911" s="30" t="n">
        <v>0.318343277053347</v>
      </c>
      <c r="F911" s="30" t="n">
        <v>0.0215885396957594</v>
      </c>
      <c r="G911" s="30" t="n">
        <v>0.186749604821513</v>
      </c>
      <c r="H911" s="31" t="n">
        <f aca="false">MAX(D911,F911+0.015)</f>
        <v>0.0645837724112453</v>
      </c>
      <c r="I911" s="25" t="n">
        <f aca="false">(C911-'DCF Base Case'!$B$3)*(1-E911)+'DCF Base Case'!$B$3-G911</f>
        <v>0.141284059690193</v>
      </c>
      <c r="J911" s="24" t="n">
        <f aca="false">'DCF Base Case'!$B$2*(1+B911)^1*$I911-'DCF Base Case'!$B$2*(1+B911)^0*B911*'DCF Base Case'!$B$4</f>
        <v>21.6837027083535</v>
      </c>
      <c r="K911" s="24" t="n">
        <f aca="false">'DCF Base Case'!$B$2*(1+B911)^2*$I911-'DCF Base Case'!$B$2*(1+B911)^1*B911*'DCF Base Case'!$B$4</f>
        <v>23.292914107362</v>
      </c>
      <c r="L911" s="24" t="n">
        <f aca="false">'DCF Base Case'!$B$2*(1+B911)^3*$I911-'DCF Base Case'!$B$2*(1+B911)^2*B911*'DCF Base Case'!$B$4</f>
        <v>25.0215498206367</v>
      </c>
      <c r="M911" s="24" t="n">
        <f aca="false">'DCF Base Case'!$B$2*(1+B911)^4*$I911-'DCF Base Case'!$B$2*(1+B911)^3*B911*'DCF Base Case'!$B$4</f>
        <v>26.8784726780376</v>
      </c>
      <c r="N911" s="24" t="n">
        <f aca="false">'DCF Base Case'!$B$2*(1+B911)^5*$I911-'DCF Base Case'!$B$2*(1+B911)^4*B911*'DCF Base Case'!$B$4</f>
        <v>28.8732032461141</v>
      </c>
      <c r="O911" s="24" t="n">
        <f aca="false">J911/(1+H911)^1+K911/(1+H911)^2+L911/(1+H911)^3+M911/(1+H911)^4+N911/(1+H911)^5</f>
        <v>103.700272133656</v>
      </c>
      <c r="P911" s="24" t="n">
        <f aca="false">N911*(1+F911)/(H911-F911)</f>
        <v>686.041955761123</v>
      </c>
      <c r="Q911" s="24" t="n">
        <f aca="false">O911+P911/(1+H911)^5</f>
        <v>605.40878136555</v>
      </c>
      <c r="R911" s="24" t="n">
        <f aca="false">Q911-'DCF Base Case'!$B$5</f>
        <v>420.40878136555</v>
      </c>
      <c r="S911" s="32" t="n">
        <f aca="false">R911/'DCF Base Case'!$B$6</f>
        <v>16.816351254622</v>
      </c>
    </row>
    <row r="912" customFormat="false" ht="15" hidden="false" customHeight="true" outlineLevel="0" collapsed="false">
      <c r="A912" s="6" t="n">
        <v>911</v>
      </c>
      <c r="B912" s="30" t="n">
        <v>0.102027494004449</v>
      </c>
      <c r="C912" s="30" t="n">
        <v>0.415733865421632</v>
      </c>
      <c r="D912" s="30" t="n">
        <v>0.0733053641882904</v>
      </c>
      <c r="E912" s="30" t="n">
        <v>0.275828387522086</v>
      </c>
      <c r="F912" s="30" t="n">
        <v>0.0153690098923116</v>
      </c>
      <c r="G912" s="30" t="n">
        <v>0.176634447284441</v>
      </c>
      <c r="H912" s="31" t="n">
        <f aca="false">MAX(D912,F912+0.015)</f>
        <v>0.0733053641882904</v>
      </c>
      <c r="I912" s="25" t="n">
        <f aca="false">(C912-'DCF Base Case'!$B$3)*(1-E912)+'DCF Base Case'!$B$3-G912</f>
        <v>0.16028590677749</v>
      </c>
      <c r="J912" s="24" t="n">
        <f aca="false">'DCF Base Case'!$B$2*(1+B912)^1*$I912-'DCF Base Case'!$B$2*(1+B912)^0*B912*'DCF Base Case'!$B$4</f>
        <v>25.1689044457636</v>
      </c>
      <c r="K912" s="24" t="n">
        <f aca="false">'DCF Base Case'!$B$2*(1+B912)^2*$I912-'DCF Base Case'!$B$2*(1+B912)^1*B912*'DCF Base Case'!$B$4</f>
        <v>27.7368246932023</v>
      </c>
      <c r="L912" s="24" t="n">
        <f aca="false">'DCF Base Case'!$B$2*(1+B912)^3*$I912-'DCF Base Case'!$B$2*(1+B912)^2*B912*'DCF Base Case'!$B$4</f>
        <v>30.5667434082905</v>
      </c>
      <c r="M912" s="24" t="n">
        <f aca="false">'DCF Base Case'!$B$2*(1+B912)^4*$I912-'DCF Base Case'!$B$2*(1+B912)^3*B912*'DCF Base Case'!$B$4</f>
        <v>33.6853916381154</v>
      </c>
      <c r="N912" s="24" t="n">
        <f aca="false">'DCF Base Case'!$B$2*(1+B912)^5*$I912-'DCF Base Case'!$B$2*(1+B912)^4*B912*'DCF Base Case'!$B$4</f>
        <v>37.1222277315107</v>
      </c>
      <c r="O912" s="24" t="n">
        <f aca="false">J912/(1+H912)^1+K912/(1+H912)^2+L912/(1+H912)^3+M912/(1+H912)^4+N912/(1+H912)^5</f>
        <v>123.694991307318</v>
      </c>
      <c r="P912" s="24" t="n">
        <f aca="false">N912*(1+F912)/(H912-F912)</f>
        <v>650.589083051039</v>
      </c>
      <c r="Q912" s="24" t="n">
        <f aca="false">O912+P912/(1+H912)^5</f>
        <v>580.45731327684</v>
      </c>
      <c r="R912" s="24" t="n">
        <f aca="false">Q912-'DCF Base Case'!$B$5</f>
        <v>395.45731327684</v>
      </c>
      <c r="S912" s="32" t="n">
        <f aca="false">R912/'DCF Base Case'!$B$6</f>
        <v>15.8182925310736</v>
      </c>
    </row>
    <row r="913" customFormat="false" ht="15" hidden="false" customHeight="true" outlineLevel="0" collapsed="false">
      <c r="A913" s="6" t="n">
        <v>912</v>
      </c>
      <c r="B913" s="30" t="n">
        <v>0.107604269516667</v>
      </c>
      <c r="C913" s="30" t="n">
        <v>0.446161023211411</v>
      </c>
      <c r="D913" s="30" t="n">
        <v>0.0890894440460815</v>
      </c>
      <c r="E913" s="30" t="n">
        <v>0.308069404471168</v>
      </c>
      <c r="F913" s="30" t="n">
        <v>0.0181887820171802</v>
      </c>
      <c r="G913" s="30" t="n">
        <v>0.155565516053481</v>
      </c>
      <c r="H913" s="31" t="n">
        <f aca="false">MAX(D913,F913+0.015)</f>
        <v>0.0890894440460815</v>
      </c>
      <c r="I913" s="25" t="n">
        <f aca="false">(C913-'DCF Base Case'!$B$3)*(1-E913)+'DCF Base Case'!$B$3-G913</f>
        <v>0.193195969020195</v>
      </c>
      <c r="J913" s="24" t="n">
        <f aca="false">'DCF Base Case'!$B$2*(1+B913)^1*$I913-'DCF Base Case'!$B$2*(1+B913)^0*B913*'DCF Base Case'!$B$4</f>
        <v>30.5597000479283</v>
      </c>
      <c r="K913" s="24" t="n">
        <f aca="false">'DCF Base Case'!$B$2*(1+B913)^2*$I913-'DCF Base Case'!$B$2*(1+B913)^1*B913*'DCF Base Case'!$B$4</f>
        <v>33.8480542482341</v>
      </c>
      <c r="L913" s="24" t="n">
        <f aca="false">'DCF Base Case'!$B$2*(1+B913)^3*$I913-'DCF Base Case'!$B$2*(1+B913)^2*B913*'DCF Base Case'!$B$4</f>
        <v>37.4902494001759</v>
      </c>
      <c r="M913" s="24" t="n">
        <f aca="false">'DCF Base Case'!$B$2*(1+B913)^4*$I913-'DCF Base Case'!$B$2*(1+B913)^3*B913*'DCF Base Case'!$B$4</f>
        <v>41.5243603008795</v>
      </c>
      <c r="N913" s="24" t="n">
        <f aca="false">'DCF Base Case'!$B$2*(1+B913)^5*$I913-'DCF Base Case'!$B$2*(1+B913)^4*B913*'DCF Base Case'!$B$4</f>
        <v>45.9925587582025</v>
      </c>
      <c r="O913" s="24" t="n">
        <f aca="false">J913/(1+H913)^1+K913/(1+H913)^2+L913/(1+H913)^3+M913/(1+H913)^4+N913/(1+H913)^5</f>
        <v>145.151355018212</v>
      </c>
      <c r="P913" s="24" t="n">
        <f aca="false">N913*(1+F913)/(H913-F913)</f>
        <v>660.489000297046</v>
      </c>
      <c r="Q913" s="24" t="n">
        <f aca="false">O913+P913/(1+H913)^5</f>
        <v>576.221401087916</v>
      </c>
      <c r="R913" s="24" t="n">
        <f aca="false">Q913-'DCF Base Case'!$B$5</f>
        <v>391.221401087916</v>
      </c>
      <c r="S913" s="32" t="n">
        <f aca="false">R913/'DCF Base Case'!$B$6</f>
        <v>15.6488560435166</v>
      </c>
    </row>
    <row r="914" customFormat="false" ht="15" hidden="false" customHeight="true" outlineLevel="0" collapsed="false">
      <c r="A914" s="6" t="n">
        <v>913</v>
      </c>
      <c r="B914" s="30" t="n">
        <v>0.100133538498121</v>
      </c>
      <c r="C914" s="30" t="n">
        <v>0.410331495940304</v>
      </c>
      <c r="D914" s="30" t="n">
        <v>0.0879610436771042</v>
      </c>
      <c r="E914" s="30" t="n">
        <v>0.257817486497934</v>
      </c>
      <c r="F914" s="30" t="n">
        <v>0.0157509208615023</v>
      </c>
      <c r="G914" s="30" t="n">
        <v>0.180307626543926</v>
      </c>
      <c r="H914" s="31" t="n">
        <f aca="false">MAX(D914,F914+0.015)</f>
        <v>0.0879610436771042</v>
      </c>
      <c r="I914" s="25" t="n">
        <f aca="false">(C914-'DCF Base Case'!$B$3)*(1-E914)+'DCF Base Case'!$B$3-G914</f>
        <v>0.157749507726843</v>
      </c>
      <c r="J914" s="24" t="n">
        <f aca="false">'DCF Base Case'!$B$2*(1+B914)^1*$I914-'DCF Base Case'!$B$2*(1+B914)^0*B914*'DCF Base Case'!$B$4</f>
        <v>24.7285201066541</v>
      </c>
      <c r="K914" s="24" t="n">
        <f aca="false">'DCF Base Case'!$B$2*(1+B914)^2*$I914-'DCF Base Case'!$B$2*(1+B914)^1*B914*'DCF Base Case'!$B$4</f>
        <v>27.2046743267553</v>
      </c>
      <c r="L914" s="24" t="n">
        <f aca="false">'DCF Base Case'!$B$2*(1+B914)^3*$I914-'DCF Base Case'!$B$2*(1+B914)^2*B914*'DCF Base Case'!$B$4</f>
        <v>29.9287746307823</v>
      </c>
      <c r="M914" s="24" t="n">
        <f aca="false">'DCF Base Case'!$B$2*(1+B914)^4*$I914-'DCF Base Case'!$B$2*(1+B914)^3*B914*'DCF Base Case'!$B$4</f>
        <v>32.9256487374753</v>
      </c>
      <c r="N914" s="24" t="n">
        <f aca="false">'DCF Base Case'!$B$2*(1+B914)^5*$I914-'DCF Base Case'!$B$2*(1+B914)^4*B914*'DCF Base Case'!$B$4</f>
        <v>36.2226104529049</v>
      </c>
      <c r="O914" s="24" t="n">
        <f aca="false">J914/(1+H914)^1+K914/(1+H914)^2+L914/(1+H914)^3+M914/(1+H914)^4+N914/(1+H914)^5</f>
        <v>116.217804420669</v>
      </c>
      <c r="P914" s="24" t="n">
        <f aca="false">N914*(1+F914)/(H914-F914)</f>
        <v>509.528975840435</v>
      </c>
      <c r="Q914" s="24" t="n">
        <f aca="false">O914+P914/(1+H914)^5</f>
        <v>450.491468302748</v>
      </c>
      <c r="R914" s="24" t="n">
        <f aca="false">Q914-'DCF Base Case'!$B$5</f>
        <v>265.491468302748</v>
      </c>
      <c r="S914" s="32" t="n">
        <f aca="false">R914/'DCF Base Case'!$B$6</f>
        <v>10.6196587321099</v>
      </c>
    </row>
    <row r="915" customFormat="false" ht="15" hidden="false" customHeight="true" outlineLevel="0" collapsed="false">
      <c r="A915" s="6" t="n">
        <v>914</v>
      </c>
      <c r="B915" s="30" t="n">
        <v>0.109371345806197</v>
      </c>
      <c r="C915" s="30" t="n">
        <v>0.40024531484767</v>
      </c>
      <c r="D915" s="30" t="n">
        <v>0.0923767574155706</v>
      </c>
      <c r="E915" s="30" t="n">
        <v>0.266581608825647</v>
      </c>
      <c r="F915" s="30" t="n">
        <v>0.0194155326399492</v>
      </c>
      <c r="G915" s="30" t="n">
        <v>0.198332108137358</v>
      </c>
      <c r="H915" s="31" t="n">
        <f aca="false">MAX(D915,F915+0.015)</f>
        <v>0.0923767574155706</v>
      </c>
      <c r="I915" s="25" t="n">
        <f aca="false">(C915-'DCF Base Case'!$B$3)*(1-E915)+'DCF Base Case'!$B$3-G915</f>
        <v>0.129870775900627</v>
      </c>
      <c r="J915" s="24" t="n">
        <f aca="false">'DCF Base Case'!$B$2*(1+B915)^1*$I915-'DCF Base Case'!$B$2*(1+B915)^0*B915*'DCF Base Case'!$B$4</f>
        <v>20.4150976748002</v>
      </c>
      <c r="K915" s="24" t="n">
        <f aca="false">'DCF Base Case'!$B$2*(1+B915)^2*$I915-'DCF Base Case'!$B$2*(1+B915)^1*B915*'DCF Base Case'!$B$4</f>
        <v>22.647924382258</v>
      </c>
      <c r="L915" s="24" t="n">
        <f aca="false">'DCF Base Case'!$B$2*(1+B915)^3*$I915-'DCF Base Case'!$B$2*(1+B915)^2*B915*'DCF Base Case'!$B$4</f>
        <v>25.1249583516626</v>
      </c>
      <c r="M915" s="24" t="n">
        <f aca="false">'DCF Base Case'!$B$2*(1+B915)^4*$I915-'DCF Base Case'!$B$2*(1+B915)^3*B915*'DCF Base Case'!$B$4</f>
        <v>27.8729088599085</v>
      </c>
      <c r="N915" s="24" t="n">
        <f aca="false">'DCF Base Case'!$B$2*(1+B915)^5*$I915-'DCF Base Case'!$B$2*(1+B915)^4*B915*'DCF Base Case'!$B$4</f>
        <v>30.9214064134502</v>
      </c>
      <c r="O915" s="24" t="n">
        <f aca="false">J915/(1+H915)^1+K915/(1+H915)^2+L915/(1+H915)^3+M915/(1+H915)^4+N915/(1+H915)^5</f>
        <v>96.396551590396</v>
      </c>
      <c r="P915" s="24" t="n">
        <f aca="false">N915*(1+F915)/(H915-F915)</f>
        <v>432.034441388326</v>
      </c>
      <c r="Q915" s="24" t="n">
        <f aca="false">O915+P915/(1+H915)^5</f>
        <v>374.147860670559</v>
      </c>
      <c r="R915" s="24" t="n">
        <f aca="false">Q915-'DCF Base Case'!$B$5</f>
        <v>189.147860670559</v>
      </c>
      <c r="S915" s="32" t="n">
        <f aca="false">R915/'DCF Base Case'!$B$6</f>
        <v>7.56591442682238</v>
      </c>
    </row>
    <row r="916" customFormat="false" ht="15" hidden="false" customHeight="true" outlineLevel="0" collapsed="false">
      <c r="A916" s="6" t="n">
        <v>915</v>
      </c>
      <c r="B916" s="30" t="n">
        <v>0.107619997433069</v>
      </c>
      <c r="C916" s="30" t="n">
        <v>0.435347305002522</v>
      </c>
      <c r="D916" s="30" t="n">
        <v>0.105996693943027</v>
      </c>
      <c r="E916" s="30" t="n">
        <v>0.263302042665099</v>
      </c>
      <c r="F916" s="30" t="n">
        <v>0.0153260694689413</v>
      </c>
      <c r="G916" s="30" t="n">
        <v>0.150666571612479</v>
      </c>
      <c r="H916" s="31" t="n">
        <f aca="false">MAX(D916,F916+0.015)</f>
        <v>0.105996693943027</v>
      </c>
      <c r="I916" s="25" t="n">
        <f aca="false">(C916-'DCF Base Case'!$B$3)*(1-E916)+'DCF Base Case'!$B$3-G916</f>
        <v>0.204282164260596</v>
      </c>
      <c r="J916" s="24" t="n">
        <f aca="false">'DCF Base Case'!$B$2*(1+B916)^1*$I916-'DCF Base Case'!$B$2*(1+B916)^0*B916*'DCF Base Case'!$B$4</f>
        <v>32.3405694979879</v>
      </c>
      <c r="K916" s="24" t="n">
        <f aca="false">'DCF Base Case'!$B$2*(1+B916)^2*$I916-'DCF Base Case'!$B$2*(1+B916)^1*B916*'DCF Base Case'!$B$4</f>
        <v>35.8210615043453</v>
      </c>
      <c r="L916" s="24" t="n">
        <f aca="false">'DCF Base Case'!$B$2*(1+B916)^3*$I916-'DCF Base Case'!$B$2*(1+B916)^2*B916*'DCF Base Case'!$B$4</f>
        <v>39.6761240514928</v>
      </c>
      <c r="M916" s="24" t="n">
        <f aca="false">'DCF Base Case'!$B$2*(1+B916)^4*$I916-'DCF Base Case'!$B$2*(1+B916)^3*B916*'DCF Base Case'!$B$4</f>
        <v>43.9460684200686</v>
      </c>
      <c r="N916" s="24" t="n">
        <f aca="false">'DCF Base Case'!$B$2*(1+B916)^5*$I916-'DCF Base Case'!$B$2*(1+B916)^4*B916*'DCF Base Case'!$B$4</f>
        <v>48.6755441906298</v>
      </c>
      <c r="O916" s="24" t="n">
        <f aca="false">J916/(1+H916)^1+K916/(1+H916)^2+L916/(1+H916)^3+M916/(1+H916)^4+N916/(1+H916)^5</f>
        <v>146.635353899906</v>
      </c>
      <c r="P916" s="24" t="n">
        <f aca="false">N916*(1+F916)/(H916-F916)</f>
        <v>545.0668201415</v>
      </c>
      <c r="Q916" s="24" t="n">
        <f aca="false">O916+P916/(1+H916)^5</f>
        <v>476.002746790842</v>
      </c>
      <c r="R916" s="24" t="n">
        <f aca="false">Q916-'DCF Base Case'!$B$5</f>
        <v>291.002746790842</v>
      </c>
      <c r="S916" s="32" t="n">
        <f aca="false">R916/'DCF Base Case'!$B$6</f>
        <v>11.6401098716337</v>
      </c>
    </row>
    <row r="917" customFormat="false" ht="15" hidden="false" customHeight="true" outlineLevel="0" collapsed="false">
      <c r="A917" s="6" t="n">
        <v>916</v>
      </c>
      <c r="B917" s="30" t="n">
        <v>0.0846964341524665</v>
      </c>
      <c r="C917" s="30" t="n">
        <v>0.368077807690231</v>
      </c>
      <c r="D917" s="30" t="n">
        <v>0.0827182893963351</v>
      </c>
      <c r="E917" s="30" t="n">
        <v>0.266339624106578</v>
      </c>
      <c r="F917" s="30" t="n">
        <v>0.0221682546270413</v>
      </c>
      <c r="G917" s="30" t="n">
        <v>0.173378424392314</v>
      </c>
      <c r="H917" s="31" t="n">
        <f aca="false">MAX(D917,F917+0.015)</f>
        <v>0.0827182893963351</v>
      </c>
      <c r="I917" s="25" t="n">
        <f aca="false">(C917-'DCF Base Case'!$B$3)*(1-E917)+'DCF Base Case'!$B$3-G917</f>
        <v>0.131289829489583</v>
      </c>
      <c r="J917" s="24" t="n">
        <f aca="false">'DCF Base Case'!$B$2*(1+B917)^1*$I917-'DCF Base Case'!$B$2*(1+B917)^0*B917*'DCF Base Case'!$B$4</f>
        <v>20.2809639451729</v>
      </c>
      <c r="K917" s="24" t="n">
        <f aca="false">'DCF Base Case'!$B$2*(1+B917)^2*$I917-'DCF Base Case'!$B$2*(1+B917)^1*B917*'DCF Base Case'!$B$4</f>
        <v>21.9986892725038</v>
      </c>
      <c r="L917" s="24" t="n">
        <f aca="false">'DCF Base Case'!$B$2*(1+B917)^3*$I917-'DCF Base Case'!$B$2*(1+B917)^2*B917*'DCF Base Case'!$B$4</f>
        <v>23.861899809913</v>
      </c>
      <c r="M917" s="24" t="n">
        <f aca="false">'DCF Base Case'!$B$2*(1+B917)^4*$I917-'DCF Base Case'!$B$2*(1+B917)^3*B917*'DCF Base Case'!$B$4</f>
        <v>25.8829176359161</v>
      </c>
      <c r="N917" s="24" t="n">
        <f aca="false">'DCF Base Case'!$B$2*(1+B917)^5*$I917-'DCF Base Case'!$B$2*(1+B917)^4*B917*'DCF Base Case'!$B$4</f>
        <v>28.0751084651402</v>
      </c>
      <c r="O917" s="24" t="n">
        <f aca="false">J917/(1+H917)^1+K917/(1+H917)^2+L917/(1+H917)^3+M917/(1+H917)^4+N917/(1+H917)^5</f>
        <v>94.0004754548787</v>
      </c>
      <c r="P917" s="24" t="n">
        <f aca="false">N917*(1+F917)/(H917-F917)</f>
        <v>473.946624929608</v>
      </c>
      <c r="Q917" s="24" t="n">
        <f aca="false">O917+P917/(1+H917)^5</f>
        <v>412.531743106517</v>
      </c>
      <c r="R917" s="24" t="n">
        <f aca="false">Q917-'DCF Base Case'!$B$5</f>
        <v>227.531743106517</v>
      </c>
      <c r="S917" s="32" t="n">
        <f aca="false">R917/'DCF Base Case'!$B$6</f>
        <v>9.10126972426067</v>
      </c>
    </row>
    <row r="918" customFormat="false" ht="15" hidden="false" customHeight="true" outlineLevel="0" collapsed="false">
      <c r="A918" s="6" t="n">
        <v>917</v>
      </c>
      <c r="B918" s="30" t="n">
        <v>0.0770149316332935</v>
      </c>
      <c r="C918" s="30" t="n">
        <v>0.421736479115839</v>
      </c>
      <c r="D918" s="30" t="n">
        <v>0.0929558936580615</v>
      </c>
      <c r="E918" s="30" t="n">
        <v>0.262186030945581</v>
      </c>
      <c r="F918" s="30" t="n">
        <v>0.017377303151531</v>
      </c>
      <c r="G918" s="30" t="n">
        <v>0.127218984242831</v>
      </c>
      <c r="H918" s="31" t="n">
        <f aca="false">MAX(D918,F918+0.015)</f>
        <v>0.0929558936580615</v>
      </c>
      <c r="I918" s="25" t="n">
        <f aca="false">(C918-'DCF Base Case'!$B$3)*(1-E918)+'DCF Base Case'!$B$3-G918</f>
        <v>0.218028265331588</v>
      </c>
      <c r="J918" s="24" t="n">
        <f aca="false">'DCF Base Case'!$B$2*(1+B918)^1*$I918-'DCF Base Case'!$B$2*(1+B918)^0*B918*'DCF Base Case'!$B$4</f>
        <v>33.7138411530279</v>
      </c>
      <c r="K918" s="24" t="n">
        <f aca="false">'DCF Base Case'!$B$2*(1+B918)^2*$I918-'DCF Base Case'!$B$2*(1+B918)^1*B918*'DCF Base Case'!$B$4</f>
        <v>36.310310324524</v>
      </c>
      <c r="L918" s="24" t="n">
        <f aca="false">'DCF Base Case'!$B$2*(1+B918)^3*$I918-'DCF Base Case'!$B$2*(1+B918)^2*B918*'DCF Base Case'!$B$4</f>
        <v>39.1067463917509</v>
      </c>
      <c r="M918" s="24" t="n">
        <f aca="false">'DCF Base Case'!$B$2*(1+B918)^4*$I918-'DCF Base Case'!$B$2*(1+B918)^3*B918*'DCF Base Case'!$B$4</f>
        <v>42.1185497915122</v>
      </c>
      <c r="N918" s="24" t="n">
        <f aca="false">'DCF Base Case'!$B$2*(1+B918)^5*$I918-'DCF Base Case'!$B$2*(1+B918)^4*B918*'DCF Base Case'!$B$4</f>
        <v>45.362307024199</v>
      </c>
      <c r="O918" s="24" t="n">
        <f aca="false">J918/(1+H918)^1+K918/(1+H918)^2+L918/(1+H918)^3+M918/(1+H918)^4+N918/(1+H918)^5</f>
        <v>149.798521915682</v>
      </c>
      <c r="P918" s="24" t="n">
        <f aca="false">N918*(1+F918)/(H918-F918)</f>
        <v>610.630355444689</v>
      </c>
      <c r="Q918" s="24" t="n">
        <f aca="false">O918+P918/(1+H918)^5</f>
        <v>541.328669831063</v>
      </c>
      <c r="R918" s="24" t="n">
        <f aca="false">Q918-'DCF Base Case'!$B$5</f>
        <v>356.328669831063</v>
      </c>
      <c r="S918" s="32" t="n">
        <f aca="false">R918/'DCF Base Case'!$B$6</f>
        <v>14.2531467932425</v>
      </c>
    </row>
    <row r="919" customFormat="false" ht="15" hidden="false" customHeight="true" outlineLevel="0" collapsed="false">
      <c r="A919" s="6" t="n">
        <v>918</v>
      </c>
      <c r="B919" s="30" t="n">
        <v>0.0662403567480639</v>
      </c>
      <c r="C919" s="30" t="n">
        <v>0.389053749256101</v>
      </c>
      <c r="D919" s="30" t="n">
        <v>0.0858158279426663</v>
      </c>
      <c r="E919" s="30" t="n">
        <v>0.259465608026194</v>
      </c>
      <c r="F919" s="30" t="n">
        <v>0.0172916444619268</v>
      </c>
      <c r="G919" s="30" t="n">
        <v>0.14099765000107</v>
      </c>
      <c r="H919" s="31" t="n">
        <f aca="false">MAX(D919,F919+0.015)</f>
        <v>0.0858158279426663</v>
      </c>
      <c r="I919" s="25" t="n">
        <f aca="false">(C919-'DCF Base Case'!$B$3)*(1-E919)+'DCF Base Case'!$B$3-G919</f>
        <v>0.180840560692832</v>
      </c>
      <c r="J919" s="24" t="n">
        <f aca="false">'DCF Base Case'!$B$2*(1+B919)^1*$I919-'DCF Base Case'!$B$2*(1+B919)^0*B919*'DCF Base Case'!$B$4</f>
        <v>27.6706825205544</v>
      </c>
      <c r="K919" s="24" t="n">
        <f aca="false">'DCF Base Case'!$B$2*(1+B919)^2*$I919-'DCF Base Case'!$B$2*(1+B919)^1*B919*'DCF Base Case'!$B$4</f>
        <v>29.5035984021783</v>
      </c>
      <c r="L919" s="24" t="n">
        <f aca="false">'DCF Base Case'!$B$2*(1+B919)^3*$I919-'DCF Base Case'!$B$2*(1+B919)^2*B919*'DCF Base Case'!$B$4</f>
        <v>31.4579272856902</v>
      </c>
      <c r="M919" s="24" t="n">
        <f aca="false">'DCF Base Case'!$B$2*(1+B919)^4*$I919-'DCF Base Case'!$B$2*(1+B919)^3*B919*'DCF Base Case'!$B$4</f>
        <v>33.541711611649</v>
      </c>
      <c r="N919" s="24" t="n">
        <f aca="false">'DCF Base Case'!$B$2*(1+B919)^5*$I919-'DCF Base Case'!$B$2*(1+B919)^4*B919*'DCF Base Case'!$B$4</f>
        <v>35.7635265547453</v>
      </c>
      <c r="O919" s="24" t="n">
        <f aca="false">J919/(1+H919)^1+K919/(1+H919)^2+L919/(1+H919)^3+M919/(1+H919)^4+N919/(1+H919)^5</f>
        <v>122.906637300435</v>
      </c>
      <c r="P919" s="24" t="n">
        <f aca="false">N919*(1+F919)/(H919-F919)</f>
        <v>530.935720684081</v>
      </c>
      <c r="Q919" s="24" t="n">
        <f aca="false">O919+P919/(1+H919)^5</f>
        <v>474.67850507901</v>
      </c>
      <c r="R919" s="24" t="n">
        <f aca="false">Q919-'DCF Base Case'!$B$5</f>
        <v>289.67850507901</v>
      </c>
      <c r="S919" s="32" t="n">
        <f aca="false">R919/'DCF Base Case'!$B$6</f>
        <v>11.5871402031604</v>
      </c>
    </row>
    <row r="920" customFormat="false" ht="15" hidden="false" customHeight="true" outlineLevel="0" collapsed="false">
      <c r="A920" s="6" t="n">
        <v>919</v>
      </c>
      <c r="B920" s="30" t="n">
        <v>0.0935205903758954</v>
      </c>
      <c r="C920" s="30" t="n">
        <v>0.424042650301712</v>
      </c>
      <c r="D920" s="30" t="n">
        <v>0.0894260188326181</v>
      </c>
      <c r="E920" s="30" t="n">
        <v>0.279991567653891</v>
      </c>
      <c r="F920" s="30" t="n">
        <v>0.0132846102275304</v>
      </c>
      <c r="G920" s="30" t="n">
        <v>0.15271966667259</v>
      </c>
      <c r="H920" s="31" t="n">
        <f aca="false">MAX(D920,F920+0.015)</f>
        <v>0.0894260188326181</v>
      </c>
      <c r="I920" s="25" t="n">
        <f aca="false">(C920-'DCF Base Case'!$B$3)*(1-E920)+'DCF Base Case'!$B$3-G920</f>
        <v>0.188993521014041</v>
      </c>
      <c r="J920" s="24" t="n">
        <f aca="false">'DCF Base Case'!$B$2*(1+B920)^1*$I920-'DCF Base Case'!$B$2*(1+B920)^0*B920*'DCF Base Case'!$B$4</f>
        <v>29.5600898999564</v>
      </c>
      <c r="K920" s="24" t="n">
        <f aca="false">'DCF Base Case'!$B$2*(1+B920)^2*$I920-'DCF Base Case'!$B$2*(1+B920)^1*B920*'DCF Base Case'!$B$4</f>
        <v>32.3245669589648</v>
      </c>
      <c r="L920" s="24" t="n">
        <f aca="false">'DCF Base Case'!$B$2*(1+B920)^3*$I920-'DCF Base Case'!$B$2*(1+B920)^2*B920*'DCF Base Case'!$B$4</f>
        <v>35.3475795446124</v>
      </c>
      <c r="M920" s="24" t="n">
        <f aca="false">'DCF Base Case'!$B$2*(1+B920)^4*$I920-'DCF Base Case'!$B$2*(1+B920)^3*B920*'DCF Base Case'!$B$4</f>
        <v>38.6533060519834</v>
      </c>
      <c r="N920" s="24" t="n">
        <f aca="false">'DCF Base Case'!$B$2*(1+B920)^5*$I920-'DCF Base Case'!$B$2*(1+B920)^4*B920*'DCF Base Case'!$B$4</f>
        <v>42.2681860539451</v>
      </c>
      <c r="O920" s="24" t="n">
        <f aca="false">J920/(1+H920)^1+K920/(1+H920)^2+L920/(1+H920)^3+M920/(1+H920)^4+N920/(1+H920)^5</f>
        <v>136.691832789749</v>
      </c>
      <c r="P920" s="24" t="n">
        <f aca="false">N920*(1+F920)/(H920-F920)</f>
        <v>562.502102539703</v>
      </c>
      <c r="Q920" s="24" t="n">
        <f aca="false">O920+P920/(1+H920)^5</f>
        <v>503.24369767672</v>
      </c>
      <c r="R920" s="24" t="n">
        <f aca="false">Q920-'DCF Base Case'!$B$5</f>
        <v>318.24369767672</v>
      </c>
      <c r="S920" s="32" t="n">
        <f aca="false">R920/'DCF Base Case'!$B$6</f>
        <v>12.7297479070688</v>
      </c>
    </row>
    <row r="921" customFormat="false" ht="15" hidden="false" customHeight="true" outlineLevel="0" collapsed="false">
      <c r="A921" s="6" t="n">
        <v>920</v>
      </c>
      <c r="B921" s="30" t="n">
        <v>0.0813455790510547</v>
      </c>
      <c r="C921" s="30" t="n">
        <v>0.402526124852125</v>
      </c>
      <c r="D921" s="30" t="n">
        <v>0.0858247933978882</v>
      </c>
      <c r="E921" s="30" t="n">
        <v>0.322390150128826</v>
      </c>
      <c r="F921" s="30" t="n">
        <v>0.0222704371148668</v>
      </c>
      <c r="G921" s="30" t="n">
        <v>0.145431825378288</v>
      </c>
      <c r="H921" s="31" t="n">
        <f aca="false">MAX(D921,F921+0.015)</f>
        <v>0.0858247933978882</v>
      </c>
      <c r="I921" s="25" t="n">
        <f aca="false">(C921-'DCF Base Case'!$B$3)*(1-E921)+'DCF Base Case'!$B$3-G921</f>
        <v>0.169234561168733</v>
      </c>
      <c r="J921" s="24" t="n">
        <f aca="false">'DCF Base Case'!$B$2*(1+B921)^1*$I921-'DCF Base Case'!$B$2*(1+B921)^0*B921*'DCF Base Case'!$B$4</f>
        <v>26.1812981897839</v>
      </c>
      <c r="K921" s="24" t="n">
        <f aca="false">'DCF Base Case'!$B$2*(1+B921)^2*$I921-'DCF Base Case'!$B$2*(1+B921)^1*B921*'DCF Base Case'!$B$4</f>
        <v>28.3110310513402</v>
      </c>
      <c r="L921" s="24" t="n">
        <f aca="false">'DCF Base Case'!$B$2*(1+B921)^3*$I921-'DCF Base Case'!$B$2*(1+B921)^2*B921*'DCF Base Case'!$B$4</f>
        <v>30.6140082657438</v>
      </c>
      <c r="M921" s="24" t="n">
        <f aca="false">'DCF Base Case'!$B$2*(1+B921)^4*$I921-'DCF Base Case'!$B$2*(1+B921)^3*B921*'DCF Base Case'!$B$4</f>
        <v>33.1043224951946</v>
      </c>
      <c r="N921" s="24" t="n">
        <f aca="false">'DCF Base Case'!$B$2*(1+B921)^5*$I921-'DCF Base Case'!$B$2*(1+B921)^4*B921*'DCF Base Case'!$B$4</f>
        <v>35.797212777659</v>
      </c>
      <c r="O921" s="24" t="n">
        <f aca="false">J921/(1+H921)^1+K921/(1+H921)^2+L921/(1+H921)^3+M921/(1+H921)^4+N921/(1+H921)^5</f>
        <v>119.568934309406</v>
      </c>
      <c r="P921" s="24" t="n">
        <f aca="false">N921*(1+F921)/(H921-F921)</f>
        <v>575.797388156185</v>
      </c>
      <c r="Q921" s="24" t="n">
        <f aca="false">O921+P921/(1+H921)^5</f>
        <v>501.048184770636</v>
      </c>
      <c r="R921" s="24" t="n">
        <f aca="false">Q921-'DCF Base Case'!$B$5</f>
        <v>316.048184770636</v>
      </c>
      <c r="S921" s="32" t="n">
        <f aca="false">R921/'DCF Base Case'!$B$6</f>
        <v>12.6419273908254</v>
      </c>
    </row>
    <row r="922" customFormat="false" ht="15" hidden="false" customHeight="true" outlineLevel="0" collapsed="false">
      <c r="A922" s="6" t="n">
        <v>921</v>
      </c>
      <c r="B922" s="30" t="n">
        <v>0.104732582794836</v>
      </c>
      <c r="C922" s="30" t="n">
        <v>0.431629050151715</v>
      </c>
      <c r="D922" s="30" t="n">
        <v>0.0761332577975328</v>
      </c>
      <c r="E922" s="30" t="n">
        <v>0.305728319220417</v>
      </c>
      <c r="F922" s="30" t="n">
        <v>0.018737913618527</v>
      </c>
      <c r="G922" s="30" t="n">
        <v>0.137807493742045</v>
      </c>
      <c r="H922" s="31" t="n">
        <f aca="false">MAX(D922,F922+0.015)</f>
        <v>0.0761332577975328</v>
      </c>
      <c r="I922" s="25" t="n">
        <f aca="false">(C922-'DCF Base Case'!$B$3)*(1-E922)+'DCF Base Case'!$B$3-G922</f>
        <v>0.201605013878735</v>
      </c>
      <c r="J922" s="24" t="n">
        <f aca="false">'DCF Base Case'!$B$2*(1+B922)^1*$I922-'DCF Base Case'!$B$2*(1+B922)^0*B922*'DCF Base Case'!$B$4</f>
        <v>31.8387592794058</v>
      </c>
      <c r="K922" s="24" t="n">
        <f aca="false">'DCF Base Case'!$B$2*(1+B922)^2*$I922-'DCF Base Case'!$B$2*(1+B922)^1*B922*'DCF Base Case'!$B$4</f>
        <v>35.1733147717211</v>
      </c>
      <c r="L922" s="24" t="n">
        <f aca="false">'DCF Base Case'!$B$2*(1+B922)^3*$I922-'DCF Base Case'!$B$2*(1+B922)^2*B922*'DCF Base Case'!$B$4</f>
        <v>38.8571068732192</v>
      </c>
      <c r="M922" s="24" t="n">
        <f aca="false">'DCF Base Case'!$B$2*(1+B922)^4*$I922-'DCF Base Case'!$B$2*(1+B922)^3*B922*'DCF Base Case'!$B$4</f>
        <v>42.9267120359864</v>
      </c>
      <c r="N922" s="24" t="n">
        <f aca="false">'DCF Base Case'!$B$2*(1+B922)^5*$I922-'DCF Base Case'!$B$2*(1+B922)^4*B922*'DCF Base Case'!$B$4</f>
        <v>47.4225374584054</v>
      </c>
      <c r="O922" s="24" t="n">
        <f aca="false">J922/(1+H922)^1+K922/(1+H922)^2+L922/(1+H922)^3+M922/(1+H922)^4+N922/(1+H922)^5</f>
        <v>156.005905560908</v>
      </c>
      <c r="P922" s="24" t="n">
        <f aca="false">N922*(1+F922)/(H922-F922)</f>
        <v>841.725710681316</v>
      </c>
      <c r="Q922" s="24" t="n">
        <f aca="false">O922+P922/(1+H922)^5</f>
        <v>739.236537866672</v>
      </c>
      <c r="R922" s="24" t="n">
        <f aca="false">Q922-'DCF Base Case'!$B$5</f>
        <v>554.236537866672</v>
      </c>
      <c r="S922" s="32" t="n">
        <f aca="false">R922/'DCF Base Case'!$B$6</f>
        <v>22.1694615146669</v>
      </c>
    </row>
    <row r="923" customFormat="false" ht="15" hidden="false" customHeight="true" outlineLevel="0" collapsed="false">
      <c r="A923" s="6" t="n">
        <v>922</v>
      </c>
      <c r="B923" s="30" t="n">
        <v>0.0997208676696069</v>
      </c>
      <c r="C923" s="30" t="n">
        <v>0.422133558727276</v>
      </c>
      <c r="D923" s="30" t="n">
        <v>0.0824955460789559</v>
      </c>
      <c r="E923" s="30" t="n">
        <v>0.27860050802602</v>
      </c>
      <c r="F923" s="30" t="n">
        <v>0.0164271083865293</v>
      </c>
      <c r="G923" s="30" t="n">
        <v>0.179684666882426</v>
      </c>
      <c r="H923" s="31" t="n">
        <f aca="false">MAX(D923,F923+0.015)</f>
        <v>0.0824955460789559</v>
      </c>
      <c r="I923" s="25" t="n">
        <f aca="false">(C923-'DCF Base Case'!$B$3)*(1-E923)+'DCF Base Case'!$B$3-G923</f>
        <v>0.161060333971982</v>
      </c>
      <c r="J923" s="24" t="n">
        <f aca="false">'DCF Base Case'!$B$2*(1+B923)^1*$I923-'DCF Base Case'!$B$2*(1+B923)^0*B923*'DCF Base Case'!$B$4</f>
        <v>25.2488187079468</v>
      </c>
      <c r="K923" s="24" t="n">
        <f aca="false">'DCF Base Case'!$B$2*(1+B923)^2*$I923-'DCF Base Case'!$B$2*(1+B923)^1*B923*'DCF Base Case'!$B$4</f>
        <v>27.7666528171358</v>
      </c>
      <c r="L923" s="24" t="n">
        <f aca="false">'DCF Base Case'!$B$2*(1+B923)^3*$I923-'DCF Base Case'!$B$2*(1+B923)^2*B923*'DCF Base Case'!$B$4</f>
        <v>30.5355675283413</v>
      </c>
      <c r="M923" s="24" t="n">
        <f aca="false">'DCF Base Case'!$B$2*(1+B923)^4*$I923-'DCF Base Case'!$B$2*(1+B923)^3*B923*'DCF Base Case'!$B$4</f>
        <v>33.5806008170514</v>
      </c>
      <c r="N923" s="24" t="n">
        <f aca="false">'DCF Base Case'!$B$2*(1+B923)^5*$I923-'DCF Base Case'!$B$2*(1+B923)^4*B923*'DCF Base Case'!$B$4</f>
        <v>36.9292874673945</v>
      </c>
      <c r="O923" s="24" t="n">
        <f aca="false">J923/(1+H923)^1+K923/(1+H923)^2+L923/(1+H923)^3+M923/(1+H923)^4+N923/(1+H923)^5</f>
        <v>120.394288257111</v>
      </c>
      <c r="P923" s="24" t="n">
        <f aca="false">N923*(1+F923)/(H923-F923)</f>
        <v>568.137074014108</v>
      </c>
      <c r="Q923" s="24" t="n">
        <f aca="false">O923+P923/(1+H923)^5</f>
        <v>502.622324894927</v>
      </c>
      <c r="R923" s="24" t="n">
        <f aca="false">Q923-'DCF Base Case'!$B$5</f>
        <v>317.622324894927</v>
      </c>
      <c r="S923" s="32" t="n">
        <f aca="false">R923/'DCF Base Case'!$B$6</f>
        <v>12.7048929957971</v>
      </c>
    </row>
    <row r="924" customFormat="false" ht="15" hidden="false" customHeight="true" outlineLevel="0" collapsed="false">
      <c r="A924" s="6" t="n">
        <v>923</v>
      </c>
      <c r="B924" s="30" t="n">
        <v>0.0891259176831501</v>
      </c>
      <c r="C924" s="30" t="n">
        <v>0.417755609322979</v>
      </c>
      <c r="D924" s="30" t="n">
        <v>0.0889285611687176</v>
      </c>
      <c r="E924" s="30" t="n">
        <v>0.256525319254942</v>
      </c>
      <c r="F924" s="30" t="n">
        <v>0.0156988961336087</v>
      </c>
      <c r="G924" s="30" t="n">
        <v>0.127363289636616</v>
      </c>
      <c r="H924" s="31" t="n">
        <f aca="false">MAX(D924,F924+0.015)</f>
        <v>0.0889285611687176</v>
      </c>
      <c r="I924" s="25" t="n">
        <f aca="false">(C924-'DCF Base Case'!$B$3)*(1-E924)+'DCF Base Case'!$B$3-G924</f>
        <v>0.216575720137386</v>
      </c>
      <c r="J924" s="24" t="n">
        <f aca="false">'DCF Base Case'!$B$2*(1+B924)^1*$I924-'DCF Base Case'!$B$2*(1+B924)^0*B924*'DCF Base Case'!$B$4</f>
        <v>33.8146455997436</v>
      </c>
      <c r="K924" s="24" t="n">
        <f aca="false">'DCF Base Case'!$B$2*(1+B924)^2*$I924-'DCF Base Case'!$B$2*(1+B924)^1*B924*'DCF Base Case'!$B$4</f>
        <v>36.8284069199512</v>
      </c>
      <c r="L924" s="24" t="n">
        <f aca="false">'DCF Base Case'!$B$2*(1+B924)^3*$I924-'DCF Base Case'!$B$2*(1+B924)^2*B924*'DCF Base Case'!$B$4</f>
        <v>40.1107724835003</v>
      </c>
      <c r="M924" s="24" t="n">
        <f aca="false">'DCF Base Case'!$B$2*(1+B924)^4*$I924-'DCF Base Case'!$B$2*(1+B924)^3*B924*'DCF Base Case'!$B$4</f>
        <v>43.6856818900723</v>
      </c>
      <c r="N924" s="24" t="n">
        <f aca="false">'DCF Base Case'!$B$2*(1+B924)^5*$I924-'DCF Base Case'!$B$2*(1+B924)^4*B924*'DCF Base Case'!$B$4</f>
        <v>47.5792083781392</v>
      </c>
      <c r="O924" s="24" t="n">
        <f aca="false">J924/(1+H924)^1+K924/(1+H924)^2+L924/(1+H924)^3+M924/(1+H924)^4+N924/(1+H924)^5</f>
        <v>155.321965575353</v>
      </c>
      <c r="P924" s="24" t="n">
        <f aca="false">N924*(1+F924)/(H924-F924)</f>
        <v>659.925856624056</v>
      </c>
      <c r="Q924" s="24" t="n">
        <f aca="false">O924+P924/(1+H924)^5</f>
        <v>586.342737320487</v>
      </c>
      <c r="R924" s="24" t="n">
        <f aca="false">Q924-'DCF Base Case'!$B$5</f>
        <v>401.342737320487</v>
      </c>
      <c r="S924" s="32" t="n">
        <f aca="false">R924/'DCF Base Case'!$B$6</f>
        <v>16.0537094928195</v>
      </c>
    </row>
    <row r="925" customFormat="false" ht="15" hidden="false" customHeight="true" outlineLevel="0" collapsed="false">
      <c r="A925" s="6" t="n">
        <v>924</v>
      </c>
      <c r="B925" s="30" t="n">
        <v>0.102176426447785</v>
      </c>
      <c r="C925" s="30" t="n">
        <v>0.392325252827576</v>
      </c>
      <c r="D925" s="30" t="n">
        <v>0.0864582668088522</v>
      </c>
      <c r="E925" s="30" t="n">
        <v>0.290689805302251</v>
      </c>
      <c r="F925" s="30" t="n">
        <v>0.0215089323760097</v>
      </c>
      <c r="G925" s="30" t="n">
        <v>0.141381442479728</v>
      </c>
      <c r="H925" s="31" t="n">
        <f aca="false">MAX(D925,F925+0.015)</f>
        <v>0.0864582668088522</v>
      </c>
      <c r="I925" s="25" t="n">
        <f aca="false">(C925-'DCF Base Case'!$B$3)*(1-E925)+'DCF Base Case'!$B$3-G925</f>
        <v>0.174688533677536</v>
      </c>
      <c r="J925" s="24" t="n">
        <f aca="false">'DCF Base Case'!$B$2*(1+B925)^1*$I925-'DCF Base Case'!$B$2*(1+B925)^0*B925*'DCF Base Case'!$B$4</f>
        <v>27.4734821945181</v>
      </c>
      <c r="K925" s="24" t="n">
        <f aca="false">'DCF Base Case'!$B$2*(1+B925)^2*$I925-'DCF Base Case'!$B$2*(1+B925)^1*B925*'DCF Base Case'!$B$4</f>
        <v>30.2806244272308</v>
      </c>
      <c r="L925" s="24" t="n">
        <f aca="false">'DCF Base Case'!$B$2*(1+B925)^3*$I925-'DCF Base Case'!$B$2*(1+B925)^2*B925*'DCF Base Case'!$B$4</f>
        <v>33.3745904218128</v>
      </c>
      <c r="M925" s="24" t="n">
        <f aca="false">'DCF Base Case'!$B$2*(1+B925)^4*$I925-'DCF Base Case'!$B$2*(1+B925)^3*B925*'DCF Base Case'!$B$4</f>
        <v>36.7846868052721</v>
      </c>
      <c r="N925" s="24" t="n">
        <f aca="false">'DCF Base Case'!$B$2*(1+B925)^5*$I925-'DCF Base Case'!$B$2*(1+B925)^4*B925*'DCF Base Case'!$B$4</f>
        <v>40.5432146510358</v>
      </c>
      <c r="O925" s="24" t="n">
        <f aca="false">J925/(1+H925)^1+K925/(1+H925)^2+L925/(1+H925)^3+M925/(1+H925)^4+N925/(1+H925)^5</f>
        <v>130.147670848483</v>
      </c>
      <c r="P925" s="24" t="n">
        <f aca="false">N925*(1+F925)/(H925-F925)</f>
        <v>637.65481624903</v>
      </c>
      <c r="Q925" s="24" t="n">
        <f aca="false">O925+P925/(1+H925)^5</f>
        <v>551.378743820152</v>
      </c>
      <c r="R925" s="24" t="n">
        <f aca="false">Q925-'DCF Base Case'!$B$5</f>
        <v>366.378743820152</v>
      </c>
      <c r="S925" s="32" t="n">
        <f aca="false">R925/'DCF Base Case'!$B$6</f>
        <v>14.6551497528061</v>
      </c>
    </row>
    <row r="926" customFormat="false" ht="15" hidden="false" customHeight="true" outlineLevel="0" collapsed="false">
      <c r="A926" s="6" t="n">
        <v>925</v>
      </c>
      <c r="B926" s="30" t="n">
        <v>0.0886838094349237</v>
      </c>
      <c r="C926" s="30" t="n">
        <v>0.444308259005702</v>
      </c>
      <c r="D926" s="30" t="n">
        <v>0.103857461479828</v>
      </c>
      <c r="E926" s="30" t="n">
        <v>0.309984413662451</v>
      </c>
      <c r="F926" s="30" t="n">
        <v>0.0205513830392245</v>
      </c>
      <c r="G926" s="30" t="n">
        <v>0.145093649557411</v>
      </c>
      <c r="H926" s="31" t="n">
        <f aca="false">MAX(D926,F926+0.015)</f>
        <v>0.103857461479828</v>
      </c>
      <c r="I926" s="25" t="n">
        <f aca="false">(C926-'DCF Base Case'!$B$3)*(1-E926)+'DCF Base Case'!$B$3-G926</f>
        <v>0.201783948071143</v>
      </c>
      <c r="J926" s="24" t="n">
        <f aca="false">'DCF Base Case'!$B$2*(1+B926)^1*$I926-'DCF Base Case'!$B$2*(1+B926)^0*B926*'DCF Base Case'!$B$4</f>
        <v>31.4676684329501</v>
      </c>
      <c r="K926" s="24" t="n">
        <f aca="false">'DCF Base Case'!$B$2*(1+B926)^2*$I926-'DCF Base Case'!$B$2*(1+B926)^1*B926*'DCF Base Case'!$B$4</f>
        <v>34.2583411436192</v>
      </c>
      <c r="L926" s="24" t="n">
        <f aca="false">'DCF Base Case'!$B$2*(1+B926)^3*$I926-'DCF Base Case'!$B$2*(1+B926)^2*B926*'DCF Base Case'!$B$4</f>
        <v>37.2965013411565</v>
      </c>
      <c r="M926" s="24" t="n">
        <f aca="false">'DCF Base Case'!$B$2*(1+B926)^4*$I926-'DCF Base Case'!$B$2*(1+B926)^3*B926*'DCF Base Case'!$B$4</f>
        <v>40.604097158685</v>
      </c>
      <c r="N926" s="24" t="n">
        <f aca="false">'DCF Base Case'!$B$2*(1+B926)^5*$I926-'DCF Base Case'!$B$2*(1+B926)^4*B926*'DCF Base Case'!$B$4</f>
        <v>44.205023173383</v>
      </c>
      <c r="O926" s="24" t="n">
        <f aca="false">J926/(1+H926)^1+K926/(1+H926)^2+L926/(1+H926)^3+M926/(1+H926)^4+N926/(1+H926)^5</f>
        <v>138.669933052249</v>
      </c>
      <c r="P926" s="24" t="n">
        <f aca="false">N926*(1+F926)/(H926-F926)</f>
        <v>541.539085518741</v>
      </c>
      <c r="Q926" s="24" t="n">
        <f aca="false">O926+P926/(1+H926)^5</f>
        <v>469.088786073578</v>
      </c>
      <c r="R926" s="24" t="n">
        <f aca="false">Q926-'DCF Base Case'!$B$5</f>
        <v>284.088786073578</v>
      </c>
      <c r="S926" s="32" t="n">
        <f aca="false">R926/'DCF Base Case'!$B$6</f>
        <v>11.3635514429431</v>
      </c>
    </row>
    <row r="927" customFormat="false" ht="15" hidden="false" customHeight="true" outlineLevel="0" collapsed="false">
      <c r="A927" s="6" t="n">
        <v>926</v>
      </c>
      <c r="B927" s="30" t="n">
        <v>0.105635262067329</v>
      </c>
      <c r="C927" s="30" t="n">
        <v>0.416984916179803</v>
      </c>
      <c r="D927" s="30" t="n">
        <v>0.0911658110280013</v>
      </c>
      <c r="E927" s="30" t="n">
        <v>0.264605840878663</v>
      </c>
      <c r="F927" s="30" t="n">
        <v>0.0186883024984257</v>
      </c>
      <c r="G927" s="30" t="n">
        <v>0.168923142046553</v>
      </c>
      <c r="H927" s="31" t="n">
        <f aca="false">MAX(D927,F927+0.015)</f>
        <v>0.0911658110280013</v>
      </c>
      <c r="I927" s="25" t="n">
        <f aca="false">(C927-'DCF Base Case'!$B$3)*(1-E927)+'DCF Base Case'!$B$3-G927</f>
        <v>0.172123889068001</v>
      </c>
      <c r="J927" s="24" t="n">
        <f aca="false">'DCF Base Case'!$B$2*(1+B927)^1*$I927-'DCF Base Case'!$B$2*(1+B927)^0*B927*'DCF Base Case'!$B$4</f>
        <v>27.1348915836804</v>
      </c>
      <c r="K927" s="24" t="n">
        <f aca="false">'DCF Base Case'!$B$2*(1+B927)^2*$I927-'DCF Base Case'!$B$2*(1+B927)^1*B927*'DCF Base Case'!$B$4</f>
        <v>30.001292967291</v>
      </c>
      <c r="L927" s="24" t="n">
        <f aca="false">'DCF Base Case'!$B$2*(1+B927)^3*$I927-'DCF Base Case'!$B$2*(1+B927)^2*B927*'DCF Base Case'!$B$4</f>
        <v>33.1704874122495</v>
      </c>
      <c r="M927" s="24" t="n">
        <f aca="false">'DCF Base Case'!$B$2*(1+B927)^4*$I927-'DCF Base Case'!$B$2*(1+B927)^3*B927*'DCF Base Case'!$B$4</f>
        <v>36.6744605429436</v>
      </c>
      <c r="N927" s="24" t="n">
        <f aca="false">'DCF Base Case'!$B$2*(1+B927)^5*$I927-'DCF Base Case'!$B$2*(1+B927)^4*B927*'DCF Base Case'!$B$4</f>
        <v>40.5485767935753</v>
      </c>
      <c r="O927" s="24" t="n">
        <f aca="false">J927/(1+H927)^1+K927/(1+H927)^2+L927/(1+H927)^3+M927/(1+H927)^4+N927/(1+H927)^5</f>
        <v>127.680616623313</v>
      </c>
      <c r="P927" s="24" t="n">
        <f aca="false">N927*(1+F927)/(H927-F927)</f>
        <v>569.919713033714</v>
      </c>
      <c r="Q927" s="24" t="n">
        <f aca="false">O927+P927/(1+H927)^5</f>
        <v>496.114810076541</v>
      </c>
      <c r="R927" s="24" t="n">
        <f aca="false">Q927-'DCF Base Case'!$B$5</f>
        <v>311.114810076541</v>
      </c>
      <c r="S927" s="32" t="n">
        <f aca="false">R927/'DCF Base Case'!$B$6</f>
        <v>12.4445924030616</v>
      </c>
    </row>
    <row r="928" customFormat="false" ht="15" hidden="false" customHeight="true" outlineLevel="0" collapsed="false">
      <c r="A928" s="6" t="n">
        <v>927</v>
      </c>
      <c r="B928" s="30" t="n">
        <v>0.0951260942140202</v>
      </c>
      <c r="C928" s="30" t="n">
        <v>0.42584690699893</v>
      </c>
      <c r="D928" s="30" t="n">
        <v>0.0786288551702261</v>
      </c>
      <c r="E928" s="30" t="n">
        <v>0.254039154998544</v>
      </c>
      <c r="F928" s="30" t="n">
        <v>0.0248849140994805</v>
      </c>
      <c r="G928" s="30" t="n">
        <v>0.213802950389937</v>
      </c>
      <c r="H928" s="31" t="n">
        <f aca="false">MAX(D928,F928+0.015)</f>
        <v>0.0786288551702261</v>
      </c>
      <c r="I928" s="25" t="n">
        <f aca="false">(C928-'DCF Base Case'!$B$3)*(1-E928)+'DCF Base Case'!$B$3-G928</f>
        <v>0.136887258346052</v>
      </c>
      <c r="J928" s="24" t="n">
        <f aca="false">'DCF Base Case'!$B$2*(1+B928)^1*$I928-'DCF Base Case'!$B$2*(1+B928)^0*B928*'DCF Base Case'!$B$4</f>
        <v>21.3229787342947</v>
      </c>
      <c r="K928" s="24" t="n">
        <f aca="false">'DCF Base Case'!$B$2*(1+B928)^2*$I928-'DCF Base Case'!$B$2*(1+B928)^1*B928*'DCF Base Case'!$B$4</f>
        <v>23.3513504182968</v>
      </c>
      <c r="L928" s="24" t="n">
        <f aca="false">'DCF Base Case'!$B$2*(1+B928)^3*$I928-'DCF Base Case'!$B$2*(1+B928)^2*B928*'DCF Base Case'!$B$4</f>
        <v>25.5726731782123</v>
      </c>
      <c r="M928" s="24" t="n">
        <f aca="false">'DCF Base Case'!$B$2*(1+B928)^4*$I928-'DCF Base Case'!$B$2*(1+B928)^3*B928*'DCF Base Case'!$B$4</f>
        <v>28.0053016962673</v>
      </c>
      <c r="N928" s="24" t="n">
        <f aca="false">'DCF Base Case'!$B$2*(1+B928)^5*$I928-'DCF Base Case'!$B$2*(1+B928)^4*B928*'DCF Base Case'!$B$4</f>
        <v>30.6693366639185</v>
      </c>
      <c r="O928" s="24" t="n">
        <f aca="false">J928/(1+H928)^1+K928/(1+H928)^2+L928/(1+H928)^3+M928/(1+H928)^4+N928/(1+H928)^5</f>
        <v>101.913117182616</v>
      </c>
      <c r="P928" s="24" t="n">
        <f aca="false">N928*(1+F928)/(H928-F928)</f>
        <v>584.857378265432</v>
      </c>
      <c r="Q928" s="24" t="n">
        <f aca="false">O928+P928/(1+H928)^5</f>
        <v>502.493615038253</v>
      </c>
      <c r="R928" s="24" t="n">
        <f aca="false">Q928-'DCF Base Case'!$B$5</f>
        <v>317.493615038253</v>
      </c>
      <c r="S928" s="32" t="n">
        <f aca="false">R928/'DCF Base Case'!$B$6</f>
        <v>12.6997446015301</v>
      </c>
    </row>
    <row r="929" customFormat="false" ht="15" hidden="false" customHeight="true" outlineLevel="0" collapsed="false">
      <c r="A929" s="6" t="n">
        <v>928</v>
      </c>
      <c r="B929" s="30" t="n">
        <v>0.0995472088552406</v>
      </c>
      <c r="C929" s="30" t="n">
        <v>0.388906010540844</v>
      </c>
      <c r="D929" s="30" t="n">
        <v>0.0764948537147284</v>
      </c>
      <c r="E929" s="30" t="n">
        <v>0.29501986179264</v>
      </c>
      <c r="F929" s="30" t="n">
        <v>0.0240641861835593</v>
      </c>
      <c r="G929" s="30" t="n">
        <v>0.141221292928862</v>
      </c>
      <c r="H929" s="31" t="n">
        <f aca="false">MAX(D929,F929+0.015)</f>
        <v>0.0764948537147284</v>
      </c>
      <c r="I929" s="25" t="n">
        <f aca="false">(C929-'DCF Base Case'!$B$3)*(1-E929)+'DCF Base Case'!$B$3-G929</f>
        <v>0.171302302164938</v>
      </c>
      <c r="J929" s="24" t="n">
        <f aca="false">'DCF Base Case'!$B$2*(1+B929)^1*$I929-'DCF Base Case'!$B$2*(1+B929)^0*B929*'DCF Base Case'!$B$4</f>
        <v>26.8784400327903</v>
      </c>
      <c r="K929" s="24" t="n">
        <f aca="false">'DCF Base Case'!$B$2*(1+B929)^2*$I929-'DCF Base Case'!$B$2*(1+B929)^1*B929*'DCF Base Case'!$B$4</f>
        <v>29.5541137164375</v>
      </c>
      <c r="L929" s="24" t="n">
        <f aca="false">'DCF Base Case'!$B$2*(1+B929)^3*$I929-'DCF Base Case'!$B$2*(1+B929)^2*B929*'DCF Base Case'!$B$4</f>
        <v>32.4961432470993</v>
      </c>
      <c r="M929" s="24" t="n">
        <f aca="false">'DCF Base Case'!$B$2*(1+B929)^4*$I929-'DCF Base Case'!$B$2*(1+B929)^3*B929*'DCF Base Case'!$B$4</f>
        <v>35.731043605908</v>
      </c>
      <c r="N929" s="24" t="n">
        <f aca="false">'DCF Base Case'!$B$2*(1+B929)^5*$I929-'DCF Base Case'!$B$2*(1+B929)^4*B929*'DCF Base Case'!$B$4</f>
        <v>39.2879692663611</v>
      </c>
      <c r="O929" s="24" t="n">
        <f aca="false">J929/(1+H929)^1+K929/(1+H929)^2+L929/(1+H929)^3+M929/(1+H929)^4+N929/(1+H929)^5</f>
        <v>130.304947079439</v>
      </c>
      <c r="P929" s="24" t="n">
        <f aca="false">N929*(1+F929)/(H929-F929)</f>
        <v>767.363914442682</v>
      </c>
      <c r="Q929" s="24" t="n">
        <f aca="false">O929+P929/(1+H929)^5</f>
        <v>661.117986295446</v>
      </c>
      <c r="R929" s="24" t="n">
        <f aca="false">Q929-'DCF Base Case'!$B$5</f>
        <v>476.117986295446</v>
      </c>
      <c r="S929" s="32" t="n">
        <f aca="false">R929/'DCF Base Case'!$B$6</f>
        <v>19.0447194518178</v>
      </c>
    </row>
    <row r="930" customFormat="false" ht="15" hidden="false" customHeight="true" outlineLevel="0" collapsed="false">
      <c r="A930" s="6" t="n">
        <v>929</v>
      </c>
      <c r="B930" s="30" t="n">
        <v>0.0874618731623053</v>
      </c>
      <c r="C930" s="30" t="n">
        <v>0.417741441859036</v>
      </c>
      <c r="D930" s="30" t="n">
        <v>0.0945103629641446</v>
      </c>
      <c r="E930" s="30" t="n">
        <v>0.270748338772715</v>
      </c>
      <c r="F930" s="30" t="n">
        <v>0.0132113619614841</v>
      </c>
      <c r="G930" s="30" t="n">
        <v>0.179957410984284</v>
      </c>
      <c r="H930" s="31" t="n">
        <f aca="false">MAX(D930,F930+0.015)</f>
        <v>0.0945103629641446</v>
      </c>
      <c r="I930" s="25" t="n">
        <f aca="false">(C930-'DCF Base Case'!$B$3)*(1-E930)+'DCF Base Case'!$B$3-G930</f>
        <v>0.159878513495352</v>
      </c>
      <c r="J930" s="24" t="n">
        <f aca="false">'DCF Base Case'!$B$2*(1+B930)^1*$I930-'DCF Base Case'!$B$2*(1+B930)^0*B930*'DCF Base Case'!$B$4</f>
        <v>24.8295000775328</v>
      </c>
      <c r="K930" s="24" t="n">
        <f aca="false">'DCF Base Case'!$B$2*(1+B930)^2*$I930-'DCF Base Case'!$B$2*(1+B930)^1*B930*'DCF Base Case'!$B$4</f>
        <v>27.0011346639974</v>
      </c>
      <c r="L930" s="24" t="n">
        <f aca="false">'DCF Base Case'!$B$2*(1+B930)^3*$I930-'DCF Base Case'!$B$2*(1+B930)^2*B930*'DCF Base Case'!$B$4</f>
        <v>29.3627044792183</v>
      </c>
      <c r="M930" s="24" t="n">
        <f aca="false">'DCF Base Case'!$B$2*(1+B930)^4*$I930-'DCF Base Case'!$B$2*(1+B930)^3*B930*'DCF Base Case'!$B$4</f>
        <v>31.9308216140819</v>
      </c>
      <c r="N930" s="24" t="n">
        <f aca="false">'DCF Base Case'!$B$2*(1+B930)^5*$I930-'DCF Base Case'!$B$2*(1+B930)^4*B930*'DCF Base Case'!$B$4</f>
        <v>34.7235510840609</v>
      </c>
      <c r="O930" s="24" t="n">
        <f aca="false">J930/(1+H930)^1+K930/(1+H930)^2+L930/(1+H930)^3+M930/(1+H930)^4+N930/(1+H930)^5</f>
        <v>111.975897576465</v>
      </c>
      <c r="P930" s="24" t="n">
        <f aca="false">N930*(1+F930)/(H930-F930)</f>
        <v>432.751891808231</v>
      </c>
      <c r="Q930" s="24" t="n">
        <f aca="false">O930+P930/(1+H930)^5</f>
        <v>387.487305243393</v>
      </c>
      <c r="R930" s="24" t="n">
        <f aca="false">Q930-'DCF Base Case'!$B$5</f>
        <v>202.487305243393</v>
      </c>
      <c r="S930" s="32" t="n">
        <f aca="false">R930/'DCF Base Case'!$B$6</f>
        <v>8.09949220973573</v>
      </c>
    </row>
    <row r="931" customFormat="false" ht="15" hidden="false" customHeight="true" outlineLevel="0" collapsed="false">
      <c r="A931" s="6" t="n">
        <v>930</v>
      </c>
      <c r="B931" s="30" t="n">
        <v>0.114471804576749</v>
      </c>
      <c r="C931" s="30" t="n">
        <v>0.421224584682617</v>
      </c>
      <c r="D931" s="30" t="n">
        <v>0.0894576410043707</v>
      </c>
      <c r="E931" s="30" t="n">
        <v>0.267805053510331</v>
      </c>
      <c r="F931" s="30" t="n">
        <v>0.0158988945303753</v>
      </c>
      <c r="G931" s="30" t="n">
        <v>0.189766360870473</v>
      </c>
      <c r="H931" s="31" t="n">
        <f aca="false">MAX(D931,F931+0.015)</f>
        <v>0.0894576410043707</v>
      </c>
      <c r="I931" s="25" t="n">
        <f aca="false">(C931-'DCF Base Case'!$B$3)*(1-E931)+'DCF Base Case'!$B$3-G931</f>
        <v>0.153466808327692</v>
      </c>
      <c r="J931" s="24" t="n">
        <f aca="false">'DCF Base Case'!$B$2*(1+B931)^1*$I931-'DCF Base Case'!$B$2*(1+B931)^0*B931*'DCF Base Case'!$B$4</f>
        <v>24.3020401189327</v>
      </c>
      <c r="K931" s="24" t="n">
        <f aca="false">'DCF Base Case'!$B$2*(1+B931)^2*$I931-'DCF Base Case'!$B$2*(1+B931)^1*B931*'DCF Base Case'!$B$4</f>
        <v>27.0839385062435</v>
      </c>
      <c r="L931" s="24" t="n">
        <f aca="false">'DCF Base Case'!$B$2*(1+B931)^3*$I931-'DCF Base Case'!$B$2*(1+B931)^2*B931*'DCF Base Case'!$B$4</f>
        <v>30.1842858220988</v>
      </c>
      <c r="M931" s="24" t="n">
        <f aca="false">'DCF Base Case'!$B$2*(1+B931)^4*$I931-'DCF Base Case'!$B$2*(1+B931)^3*B931*'DCF Base Case'!$B$4</f>
        <v>33.6395354900149</v>
      </c>
      <c r="N931" s="24" t="n">
        <f aca="false">'DCF Base Case'!$B$2*(1+B931)^5*$I931-'DCF Base Case'!$B$2*(1+B931)^4*B931*'DCF Base Case'!$B$4</f>
        <v>37.4903138226805</v>
      </c>
      <c r="O931" s="24" t="n">
        <f aca="false">J931/(1+H931)^1+K931/(1+H931)^2+L931/(1+H931)^3+M931/(1+H931)^4+N931/(1+H931)^5</f>
        <v>116.773322040126</v>
      </c>
      <c r="P931" s="24" t="n">
        <f aca="false">N931*(1+F931)/(H931-F931)</f>
        <v>517.768045184433</v>
      </c>
      <c r="Q931" s="24" t="n">
        <f aca="false">O931+P931/(1+H931)^5</f>
        <v>454.125484102217</v>
      </c>
      <c r="R931" s="24" t="n">
        <f aca="false">Q931-'DCF Base Case'!$B$5</f>
        <v>269.125484102217</v>
      </c>
      <c r="S931" s="32" t="n">
        <f aca="false">R931/'DCF Base Case'!$B$6</f>
        <v>10.7650193640887</v>
      </c>
    </row>
    <row r="932" customFormat="false" ht="15" hidden="false" customHeight="true" outlineLevel="0" collapsed="false">
      <c r="A932" s="6" t="n">
        <v>931</v>
      </c>
      <c r="B932" s="30" t="n">
        <v>0.0982151594992416</v>
      </c>
      <c r="C932" s="30" t="n">
        <v>0.42677773667931</v>
      </c>
      <c r="D932" s="30" t="n">
        <v>0.101523266627941</v>
      </c>
      <c r="E932" s="30" t="n">
        <v>0.257906624004871</v>
      </c>
      <c r="F932" s="30" t="n">
        <v>0.0171296147280709</v>
      </c>
      <c r="G932" s="30" t="n">
        <v>0.168779613845814</v>
      </c>
      <c r="H932" s="31" t="n">
        <f aca="false">MAX(D932,F932+0.015)</f>
        <v>0.101523266627941</v>
      </c>
      <c r="I932" s="25" t="n">
        <f aca="false">(C932-'DCF Base Case'!$B$3)*(1-E932)+'DCF Base Case'!$B$3-G932</f>
        <v>0.181457178686729</v>
      </c>
      <c r="J932" s="24" t="n">
        <f aca="false">'DCF Base Case'!$B$2*(1+B932)^1*$I932-'DCF Base Case'!$B$2*(1+B932)^0*B932*'DCF Base Case'!$B$4</f>
        <v>28.4682225990689</v>
      </c>
      <c r="K932" s="24" t="n">
        <f aca="false">'DCF Base Case'!$B$2*(1+B932)^2*$I932-'DCF Base Case'!$B$2*(1+B932)^1*B932*'DCF Base Case'!$B$4</f>
        <v>31.2642336222963</v>
      </c>
      <c r="L932" s="24" t="n">
        <f aca="false">'DCF Base Case'!$B$2*(1+B932)^3*$I932-'DCF Base Case'!$B$2*(1+B932)^2*B932*'DCF Base Case'!$B$4</f>
        <v>34.3348553141317</v>
      </c>
      <c r="M932" s="24" t="n">
        <f aca="false">'DCF Base Case'!$B$2*(1+B932)^4*$I932-'DCF Base Case'!$B$2*(1+B932)^3*B932*'DCF Base Case'!$B$4</f>
        <v>37.7070586051925</v>
      </c>
      <c r="N932" s="24" t="n">
        <f aca="false">'DCF Base Case'!$B$2*(1+B932)^5*$I932-'DCF Base Case'!$B$2*(1+B932)^4*B932*'DCF Base Case'!$B$4</f>
        <v>41.4104633803488</v>
      </c>
      <c r="O932" s="24" t="n">
        <f aca="false">J932/(1+H932)^1+K932/(1+H932)^2+L932/(1+H932)^3+M932/(1+H932)^4+N932/(1+H932)^5</f>
        <v>128.448231804998</v>
      </c>
      <c r="P932" s="24" t="n">
        <f aca="false">N932*(1+F932)/(H932-F932)</f>
        <v>499.087404272286</v>
      </c>
      <c r="Q932" s="24" t="n">
        <f aca="false">O932+P932/(1+H932)^5</f>
        <v>436.205441131178</v>
      </c>
      <c r="R932" s="24" t="n">
        <f aca="false">Q932-'DCF Base Case'!$B$5</f>
        <v>251.205441131178</v>
      </c>
      <c r="S932" s="32" t="n">
        <f aca="false">R932/'DCF Base Case'!$B$6</f>
        <v>10.0482176452471</v>
      </c>
    </row>
    <row r="933" customFormat="false" ht="15" hidden="false" customHeight="true" outlineLevel="0" collapsed="false">
      <c r="A933" s="6" t="n">
        <v>932</v>
      </c>
      <c r="B933" s="30" t="n">
        <v>0.0778332186675209</v>
      </c>
      <c r="C933" s="30" t="n">
        <v>0.42559377720562</v>
      </c>
      <c r="D933" s="30" t="n">
        <v>0.0829386085700562</v>
      </c>
      <c r="E933" s="30" t="n">
        <v>0.258789131222803</v>
      </c>
      <c r="F933" s="30" t="n">
        <v>0.0195962771093649</v>
      </c>
      <c r="G933" s="30" t="n">
        <v>0.169066404346022</v>
      </c>
      <c r="H933" s="31" t="n">
        <f aca="false">MAX(D933,F933+0.015)</f>
        <v>0.0829386085700562</v>
      </c>
      <c r="I933" s="25" t="n">
        <f aca="false">(C933-'DCF Base Case'!$B$3)*(1-E933)+'DCF Base Case'!$B$3-G933</f>
        <v>0.180030916061689</v>
      </c>
      <c r="J933" s="24" t="n">
        <f aca="false">'DCF Base Case'!$B$2*(1+B933)^1*$I933-'DCF Base Case'!$B$2*(1+B933)^0*B933*'DCF Base Case'!$B$4</f>
        <v>27.797704247969</v>
      </c>
      <c r="K933" s="24" t="n">
        <f aca="false">'DCF Base Case'!$B$2*(1+B933)^2*$I933-'DCF Base Case'!$B$2*(1+B933)^1*B933*'DCF Base Case'!$B$4</f>
        <v>29.9612890411562</v>
      </c>
      <c r="L933" s="24" t="n">
        <f aca="false">'DCF Base Case'!$B$2*(1+B933)^3*$I933-'DCF Base Case'!$B$2*(1+B933)^2*B933*'DCF Base Case'!$B$4</f>
        <v>32.2932726026573</v>
      </c>
      <c r="M933" s="24" t="n">
        <f aca="false">'DCF Base Case'!$B$2*(1+B933)^4*$I933-'DCF Base Case'!$B$2*(1+B933)^3*B933*'DCF Base Case'!$B$4</f>
        <v>34.8067619506298</v>
      </c>
      <c r="N933" s="24" t="n">
        <f aca="false">'DCF Base Case'!$B$2*(1+B933)^5*$I933-'DCF Base Case'!$B$2*(1+B933)^4*B933*'DCF Base Case'!$B$4</f>
        <v>37.5158842646415</v>
      </c>
      <c r="O933" s="24" t="n">
        <f aca="false">J933/(1+H933)^1+K933/(1+H933)^2+L933/(1+H933)^3+M933/(1+H933)^4+N933/(1+H933)^5</f>
        <v>127.139426801719</v>
      </c>
      <c r="P933" s="24" t="n">
        <f aca="false">N933*(1+F933)/(H933-F933)</f>
        <v>603.878244558017</v>
      </c>
      <c r="Q933" s="24" t="n">
        <f aca="false">O933+P933/(1+H933)^5</f>
        <v>532.582791495233</v>
      </c>
      <c r="R933" s="24" t="n">
        <f aca="false">Q933-'DCF Base Case'!$B$5</f>
        <v>347.582791495233</v>
      </c>
      <c r="S933" s="32" t="n">
        <f aca="false">R933/'DCF Base Case'!$B$6</f>
        <v>13.9033116598093</v>
      </c>
    </row>
    <row r="934" customFormat="false" ht="15" hidden="false" customHeight="true" outlineLevel="0" collapsed="false">
      <c r="A934" s="6" t="n">
        <v>933</v>
      </c>
      <c r="B934" s="30" t="n">
        <v>0.110421622191652</v>
      </c>
      <c r="C934" s="30" t="n">
        <v>0.428797554591294</v>
      </c>
      <c r="D934" s="30" t="n">
        <v>0.0900726103049582</v>
      </c>
      <c r="E934" s="30" t="n">
        <v>0.289120621129807</v>
      </c>
      <c r="F934" s="30" t="n">
        <v>0.0186276557722455</v>
      </c>
      <c r="G934" s="30" t="n">
        <v>0.150784933385792</v>
      </c>
      <c r="H934" s="31" t="n">
        <f aca="false">MAX(D934,F934+0.015)</f>
        <v>0.0900726103049582</v>
      </c>
      <c r="I934" s="25" t="n">
        <f aca="false">(C934-'DCF Base Case'!$B$3)*(1-E934)+'DCF Base Case'!$B$3-G934</f>
        <v>0.19162408663</v>
      </c>
      <c r="J934" s="24" t="n">
        <f aca="false">'DCF Base Case'!$B$2*(1+B934)^1*$I934-'DCF Base Case'!$B$2*(1+B934)^0*B934*'DCF Base Case'!$B$4</f>
        <v>30.3732776668346</v>
      </c>
      <c r="K934" s="24" t="n">
        <f aca="false">'DCF Base Case'!$B$2*(1+B934)^2*$I934-'DCF Base Case'!$B$2*(1+B934)^1*B934*'DCF Base Case'!$B$4</f>
        <v>33.727144258084</v>
      </c>
      <c r="L934" s="24" t="n">
        <f aca="false">'DCF Base Case'!$B$2*(1+B934)^3*$I934-'DCF Base Case'!$B$2*(1+B934)^2*B934*'DCF Base Case'!$B$4</f>
        <v>37.4513502389535</v>
      </c>
      <c r="M934" s="24" t="n">
        <f aca="false">'DCF Base Case'!$B$2*(1+B934)^4*$I934-'DCF Base Case'!$B$2*(1+B934)^3*B934*'DCF Base Case'!$B$4</f>
        <v>41.5867890856064</v>
      </c>
      <c r="N934" s="24" t="n">
        <f aca="false">'DCF Base Case'!$B$2*(1+B934)^5*$I934-'DCF Base Case'!$B$2*(1+B934)^4*B934*'DCF Base Case'!$B$4</f>
        <v>46.1788697981812</v>
      </c>
      <c r="O934" s="24" t="n">
        <f aca="false">J934/(1+H934)^1+K934/(1+H934)^2+L934/(1+H934)^3+M934/(1+H934)^4+N934/(1+H934)^5</f>
        <v>144.617135642834</v>
      </c>
      <c r="P934" s="24" t="n">
        <f aca="false">N934*(1+F934)/(H934-F934)</f>
        <v>658.396022453834</v>
      </c>
      <c r="Q934" s="24" t="n">
        <f aca="false">O934+P934/(1+H934)^5</f>
        <v>572.386876947596</v>
      </c>
      <c r="R934" s="24" t="n">
        <f aca="false">Q934-'DCF Base Case'!$B$5</f>
        <v>387.386876947596</v>
      </c>
      <c r="S934" s="32" t="n">
        <f aca="false">R934/'DCF Base Case'!$B$6</f>
        <v>15.4954750779038</v>
      </c>
    </row>
    <row r="935" customFormat="false" ht="15" hidden="false" customHeight="true" outlineLevel="0" collapsed="false">
      <c r="A935" s="6" t="n">
        <v>934</v>
      </c>
      <c r="B935" s="30" t="n">
        <v>0.0960481774569427</v>
      </c>
      <c r="C935" s="30" t="n">
        <v>0.409987527190068</v>
      </c>
      <c r="D935" s="30" t="n">
        <v>0.103588048824851</v>
      </c>
      <c r="E935" s="30" t="n">
        <v>0.320188800192351</v>
      </c>
      <c r="F935" s="30" t="n">
        <v>0.0216200519011706</v>
      </c>
      <c r="G935" s="30" t="n">
        <v>0.174008139336181</v>
      </c>
      <c r="H935" s="31" t="n">
        <f aca="false">MAX(D935,F935+0.015)</f>
        <v>0.103588048824851</v>
      </c>
      <c r="I935" s="25" t="n">
        <f aca="false">(C935-'DCF Base Case'!$B$3)*(1-E935)+'DCF Base Case'!$B$3-G935</f>
        <v>0.146330517454076</v>
      </c>
      <c r="J935" s="24" t="n">
        <f aca="false">'DCF Base Case'!$B$2*(1+B935)^1*$I935-'DCF Base Case'!$B$2*(1+B935)^0*B935*'DCF Base Case'!$B$4</f>
        <v>22.8380584875336</v>
      </c>
      <c r="K935" s="24" t="n">
        <f aca="false">'DCF Base Case'!$B$2*(1+B935)^2*$I935-'DCF Base Case'!$B$2*(1+B935)^1*B935*'DCF Base Case'!$B$4</f>
        <v>25.0316123819163</v>
      </c>
      <c r="L935" s="24" t="n">
        <f aca="false">'DCF Base Case'!$B$2*(1+B935)^3*$I935-'DCF Base Case'!$B$2*(1+B935)^2*B935*'DCF Base Case'!$B$4</f>
        <v>27.435853130008</v>
      </c>
      <c r="M935" s="24" t="n">
        <f aca="false">'DCF Base Case'!$B$2*(1+B935)^4*$I935-'DCF Base Case'!$B$2*(1+B935)^3*B935*'DCF Base Case'!$B$4</f>
        <v>30.0710168201216</v>
      </c>
      <c r="N935" s="24" t="n">
        <f aca="false">'DCF Base Case'!$B$2*(1+B935)^5*$I935-'DCF Base Case'!$B$2*(1+B935)^4*B935*'DCF Base Case'!$B$4</f>
        <v>32.9592831799713</v>
      </c>
      <c r="O935" s="24" t="n">
        <f aca="false">J935/(1+H935)^1+K935/(1+H935)^2+L935/(1+H935)^3+M935/(1+H935)^4+N935/(1+H935)^5</f>
        <v>102.06760372672</v>
      </c>
      <c r="P935" s="24" t="n">
        <f aca="false">N935*(1+F935)/(H935-F935)</f>
        <v>410.792819840398</v>
      </c>
      <c r="Q935" s="24" t="n">
        <f aca="false">O935+P935/(1+H935)^5</f>
        <v>353.018008541055</v>
      </c>
      <c r="R935" s="24" t="n">
        <f aca="false">Q935-'DCF Base Case'!$B$5</f>
        <v>168.018008541055</v>
      </c>
      <c r="S935" s="32" t="n">
        <f aca="false">R935/'DCF Base Case'!$B$6</f>
        <v>6.72072034164221</v>
      </c>
    </row>
    <row r="936" customFormat="false" ht="15" hidden="false" customHeight="true" outlineLevel="0" collapsed="false">
      <c r="A936" s="6" t="n">
        <v>935</v>
      </c>
      <c r="B936" s="30" t="n">
        <v>0.0882159004512119</v>
      </c>
      <c r="C936" s="30" t="n">
        <v>0.386007172126417</v>
      </c>
      <c r="D936" s="30" t="n">
        <v>0.0826221055434584</v>
      </c>
      <c r="E936" s="30" t="n">
        <v>0.282544808173919</v>
      </c>
      <c r="F936" s="30" t="n">
        <v>0.020170948842739</v>
      </c>
      <c r="G936" s="30" t="n">
        <v>0.176227190065071</v>
      </c>
      <c r="H936" s="31" t="n">
        <f aca="false">MAX(D936,F936+0.015)</f>
        <v>0.0826221055434584</v>
      </c>
      <c r="I936" s="25" t="n">
        <f aca="false">(C936-'DCF Base Case'!$B$3)*(1-E936)+'DCF Base Case'!$B$3-G936</f>
        <v>0.13744648472174</v>
      </c>
      <c r="J936" s="24" t="n">
        <f aca="false">'DCF Base Case'!$B$2*(1+B936)^1*$I936-'DCF Base Case'!$B$2*(1+B936)^0*B936*'DCF Base Case'!$B$4</f>
        <v>21.3041211026589</v>
      </c>
      <c r="K936" s="24" t="n">
        <f aca="false">'DCF Base Case'!$B$2*(1+B936)^2*$I936-'DCF Base Case'!$B$2*(1+B936)^1*B936*'DCF Base Case'!$B$4</f>
        <v>23.1834833290517</v>
      </c>
      <c r="L936" s="24" t="n">
        <f aca="false">'DCF Base Case'!$B$2*(1+B936)^3*$I936-'DCF Base Case'!$B$2*(1+B936)^2*B936*'DCF Base Case'!$B$4</f>
        <v>25.2286351865196</v>
      </c>
      <c r="M936" s="24" t="n">
        <f aca="false">'DCF Base Case'!$B$2*(1+B936)^4*$I936-'DCF Base Case'!$B$2*(1+B936)^3*B936*'DCF Base Case'!$B$4</f>
        <v>27.4542019566536</v>
      </c>
      <c r="N936" s="24" t="n">
        <f aca="false">'DCF Base Case'!$B$2*(1+B936)^5*$I936-'DCF Base Case'!$B$2*(1+B936)^4*B936*'DCF Base Case'!$B$4</f>
        <v>29.8760991034292</v>
      </c>
      <c r="O936" s="24" t="n">
        <f aca="false">J936/(1+H936)^1+K936/(1+H936)^2+L936/(1+H936)^3+M936/(1+H936)^4+N936/(1+H936)^5</f>
        <v>99.4133306449553</v>
      </c>
      <c r="P936" s="24" t="n">
        <f aca="false">N936*(1+F936)/(H936-F936)</f>
        <v>488.041054485608</v>
      </c>
      <c r="Q936" s="24" t="n">
        <f aca="false">O936+P936/(1+H936)^5</f>
        <v>427.562949624403</v>
      </c>
      <c r="R936" s="24" t="n">
        <f aca="false">Q936-'DCF Base Case'!$B$5</f>
        <v>242.562949624403</v>
      </c>
      <c r="S936" s="32" t="n">
        <f aca="false">R936/'DCF Base Case'!$B$6</f>
        <v>9.7025179849761</v>
      </c>
    </row>
    <row r="937" customFormat="false" ht="15" hidden="false" customHeight="true" outlineLevel="0" collapsed="false">
      <c r="A937" s="6" t="n">
        <v>936</v>
      </c>
      <c r="B937" s="30" t="n">
        <v>0.110130364095204</v>
      </c>
      <c r="C937" s="30" t="n">
        <v>0.407259690762351</v>
      </c>
      <c r="D937" s="30" t="n">
        <v>0.0774861683207009</v>
      </c>
      <c r="E937" s="30" t="n">
        <v>0.323041552794129</v>
      </c>
      <c r="F937" s="30" t="n">
        <v>0.0221220720964367</v>
      </c>
      <c r="G937" s="30" t="n">
        <v>0.157308619791643</v>
      </c>
      <c r="H937" s="31" t="n">
        <f aca="false">MAX(D937,F937+0.015)</f>
        <v>0.0774861683207009</v>
      </c>
      <c r="I937" s="25" t="n">
        <f aca="false">(C937-'DCF Base Case'!$B$3)*(1-E937)+'DCF Base Case'!$B$3-G937</f>
        <v>0.160384669939618</v>
      </c>
      <c r="J937" s="24" t="n">
        <f aca="false">'DCF Base Case'!$B$2*(1+B937)^1*$I937-'DCF Base Case'!$B$2*(1+B937)^0*B937*'DCF Base Case'!$B$4</f>
        <v>25.3378772613127</v>
      </c>
      <c r="K937" s="24" t="n">
        <f aca="false">'DCF Base Case'!$B$2*(1+B937)^2*$I937-'DCF Base Case'!$B$2*(1+B937)^1*B937*'DCF Base Case'!$B$4</f>
        <v>28.1283469095006</v>
      </c>
      <c r="L937" s="24" t="n">
        <f aca="false">'DCF Base Case'!$B$2*(1+B937)^3*$I937-'DCF Base Case'!$B$2*(1+B937)^2*B937*'DCF Base Case'!$B$4</f>
        <v>31.2261319960402</v>
      </c>
      <c r="M937" s="24" t="n">
        <f aca="false">'DCF Base Case'!$B$2*(1+B937)^4*$I937-'DCF Base Case'!$B$2*(1+B937)^3*B937*'DCF Base Case'!$B$4</f>
        <v>34.665077282049</v>
      </c>
      <c r="N937" s="24" t="n">
        <f aca="false">'DCF Base Case'!$B$2*(1+B937)^5*$I937-'DCF Base Case'!$B$2*(1+B937)^4*B937*'DCF Base Case'!$B$4</f>
        <v>38.4827548645094</v>
      </c>
      <c r="O937" s="24" t="n">
        <f aca="false">J937/(1+H937)^1+K937/(1+H937)^2+L937/(1+H937)^3+M937/(1+H937)^4+N937/(1+H937)^5</f>
        <v>124.922276867557</v>
      </c>
      <c r="P937" s="24" t="n">
        <f aca="false">N937*(1+F937)/(H937-F937)</f>
        <v>710.461758153884</v>
      </c>
      <c r="Q937" s="24" t="n">
        <f aca="false">O937+P937/(1+H937)^5</f>
        <v>614.117476853086</v>
      </c>
      <c r="R937" s="24" t="n">
        <f aca="false">Q937-'DCF Base Case'!$B$5</f>
        <v>429.117476853086</v>
      </c>
      <c r="S937" s="32" t="n">
        <f aca="false">R937/'DCF Base Case'!$B$6</f>
        <v>17.1646990741234</v>
      </c>
    </row>
    <row r="938" customFormat="false" ht="15" hidden="false" customHeight="true" outlineLevel="0" collapsed="false">
      <c r="A938" s="6" t="n">
        <v>937</v>
      </c>
      <c r="B938" s="30" t="n">
        <v>0.0878179217176884</v>
      </c>
      <c r="C938" s="30" t="n">
        <v>0.411776652566853</v>
      </c>
      <c r="D938" s="30" t="n">
        <v>0.0853473153450952</v>
      </c>
      <c r="E938" s="30" t="n">
        <v>0.293871803069694</v>
      </c>
      <c r="F938" s="30" t="n">
        <v>0.0266409593385363</v>
      </c>
      <c r="G938" s="30" t="n">
        <v>0.169517332780831</v>
      </c>
      <c r="H938" s="31" t="n">
        <f aca="false">MAX(D938,F938+0.015)</f>
        <v>0.0853473153450952</v>
      </c>
      <c r="I938" s="25" t="n">
        <f aca="false">(C938-'DCF Base Case'!$B$3)*(1-E938)+'DCF Base Case'!$B$3-G938</f>
        <v>0.159453106833258</v>
      </c>
      <c r="J938" s="24" t="n">
        <f aca="false">'DCF Base Case'!$B$2*(1+B938)^1*$I938-'DCF Base Case'!$B$2*(1+B938)^0*B938*'DCF Base Case'!$B$4</f>
        <v>24.7691043971116</v>
      </c>
      <c r="K938" s="24" t="n">
        <f aca="false">'DCF Base Case'!$B$2*(1+B938)^2*$I938-'DCF Base Case'!$B$2*(1+B938)^1*B938*'DCF Base Case'!$B$4</f>
        <v>26.9442756680745</v>
      </c>
      <c r="L938" s="24" t="n">
        <f aca="false">'DCF Base Case'!$B$2*(1+B938)^3*$I938-'DCF Base Case'!$B$2*(1+B938)^2*B938*'DCF Base Case'!$B$4</f>
        <v>29.3104659594332</v>
      </c>
      <c r="M938" s="24" t="n">
        <f aca="false">'DCF Base Case'!$B$2*(1+B938)^4*$I938-'DCF Base Case'!$B$2*(1+B938)^3*B938*'DCF Base Case'!$B$4</f>
        <v>31.8844501645677</v>
      </c>
      <c r="N938" s="24" t="n">
        <f aca="false">'DCF Base Case'!$B$2*(1+B938)^5*$I938-'DCF Base Case'!$B$2*(1+B938)^4*B938*'DCF Base Case'!$B$4</f>
        <v>34.6844763131313</v>
      </c>
      <c r="O938" s="24" t="n">
        <f aca="false">J938/(1+H938)^1+K938/(1+H938)^2+L938/(1+H938)^3+M938/(1+H938)^4+N938/(1+H938)^5</f>
        <v>114.627484837674</v>
      </c>
      <c r="P938" s="24" t="n">
        <f aca="false">N938*(1+F938)/(H938-F938)</f>
        <v>606.552790166187</v>
      </c>
      <c r="Q938" s="24" t="n">
        <f aca="false">O938+P938/(1+H938)^5</f>
        <v>517.367630800698</v>
      </c>
      <c r="R938" s="24" t="n">
        <f aca="false">Q938-'DCF Base Case'!$B$5</f>
        <v>332.367630800698</v>
      </c>
      <c r="S938" s="32" t="n">
        <f aca="false">R938/'DCF Base Case'!$B$6</f>
        <v>13.2947052320279</v>
      </c>
    </row>
    <row r="939" customFormat="false" ht="15" hidden="false" customHeight="true" outlineLevel="0" collapsed="false">
      <c r="A939" s="6" t="n">
        <v>938</v>
      </c>
      <c r="B939" s="30" t="n">
        <v>0.104377396393834</v>
      </c>
      <c r="C939" s="30" t="n">
        <v>0.383088402948263</v>
      </c>
      <c r="D939" s="30" t="n">
        <v>0.0796661000794328</v>
      </c>
      <c r="E939" s="30" t="n">
        <v>0.317064474843484</v>
      </c>
      <c r="F939" s="30" t="n">
        <v>0.0207833019402114</v>
      </c>
      <c r="G939" s="30" t="n">
        <v>0.120150872855665</v>
      </c>
      <c r="H939" s="31" t="n">
        <f aca="false">MAX(D939,F939+0.015)</f>
        <v>0.0796661000794328</v>
      </c>
      <c r="I939" s="25" t="n">
        <f aca="false">(C939-'DCF Base Case'!$B$3)*(1-E939)+'DCF Base Case'!$B$3-G939</f>
        <v>0.182692188522831</v>
      </c>
      <c r="J939" s="24" t="n">
        <f aca="false">'DCF Base Case'!$B$2*(1+B939)^1*$I939-'DCF Base Case'!$B$2*(1+B939)^0*B939*'DCF Base Case'!$B$4</f>
        <v>28.8013212335255</v>
      </c>
      <c r="K939" s="24" t="n">
        <f aca="false">'DCF Base Case'!$B$2*(1+B939)^2*$I939-'DCF Base Case'!$B$2*(1+B939)^1*B939*'DCF Base Case'!$B$4</f>
        <v>31.8075281565833</v>
      </c>
      <c r="L939" s="24" t="n">
        <f aca="false">'DCF Base Case'!$B$2*(1+B939)^3*$I939-'DCF Base Case'!$B$2*(1+B939)^2*B939*'DCF Base Case'!$B$4</f>
        <v>35.127515131291</v>
      </c>
      <c r="M939" s="24" t="n">
        <f aca="false">'DCF Base Case'!$B$2*(1+B939)^4*$I939-'DCF Base Case'!$B$2*(1+B939)^3*B939*'DCF Base Case'!$B$4</f>
        <v>38.7940337024802</v>
      </c>
      <c r="N939" s="24" t="n">
        <f aca="false">'DCF Base Case'!$B$2*(1+B939)^5*$I939-'DCF Base Case'!$B$2*(1+B939)^4*B939*'DCF Base Case'!$B$4</f>
        <v>42.8432539359597</v>
      </c>
      <c r="O939" s="24" t="n">
        <f aca="false">J939/(1+H939)^1+K939/(1+H939)^2+L939/(1+H939)^3+M939/(1+H939)^4+N939/(1+H939)^5</f>
        <v>139.627647449714</v>
      </c>
      <c r="P939" s="24" t="n">
        <f aca="false">N939*(1+F939)/(H939-F939)</f>
        <v>742.724184323049</v>
      </c>
      <c r="Q939" s="24" t="n">
        <f aca="false">O939+P939/(1+H939)^5</f>
        <v>645.895368902553</v>
      </c>
      <c r="R939" s="24" t="n">
        <f aca="false">Q939-'DCF Base Case'!$B$5</f>
        <v>460.895368902553</v>
      </c>
      <c r="S939" s="32" t="n">
        <f aca="false">R939/'DCF Base Case'!$B$6</f>
        <v>18.4358147561021</v>
      </c>
    </row>
    <row r="940" customFormat="false" ht="15" hidden="false" customHeight="true" outlineLevel="0" collapsed="false">
      <c r="A940" s="6" t="n">
        <v>939</v>
      </c>
      <c r="B940" s="30" t="n">
        <v>0.104634177422943</v>
      </c>
      <c r="C940" s="30" t="n">
        <v>0.450826343702544</v>
      </c>
      <c r="D940" s="30" t="n">
        <v>0.0630450165526823</v>
      </c>
      <c r="E940" s="30" t="n">
        <v>0.324763291331847</v>
      </c>
      <c r="F940" s="30" t="n">
        <v>0.0106982517604497</v>
      </c>
      <c r="G940" s="30" t="n">
        <v>0.187677641534788</v>
      </c>
      <c r="H940" s="31" t="n">
        <f aca="false">MAX(D940,F940+0.015)</f>
        <v>0.0630450165526823</v>
      </c>
      <c r="I940" s="25" t="n">
        <f aca="false">(C940-'DCF Base Case'!$B$3)*(1-E940)+'DCF Base Case'!$B$3-G940</f>
        <v>0.158956082840955</v>
      </c>
      <c r="J940" s="24" t="n">
        <f aca="false">'DCF Base Case'!$B$2*(1+B940)^1*$I940-'DCF Base Case'!$B$2*(1+B940)^0*B940*'DCF Base Case'!$B$4</f>
        <v>25.005147991442</v>
      </c>
      <c r="K940" s="24" t="n">
        <f aca="false">'DCF Base Case'!$B$2*(1+B940)^2*$I940-'DCF Base Case'!$B$2*(1+B940)^1*B940*'DCF Base Case'!$B$4</f>
        <v>27.6215410828655</v>
      </c>
      <c r="L940" s="24" t="n">
        <f aca="false">'DCF Base Case'!$B$2*(1+B940)^3*$I940-'DCF Base Case'!$B$2*(1+B940)^2*B940*'DCF Base Case'!$B$4</f>
        <v>30.5116983132252</v>
      </c>
      <c r="M940" s="24" t="n">
        <f aca="false">'DCF Base Case'!$B$2*(1+B940)^4*$I940-'DCF Base Case'!$B$2*(1+B940)^3*B940*'DCF Base Case'!$B$4</f>
        <v>33.7042647680065</v>
      </c>
      <c r="N940" s="24" t="n">
        <f aca="false">'DCF Base Case'!$B$2*(1+B940)^5*$I940-'DCF Base Case'!$B$2*(1+B940)^4*B940*'DCF Base Case'!$B$4</f>
        <v>37.2308827876519</v>
      </c>
      <c r="O940" s="24" t="n">
        <f aca="false">J940/(1+H940)^1+K940/(1+H940)^2+L940/(1+H940)^3+M940/(1+H940)^4+N940/(1+H940)^5</f>
        <v>127.180589314746</v>
      </c>
      <c r="P940" s="24" t="n">
        <f aca="false">N940*(1+F940)/(H940-F940)</f>
        <v>718.844579876722</v>
      </c>
      <c r="Q940" s="24" t="n">
        <f aca="false">O940+P940/(1+H940)^5</f>
        <v>656.693706533912</v>
      </c>
      <c r="R940" s="24" t="n">
        <f aca="false">Q940-'DCF Base Case'!$B$5</f>
        <v>471.693706533912</v>
      </c>
      <c r="S940" s="32" t="n">
        <f aca="false">R940/'DCF Base Case'!$B$6</f>
        <v>18.8677482613565</v>
      </c>
    </row>
    <row r="941" customFormat="false" ht="15" hidden="false" customHeight="true" outlineLevel="0" collapsed="false">
      <c r="A941" s="6" t="n">
        <v>940</v>
      </c>
      <c r="B941" s="30" t="n">
        <v>0.0898271883828948</v>
      </c>
      <c r="C941" s="30" t="n">
        <v>0.369082770465682</v>
      </c>
      <c r="D941" s="30" t="n">
        <v>0.0899075160996377</v>
      </c>
      <c r="E941" s="30" t="n">
        <v>0.314836084762521</v>
      </c>
      <c r="F941" s="30" t="n">
        <v>0.0206455328923604</v>
      </c>
      <c r="G941" s="30" t="n">
        <v>0.179061132677411</v>
      </c>
      <c r="H941" s="31" t="n">
        <f aca="false">MAX(D941,F941+0.015)</f>
        <v>0.0899075160996377</v>
      </c>
      <c r="I941" s="25" t="n">
        <f aca="false">(C941-'DCF Base Case'!$B$3)*(1-E941)+'DCF Base Case'!$B$3-G941</f>
        <v>0.114749754400679</v>
      </c>
      <c r="J941" s="24" t="n">
        <f aca="false">'DCF Base Case'!$B$2*(1+B941)^1*$I941-'DCF Base Case'!$B$2*(1+B941)^0*B941*'DCF Base Case'!$B$4</f>
        <v>17.7425750504218</v>
      </c>
      <c r="K941" s="24" t="n">
        <f aca="false">'DCF Base Case'!$B$2*(1+B941)^2*$I941-'DCF Base Case'!$B$2*(1+B941)^1*B941*'DCF Base Case'!$B$4</f>
        <v>19.3363406818737</v>
      </c>
      <c r="L941" s="24" t="n">
        <f aca="false">'DCF Base Case'!$B$2*(1+B941)^3*$I941-'DCF Base Case'!$B$2*(1+B941)^2*B941*'DCF Base Case'!$B$4</f>
        <v>21.0732697989402</v>
      </c>
      <c r="M941" s="24" t="n">
        <f aca="false">'DCF Base Case'!$B$2*(1+B941)^4*$I941-'DCF Base Case'!$B$2*(1+B941)^3*B941*'DCF Base Case'!$B$4</f>
        <v>22.9662223750132</v>
      </c>
      <c r="N941" s="24" t="n">
        <f aca="false">'DCF Base Case'!$B$2*(1+B941)^5*$I941-'DCF Base Case'!$B$2*(1+B941)^4*B941*'DCF Base Case'!$B$4</f>
        <v>25.0292135587369</v>
      </c>
      <c r="O941" s="24" t="n">
        <f aca="false">J941/(1+H941)^1+K941/(1+H941)^2+L941/(1+H941)^3+M941/(1+H941)^4+N941/(1+H941)^5</f>
        <v>81.3828681592337</v>
      </c>
      <c r="P941" s="24" t="n">
        <f aca="false">N941*(1+F941)/(H941-F941)</f>
        <v>368.830833706905</v>
      </c>
      <c r="Q941" s="24" t="n">
        <f aca="false">O941+P941/(1+H941)^5</f>
        <v>321.199325228847</v>
      </c>
      <c r="R941" s="24" t="n">
        <f aca="false">Q941-'DCF Base Case'!$B$5</f>
        <v>136.199325228847</v>
      </c>
      <c r="S941" s="32" t="n">
        <f aca="false">R941/'DCF Base Case'!$B$6</f>
        <v>5.44797300915386</v>
      </c>
    </row>
    <row r="942" customFormat="false" ht="15" hidden="false" customHeight="true" outlineLevel="0" collapsed="false">
      <c r="A942" s="6" t="n">
        <v>941</v>
      </c>
      <c r="B942" s="30" t="n">
        <v>0.0812485404576567</v>
      </c>
      <c r="C942" s="30" t="n">
        <v>0.373310950706722</v>
      </c>
      <c r="D942" s="30" t="n">
        <v>0.0926105042457077</v>
      </c>
      <c r="E942" s="30" t="n">
        <v>0.330080263887267</v>
      </c>
      <c r="F942" s="30" t="n">
        <v>0.0233800369666778</v>
      </c>
      <c r="G942" s="30" t="n">
        <v>0.129677336878223</v>
      </c>
      <c r="H942" s="31" t="n">
        <f aca="false">MAX(D942,F942+0.015)</f>
        <v>0.0926105042457077</v>
      </c>
      <c r="I942" s="25" t="n">
        <f aca="false">(C942-'DCF Base Case'!$B$3)*(1-E942)+'DCF Base Case'!$B$3-G942</f>
        <v>0.163321471012562</v>
      </c>
      <c r="J942" s="24" t="n">
        <f aca="false">'DCF Base Case'!$B$2*(1+B942)^1*$I942-'DCF Base Case'!$B$2*(1+B942)^0*B942*'DCF Base Case'!$B$4</f>
        <v>25.2522786618801</v>
      </c>
      <c r="K942" s="24" t="n">
        <f aca="false">'DCF Base Case'!$B$2*(1+B942)^2*$I942-'DCF Base Case'!$B$2*(1+B942)^1*B942*'DCF Base Case'!$B$4</f>
        <v>27.3039894463879</v>
      </c>
      <c r="L942" s="24" t="n">
        <f aca="false">'DCF Base Case'!$B$2*(1+B942)^3*$I942-'DCF Base Case'!$B$2*(1+B942)^2*B942*'DCF Base Case'!$B$4</f>
        <v>29.5223987375782</v>
      </c>
      <c r="M942" s="24" t="n">
        <f aca="false">'DCF Base Case'!$B$2*(1+B942)^4*$I942-'DCF Base Case'!$B$2*(1+B942)^3*B942*'DCF Base Case'!$B$4</f>
        <v>31.9210505458154</v>
      </c>
      <c r="N942" s="24" t="n">
        <f aca="false">'DCF Base Case'!$B$2*(1+B942)^5*$I942-'DCF Base Case'!$B$2*(1+B942)^4*B942*'DCF Base Case'!$B$4</f>
        <v>34.514589312538</v>
      </c>
      <c r="O942" s="24" t="n">
        <f aca="false">J942/(1+H942)^1+K942/(1+H942)^2+L942/(1+H942)^3+M942/(1+H942)^4+N942/(1+H942)^5</f>
        <v>113.180859334696</v>
      </c>
      <c r="P942" s="24" t="n">
        <f aca="false">N942*(1+F942)/(H942-F942)</f>
        <v>510.202271843596</v>
      </c>
      <c r="Q942" s="24" t="n">
        <f aca="false">O942+P942/(1+H942)^5</f>
        <v>440.834902050801</v>
      </c>
      <c r="R942" s="24" t="n">
        <f aca="false">Q942-'DCF Base Case'!$B$5</f>
        <v>255.834902050801</v>
      </c>
      <c r="S942" s="32" t="n">
        <f aca="false">R942/'DCF Base Case'!$B$6</f>
        <v>10.233396082032</v>
      </c>
    </row>
    <row r="943" customFormat="false" ht="15" hidden="false" customHeight="true" outlineLevel="0" collapsed="false">
      <c r="A943" s="6" t="n">
        <v>942</v>
      </c>
      <c r="B943" s="30" t="n">
        <v>0.0580138243400346</v>
      </c>
      <c r="C943" s="30" t="n">
        <v>0.383618475143285</v>
      </c>
      <c r="D943" s="30" t="n">
        <v>0.0674772700359184</v>
      </c>
      <c r="E943" s="30" t="n">
        <v>0.280894808911983</v>
      </c>
      <c r="F943" s="30" t="n">
        <v>0.0207513287514999</v>
      </c>
      <c r="G943" s="30" t="n">
        <v>0.137472511991226</v>
      </c>
      <c r="H943" s="31" t="n">
        <f aca="false">MAX(D943,F943+0.015)</f>
        <v>0.0674772700359184</v>
      </c>
      <c r="I943" s="25" t="n">
        <f aca="false">(C943-'DCF Base Case'!$B$3)*(1-E943)+'DCF Base Case'!$B$3-G943</f>
        <v>0.174905850040137</v>
      </c>
      <c r="J943" s="24" t="n">
        <f aca="false">'DCF Base Case'!$B$2*(1+B943)^1*$I943-'DCF Base Case'!$B$2*(1+B943)^0*B943*'DCF Base Case'!$B$4</f>
        <v>26.5802969226804</v>
      </c>
      <c r="K943" s="24" t="n">
        <f aca="false">'DCF Base Case'!$B$2*(1+B943)^2*$I943-'DCF Base Case'!$B$2*(1+B943)^1*B943*'DCF Base Case'!$B$4</f>
        <v>28.1223215992587</v>
      </c>
      <c r="L943" s="24" t="n">
        <f aca="false">'DCF Base Case'!$B$2*(1+B943)^3*$I943-'DCF Base Case'!$B$2*(1+B943)^2*B943*'DCF Base Case'!$B$4</f>
        <v>29.7538050245521</v>
      </c>
      <c r="M943" s="24" t="n">
        <f aca="false">'DCF Base Case'!$B$2*(1+B943)^4*$I943-'DCF Base Case'!$B$2*(1+B943)^3*B943*'DCF Base Case'!$B$4</f>
        <v>31.4799370426941</v>
      </c>
      <c r="N943" s="24" t="n">
        <f aca="false">'DCF Base Case'!$B$2*(1+B943)^5*$I943-'DCF Base Case'!$B$2*(1+B943)^4*B943*'DCF Base Case'!$B$4</f>
        <v>33.3062085805243</v>
      </c>
      <c r="O943" s="24" t="n">
        <f aca="false">J943/(1+H943)^1+K943/(1+H943)^2+L943/(1+H943)^3+M943/(1+H943)^4+N943/(1+H943)^5</f>
        <v>122.312556892377</v>
      </c>
      <c r="P943" s="24" t="n">
        <f aca="false">N943*(1+F943)/(H943-F943)</f>
        <v>727.59062160577</v>
      </c>
      <c r="Q943" s="24" t="n">
        <f aca="false">O943+P943/(1+H943)^5</f>
        <v>647.233512826774</v>
      </c>
      <c r="R943" s="24" t="n">
        <f aca="false">Q943-'DCF Base Case'!$B$5</f>
        <v>462.233512826774</v>
      </c>
      <c r="S943" s="32" t="n">
        <f aca="false">R943/'DCF Base Case'!$B$6</f>
        <v>18.4893405130709</v>
      </c>
    </row>
    <row r="944" customFormat="false" ht="15" hidden="false" customHeight="true" outlineLevel="0" collapsed="false">
      <c r="A944" s="6" t="n">
        <v>943</v>
      </c>
      <c r="B944" s="30" t="n">
        <v>0.106943874058959</v>
      </c>
      <c r="C944" s="30" t="n">
        <v>0.431586155274197</v>
      </c>
      <c r="D944" s="30" t="n">
        <v>0.0789702496267193</v>
      </c>
      <c r="E944" s="30" t="n">
        <v>0.274979899573453</v>
      </c>
      <c r="F944" s="30" t="n">
        <v>0.0121165973570879</v>
      </c>
      <c r="G944" s="30" t="n">
        <v>0.158462743351649</v>
      </c>
      <c r="H944" s="31" t="n">
        <f aca="false">MAX(D944,F944+0.015)</f>
        <v>0.0789702496267193</v>
      </c>
      <c r="I944" s="25" t="n">
        <f aca="false">(C944-'DCF Base Case'!$B$3)*(1-E944)+'DCF Base Case'!$B$3-G944</f>
        <v>0.190193281232506</v>
      </c>
      <c r="J944" s="24" t="n">
        <f aca="false">'DCF Base Case'!$B$2*(1+B944)^1*$I944-'DCF Base Case'!$B$2*(1+B944)^0*B944*'DCF Base Case'!$B$4</f>
        <v>30.0621208422303</v>
      </c>
      <c r="K944" s="24" t="n">
        <f aca="false">'DCF Base Case'!$B$2*(1+B944)^2*$I944-'DCF Base Case'!$B$2*(1+B944)^1*B944*'DCF Base Case'!$B$4</f>
        <v>33.277080507527</v>
      </c>
      <c r="L944" s="24" t="n">
        <f aca="false">'DCF Base Case'!$B$2*(1+B944)^3*$I944-'DCF Base Case'!$B$2*(1+B944)^2*B944*'DCF Base Case'!$B$4</f>
        <v>36.8358604143738</v>
      </c>
      <c r="M944" s="24" t="n">
        <f aca="false">'DCF Base Case'!$B$2*(1+B944)^4*$I944-'DCF Base Case'!$B$2*(1+B944)^3*B944*'DCF Base Case'!$B$4</f>
        <v>40.7752300313819</v>
      </c>
      <c r="N944" s="24" t="n">
        <f aca="false">'DCF Base Case'!$B$2*(1+B944)^5*$I944-'DCF Base Case'!$B$2*(1+B944)^4*B944*'DCF Base Case'!$B$4</f>
        <v>45.1358910965831</v>
      </c>
      <c r="O944" s="24" t="n">
        <f aca="false">J944/(1+H944)^1+K944/(1+H944)^2+L944/(1+H944)^3+M944/(1+H944)^4+N944/(1+H944)^5</f>
        <v>146.722561043912</v>
      </c>
      <c r="P944" s="24" t="n">
        <f aca="false">N944*(1+F944)/(H944-F944)</f>
        <v>683.325188145412</v>
      </c>
      <c r="Q944" s="24" t="n">
        <f aca="false">O944+P944/(1+H944)^5</f>
        <v>614.005666248159</v>
      </c>
      <c r="R944" s="24" t="n">
        <f aca="false">Q944-'DCF Base Case'!$B$5</f>
        <v>429.005666248159</v>
      </c>
      <c r="S944" s="32" t="n">
        <f aca="false">R944/'DCF Base Case'!$B$6</f>
        <v>17.1602266499263</v>
      </c>
    </row>
    <row r="945" customFormat="false" ht="15" hidden="false" customHeight="true" outlineLevel="0" collapsed="false">
      <c r="A945" s="6" t="n">
        <v>944</v>
      </c>
      <c r="B945" s="30" t="n">
        <v>0.090147525218941</v>
      </c>
      <c r="C945" s="30" t="n">
        <v>0.418162823615248</v>
      </c>
      <c r="D945" s="30" t="n">
        <v>0.0891676460322219</v>
      </c>
      <c r="E945" s="30" t="n">
        <v>0.286795049110652</v>
      </c>
      <c r="F945" s="30" t="n">
        <v>0.018322113345482</v>
      </c>
      <c r="G945" s="30" t="n">
        <v>0.171790183040861</v>
      </c>
      <c r="H945" s="31" t="n">
        <f aca="false">MAX(D945,F945+0.015)</f>
        <v>0.0891676460322219</v>
      </c>
      <c r="I945" s="25" t="n">
        <f aca="false">(C945-'DCF Base Case'!$B$3)*(1-E945)+'DCF Base Case'!$B$3-G945</f>
        <v>0.163728969423788</v>
      </c>
      <c r="J945" s="24" t="n">
        <f aca="false">'DCF Base Case'!$B$2*(1+B945)^1*$I945-'DCF Base Case'!$B$2*(1+B945)^0*B945*'DCF Base Case'!$B$4</f>
        <v>25.4887242347762</v>
      </c>
      <c r="K945" s="24" t="n">
        <f aca="false">'DCF Base Case'!$B$2*(1+B945)^2*$I945-'DCF Base Case'!$B$2*(1+B945)^1*B945*'DCF Base Case'!$B$4</f>
        <v>27.7864696455293</v>
      </c>
      <c r="L945" s="24" t="n">
        <f aca="false">'DCF Base Case'!$B$2*(1+B945)^3*$I945-'DCF Base Case'!$B$2*(1+B945)^2*B945*'DCF Base Case'!$B$4</f>
        <v>30.291351118645</v>
      </c>
      <c r="M945" s="24" t="n">
        <f aca="false">'DCF Base Case'!$B$2*(1+B945)^4*$I945-'DCF Base Case'!$B$2*(1+B945)^3*B945*'DCF Base Case'!$B$4</f>
        <v>33.0220414575288</v>
      </c>
      <c r="N945" s="24" t="n">
        <f aca="false">'DCF Base Case'!$B$2*(1+B945)^5*$I945-'DCF Base Case'!$B$2*(1+B945)^4*B945*'DCF Base Case'!$B$4</f>
        <v>35.9988967726023</v>
      </c>
      <c r="O945" s="24" t="n">
        <f aca="false">J945/(1+H945)^1+K945/(1+H945)^2+L945/(1+H945)^3+M945/(1+H945)^4+N945/(1+H945)^5</f>
        <v>117.220833328981</v>
      </c>
      <c r="P945" s="24" t="n">
        <f aca="false">N945*(1+F945)/(H945-F945)</f>
        <v>517.442261344498</v>
      </c>
      <c r="Q945" s="24" t="n">
        <f aca="false">O945+P945/(1+H945)^5</f>
        <v>454.809793561908</v>
      </c>
      <c r="R945" s="24" t="n">
        <f aca="false">Q945-'DCF Base Case'!$B$5</f>
        <v>269.809793561908</v>
      </c>
      <c r="S945" s="32" t="n">
        <f aca="false">R945/'DCF Base Case'!$B$6</f>
        <v>10.7923917424763</v>
      </c>
    </row>
    <row r="946" customFormat="false" ht="15" hidden="false" customHeight="true" outlineLevel="0" collapsed="false">
      <c r="A946" s="6" t="n">
        <v>945</v>
      </c>
      <c r="B946" s="30" t="n">
        <v>0.111878471717758</v>
      </c>
      <c r="C946" s="30" t="n">
        <v>0.420152864706448</v>
      </c>
      <c r="D946" s="30" t="n">
        <v>0.0884935437991485</v>
      </c>
      <c r="E946" s="30" t="n">
        <v>0.274627176970641</v>
      </c>
      <c r="F946" s="30" t="n">
        <v>0.0167310065171581</v>
      </c>
      <c r="G946" s="30" t="n">
        <v>0.177536203827514</v>
      </c>
      <c r="H946" s="31" t="n">
        <f aca="false">MAX(D946,F946+0.015)</f>
        <v>0.0884935437991485</v>
      </c>
      <c r="I946" s="25" t="n">
        <f aca="false">(C946-'DCF Base Case'!$B$3)*(1-E946)+'DCF Base Case'!$B$3-G946</f>
        <v>0.162932798754658</v>
      </c>
      <c r="J946" s="24" t="n">
        <f aca="false">'DCF Base Case'!$B$2*(1+B946)^1*$I946-'DCF Base Case'!$B$2*(1+B946)^0*B946*'DCF Base Case'!$B$4</f>
        <v>25.7817419824715</v>
      </c>
      <c r="K946" s="24" t="n">
        <f aca="false">'DCF Base Case'!$B$2*(1+B946)^2*$I946-'DCF Base Case'!$B$2*(1+B946)^1*B946*'DCF Base Case'!$B$4</f>
        <v>28.666163873692</v>
      </c>
      <c r="L946" s="24" t="n">
        <f aca="false">'DCF Base Case'!$B$2*(1+B946)^3*$I946-'DCF Base Case'!$B$2*(1+B946)^2*B946*'DCF Base Case'!$B$4</f>
        <v>31.8732904778915</v>
      </c>
      <c r="M946" s="24" t="n">
        <f aca="false">'DCF Base Case'!$B$2*(1+B946)^4*$I946-'DCF Base Case'!$B$2*(1+B946)^3*B946*'DCF Base Case'!$B$4</f>
        <v>35.4392255051742</v>
      </c>
      <c r="N946" s="24" t="n">
        <f aca="false">'DCF Base Case'!$B$2*(1+B946)^5*$I946-'DCF Base Case'!$B$2*(1+B946)^4*B946*'DCF Base Case'!$B$4</f>
        <v>39.404111893554</v>
      </c>
      <c r="O946" s="24" t="n">
        <f aca="false">J946/(1+H946)^1+K946/(1+H946)^2+L946/(1+H946)^3+M946/(1+H946)^4+N946/(1+H946)^5</f>
        <v>123.627628844195</v>
      </c>
      <c r="P946" s="24" t="n">
        <f aca="false">N946*(1+F946)/(H946-F946)</f>
        <v>558.277115941694</v>
      </c>
      <c r="Q946" s="24" t="n">
        <f aca="false">O946+P946/(1+H946)^5</f>
        <v>488.987242226573</v>
      </c>
      <c r="R946" s="24" t="n">
        <f aca="false">Q946-'DCF Base Case'!$B$5</f>
        <v>303.987242226573</v>
      </c>
      <c r="S946" s="32" t="n">
        <f aca="false">R946/'DCF Base Case'!$B$6</f>
        <v>12.1594896890629</v>
      </c>
    </row>
    <row r="947" customFormat="false" ht="15" hidden="false" customHeight="true" outlineLevel="0" collapsed="false">
      <c r="A947" s="6" t="n">
        <v>946</v>
      </c>
      <c r="B947" s="30" t="n">
        <v>0.0780374856334629</v>
      </c>
      <c r="C947" s="30" t="n">
        <v>0.418299396714513</v>
      </c>
      <c r="D947" s="30" t="n">
        <v>0.0853108090866105</v>
      </c>
      <c r="E947" s="30" t="n">
        <v>0.271691822970653</v>
      </c>
      <c r="F947" s="30" t="n">
        <v>0.0180619675713109</v>
      </c>
      <c r="G947" s="30" t="n">
        <v>0.154967656317364</v>
      </c>
      <c r="H947" s="31" t="n">
        <f aca="false">MAX(D947,F947+0.015)</f>
        <v>0.0853108090866105</v>
      </c>
      <c r="I947" s="25" t="n">
        <f aca="false">(C947-'DCF Base Case'!$B$3)*(1-E947)+'DCF Base Case'!$B$3-G947</f>
        <v>0.185003151742444</v>
      </c>
      <c r="J947" s="24" t="n">
        <f aca="false">'DCF Base Case'!$B$2*(1+B947)^1*$I947-'DCF Base Case'!$B$2*(1+B947)^0*B947*'DCF Base Case'!$B$4</f>
        <v>28.5793851556045</v>
      </c>
      <c r="K947" s="24" t="n">
        <f aca="false">'DCF Base Case'!$B$2*(1+B947)^2*$I947-'DCF Base Case'!$B$2*(1+B947)^1*B947*'DCF Base Case'!$B$4</f>
        <v>30.8096485140981</v>
      </c>
      <c r="L947" s="24" t="n">
        <f aca="false">'DCF Base Case'!$B$2*(1+B947)^3*$I947-'DCF Base Case'!$B$2*(1+B947)^2*B947*'DCF Base Case'!$B$4</f>
        <v>33.2139560173891</v>
      </c>
      <c r="M947" s="24" t="n">
        <f aca="false">'DCF Base Case'!$B$2*(1+B947)^4*$I947-'DCF Base Case'!$B$2*(1+B947)^3*B947*'DCF Base Case'!$B$4</f>
        <v>35.8058896329266</v>
      </c>
      <c r="N947" s="24" t="n">
        <f aca="false">'DCF Base Case'!$B$2*(1+B947)^5*$I947-'DCF Base Case'!$B$2*(1+B947)^4*B947*'DCF Base Case'!$B$4</f>
        <v>38.6000912307495</v>
      </c>
      <c r="O947" s="24" t="n">
        <f aca="false">J947/(1+H947)^1+K947/(1+H947)^2+L947/(1+H947)^3+M947/(1+H947)^4+N947/(1+H947)^5</f>
        <v>129.911579067123</v>
      </c>
      <c r="P947" s="24" t="n">
        <f aca="false">N947*(1+F947)/(H947-F947)</f>
        <v>584.356309214167</v>
      </c>
      <c r="Q947" s="24" t="n">
        <f aca="false">O947+P947/(1+H947)^5</f>
        <v>517.978920713557</v>
      </c>
      <c r="R947" s="24" t="n">
        <f aca="false">Q947-'DCF Base Case'!$B$5</f>
        <v>332.978920713557</v>
      </c>
      <c r="S947" s="32" t="n">
        <f aca="false">R947/'DCF Base Case'!$B$6</f>
        <v>13.3191568285423</v>
      </c>
    </row>
    <row r="948" customFormat="false" ht="15" hidden="false" customHeight="true" outlineLevel="0" collapsed="false">
      <c r="A948" s="6" t="n">
        <v>947</v>
      </c>
      <c r="B948" s="30" t="n">
        <v>0.0557959410066026</v>
      </c>
      <c r="C948" s="30" t="n">
        <v>0.409837721605821</v>
      </c>
      <c r="D948" s="30" t="n">
        <v>0.0875470150780615</v>
      </c>
      <c r="E948" s="30" t="n">
        <v>0.30575334152776</v>
      </c>
      <c r="F948" s="30" t="n">
        <v>0.0172160544908507</v>
      </c>
      <c r="G948" s="30" t="n">
        <v>0.206804364763127</v>
      </c>
      <c r="H948" s="31" t="n">
        <f aca="false">MAX(D948,F948+0.015)</f>
        <v>0.0875470150780615</v>
      </c>
      <c r="I948" s="25" t="n">
        <f aca="false">(C948-'DCF Base Case'!$B$3)*(1-E948)+'DCF Base Case'!$B$3-G948</f>
        <v>0.117472038376199</v>
      </c>
      <c r="J948" s="24" t="n">
        <f aca="false">'DCF Base Case'!$B$2*(1+B948)^1*$I948-'DCF Base Case'!$B$2*(1+B948)^0*B948*'DCF Base Case'!$B$4</f>
        <v>17.7411303450289</v>
      </c>
      <c r="K948" s="24" t="n">
        <f aca="false">'DCF Base Case'!$B$2*(1+B948)^2*$I948-'DCF Base Case'!$B$2*(1+B948)^1*B948*'DCF Base Case'!$B$4</f>
        <v>18.7310134071506</v>
      </c>
      <c r="L948" s="24" t="n">
        <f aca="false">'DCF Base Case'!$B$2*(1+B948)^3*$I948-'DCF Base Case'!$B$2*(1+B948)^2*B948*'DCF Base Case'!$B$4</f>
        <v>19.7761279262098</v>
      </c>
      <c r="M948" s="24" t="n">
        <f aca="false">'DCF Base Case'!$B$2*(1+B948)^4*$I948-'DCF Base Case'!$B$2*(1+B948)^3*B948*'DCF Base Case'!$B$4</f>
        <v>20.8795555933197</v>
      </c>
      <c r="N948" s="24" t="n">
        <f aca="false">'DCF Base Case'!$B$2*(1+B948)^5*$I948-'DCF Base Case'!$B$2*(1+B948)^4*B948*'DCF Base Case'!$B$4</f>
        <v>22.0445500454486</v>
      </c>
      <c r="O948" s="24" t="n">
        <f aca="false">J948/(1+H948)^1+K948/(1+H948)^2+L948/(1+H948)^3+M948/(1+H948)^4+N948/(1+H948)^5</f>
        <v>76.939321124595</v>
      </c>
      <c r="P948" s="24" t="n">
        <f aca="false">N948*(1+F948)/(H948-F948)</f>
        <v>318.836399119722</v>
      </c>
      <c r="Q948" s="24" t="n">
        <f aca="false">O948+P948/(1+H948)^5</f>
        <v>286.508635174623</v>
      </c>
      <c r="R948" s="24" t="n">
        <f aca="false">Q948-'DCF Base Case'!$B$5</f>
        <v>101.508635174623</v>
      </c>
      <c r="S948" s="32" t="n">
        <f aca="false">R948/'DCF Base Case'!$B$6</f>
        <v>4.06034540698491</v>
      </c>
    </row>
    <row r="949" customFormat="false" ht="15" hidden="false" customHeight="true" outlineLevel="0" collapsed="false">
      <c r="A949" s="6" t="n">
        <v>948</v>
      </c>
      <c r="B949" s="30" t="n">
        <v>0.081956567809562</v>
      </c>
      <c r="C949" s="30" t="n">
        <v>0.391973075483048</v>
      </c>
      <c r="D949" s="30" t="n">
        <v>0.0740694658817307</v>
      </c>
      <c r="E949" s="30" t="n">
        <v>0.249551179898125</v>
      </c>
      <c r="F949" s="30" t="n">
        <v>0.0246316822956112</v>
      </c>
      <c r="G949" s="30" t="n">
        <v>0.19739332294499</v>
      </c>
      <c r="H949" s="31" t="n">
        <f aca="false">MAX(D949,F949+0.015)</f>
        <v>0.0740694658817307</v>
      </c>
      <c r="I949" s="25" t="n">
        <f aca="false">(C949-'DCF Base Case'!$B$3)*(1-E949)+'DCF Base Case'!$B$3-G949</f>
        <v>0.129204062449723</v>
      </c>
      <c r="J949" s="24" t="n">
        <f aca="false">'DCF Base Case'!$B$2*(1+B949)^1*$I949-'DCF Base Case'!$B$2*(1+B949)^0*B949*'DCF Base Case'!$B$4</f>
        <v>19.9135006035258</v>
      </c>
      <c r="K949" s="24" t="n">
        <f aca="false">'DCF Base Case'!$B$2*(1+B949)^2*$I949-'DCF Base Case'!$B$2*(1+B949)^1*B949*'DCF Base Case'!$B$4</f>
        <v>21.5455427660644</v>
      </c>
      <c r="L949" s="24" t="n">
        <f aca="false">'DCF Base Case'!$B$2*(1+B949)^3*$I949-'DCF Base Case'!$B$2*(1+B949)^2*B949*'DCF Base Case'!$B$4</f>
        <v>23.3113415027652</v>
      </c>
      <c r="M949" s="24" t="n">
        <f aca="false">'DCF Base Case'!$B$2*(1+B949)^4*$I949-'DCF Base Case'!$B$2*(1+B949)^3*B949*'DCF Base Case'!$B$4</f>
        <v>25.2218590433684</v>
      </c>
      <c r="N949" s="24" t="n">
        <f aca="false">'DCF Base Case'!$B$2*(1+B949)^5*$I949-'DCF Base Case'!$B$2*(1+B949)^4*B949*'DCF Base Case'!$B$4</f>
        <v>27.2889560443395</v>
      </c>
      <c r="O949" s="24" t="n">
        <f aca="false">J949/(1+H949)^1+K949/(1+H949)^2+L949/(1+H949)^3+M949/(1+H949)^4+N949/(1+H949)^5</f>
        <v>94.0726562157715</v>
      </c>
      <c r="P949" s="24" t="n">
        <f aca="false">N949*(1+F949)/(H949-F949)</f>
        <v>565.582170387855</v>
      </c>
      <c r="Q949" s="24" t="n">
        <f aca="false">O949+P949/(1+H949)^5</f>
        <v>489.743325802837</v>
      </c>
      <c r="R949" s="24" t="n">
        <f aca="false">Q949-'DCF Base Case'!$B$5</f>
        <v>304.743325802837</v>
      </c>
      <c r="S949" s="32" t="n">
        <f aca="false">R949/'DCF Base Case'!$B$6</f>
        <v>12.1897330321135</v>
      </c>
    </row>
    <row r="950" customFormat="false" ht="15" hidden="false" customHeight="true" outlineLevel="0" collapsed="false">
      <c r="A950" s="6" t="n">
        <v>949</v>
      </c>
      <c r="B950" s="30" t="n">
        <v>0.102986160245992</v>
      </c>
      <c r="C950" s="30" t="n">
        <v>0.399846610299287</v>
      </c>
      <c r="D950" s="30" t="n">
        <v>0.10492394449715</v>
      </c>
      <c r="E950" s="30" t="n">
        <v>0.270558147049127</v>
      </c>
      <c r="F950" s="30" t="n">
        <v>0.0183031384377663</v>
      </c>
      <c r="G950" s="30" t="n">
        <v>0.198741280055586</v>
      </c>
      <c r="H950" s="31" t="n">
        <f aca="false">MAX(D950,F950+0.015)</f>
        <v>0.10492394449715</v>
      </c>
      <c r="I950" s="25" t="n">
        <f aca="false">(C950-'DCF Base Case'!$B$3)*(1-E950)+'DCF Base Case'!$B$3-G950</f>
        <v>0.128096131373638</v>
      </c>
      <c r="J950" s="24" t="n">
        <f aca="false">'DCF Base Case'!$B$2*(1+B950)^1*$I950-'DCF Base Case'!$B$2*(1+B950)^0*B950*'DCF Base Case'!$B$4</f>
        <v>20.0388079154253</v>
      </c>
      <c r="K950" s="24" t="n">
        <f aca="false">'DCF Base Case'!$B$2*(1+B950)^2*$I950-'DCF Base Case'!$B$2*(1+B950)^1*B950*'DCF Base Case'!$B$4</f>
        <v>22.102527798542</v>
      </c>
      <c r="L950" s="24" t="n">
        <f aca="false">'DCF Base Case'!$B$2*(1+B950)^3*$I950-'DCF Base Case'!$B$2*(1+B950)^2*B950*'DCF Base Case'!$B$4</f>
        <v>24.3787822682441</v>
      </c>
      <c r="M950" s="24" t="n">
        <f aca="false">'DCF Base Case'!$B$2*(1+B950)^4*$I950-'DCF Base Case'!$B$2*(1+B950)^3*B950*'DCF Base Case'!$B$4</f>
        <v>26.8894594455237</v>
      </c>
      <c r="N950" s="24" t="n">
        <f aca="false">'DCF Base Case'!$B$2*(1+B950)^5*$I950-'DCF Base Case'!$B$2*(1+B950)^4*B950*'DCF Base Case'!$B$4</f>
        <v>29.6587016249085</v>
      </c>
      <c r="O950" s="24" t="n">
        <f aca="false">J950/(1+H950)^1+K950/(1+H950)^2+L950/(1+H950)^3+M950/(1+H950)^4+N950/(1+H950)^5</f>
        <v>90.3620750961164</v>
      </c>
      <c r="P950" s="24" t="n">
        <f aca="false">N950*(1+F950)/(H950-F950)</f>
        <v>348.663910214927</v>
      </c>
      <c r="Q950" s="24" t="n">
        <f aca="false">O950+P950/(1+H950)^5</f>
        <v>302.073878045957</v>
      </c>
      <c r="R950" s="24" t="n">
        <f aca="false">Q950-'DCF Base Case'!$B$5</f>
        <v>117.073878045957</v>
      </c>
      <c r="S950" s="32" t="n">
        <f aca="false">R950/'DCF Base Case'!$B$6</f>
        <v>4.68295512183826</v>
      </c>
    </row>
    <row r="951" customFormat="false" ht="15" hidden="false" customHeight="true" outlineLevel="0" collapsed="false">
      <c r="A951" s="6" t="n">
        <v>950</v>
      </c>
      <c r="B951" s="30" t="n">
        <v>0.104294496621194</v>
      </c>
      <c r="C951" s="30" t="n">
        <v>0.453385360729411</v>
      </c>
      <c r="D951" s="30" t="n">
        <v>0.0877359448635092</v>
      </c>
      <c r="E951" s="30" t="n">
        <v>0.269514948623802</v>
      </c>
      <c r="F951" s="30" t="n">
        <v>0.0168781065785101</v>
      </c>
      <c r="G951" s="30" t="n">
        <v>0.131379604064768</v>
      </c>
      <c r="H951" s="31" t="n">
        <f aca="false">MAX(D951,F951+0.015)</f>
        <v>0.0877359448635092</v>
      </c>
      <c r="I951" s="25" t="n">
        <f aca="false">(C951-'DCF Base Case'!$B$3)*(1-E951)+'DCF Base Case'!$B$3-G951</f>
        <v>0.234848567781966</v>
      </c>
      <c r="J951" s="24" t="n">
        <f aca="false">'DCF Base Case'!$B$2*(1+B951)^1*$I951-'DCF Base Case'!$B$2*(1+B951)^0*B951*'DCF Base Case'!$B$4</f>
        <v>37.150906176142</v>
      </c>
      <c r="K951" s="24" t="n">
        <f aca="false">'DCF Base Case'!$B$2*(1+B951)^2*$I951-'DCF Base Case'!$B$2*(1+B951)^1*B951*'DCF Base Case'!$B$4</f>
        <v>41.025541234804</v>
      </c>
      <c r="L951" s="24" t="n">
        <f aca="false">'DCF Base Case'!$B$2*(1+B951)^3*$I951-'DCF Base Case'!$B$2*(1+B951)^2*B951*'DCF Base Case'!$B$4</f>
        <v>45.3042794064999</v>
      </c>
      <c r="M951" s="24" t="n">
        <f aca="false">'DCF Base Case'!$B$2*(1+B951)^4*$I951-'DCF Base Case'!$B$2*(1+B951)^3*B951*'DCF Base Case'!$B$4</f>
        <v>50.0292664219867</v>
      </c>
      <c r="N951" s="24" t="n">
        <f aca="false">'DCF Base Case'!$B$2*(1+B951)^5*$I951-'DCF Base Case'!$B$2*(1+B951)^4*B951*'DCF Base Case'!$B$4</f>
        <v>55.2470435797954</v>
      </c>
      <c r="O951" s="24" t="n">
        <f aca="false">J951/(1+H951)^1+K951/(1+H951)^2+L951/(1+H951)^3+M951/(1+H951)^4+N951/(1+H951)^5</f>
        <v>176.050765300598</v>
      </c>
      <c r="P951" s="24" t="n">
        <f aca="false">N951*(1+F951)/(H951-F951)</f>
        <v>792.848193357548</v>
      </c>
      <c r="Q951" s="24" t="n">
        <f aca="false">O951+P951/(1+H951)^5</f>
        <v>696.732855395192</v>
      </c>
      <c r="R951" s="24" t="n">
        <f aca="false">Q951-'DCF Base Case'!$B$5</f>
        <v>511.732855395192</v>
      </c>
      <c r="S951" s="32" t="n">
        <f aca="false">R951/'DCF Base Case'!$B$6</f>
        <v>20.4693142158077</v>
      </c>
    </row>
    <row r="952" customFormat="false" ht="15" hidden="false" customHeight="true" outlineLevel="0" collapsed="false">
      <c r="A952" s="6" t="n">
        <v>951</v>
      </c>
      <c r="B952" s="30" t="n">
        <v>0.0841745134985287</v>
      </c>
      <c r="C952" s="30" t="n">
        <v>0.434320647290689</v>
      </c>
      <c r="D952" s="30" t="n">
        <v>0.0915871758992168</v>
      </c>
      <c r="E952" s="30" t="n">
        <v>0.280216058720305</v>
      </c>
      <c r="F952" s="30" t="n">
        <v>0.015289585340076</v>
      </c>
      <c r="G952" s="30" t="n">
        <v>0.17038581401903</v>
      </c>
      <c r="H952" s="31" t="n">
        <f aca="false">MAX(D952,F952+0.015)</f>
        <v>0.0915871758992168</v>
      </c>
      <c r="I952" s="25" t="n">
        <f aca="false">(C952-'DCF Base Case'!$B$3)*(1-E952)+'DCF Base Case'!$B$3-G952</f>
        <v>0.17865930090065</v>
      </c>
      <c r="J952" s="24" t="n">
        <f aca="false">'DCF Base Case'!$B$2*(1+B952)^1*$I952-'DCF Base Case'!$B$2*(1+B952)^0*B952*'DCF Base Case'!$B$4</f>
        <v>27.7200306584941</v>
      </c>
      <c r="K952" s="24" t="n">
        <f aca="false">'DCF Base Case'!$B$2*(1+B952)^2*$I952-'DCF Base Case'!$B$2*(1+B952)^1*B952*'DCF Base Case'!$B$4</f>
        <v>30.0533507533371</v>
      </c>
      <c r="L952" s="24" t="n">
        <f aca="false">'DCF Base Case'!$B$2*(1+B952)^3*$I952-'DCF Base Case'!$B$2*(1+B952)^2*B952*'DCF Base Case'!$B$4</f>
        <v>32.5830769319999</v>
      </c>
      <c r="M952" s="24" t="n">
        <f aca="false">'DCF Base Case'!$B$2*(1+B952)^4*$I952-'DCF Base Case'!$B$2*(1+B952)^3*B952*'DCF Base Case'!$B$4</f>
        <v>35.3257415810362</v>
      </c>
      <c r="N952" s="24" t="n">
        <f aca="false">'DCF Base Case'!$B$2*(1+B952)^5*$I952-'DCF Base Case'!$B$2*(1+B952)^4*B952*'DCF Base Case'!$B$4</f>
        <v>38.2992686925946</v>
      </c>
      <c r="O952" s="24" t="n">
        <f aca="false">J952/(1+H952)^1+K952/(1+H952)^2+L952/(1+H952)^3+M952/(1+H952)^4+N952/(1+H952)^5</f>
        <v>125.258436705896</v>
      </c>
      <c r="P952" s="24" t="n">
        <f aca="false">N952*(1+F952)/(H952-F952)</f>
        <v>509.647137540885</v>
      </c>
      <c r="Q952" s="24" t="n">
        <f aca="false">O952+P952/(1+H952)^5</f>
        <v>454.093004250422</v>
      </c>
      <c r="R952" s="24" t="n">
        <f aca="false">Q952-'DCF Base Case'!$B$5</f>
        <v>269.093004250422</v>
      </c>
      <c r="S952" s="32" t="n">
        <f aca="false">R952/'DCF Base Case'!$B$6</f>
        <v>10.7637201700169</v>
      </c>
    </row>
    <row r="953" customFormat="false" ht="15" hidden="false" customHeight="true" outlineLevel="0" collapsed="false">
      <c r="A953" s="6" t="n">
        <v>952</v>
      </c>
      <c r="B953" s="30" t="n">
        <v>0.112109627416265</v>
      </c>
      <c r="C953" s="30" t="n">
        <v>0.430050897447497</v>
      </c>
      <c r="D953" s="30" t="n">
        <v>0.086834086865967</v>
      </c>
      <c r="E953" s="30" t="n">
        <v>0.261716957157594</v>
      </c>
      <c r="F953" s="30" t="n">
        <v>0.0224680115828314</v>
      </c>
      <c r="G953" s="30" t="n">
        <v>0.121863739090641</v>
      </c>
      <c r="H953" s="31" t="n">
        <f aca="false">MAX(D953,F953+0.015)</f>
        <v>0.086834086865967</v>
      </c>
      <c r="I953" s="25" t="n">
        <f aca="false">(C953-'DCF Base Case'!$B$3)*(1-E953)+'DCF Base Case'!$B$3-G953</f>
        <v>0.229658750484492</v>
      </c>
      <c r="J953" s="24" t="n">
        <f aca="false">'DCF Base Case'!$B$2*(1+B953)^1*$I953-'DCF Base Case'!$B$2*(1+B953)^0*B953*'DCF Base Case'!$B$4</f>
        <v>36.5461506986973</v>
      </c>
      <c r="K953" s="24" t="n">
        <f aca="false">'DCF Base Case'!$B$2*(1+B953)^2*$I953-'DCF Base Case'!$B$2*(1+B953)^1*B953*'DCF Base Case'!$B$4</f>
        <v>40.6433260370269</v>
      </c>
      <c r="L953" s="24" t="n">
        <f aca="false">'DCF Base Case'!$B$2*(1+B953)^3*$I953-'DCF Base Case'!$B$2*(1+B953)^2*B953*'DCF Base Case'!$B$4</f>
        <v>45.1998341759957</v>
      </c>
      <c r="M953" s="24" t="n">
        <f aca="false">'DCF Base Case'!$B$2*(1+B953)^4*$I953-'DCF Base Case'!$B$2*(1+B953)^3*B953*'DCF Base Case'!$B$4</f>
        <v>50.2671707447436</v>
      </c>
      <c r="N953" s="24" t="n">
        <f aca="false">'DCF Base Case'!$B$2*(1+B953)^5*$I953-'DCF Base Case'!$B$2*(1+B953)^4*B953*'DCF Base Case'!$B$4</f>
        <v>55.9026045282066</v>
      </c>
      <c r="O953" s="24" t="n">
        <f aca="false">J953/(1+H953)^1+K953/(1+H953)^2+L953/(1+H953)^3+M953/(1+H953)^4+N953/(1+H953)^5</f>
        <v>176.135381798181</v>
      </c>
      <c r="P953" s="24" t="n">
        <f aca="false">N953*(1+F953)/(H953-F953)</f>
        <v>888.024081673856</v>
      </c>
      <c r="Q953" s="24" t="n">
        <f aca="false">O953+P953/(1+H953)^5</f>
        <v>761.745387692735</v>
      </c>
      <c r="R953" s="24" t="n">
        <f aca="false">Q953-'DCF Base Case'!$B$5</f>
        <v>576.745387692735</v>
      </c>
      <c r="S953" s="32" t="n">
        <f aca="false">R953/'DCF Base Case'!$B$6</f>
        <v>23.0698155077094</v>
      </c>
    </row>
    <row r="954" customFormat="false" ht="15" hidden="false" customHeight="true" outlineLevel="0" collapsed="false">
      <c r="A954" s="6" t="n">
        <v>953</v>
      </c>
      <c r="B954" s="30" t="n">
        <v>0.0981122282773048</v>
      </c>
      <c r="C954" s="30" t="n">
        <v>0.455303175111772</v>
      </c>
      <c r="D954" s="30" t="n">
        <v>0.0684078927393497</v>
      </c>
      <c r="E954" s="30" t="n">
        <v>0.273226830752684</v>
      </c>
      <c r="F954" s="30" t="n">
        <v>0.0193245750993667</v>
      </c>
      <c r="G954" s="30" t="n">
        <v>0.155879337497998</v>
      </c>
      <c r="H954" s="31" t="n">
        <f aca="false">MAX(D954,F954+0.015)</f>
        <v>0.0684078927393497</v>
      </c>
      <c r="I954" s="25" t="n">
        <f aca="false">(C954-'DCF Base Case'!$B$3)*(1-E954)+'DCF Base Case'!$B$3-G954</f>
        <v>0.210542282044199</v>
      </c>
      <c r="J954" s="24" t="n">
        <f aca="false">'DCF Base Case'!$B$2*(1+B954)^1*$I954-'DCF Base Case'!$B$2*(1+B954)^0*B954*'DCF Base Case'!$B$4</f>
        <v>33.0970747069047</v>
      </c>
      <c r="K954" s="24" t="n">
        <f aca="false">'DCF Base Case'!$B$2*(1+B954)^2*$I954-'DCF Base Case'!$B$2*(1+B954)^1*B954*'DCF Base Case'!$B$4</f>
        <v>36.3443024558595</v>
      </c>
      <c r="L954" s="24" t="n">
        <f aca="false">'DCF Base Case'!$B$2*(1+B954)^3*$I954-'DCF Base Case'!$B$2*(1+B954)^2*B954*'DCF Base Case'!$B$4</f>
        <v>39.9101229549882</v>
      </c>
      <c r="M954" s="24" t="n">
        <f aca="false">'DCF Base Case'!$B$2*(1+B954)^4*$I954-'DCF Base Case'!$B$2*(1+B954)^3*B954*'DCF Base Case'!$B$4</f>
        <v>43.8257940489233</v>
      </c>
      <c r="N954" s="24" t="n">
        <f aca="false">'DCF Base Case'!$B$2*(1+B954)^5*$I954-'DCF Base Case'!$B$2*(1+B954)^4*B954*'DCF Base Case'!$B$4</f>
        <v>48.1256403590854</v>
      </c>
      <c r="O954" s="24" t="n">
        <f aca="false">J954/(1+H954)^1+K954/(1+H954)^2+L954/(1+H954)^3+M954/(1+H954)^4+N954/(1+H954)^5</f>
        <v>163.745114593621</v>
      </c>
      <c r="P954" s="24" t="n">
        <f aca="false">N954*(1+F954)/(H954-F954)</f>
        <v>999.436270184988</v>
      </c>
      <c r="Q954" s="24" t="n">
        <f aca="false">O954+P954/(1+H954)^5</f>
        <v>881.654561002659</v>
      </c>
      <c r="R954" s="24" t="n">
        <f aca="false">Q954-'DCF Base Case'!$B$5</f>
        <v>696.654561002659</v>
      </c>
      <c r="S954" s="32" t="n">
        <f aca="false">R954/'DCF Base Case'!$B$6</f>
        <v>27.8661824401063</v>
      </c>
    </row>
    <row r="955" customFormat="false" ht="15" hidden="false" customHeight="true" outlineLevel="0" collapsed="false">
      <c r="A955" s="6" t="n">
        <v>954</v>
      </c>
      <c r="B955" s="30" t="n">
        <v>0.112612613208853</v>
      </c>
      <c r="C955" s="30" t="n">
        <v>0.430994932583938</v>
      </c>
      <c r="D955" s="30" t="n">
        <v>0.0866753040980205</v>
      </c>
      <c r="E955" s="30" t="n">
        <v>0.30411755101845</v>
      </c>
      <c r="F955" s="30" t="n">
        <v>0.0194164427666155</v>
      </c>
      <c r="G955" s="30" t="n">
        <v>0.217897544735331</v>
      </c>
      <c r="H955" s="31" t="n">
        <f aca="false">MAX(D955,F955+0.015)</f>
        <v>0.0866753040980205</v>
      </c>
      <c r="I955" s="25" t="n">
        <f aca="false">(C955-'DCF Base Case'!$B$3)*(1-E955)+'DCF Base Case'!$B$3-G955</f>
        <v>0.121559546082216</v>
      </c>
      <c r="J955" s="24" t="n">
        <f aca="false">'DCF Base Case'!$B$2*(1+B955)^1*$I955-'DCF Base Case'!$B$2*(1+B955)^0*B955*'DCF Base Case'!$B$4</f>
        <v>19.1211943454589</v>
      </c>
      <c r="K955" s="24" t="n">
        <f aca="false">'DCF Base Case'!$B$2*(1+B955)^2*$I955-'DCF Base Case'!$B$2*(1+B955)^1*B955*'DCF Base Case'!$B$4</f>
        <v>21.2744820083754</v>
      </c>
      <c r="L955" s="24" t="n">
        <f aca="false">'DCF Base Case'!$B$2*(1+B955)^3*$I955-'DCF Base Case'!$B$2*(1+B955)^2*B955*'DCF Base Case'!$B$4</f>
        <v>23.6702570220033</v>
      </c>
      <c r="M955" s="24" t="n">
        <f aca="false">'DCF Base Case'!$B$2*(1+B955)^4*$I955-'DCF Base Case'!$B$2*(1+B955)^3*B955*'DCF Base Case'!$B$4</f>
        <v>26.3358265205762</v>
      </c>
      <c r="N955" s="24" t="n">
        <f aca="false">'DCF Base Case'!$B$2*(1+B955)^5*$I955-'DCF Base Case'!$B$2*(1+B955)^4*B955*'DCF Base Case'!$B$4</f>
        <v>29.3015727660734</v>
      </c>
      <c r="O955" s="24" t="n">
        <f aca="false">J955/(1+H955)^1+K955/(1+H955)^2+L955/(1+H955)^3+M955/(1+H955)^4+N955/(1+H955)^5</f>
        <v>92.2816173917267</v>
      </c>
      <c r="P955" s="24" t="n">
        <f aca="false">N955*(1+F955)/(H955-F955)</f>
        <v>444.112559822809</v>
      </c>
      <c r="Q955" s="24" t="n">
        <f aca="false">O955+P955/(1+H955)^5</f>
        <v>385.366939171733</v>
      </c>
      <c r="R955" s="24" t="n">
        <f aca="false">Q955-'DCF Base Case'!$B$5</f>
        <v>200.366939171733</v>
      </c>
      <c r="S955" s="32" t="n">
        <f aca="false">R955/'DCF Base Case'!$B$6</f>
        <v>8.0146775668693</v>
      </c>
    </row>
    <row r="956" customFormat="false" ht="15" hidden="false" customHeight="true" outlineLevel="0" collapsed="false">
      <c r="A956" s="6" t="n">
        <v>955</v>
      </c>
      <c r="B956" s="30" t="n">
        <v>0.0931037835228247</v>
      </c>
      <c r="C956" s="30" t="n">
        <v>0.419661323800685</v>
      </c>
      <c r="D956" s="30" t="n">
        <v>0.066184851454694</v>
      </c>
      <c r="E956" s="30" t="n">
        <v>0.266362436211383</v>
      </c>
      <c r="F956" s="30" t="n">
        <v>0.0234396210219357</v>
      </c>
      <c r="G956" s="30" t="n">
        <v>0.139064462686972</v>
      </c>
      <c r="H956" s="31" t="n">
        <f aca="false">MAX(D956,F956+0.015)</f>
        <v>0.066184851454694</v>
      </c>
      <c r="I956" s="25" t="n">
        <f aca="false">(C956-'DCF Base Case'!$B$3)*(1-E956)+'DCF Base Case'!$B$3-G956</f>
        <v>0.203441965229948</v>
      </c>
      <c r="J956" s="24" t="n">
        <f aca="false">'DCF Base Case'!$B$2*(1+B956)^1*$I956-'DCF Base Case'!$B$2*(1+B956)^0*B956*'DCF Base Case'!$B$4</f>
        <v>31.8405599201012</v>
      </c>
      <c r="K956" s="24" t="n">
        <f aca="false">'DCF Base Case'!$B$2*(1+B956)^2*$I956-'DCF Base Case'!$B$2*(1+B956)^1*B956*'DCF Base Case'!$B$4</f>
        <v>34.8050365181478</v>
      </c>
      <c r="L956" s="24" t="n">
        <f aca="false">'DCF Base Case'!$B$2*(1+B956)^3*$I956-'DCF Base Case'!$B$2*(1+B956)^2*B956*'DCF Base Case'!$B$4</f>
        <v>38.0455171036374</v>
      </c>
      <c r="M956" s="24" t="n">
        <f aca="false">'DCF Base Case'!$B$2*(1+B956)^4*$I956-'DCF Base Case'!$B$2*(1+B956)^3*B956*'DCF Base Case'!$B$4</f>
        <v>41.5876986920684</v>
      </c>
      <c r="N956" s="24" t="n">
        <f aca="false">'DCF Base Case'!$B$2*(1+B956)^5*$I956-'DCF Base Case'!$B$2*(1+B956)^4*B956*'DCF Base Case'!$B$4</f>
        <v>45.4596707883072</v>
      </c>
      <c r="O956" s="24" t="n">
        <f aca="false">J956/(1+H956)^1+K956/(1+H956)^2+L956/(1+H956)^3+M956/(1+H956)^4+N956/(1+H956)^5</f>
        <v>157.052895789343</v>
      </c>
      <c r="P956" s="24" t="n">
        <f aca="false">N956*(1+F956)/(H956-F956)</f>
        <v>1088.43086754568</v>
      </c>
      <c r="Q956" s="24" t="n">
        <f aca="false">O956+P956/(1+H956)^5</f>
        <v>947.073305610797</v>
      </c>
      <c r="R956" s="24" t="n">
        <f aca="false">Q956-'DCF Base Case'!$B$5</f>
        <v>762.073305610797</v>
      </c>
      <c r="S956" s="32" t="n">
        <f aca="false">R956/'DCF Base Case'!$B$6</f>
        <v>30.4829322244319</v>
      </c>
    </row>
    <row r="957" customFormat="false" ht="15" hidden="false" customHeight="true" outlineLevel="0" collapsed="false">
      <c r="A957" s="6" t="n">
        <v>956</v>
      </c>
      <c r="B957" s="30" t="n">
        <v>0.048798050548065</v>
      </c>
      <c r="C957" s="30" t="n">
        <v>0.397491184468239</v>
      </c>
      <c r="D957" s="30" t="n">
        <v>0.100078189582225</v>
      </c>
      <c r="E957" s="30" t="n">
        <v>0.280843191068734</v>
      </c>
      <c r="F957" s="30" t="n">
        <v>0.0180291954338165</v>
      </c>
      <c r="G957" s="30" t="n">
        <v>0.131233855504621</v>
      </c>
      <c r="H957" s="31" t="n">
        <f aca="false">MAX(D957,F957+0.015)</f>
        <v>0.100078189582225</v>
      </c>
      <c r="I957" s="25" t="n">
        <f aca="false">(C957-'DCF Base Case'!$B$3)*(1-E957)+'DCF Base Case'!$B$3-G957</f>
        <v>0.191134251134802</v>
      </c>
      <c r="J957" s="24" t="n">
        <f aca="false">'DCF Base Case'!$B$2*(1+B957)^1*$I957-'DCF Base Case'!$B$2*(1+B957)^0*B957*'DCF Base Case'!$B$4</f>
        <v>28.8546068276719</v>
      </c>
      <c r="K957" s="24" t="n">
        <f aca="false">'DCF Base Case'!$B$2*(1+B957)^2*$I957-'DCF Base Case'!$B$2*(1+B957)^1*B957*'DCF Base Case'!$B$4</f>
        <v>30.2626553901932</v>
      </c>
      <c r="L957" s="24" t="n">
        <f aca="false">'DCF Base Case'!$B$2*(1+B957)^3*$I957-'DCF Base Case'!$B$2*(1+B957)^2*B957*'DCF Base Case'!$B$4</f>
        <v>31.7394139776425</v>
      </c>
      <c r="M957" s="24" t="n">
        <f aca="false">'DCF Base Case'!$B$2*(1+B957)^4*$I957-'DCF Base Case'!$B$2*(1+B957)^3*B957*'DCF Base Case'!$B$4</f>
        <v>33.2882355052895</v>
      </c>
      <c r="N957" s="24" t="n">
        <f aca="false">'DCF Base Case'!$B$2*(1+B957)^5*$I957-'DCF Base Case'!$B$2*(1+B957)^4*B957*'DCF Base Case'!$B$4</f>
        <v>34.9126365041325</v>
      </c>
      <c r="O957" s="24" t="n">
        <f aca="false">J957/(1+H957)^1+K957/(1+H957)^2+L957/(1+H957)^3+M957/(1+H957)^4+N957/(1+H957)^5</f>
        <v>119.477854225347</v>
      </c>
      <c r="P957" s="24" t="n">
        <f aca="false">N957*(1+F957)/(H957-F957)</f>
        <v>433.181218364329</v>
      </c>
      <c r="Q957" s="24" t="n">
        <f aca="false">O957+P957/(1+H957)^5</f>
        <v>388.35373544847</v>
      </c>
      <c r="R957" s="24" t="n">
        <f aca="false">Q957-'DCF Base Case'!$B$5</f>
        <v>203.35373544847</v>
      </c>
      <c r="S957" s="32" t="n">
        <f aca="false">R957/'DCF Base Case'!$B$6</f>
        <v>8.13414941793878</v>
      </c>
    </row>
    <row r="958" customFormat="false" ht="15" hidden="false" customHeight="true" outlineLevel="0" collapsed="false">
      <c r="A958" s="6" t="n">
        <v>957</v>
      </c>
      <c r="B958" s="30" t="n">
        <v>0.0996550522992974</v>
      </c>
      <c r="C958" s="30" t="n">
        <v>0.430445867776093</v>
      </c>
      <c r="D958" s="30" t="n">
        <v>0.0654009425098879</v>
      </c>
      <c r="E958" s="30" t="n">
        <v>0.31436255074852</v>
      </c>
      <c r="F958" s="30" t="n">
        <v>0.0221029500862787</v>
      </c>
      <c r="G958" s="30" t="n">
        <v>0.192206027816864</v>
      </c>
      <c r="H958" s="31" t="n">
        <f aca="false">MAX(D958,F958+0.015)</f>
        <v>0.0654009425098879</v>
      </c>
      <c r="I958" s="25" t="n">
        <f aca="false">(C958-'DCF Base Case'!$B$3)*(1-E958)+'DCF Base Case'!$B$3-G958</f>
        <v>0.143790910603284</v>
      </c>
      <c r="J958" s="24" t="n">
        <f aca="false">'DCF Base Case'!$B$2*(1+B958)^1*$I958-'DCF Base Case'!$B$2*(1+B958)^0*B958*'DCF Base Case'!$B$4</f>
        <v>22.4939587138426</v>
      </c>
      <c r="K958" s="24" t="n">
        <f aca="false">'DCF Base Case'!$B$2*(1+B958)^2*$I958-'DCF Base Case'!$B$2*(1+B958)^1*B958*'DCF Base Case'!$B$4</f>
        <v>24.7355953458889</v>
      </c>
      <c r="L958" s="24" t="n">
        <f aca="false">'DCF Base Case'!$B$2*(1+B958)^3*$I958-'DCF Base Case'!$B$2*(1+B958)^2*B958*'DCF Base Case'!$B$4</f>
        <v>27.2006223937377</v>
      </c>
      <c r="M958" s="24" t="n">
        <f aca="false">'DCF Base Case'!$B$2*(1+B958)^4*$I958-'DCF Base Case'!$B$2*(1+B958)^3*B958*'DCF Base Case'!$B$4</f>
        <v>29.911301840959</v>
      </c>
      <c r="N958" s="24" t="n">
        <f aca="false">'DCF Base Case'!$B$2*(1+B958)^5*$I958-'DCF Base Case'!$B$2*(1+B958)^4*B958*'DCF Base Case'!$B$4</f>
        <v>32.8921141902599</v>
      </c>
      <c r="O958" s="24" t="n">
        <f aca="false">J958/(1+H958)^1+K958/(1+H958)^2+L958/(1+H958)^3+M958/(1+H958)^4+N958/(1+H958)^5</f>
        <v>112.575642962304</v>
      </c>
      <c r="P958" s="24" t="n">
        <f aca="false">N958*(1+F958)/(H958-F958)</f>
        <v>776.459255189573</v>
      </c>
      <c r="Q958" s="24" t="n">
        <f aca="false">O958+P958/(1+H958)^5</f>
        <v>678.23280169327</v>
      </c>
      <c r="R958" s="24" t="n">
        <f aca="false">Q958-'DCF Base Case'!$B$5</f>
        <v>493.23280169327</v>
      </c>
      <c r="S958" s="32" t="n">
        <f aca="false">R958/'DCF Base Case'!$B$6</f>
        <v>19.7293120677308</v>
      </c>
    </row>
    <row r="959" customFormat="false" ht="15" hidden="false" customHeight="true" outlineLevel="0" collapsed="false">
      <c r="A959" s="6" t="n">
        <v>958</v>
      </c>
      <c r="B959" s="30" t="n">
        <v>0.102598801133489</v>
      </c>
      <c r="C959" s="30" t="n">
        <v>0.431218974598672</v>
      </c>
      <c r="D959" s="30" t="n">
        <v>0.0907279298857191</v>
      </c>
      <c r="E959" s="30" t="n">
        <v>0.306337403877716</v>
      </c>
      <c r="F959" s="30" t="n">
        <v>0.0124562134407777</v>
      </c>
      <c r="G959" s="30" t="n">
        <v>0.136330351492753</v>
      </c>
      <c r="H959" s="31" t="n">
        <f aca="false">MAX(D959,F959+0.015)</f>
        <v>0.0907279298857191</v>
      </c>
      <c r="I959" s="25" t="n">
        <f aca="false">(C959-'DCF Base Case'!$B$3)*(1-E959)+'DCF Base Case'!$B$3-G959</f>
        <v>0.202613984428654</v>
      </c>
      <c r="J959" s="24" t="n">
        <f aca="false">'DCF Base Case'!$B$2*(1+B959)^1*$I959-'DCF Base Case'!$B$2*(1+B959)^0*B959*'DCF Base Case'!$B$4</f>
        <v>31.9469759820368</v>
      </c>
      <c r="K959" s="24" t="n">
        <f aca="false">'DCF Base Case'!$B$2*(1+B959)^2*$I959-'DCF Base Case'!$B$2*(1+B959)^1*B959*'DCF Base Case'!$B$4</f>
        <v>35.2246974176341</v>
      </c>
      <c r="L959" s="24" t="n">
        <f aca="false">'DCF Base Case'!$B$2*(1+B959)^3*$I959-'DCF Base Case'!$B$2*(1+B959)^2*B959*'DCF Base Case'!$B$4</f>
        <v>38.8387091429733</v>
      </c>
      <c r="M959" s="24" t="n">
        <f aca="false">'DCF Base Case'!$B$2*(1+B959)^4*$I959-'DCF Base Case'!$B$2*(1+B959)^3*B959*'DCF Base Case'!$B$4</f>
        <v>42.8235141386146</v>
      </c>
      <c r="N959" s="24" t="n">
        <f aca="false">'DCF Base Case'!$B$2*(1+B959)^5*$I959-'DCF Base Case'!$B$2*(1+B959)^4*B959*'DCF Base Case'!$B$4</f>
        <v>47.2171553495595</v>
      </c>
      <c r="O959" s="24" t="n">
        <f aca="false">J959/(1+H959)^1+K959/(1+H959)^2+L959/(1+H959)^3+M959/(1+H959)^4+N959/(1+H959)^5</f>
        <v>149.670557163897</v>
      </c>
      <c r="P959" s="24" t="n">
        <f aca="false">N959*(1+F959)/(H959-F959)</f>
        <v>610.760878717763</v>
      </c>
      <c r="Q959" s="24" t="n">
        <f aca="false">O959+P959/(1+H959)^5</f>
        <v>545.300397469232</v>
      </c>
      <c r="R959" s="24" t="n">
        <f aca="false">Q959-'DCF Base Case'!$B$5</f>
        <v>360.300397469232</v>
      </c>
      <c r="S959" s="32" t="n">
        <f aca="false">R959/'DCF Base Case'!$B$6</f>
        <v>14.4120158987693</v>
      </c>
    </row>
    <row r="960" customFormat="false" ht="15" hidden="false" customHeight="true" outlineLevel="0" collapsed="false">
      <c r="A960" s="6" t="n">
        <v>959</v>
      </c>
      <c r="B960" s="30" t="n">
        <v>0.0739752075036074</v>
      </c>
      <c r="C960" s="30" t="n">
        <v>0.405973816805631</v>
      </c>
      <c r="D960" s="30" t="n">
        <v>0.08926950615639</v>
      </c>
      <c r="E960" s="30" t="n">
        <v>0.289255954966725</v>
      </c>
      <c r="F960" s="30" t="n">
        <v>0.0233380703071365</v>
      </c>
      <c r="G960" s="30" t="n">
        <v>0.192572049689398</v>
      </c>
      <c r="H960" s="31" t="n">
        <f aca="false">MAX(D960,F960+0.015)</f>
        <v>0.08926950615639</v>
      </c>
      <c r="I960" s="25" t="n">
        <f aca="false">(C960-'DCF Base Case'!$B$3)*(1-E960)+'DCF Base Case'!$B$3-G960</f>
        <v>0.133574697190308</v>
      </c>
      <c r="J960" s="24" t="n">
        <f aca="false">'DCF Base Case'!$B$2*(1+B960)^1*$I960-'DCF Base Case'!$B$2*(1+B960)^0*B960*'DCF Base Case'!$B$4</f>
        <v>20.4793152515272</v>
      </c>
      <c r="K960" s="24" t="n">
        <f aca="false">'DCF Base Case'!$B$2*(1+B960)^2*$I960-'DCF Base Case'!$B$2*(1+B960)^1*B960*'DCF Base Case'!$B$4</f>
        <v>21.9942768467908</v>
      </c>
      <c r="L960" s="24" t="n">
        <f aca="false">'DCF Base Case'!$B$2*(1+B960)^3*$I960-'DCF Base Case'!$B$2*(1+B960)^2*B960*'DCF Base Case'!$B$4</f>
        <v>23.6213080404239</v>
      </c>
      <c r="M960" s="24" t="n">
        <f aca="false">'DCF Base Case'!$B$2*(1+B960)^4*$I960-'DCF Base Case'!$B$2*(1+B960)^3*B960*'DCF Base Case'!$B$4</f>
        <v>25.3686992042209</v>
      </c>
      <c r="N960" s="24" t="n">
        <f aca="false">'DCF Base Case'!$B$2*(1+B960)^5*$I960-'DCF Base Case'!$B$2*(1+B960)^4*B960*'DCF Base Case'!$B$4</f>
        <v>27.2453539919497</v>
      </c>
      <c r="O960" s="24" t="n">
        <f aca="false">J960/(1+H960)^1+K960/(1+H960)^2+L960/(1+H960)^3+M960/(1+H960)^4+N960/(1+H960)^5</f>
        <v>91.4017989769078</v>
      </c>
      <c r="P960" s="24" t="n">
        <f aca="false">N960*(1+F960)/(H960-F960)</f>
        <v>422.881856277249</v>
      </c>
      <c r="Q960" s="24" t="n">
        <f aca="false">O960+P960/(1+H960)^5</f>
        <v>367.168817042026</v>
      </c>
      <c r="R960" s="24" t="n">
        <f aca="false">Q960-'DCF Base Case'!$B$5</f>
        <v>182.168817042026</v>
      </c>
      <c r="S960" s="32" t="n">
        <f aca="false">R960/'DCF Base Case'!$B$6</f>
        <v>7.28675268168104</v>
      </c>
    </row>
    <row r="961" customFormat="false" ht="15" hidden="false" customHeight="true" outlineLevel="0" collapsed="false">
      <c r="A961" s="6" t="n">
        <v>960</v>
      </c>
      <c r="B961" s="30" t="n">
        <v>0.0709434290978117</v>
      </c>
      <c r="C961" s="30" t="n">
        <v>0.412955652337074</v>
      </c>
      <c r="D961" s="30" t="n">
        <v>0.0756738529750598</v>
      </c>
      <c r="E961" s="30" t="n">
        <v>0.274573750268369</v>
      </c>
      <c r="F961" s="30" t="n">
        <v>0.0204955759918099</v>
      </c>
      <c r="G961" s="30" t="n">
        <v>0.121142543909684</v>
      </c>
      <c r="H961" s="31" t="n">
        <f aca="false">MAX(D961,F961+0.015)</f>
        <v>0.0756738529750598</v>
      </c>
      <c r="I961" s="25" t="n">
        <f aca="false">(C961-'DCF Base Case'!$B$3)*(1-E961)+'DCF Base Case'!$B$3-G961</f>
        <v>0.214120913805567</v>
      </c>
      <c r="J961" s="24" t="n">
        <f aca="false">'DCF Base Case'!$B$2*(1+B961)^1*$I961-'DCF Base Case'!$B$2*(1+B961)^0*B961*'DCF Base Case'!$B$4</f>
        <v>32.9415470059357</v>
      </c>
      <c r="K961" s="24" t="n">
        <f aca="false">'DCF Base Case'!$B$2*(1+B961)^2*$I961-'DCF Base Case'!$B$2*(1+B961)^1*B961*'DCF Base Case'!$B$4</f>
        <v>35.2785333103235</v>
      </c>
      <c r="L961" s="24" t="n">
        <f aca="false">'DCF Base Case'!$B$2*(1+B961)^3*$I961-'DCF Base Case'!$B$2*(1+B961)^2*B961*'DCF Base Case'!$B$4</f>
        <v>37.7813134368992</v>
      </c>
      <c r="M961" s="24" t="n">
        <f aca="false">'DCF Base Case'!$B$2*(1+B961)^4*$I961-'DCF Base Case'!$B$2*(1+B961)^3*B961*'DCF Base Case'!$B$4</f>
        <v>40.4616493679321</v>
      </c>
      <c r="N961" s="24" t="n">
        <f aca="false">'DCF Base Case'!$B$2*(1+B961)^5*$I961-'DCF Base Case'!$B$2*(1+B961)^4*B961*'DCF Base Case'!$B$4</f>
        <v>43.3321375210465</v>
      </c>
      <c r="O961" s="24" t="n">
        <f aca="false">J961/(1+H961)^1+K961/(1+H961)^2+L961/(1+H961)^3+M961/(1+H961)^4+N961/(1+H961)^5</f>
        <v>151.779687991237</v>
      </c>
      <c r="P961" s="24" t="n">
        <f aca="false">N961*(1+F961)/(H961-F961)</f>
        <v>801.406949548648</v>
      </c>
      <c r="Q961" s="24" t="n">
        <f aca="false">O961+P961/(1+H961)^5</f>
        <v>708.260307291053</v>
      </c>
      <c r="R961" s="24" t="n">
        <f aca="false">Q961-'DCF Base Case'!$B$5</f>
        <v>523.260307291053</v>
      </c>
      <c r="S961" s="32" t="n">
        <f aca="false">R961/'DCF Base Case'!$B$6</f>
        <v>20.9304122916421</v>
      </c>
    </row>
    <row r="962" customFormat="false" ht="15" hidden="false" customHeight="true" outlineLevel="0" collapsed="false">
      <c r="A962" s="6" t="n">
        <v>961</v>
      </c>
      <c r="B962" s="30" t="n">
        <v>0.133695595449499</v>
      </c>
      <c r="C962" s="30" t="n">
        <v>0.441599959321554</v>
      </c>
      <c r="D962" s="30" t="n">
        <v>0.0784472639704525</v>
      </c>
      <c r="E962" s="30" t="n">
        <v>0.333660748120761</v>
      </c>
      <c r="F962" s="30" t="n">
        <v>0.0179826937306669</v>
      </c>
      <c r="G962" s="30" t="n">
        <v>0.168195362449648</v>
      </c>
      <c r="H962" s="31" t="n">
        <f aca="false">MAX(D962,F962+0.015)</f>
        <v>0.0784472639704525</v>
      </c>
      <c r="I962" s="25" t="n">
        <f aca="false">(C962-'DCF Base Case'!$B$3)*(1-E962)+'DCF Base Case'!$B$3-G962</f>
        <v>0.169435921330278</v>
      </c>
      <c r="J962" s="24" t="n">
        <f aca="false">'DCF Base Case'!$B$2*(1+B962)^1*$I962-'DCF Base Case'!$B$2*(1+B962)^0*B962*'DCF Base Case'!$B$4</f>
        <v>27.2712940296389</v>
      </c>
      <c r="K962" s="24" t="n">
        <f aca="false">'DCF Base Case'!$B$2*(1+B962)^2*$I962-'DCF Base Case'!$B$2*(1+B962)^1*B962*'DCF Base Case'!$B$4</f>
        <v>30.9173459236098</v>
      </c>
      <c r="L962" s="24" t="n">
        <f aca="false">'DCF Base Case'!$B$2*(1+B962)^3*$I962-'DCF Base Case'!$B$2*(1+B962)^2*B962*'DCF Base Case'!$B$4</f>
        <v>35.050858896585</v>
      </c>
      <c r="M962" s="24" t="n">
        <f aca="false">'DCF Base Case'!$B$2*(1+B962)^4*$I962-'DCF Base Case'!$B$2*(1+B962)^3*B962*'DCF Base Case'!$B$4</f>
        <v>39.7370043477803</v>
      </c>
      <c r="N962" s="24" t="n">
        <f aca="false">'DCF Base Case'!$B$2*(1+B962)^5*$I962-'DCF Base Case'!$B$2*(1+B962)^4*B962*'DCF Base Case'!$B$4</f>
        <v>45.0496668054361</v>
      </c>
      <c r="O962" s="24" t="n">
        <f aca="false">J962/(1+H962)^1+K962/(1+H962)^2+L962/(1+H962)^3+M962/(1+H962)^4+N962/(1+H962)^5</f>
        <v>140.073300972562</v>
      </c>
      <c r="P962" s="24" t="n">
        <f aca="false">N962*(1+F962)/(H962-F962)</f>
        <v>758.457076340735</v>
      </c>
      <c r="Q962" s="24" t="n">
        <f aca="false">O962+P962/(1+H962)^5</f>
        <v>659.993203749958</v>
      </c>
      <c r="R962" s="24" t="n">
        <f aca="false">Q962-'DCF Base Case'!$B$5</f>
        <v>474.993203749958</v>
      </c>
      <c r="S962" s="32" t="n">
        <f aca="false">R962/'DCF Base Case'!$B$6</f>
        <v>18.9997281499983</v>
      </c>
    </row>
    <row r="963" customFormat="false" ht="15" hidden="false" customHeight="true" outlineLevel="0" collapsed="false">
      <c r="A963" s="6" t="n">
        <v>962</v>
      </c>
      <c r="B963" s="30" t="n">
        <v>0.0795656499622151</v>
      </c>
      <c r="C963" s="30" t="n">
        <v>0.441641980629611</v>
      </c>
      <c r="D963" s="30" t="n">
        <v>0.0838451682306353</v>
      </c>
      <c r="E963" s="30" t="n">
        <v>0.283956077583211</v>
      </c>
      <c r="F963" s="30" t="n">
        <v>0.0236261495338721</v>
      </c>
      <c r="G963" s="30" t="n">
        <v>0.179068815693499</v>
      </c>
      <c r="H963" s="31" t="n">
        <f aca="false">MAX(D963,F963+0.015)</f>
        <v>0.0838451682306353</v>
      </c>
      <c r="I963" s="25" t="n">
        <f aca="false">(C963-'DCF Base Case'!$B$3)*(1-E963)+'DCF Base Case'!$B$3-G963</f>
        <v>0.174080530506265</v>
      </c>
      <c r="J963" s="24" t="n">
        <f aca="false">'DCF Base Case'!$B$2*(1+B963)^1*$I963-'DCF Base Case'!$B$2*(1+B963)^0*B963*'DCF Base Case'!$B$4</f>
        <v>26.90393677662</v>
      </c>
      <c r="K963" s="24" t="n">
        <f aca="false">'DCF Base Case'!$B$2*(1+B963)^2*$I963-'DCF Base Case'!$B$2*(1+B963)^1*B963*'DCF Base Case'!$B$4</f>
        <v>29.0445659927941</v>
      </c>
      <c r="L963" s="24" t="n">
        <f aca="false">'DCF Base Case'!$B$2*(1+B963)^3*$I963-'DCF Base Case'!$B$2*(1+B963)^2*B963*'DCF Base Case'!$B$4</f>
        <v>31.3555157638812</v>
      </c>
      <c r="M963" s="24" t="n">
        <f aca="false">'DCF Base Case'!$B$2*(1+B963)^4*$I963-'DCF Base Case'!$B$2*(1+B963)^3*B963*'DCF Base Case'!$B$4</f>
        <v>33.8503377555349</v>
      </c>
      <c r="N963" s="24" t="n">
        <f aca="false">'DCF Base Case'!$B$2*(1+B963)^5*$I963-'DCF Base Case'!$B$2*(1+B963)^4*B963*'DCF Base Case'!$B$4</f>
        <v>36.5436618804945</v>
      </c>
      <c r="O963" s="24" t="n">
        <f aca="false">J963/(1+H963)^1+K963/(1+H963)^2+L963/(1+H963)^3+M963/(1+H963)^4+N963/(1+H963)^5</f>
        <v>123.137126044746</v>
      </c>
      <c r="P963" s="24" t="n">
        <f aca="false">N963*(1+F963)/(H963-F963)</f>
        <v>621.183285781589</v>
      </c>
      <c r="Q963" s="24" t="n">
        <f aca="false">O963+P963/(1+H963)^5</f>
        <v>538.457782972048</v>
      </c>
      <c r="R963" s="24" t="n">
        <f aca="false">Q963-'DCF Base Case'!$B$5</f>
        <v>353.457782972048</v>
      </c>
      <c r="S963" s="32" t="n">
        <f aca="false">R963/'DCF Base Case'!$B$6</f>
        <v>14.1383113188819</v>
      </c>
    </row>
    <row r="964" customFormat="false" ht="15" hidden="false" customHeight="true" outlineLevel="0" collapsed="false">
      <c r="A964" s="6" t="n">
        <v>963</v>
      </c>
      <c r="B964" s="30" t="n">
        <v>0.0889044439614866</v>
      </c>
      <c r="C964" s="30" t="n">
        <v>0.435213320878713</v>
      </c>
      <c r="D964" s="30" t="n">
        <v>0.112923315523707</v>
      </c>
      <c r="E964" s="30" t="n">
        <v>0.289031858399879</v>
      </c>
      <c r="F964" s="30" t="n">
        <v>0.0197792182661074</v>
      </c>
      <c r="G964" s="30" t="n">
        <v>0.169073081757415</v>
      </c>
      <c r="H964" s="31" t="n">
        <f aca="false">MAX(D964,F964+0.015)</f>
        <v>0.112923315523707</v>
      </c>
      <c r="I964" s="25" t="n">
        <f aca="false">(C964-'DCF Base Case'!$B$3)*(1-E964)+'DCF Base Case'!$B$3-G964</f>
        <v>0.177923865779325</v>
      </c>
      <c r="J964" s="24" t="n">
        <f aca="false">'DCF Base Case'!$B$2*(1+B964)^1*$I964-'DCF Base Case'!$B$2*(1+B964)^0*B964*'DCF Base Case'!$B$4</f>
        <v>27.7058684481851</v>
      </c>
      <c r="K964" s="24" t="n">
        <f aca="false">'DCF Base Case'!$B$2*(1+B964)^2*$I964-'DCF Base Case'!$B$2*(1+B964)^1*B964*'DCF Base Case'!$B$4</f>
        <v>30.1690432770411</v>
      </c>
      <c r="L964" s="24" t="n">
        <f aca="false">'DCF Base Case'!$B$2*(1+B964)^3*$I964-'DCF Base Case'!$B$2*(1+B964)^2*B964*'DCF Base Case'!$B$4</f>
        <v>32.8512052944364</v>
      </c>
      <c r="M964" s="24" t="n">
        <f aca="false">'DCF Base Case'!$B$2*(1+B964)^4*$I964-'DCF Base Case'!$B$2*(1+B964)^3*B964*'DCF Base Case'!$B$4</f>
        <v>35.7718234346029</v>
      </c>
      <c r="N964" s="24" t="n">
        <f aca="false">'DCF Base Case'!$B$2*(1+B964)^5*$I964-'DCF Base Case'!$B$2*(1+B964)^4*B964*'DCF Base Case'!$B$4</f>
        <v>38.9520975065448</v>
      </c>
      <c r="O964" s="24" t="n">
        <f aca="false">J964/(1+H964)^1+K964/(1+H964)^2+L964/(1+H964)^3+M964/(1+H964)^4+N964/(1+H964)^5</f>
        <v>119.215384857894</v>
      </c>
      <c r="P964" s="24" t="n">
        <f aca="false">N964*(1+F964)/(H964-F964)</f>
        <v>426.463304863996</v>
      </c>
      <c r="Q964" s="24" t="n">
        <f aca="false">O964+P964/(1+H964)^5</f>
        <v>368.994120940723</v>
      </c>
      <c r="R964" s="24" t="n">
        <f aca="false">Q964-'DCF Base Case'!$B$5</f>
        <v>183.994120940723</v>
      </c>
      <c r="S964" s="32" t="n">
        <f aca="false">R964/'DCF Base Case'!$B$6</f>
        <v>7.35976483762891</v>
      </c>
    </row>
    <row r="965" customFormat="false" ht="15" hidden="false" customHeight="true" outlineLevel="0" collapsed="false">
      <c r="A965" s="6" t="n">
        <v>964</v>
      </c>
      <c r="B965" s="30" t="n">
        <v>0.1182026045642</v>
      </c>
      <c r="C965" s="30" t="n">
        <v>0.412485494192519</v>
      </c>
      <c r="D965" s="30" t="n">
        <v>0.0819385068431717</v>
      </c>
      <c r="E965" s="30" t="n">
        <v>0.251687744148125</v>
      </c>
      <c r="F965" s="30" t="n">
        <v>0.0145487053303635</v>
      </c>
      <c r="G965" s="30" t="n">
        <v>0.154773490375573</v>
      </c>
      <c r="H965" s="31" t="n">
        <f aca="false">MAX(D965,F965+0.015)</f>
        <v>0.0819385068431717</v>
      </c>
      <c r="I965" s="25" t="n">
        <f aca="false">(C965-'DCF Base Case'!$B$3)*(1-E965)+'DCF Base Case'!$B$3-G965</f>
        <v>0.186613867029063</v>
      </c>
      <c r="J965" s="24" t="n">
        <f aca="false">'DCF Base Case'!$B$2*(1+B965)^1*$I965-'DCF Base Case'!$B$2*(1+B965)^0*B965*'DCF Base Case'!$B$4</f>
        <v>29.7432749333015</v>
      </c>
      <c r="K965" s="24" t="n">
        <f aca="false">'DCF Base Case'!$B$2*(1+B965)^2*$I965-'DCF Base Case'!$B$2*(1+B965)^1*B965*'DCF Base Case'!$B$4</f>
        <v>33.2590074986869</v>
      </c>
      <c r="L965" s="24" t="n">
        <f aca="false">'DCF Base Case'!$B$2*(1+B965)^3*$I965-'DCF Base Case'!$B$2*(1+B965)^2*B965*'DCF Base Case'!$B$4</f>
        <v>37.1903088102519</v>
      </c>
      <c r="M965" s="24" t="n">
        <f aca="false">'DCF Base Case'!$B$2*(1+B965)^4*$I965-'DCF Base Case'!$B$2*(1+B965)^3*B965*'DCF Base Case'!$B$4</f>
        <v>41.5863001761706</v>
      </c>
      <c r="N965" s="24" t="n">
        <f aca="false">'DCF Base Case'!$B$2*(1+B965)^5*$I965-'DCF Base Case'!$B$2*(1+B965)^4*B965*'DCF Base Case'!$B$4</f>
        <v>46.5019091711826</v>
      </c>
      <c r="O965" s="24" t="n">
        <f aca="false">J965/(1+H965)^1+K965/(1+H965)^2+L965/(1+H965)^3+M965/(1+H965)^4+N965/(1+H965)^5</f>
        <v>146.981941840207</v>
      </c>
      <c r="P965" s="24" t="n">
        <f aca="false">N965*(1+F965)/(H965-F965)</f>
        <v>700.082960417188</v>
      </c>
      <c r="Q965" s="24" t="n">
        <f aca="false">O965+P965/(1+H965)^5</f>
        <v>619.193505458962</v>
      </c>
      <c r="R965" s="24" t="n">
        <f aca="false">Q965-'DCF Base Case'!$B$5</f>
        <v>434.193505458962</v>
      </c>
      <c r="S965" s="32" t="n">
        <f aca="false">R965/'DCF Base Case'!$B$6</f>
        <v>17.3677402183585</v>
      </c>
    </row>
    <row r="966" customFormat="false" ht="15" hidden="false" customHeight="true" outlineLevel="0" collapsed="false">
      <c r="A966" s="6" t="n">
        <v>965</v>
      </c>
      <c r="B966" s="30" t="n">
        <v>0.0888720779165837</v>
      </c>
      <c r="C966" s="30" t="n">
        <v>0.445751982063883</v>
      </c>
      <c r="D966" s="30" t="n">
        <v>0.0908959208541775</v>
      </c>
      <c r="E966" s="30" t="n">
        <v>0.259947434146135</v>
      </c>
      <c r="F966" s="30" t="n">
        <v>0.0163898148695586</v>
      </c>
      <c r="G966" s="30" t="n">
        <v>0.197469395978204</v>
      </c>
      <c r="H966" s="31" t="n">
        <f aca="false">MAX(D966,F966+0.015)</f>
        <v>0.0908959208541775</v>
      </c>
      <c r="I966" s="25" t="n">
        <f aca="false">(C966-'DCF Base Case'!$B$3)*(1-E966)+'DCF Base Case'!$B$3-G966</f>
        <v>0.166203668521616</v>
      </c>
      <c r="J966" s="24" t="n">
        <f aca="false">'DCF Base Case'!$B$2*(1+B966)^1*$I966-'DCF Base Case'!$B$2*(1+B966)^0*B966*'DCF Base Case'!$B$4</f>
        <v>25.8547138766341</v>
      </c>
      <c r="K966" s="24" t="n">
        <f aca="false">'DCF Base Case'!$B$2*(1+B966)^2*$I966-'DCF Base Case'!$B$2*(1+B966)^1*B966*'DCF Base Case'!$B$4</f>
        <v>28.1524760227893</v>
      </c>
      <c r="L966" s="24" t="n">
        <f aca="false">'DCF Base Case'!$B$2*(1+B966)^3*$I966-'DCF Base Case'!$B$2*(1+B966)^2*B966*'DCF Base Case'!$B$4</f>
        <v>30.6544450654314</v>
      </c>
      <c r="M966" s="24" t="n">
        <f aca="false">'DCF Base Case'!$B$2*(1+B966)^4*$I966-'DCF Base Case'!$B$2*(1+B966)^3*B966*'DCF Base Case'!$B$4</f>
        <v>33.378769295776</v>
      </c>
      <c r="N966" s="24" t="n">
        <f aca="false">'DCF Base Case'!$B$2*(1+B966)^5*$I966-'DCF Base Case'!$B$2*(1+B966)^4*B966*'DCF Base Case'!$B$4</f>
        <v>36.3452098813899</v>
      </c>
      <c r="O966" s="24" t="n">
        <f aca="false">J966/(1+H966)^1+K966/(1+H966)^2+L966/(1+H966)^3+M966/(1+H966)^4+N966/(1+H966)^5</f>
        <v>118.063324167539</v>
      </c>
      <c r="P966" s="24" t="n">
        <f aca="false">N966*(1+F966)/(H966-F966)</f>
        <v>495.810385666475</v>
      </c>
      <c r="Q966" s="24" t="n">
        <f aca="false">O966+P966/(1+H966)^5</f>
        <v>438.98498459726</v>
      </c>
      <c r="R966" s="24" t="n">
        <f aca="false">Q966-'DCF Base Case'!$B$5</f>
        <v>253.98498459726</v>
      </c>
      <c r="S966" s="32" t="n">
        <f aca="false">R966/'DCF Base Case'!$B$6</f>
        <v>10.1593993838904</v>
      </c>
    </row>
    <row r="967" customFormat="false" ht="15" hidden="false" customHeight="true" outlineLevel="0" collapsed="false">
      <c r="A967" s="6" t="n">
        <v>966</v>
      </c>
      <c r="B967" s="30" t="n">
        <v>0.114509449702555</v>
      </c>
      <c r="C967" s="30" t="n">
        <v>0.423285246948133</v>
      </c>
      <c r="D967" s="30" t="n">
        <v>0.0801322088790729</v>
      </c>
      <c r="E967" s="30" t="n">
        <v>0.314082641976635</v>
      </c>
      <c r="F967" s="30" t="n">
        <v>0.0152960526978007</v>
      </c>
      <c r="G967" s="30" t="n">
        <v>0.174337025277579</v>
      </c>
      <c r="H967" s="31" t="n">
        <f aca="false">MAX(D967,F967+0.015)</f>
        <v>0.0801322088790729</v>
      </c>
      <c r="I967" s="25" t="n">
        <f aca="false">(C967-'DCF Base Case'!$B$3)*(1-E967)+'DCF Base Case'!$B$3-G967</f>
        <v>0.156832416456315</v>
      </c>
      <c r="J967" s="24" t="n">
        <f aca="false">'DCF Base Case'!$B$2*(1+B967)^1*$I967-'DCF Base Case'!$B$2*(1+B967)^0*B967*'DCF Base Case'!$B$4</f>
        <v>24.84660936703</v>
      </c>
      <c r="K967" s="24" t="n">
        <f aca="false">'DCF Base Case'!$B$2*(1+B967)^2*$I967-'DCF Base Case'!$B$2*(1+B967)^1*B967*'DCF Base Case'!$B$4</f>
        <v>27.691780932623</v>
      </c>
      <c r="L967" s="24" t="n">
        <f aca="false">'DCF Base Case'!$B$2*(1+B967)^3*$I967-'DCF Base Case'!$B$2*(1+B967)^2*B967*'DCF Base Case'!$B$4</f>
        <v>30.8627515285013</v>
      </c>
      <c r="M967" s="24" t="n">
        <f aca="false">'DCF Base Case'!$B$2*(1+B967)^4*$I967-'DCF Base Case'!$B$2*(1+B967)^3*B967*'DCF Base Case'!$B$4</f>
        <v>34.3968282223367</v>
      </c>
      <c r="N967" s="24" t="n">
        <f aca="false">'DCF Base Case'!$B$2*(1+B967)^5*$I967-'DCF Base Case'!$B$2*(1+B967)^4*B967*'DCF Base Case'!$B$4</f>
        <v>38.3355900935898</v>
      </c>
      <c r="O967" s="24" t="n">
        <f aca="false">J967/(1+H967)^1+K967/(1+H967)^2+L967/(1+H967)^3+M967/(1+H967)^4+N967/(1+H967)^5</f>
        <v>122.574497259741</v>
      </c>
      <c r="P967" s="24" t="n">
        <f aca="false">N967*(1+F967)/(H967-F967)</f>
        <v>600.312782131047</v>
      </c>
      <c r="Q967" s="24" t="n">
        <f aca="false">O967+P967/(1+H967)^5</f>
        <v>530.887309199113</v>
      </c>
      <c r="R967" s="24" t="n">
        <f aca="false">Q967-'DCF Base Case'!$B$5</f>
        <v>345.887309199113</v>
      </c>
      <c r="S967" s="32" t="n">
        <f aca="false">R967/'DCF Base Case'!$B$6</f>
        <v>13.8354923679645</v>
      </c>
    </row>
    <row r="968" customFormat="false" ht="15" hidden="false" customHeight="true" outlineLevel="0" collapsed="false">
      <c r="A968" s="6" t="n">
        <v>967</v>
      </c>
      <c r="B968" s="30" t="n">
        <v>0.13240942397622</v>
      </c>
      <c r="C968" s="30" t="n">
        <v>0.434573564066577</v>
      </c>
      <c r="D968" s="30" t="n">
        <v>0.0764682957281224</v>
      </c>
      <c r="E968" s="30" t="n">
        <v>0.291917294044495</v>
      </c>
      <c r="F968" s="30" t="n">
        <v>0.0174736549942965</v>
      </c>
      <c r="G968" s="30" t="n">
        <v>0.138071116484199</v>
      </c>
      <c r="H968" s="31" t="n">
        <f aca="false">MAX(D968,F968+0.015)</f>
        <v>0.0764682957281224</v>
      </c>
      <c r="I968" s="25" t="n">
        <f aca="false">(C968-'DCF Base Case'!$B$3)*(1-E968)+'DCF Base Case'!$B$3-G968</f>
        <v>0.207592156922575</v>
      </c>
      <c r="J968" s="24" t="n">
        <f aca="false">'DCF Base Case'!$B$2*(1+B968)^1*$I968-'DCF Base Case'!$B$2*(1+B968)^0*B968*'DCF Base Case'!$B$4</f>
        <v>33.5105196578912</v>
      </c>
      <c r="K968" s="24" t="n">
        <f aca="false">'DCF Base Case'!$B$2*(1+B968)^2*$I968-'DCF Base Case'!$B$2*(1+B968)^1*B968*'DCF Base Case'!$B$4</f>
        <v>37.9476282629364</v>
      </c>
      <c r="L968" s="24" t="n">
        <f aca="false">'DCF Base Case'!$B$2*(1+B968)^3*$I968-'DCF Base Case'!$B$2*(1+B968)^2*B968*'DCF Base Case'!$B$4</f>
        <v>42.9722518624956</v>
      </c>
      <c r="M968" s="24" t="n">
        <f aca="false">'DCF Base Case'!$B$2*(1+B968)^4*$I968-'DCF Base Case'!$B$2*(1+B968)^3*B968*'DCF Base Case'!$B$4</f>
        <v>48.6621829785696</v>
      </c>
      <c r="N968" s="24" t="n">
        <f aca="false">'DCF Base Case'!$B$2*(1+B968)^5*$I968-'DCF Base Case'!$B$2*(1+B968)^4*B968*'DCF Base Case'!$B$4</f>
        <v>55.1055145961874</v>
      </c>
      <c r="O968" s="24" t="n">
        <f aca="false">J968/(1+H968)^1+K968/(1+H968)^2+L968/(1+H968)^3+M968/(1+H968)^4+N968/(1+H968)^5</f>
        <v>172.690499024329</v>
      </c>
      <c r="P968" s="24" t="n">
        <f aca="false">N968*(1+F968)/(H968-F968)</f>
        <v>950.398352275689</v>
      </c>
      <c r="Q968" s="24" t="n">
        <f aca="false">O968+P968/(1+H968)^5</f>
        <v>830.196101047606</v>
      </c>
      <c r="R968" s="24" t="n">
        <f aca="false">Q968-'DCF Base Case'!$B$5</f>
        <v>645.196101047606</v>
      </c>
      <c r="S968" s="32" t="n">
        <f aca="false">R968/'DCF Base Case'!$B$6</f>
        <v>25.8078440419043</v>
      </c>
    </row>
    <row r="969" customFormat="false" ht="15" hidden="false" customHeight="true" outlineLevel="0" collapsed="false">
      <c r="A969" s="6" t="n">
        <v>968</v>
      </c>
      <c r="B969" s="30" t="n">
        <v>0.105240809410167</v>
      </c>
      <c r="C969" s="30" t="n">
        <v>0.44019160561269</v>
      </c>
      <c r="D969" s="30" t="n">
        <v>0.0815800266072017</v>
      </c>
      <c r="E969" s="30" t="n">
        <v>0.269966834578177</v>
      </c>
      <c r="F969" s="30" t="n">
        <v>0.015424338373363</v>
      </c>
      <c r="G969" s="30" t="n">
        <v>0.162055597959953</v>
      </c>
      <c r="H969" s="31" t="n">
        <f aca="false">MAX(D969,F969+0.015)</f>
        <v>0.0815800266072017</v>
      </c>
      <c r="I969" s="25" t="n">
        <f aca="false">(C969-'DCF Base Case'!$B$3)*(1-E969)+'DCF Base Case'!$B$3-G969</f>
        <v>0.194394561772757</v>
      </c>
      <c r="J969" s="24" t="n">
        <f aca="false">'DCF Base Case'!$B$2*(1+B969)^1*$I969-'DCF Base Case'!$B$2*(1+B969)^0*B969*'DCF Base Case'!$B$4</f>
        <v>30.695858884871</v>
      </c>
      <c r="K969" s="24" t="n">
        <f aca="false">'DCF Base Case'!$B$2*(1+B969)^2*$I969-'DCF Base Case'!$B$2*(1+B969)^1*B969*'DCF Base Case'!$B$4</f>
        <v>33.9263159194551</v>
      </c>
      <c r="L969" s="24" t="n">
        <f aca="false">'DCF Base Case'!$B$2*(1+B969)^3*$I969-'DCF Base Case'!$B$2*(1+B969)^2*B969*'DCF Base Case'!$B$4</f>
        <v>37.4967488671235</v>
      </c>
      <c r="M969" s="24" t="n">
        <f aca="false">'DCF Base Case'!$B$2*(1+B969)^4*$I969-'DCF Base Case'!$B$2*(1+B969)^3*B969*'DCF Base Case'!$B$4</f>
        <v>41.4429370681494</v>
      </c>
      <c r="N969" s="24" t="n">
        <f aca="false">'DCF Base Case'!$B$2*(1+B969)^5*$I969-'DCF Base Case'!$B$2*(1+B969)^4*B969*'DCF Base Case'!$B$4</f>
        <v>45.804425309536</v>
      </c>
      <c r="O969" s="24" t="n">
        <f aca="false">J969/(1+H969)^1+K969/(1+H969)^2+L969/(1+H969)^3+M969/(1+H969)^4+N969/(1+H969)^5</f>
        <v>148.248737243979</v>
      </c>
      <c r="P969" s="24" t="n">
        <f aca="false">N969*(1+F969)/(H969-F969)</f>
        <v>703.052594662863</v>
      </c>
      <c r="Q969" s="24" t="n">
        <f aca="false">O969+P969/(1+H969)^5</f>
        <v>623.249735466069</v>
      </c>
      <c r="R969" s="24" t="n">
        <f aca="false">Q969-'DCF Base Case'!$B$5</f>
        <v>438.249735466069</v>
      </c>
      <c r="S969" s="32" t="n">
        <f aca="false">R969/'DCF Base Case'!$B$6</f>
        <v>17.5299894186428</v>
      </c>
    </row>
    <row r="970" customFormat="false" ht="15" hidden="false" customHeight="true" outlineLevel="0" collapsed="false">
      <c r="A970" s="6" t="n">
        <v>969</v>
      </c>
      <c r="B970" s="30" t="n">
        <v>0.0778769407414841</v>
      </c>
      <c r="C970" s="30" t="n">
        <v>0.387531409983172</v>
      </c>
      <c r="D970" s="30" t="n">
        <v>0.105813857134396</v>
      </c>
      <c r="E970" s="30" t="n">
        <v>0.293677084583335</v>
      </c>
      <c r="F970" s="30" t="n">
        <v>0.0213997589916888</v>
      </c>
      <c r="G970" s="30" t="n">
        <v>0.18636874562521</v>
      </c>
      <c r="H970" s="31" t="n">
        <f aca="false">MAX(D970,F970+0.015)</f>
        <v>0.105813857134396</v>
      </c>
      <c r="I970" s="25" t="n">
        <f aca="false">(C970-'DCF Base Case'!$B$3)*(1-E970)+'DCF Base Case'!$B$3-G970</f>
        <v>0.125531590685468</v>
      </c>
      <c r="J970" s="24" t="n">
        <f aca="false">'DCF Base Case'!$B$2*(1+B970)^1*$I970-'DCF Base Case'!$B$2*(1+B970)^0*B970*'DCF Base Case'!$B$4</f>
        <v>19.280838313272</v>
      </c>
      <c r="K970" s="24" t="n">
        <f aca="false">'DCF Base Case'!$B$2*(1+B970)^2*$I970-'DCF Base Case'!$B$2*(1+B970)^1*B970*'DCF Base Case'!$B$4</f>
        <v>20.7823710160408</v>
      </c>
      <c r="L970" s="24" t="n">
        <f aca="false">'DCF Base Case'!$B$2*(1+B970)^3*$I970-'DCF Base Case'!$B$2*(1+B970)^2*B970*'DCF Base Case'!$B$4</f>
        <v>22.4008384921245</v>
      </c>
      <c r="M970" s="24" t="n">
        <f aca="false">'DCF Base Case'!$B$2*(1+B970)^4*$I970-'DCF Base Case'!$B$2*(1+B970)^3*B970*'DCF Base Case'!$B$4</f>
        <v>24.1453472639353</v>
      </c>
      <c r="N970" s="24" t="n">
        <f aca="false">'DCF Base Case'!$B$2*(1+B970)^5*$I970-'DCF Base Case'!$B$2*(1+B970)^4*B970*'DCF Base Case'!$B$4</f>
        <v>26.0257130419913</v>
      </c>
      <c r="O970" s="24" t="n">
        <f aca="false">J970/(1+H970)^1+K970/(1+H970)^2+L970/(1+H970)^3+M970/(1+H970)^4+N970/(1+H970)^5</f>
        <v>82.8843457815406</v>
      </c>
      <c r="P970" s="24" t="n">
        <f aca="false">N970*(1+F970)/(H970-F970)</f>
        <v>314.907789262134</v>
      </c>
      <c r="Q970" s="24" t="n">
        <f aca="false">O970+P970/(1+H970)^5</f>
        <v>273.330963367412</v>
      </c>
      <c r="R970" s="24" t="n">
        <f aca="false">Q970-'DCF Base Case'!$B$5</f>
        <v>88.3309633674117</v>
      </c>
      <c r="S970" s="32" t="n">
        <f aca="false">R970/'DCF Base Case'!$B$6</f>
        <v>3.53323853469647</v>
      </c>
    </row>
    <row r="971" customFormat="false" ht="15" hidden="false" customHeight="true" outlineLevel="0" collapsed="false">
      <c r="A971" s="6" t="n">
        <v>970</v>
      </c>
      <c r="B971" s="30" t="n">
        <v>0.106807927714672</v>
      </c>
      <c r="C971" s="30" t="n">
        <v>0.412156492985917</v>
      </c>
      <c r="D971" s="30" t="n">
        <v>0.0879980788526862</v>
      </c>
      <c r="E971" s="30" t="n">
        <v>0.272541209726931</v>
      </c>
      <c r="F971" s="30" t="n">
        <v>0.0209135425641789</v>
      </c>
      <c r="G971" s="30" t="n">
        <v>0.173119827271205</v>
      </c>
      <c r="H971" s="31" t="n">
        <f aca="false">MAX(D971,F971+0.015)</f>
        <v>0.0879980788526862</v>
      </c>
      <c r="I971" s="25" t="n">
        <f aca="false">(C971-'DCF Base Case'!$B$3)*(1-E971)+'DCF Base Case'!$B$3-G971</f>
        <v>0.162137393784022</v>
      </c>
      <c r="J971" s="24" t="n">
        <f aca="false">'DCF Base Case'!$B$2*(1+B971)^1*$I971-'DCF Base Case'!$B$2*(1+B971)^0*B971*'DCF Base Case'!$B$4</f>
        <v>25.5563536732181</v>
      </c>
      <c r="K971" s="24" t="n">
        <f aca="false">'DCF Base Case'!$B$2*(1+B971)^2*$I971-'DCF Base Case'!$B$2*(1+B971)^1*B971*'DCF Base Case'!$B$4</f>
        <v>28.2859748489977</v>
      </c>
      <c r="L971" s="24" t="n">
        <f aca="false">'DCF Base Case'!$B$2*(1+B971)^3*$I971-'DCF Base Case'!$B$2*(1+B971)^2*B971*'DCF Base Case'!$B$4</f>
        <v>31.3071412060085</v>
      </c>
      <c r="M971" s="24" t="n">
        <f aca="false">'DCF Base Case'!$B$2*(1+B971)^4*$I971-'DCF Base Case'!$B$2*(1+B971)^3*B971*'DCF Base Case'!$B$4</f>
        <v>34.6509920808929</v>
      </c>
      <c r="N971" s="24" t="n">
        <f aca="false">'DCF Base Case'!$B$2*(1+B971)^5*$I971-'DCF Base Case'!$B$2*(1+B971)^4*B971*'DCF Base Case'!$B$4</f>
        <v>38.3519927383106</v>
      </c>
      <c r="O971" s="24" t="n">
        <f aca="false">J971/(1+H971)^1+K971/(1+H971)^2+L971/(1+H971)^3+M971/(1+H971)^4+N971/(1+H971)^5</f>
        <v>121.578455182985</v>
      </c>
      <c r="P971" s="24" t="n">
        <f aca="false">N971*(1+F971)/(H971-F971)</f>
        <v>583.652670750771</v>
      </c>
      <c r="Q971" s="24" t="n">
        <f aca="false">O971+P971/(1+H971)^5</f>
        <v>504.415393756721</v>
      </c>
      <c r="R971" s="24" t="n">
        <f aca="false">Q971-'DCF Base Case'!$B$5</f>
        <v>319.415393756721</v>
      </c>
      <c r="S971" s="32" t="n">
        <f aca="false">R971/'DCF Base Case'!$B$6</f>
        <v>12.7766157502688</v>
      </c>
    </row>
    <row r="972" customFormat="false" ht="15" hidden="false" customHeight="true" outlineLevel="0" collapsed="false">
      <c r="A972" s="6" t="n">
        <v>971</v>
      </c>
      <c r="B972" s="30" t="n">
        <v>0.0818918751964717</v>
      </c>
      <c r="C972" s="30" t="n">
        <v>0.382439794028369</v>
      </c>
      <c r="D972" s="30" t="n">
        <v>0.0866086076266206</v>
      </c>
      <c r="E972" s="30" t="n">
        <v>0.274163382305374</v>
      </c>
      <c r="F972" s="30" t="n">
        <v>0.012266487774601</v>
      </c>
      <c r="G972" s="30" t="n">
        <v>0.177162263219524</v>
      </c>
      <c r="H972" s="31" t="n">
        <f aca="false">MAX(D972,F972+0.015)</f>
        <v>0.0866086076266206</v>
      </c>
      <c r="I972" s="25" t="n">
        <f aca="false">(C972-'DCF Base Case'!$B$3)*(1-E972)+'DCF Base Case'!$B$3-G972</f>
        <v>0.136067783049555</v>
      </c>
      <c r="J972" s="24" t="n">
        <f aca="false">'DCF Base Case'!$B$2*(1+B972)^1*$I972-'DCF Base Case'!$B$2*(1+B972)^0*B972*'DCF Base Case'!$B$4</f>
        <v>20.9893115417053</v>
      </c>
      <c r="K972" s="24" t="n">
        <f aca="false">'DCF Base Case'!$B$2*(1+B972)^2*$I972-'DCF Base Case'!$B$2*(1+B972)^1*B972*'DCF Base Case'!$B$4</f>
        <v>22.7081656229385</v>
      </c>
      <c r="L972" s="24" t="n">
        <f aca="false">'DCF Base Case'!$B$2*(1+B972)^3*$I972-'DCF Base Case'!$B$2*(1+B972)^2*B972*'DCF Base Case'!$B$4</f>
        <v>24.567779888073</v>
      </c>
      <c r="M972" s="24" t="n">
        <f aca="false">'DCF Base Case'!$B$2*(1+B972)^4*$I972-'DCF Base Case'!$B$2*(1+B972)^3*B972*'DCF Base Case'!$B$4</f>
        <v>26.5796814525215</v>
      </c>
      <c r="N972" s="24" t="n">
        <f aca="false">'DCF Base Case'!$B$2*(1+B972)^5*$I972-'DCF Base Case'!$B$2*(1+B972)^4*B972*'DCF Base Case'!$B$4</f>
        <v>28.7563414087933</v>
      </c>
      <c r="O972" s="24" t="n">
        <f aca="false">J972/(1+H972)^1+K972/(1+H972)^2+L972/(1+H972)^3+M972/(1+H972)^4+N972/(1+H972)^5</f>
        <v>95.7468979858915</v>
      </c>
      <c r="P972" s="24" t="n">
        <f aca="false">N972*(1+F972)/(H972-F972)</f>
        <v>391.555699206172</v>
      </c>
      <c r="Q972" s="24" t="n">
        <f aca="false">O972+P972/(1+H972)^5</f>
        <v>354.227433423035</v>
      </c>
      <c r="R972" s="24" t="n">
        <f aca="false">Q972-'DCF Base Case'!$B$5</f>
        <v>169.227433423035</v>
      </c>
      <c r="S972" s="32" t="n">
        <f aca="false">R972/'DCF Base Case'!$B$6</f>
        <v>6.76909733692139</v>
      </c>
    </row>
    <row r="973" customFormat="false" ht="15" hidden="false" customHeight="true" outlineLevel="0" collapsed="false">
      <c r="A973" s="6" t="n">
        <v>972</v>
      </c>
      <c r="B973" s="30" t="n">
        <v>0.111087481712933</v>
      </c>
      <c r="C973" s="30" t="n">
        <v>0.456311202480822</v>
      </c>
      <c r="D973" s="30" t="n">
        <v>0.0806968274634727</v>
      </c>
      <c r="E973" s="30" t="n">
        <v>0.266459135959792</v>
      </c>
      <c r="F973" s="30" t="n">
        <v>0.0148357266240896</v>
      </c>
      <c r="G973" s="30" t="n">
        <v>0.169958183672054</v>
      </c>
      <c r="H973" s="31" t="n">
        <f aca="false">MAX(D973,F973+0.015)</f>
        <v>0.0806968274634727</v>
      </c>
      <c r="I973" s="25" t="n">
        <f aca="false">(C973-'DCF Base Case'!$B$3)*(1-E973)+'DCF Base Case'!$B$3-G973</f>
        <v>0.199404417741727</v>
      </c>
      <c r="J973" s="24" t="n">
        <f aca="false">'DCF Base Case'!$B$2*(1+B973)^1*$I973-'DCF Base Case'!$B$2*(1+B973)^0*B973*'DCF Base Case'!$B$4</f>
        <v>31.6423535454567</v>
      </c>
      <c r="K973" s="24" t="n">
        <f aca="false">'DCF Base Case'!$B$2*(1+B973)^2*$I973-'DCF Base Case'!$B$2*(1+B973)^1*B973*'DCF Base Case'!$B$4</f>
        <v>35.1574229162918</v>
      </c>
      <c r="L973" s="24" t="n">
        <f aca="false">'DCF Base Case'!$B$2*(1+B973)^3*$I973-'DCF Base Case'!$B$2*(1+B973)^2*B973*'DCF Base Case'!$B$4</f>
        <v>39.0629724915793</v>
      </c>
      <c r="M973" s="24" t="n">
        <f aca="false">'DCF Base Case'!$B$2*(1+B973)^4*$I973-'DCF Base Case'!$B$2*(1+B973)^3*B973*'DCF Base Case'!$B$4</f>
        <v>43.4023797338904</v>
      </c>
      <c r="N973" s="24" t="n">
        <f aca="false">'DCF Base Case'!$B$2*(1+B973)^5*$I973-'DCF Base Case'!$B$2*(1+B973)^4*B973*'DCF Base Case'!$B$4</f>
        <v>48.2238407988767</v>
      </c>
      <c r="O973" s="24" t="n">
        <f aca="false">J973/(1+H973)^1+K973/(1+H973)^2+L973/(1+H973)^3+M973/(1+H973)^4+N973/(1+H973)^5</f>
        <v>154.866554456774</v>
      </c>
      <c r="P973" s="24" t="n">
        <f aca="false">N973*(1+F973)/(H973-F973)</f>
        <v>743.0680005954</v>
      </c>
      <c r="Q973" s="24" t="n">
        <f aca="false">O973+P973/(1+H973)^5</f>
        <v>658.95782485429</v>
      </c>
      <c r="R973" s="24" t="n">
        <f aca="false">Q973-'DCF Base Case'!$B$5</f>
        <v>473.95782485429</v>
      </c>
      <c r="S973" s="32" t="n">
        <f aca="false">R973/'DCF Base Case'!$B$6</f>
        <v>18.9583129941716</v>
      </c>
    </row>
    <row r="974" customFormat="false" ht="15" hidden="false" customHeight="true" outlineLevel="0" collapsed="false">
      <c r="A974" s="6" t="n">
        <v>973</v>
      </c>
      <c r="B974" s="30" t="n">
        <v>0.0941833003199584</v>
      </c>
      <c r="C974" s="30" t="n">
        <v>0.398368586587267</v>
      </c>
      <c r="D974" s="30" t="n">
        <v>0.0830757712979578</v>
      </c>
      <c r="E974" s="30" t="n">
        <v>0.247255275805927</v>
      </c>
      <c r="F974" s="30" t="n">
        <v>0.0226784161394763</v>
      </c>
      <c r="G974" s="30" t="n">
        <v>0.149695018718902</v>
      </c>
      <c r="H974" s="31" t="n">
        <f aca="false">MAX(D974,F974+0.015)</f>
        <v>0.0830757712979578</v>
      </c>
      <c r="I974" s="25" t="n">
        <f aca="false">(C974-'DCF Base Case'!$B$3)*(1-E974)+'DCF Base Case'!$B$3-G974</f>
        <v>0.182318018974084</v>
      </c>
      <c r="J974" s="24" t="n">
        <f aca="false">'DCF Base Case'!$B$2*(1+B974)^1*$I974-'DCF Base Case'!$B$2*(1+B974)^0*B974*'DCF Base Case'!$B$4</f>
        <v>28.5162557413928</v>
      </c>
      <c r="K974" s="24" t="n">
        <f aca="false">'DCF Base Case'!$B$2*(1+B974)^2*$I974-'DCF Base Case'!$B$2*(1+B974)^1*B974*'DCF Base Case'!$B$4</f>
        <v>31.2020108198851</v>
      </c>
      <c r="L974" s="24" t="n">
        <f aca="false">'DCF Base Case'!$B$2*(1+B974)^3*$I974-'DCF Base Case'!$B$2*(1+B974)^2*B974*'DCF Base Case'!$B$4</f>
        <v>34.140719175521</v>
      </c>
      <c r="M974" s="24" t="n">
        <f aca="false">'DCF Base Case'!$B$2*(1+B974)^4*$I974-'DCF Base Case'!$B$2*(1+B974)^3*B974*'DCF Base Case'!$B$4</f>
        <v>37.3562047827684</v>
      </c>
      <c r="N974" s="24" t="n">
        <f aca="false">'DCF Base Case'!$B$2*(1+B974)^5*$I974-'DCF Base Case'!$B$2*(1+B974)^4*B974*'DCF Base Case'!$B$4</f>
        <v>40.8745354366378</v>
      </c>
      <c r="O974" s="24" t="n">
        <f aca="false">J974/(1+H974)^1+K974/(1+H974)^2+L974/(1+H974)^3+M974/(1+H974)^4+N974/(1+H974)^5</f>
        <v>134.372797863343</v>
      </c>
      <c r="P974" s="24" t="n">
        <f aca="false">N974*(1+F974)/(H974-F974)</f>
        <v>692.108206577776</v>
      </c>
      <c r="Q974" s="24" t="n">
        <f aca="false">O974+P974/(1+H974)^5</f>
        <v>598.759521915548</v>
      </c>
      <c r="R974" s="24" t="n">
        <f aca="false">Q974-'DCF Base Case'!$B$5</f>
        <v>413.759521915548</v>
      </c>
      <c r="S974" s="32" t="n">
        <f aca="false">R974/'DCF Base Case'!$B$6</f>
        <v>16.5503808766219</v>
      </c>
    </row>
    <row r="975" customFormat="false" ht="15" hidden="false" customHeight="true" outlineLevel="0" collapsed="false">
      <c r="A975" s="6" t="n">
        <v>974</v>
      </c>
      <c r="B975" s="30" t="n">
        <v>0.0893040000032412</v>
      </c>
      <c r="C975" s="30" t="n">
        <v>0.383074044376658</v>
      </c>
      <c r="D975" s="30" t="n">
        <v>0.0785941104059227</v>
      </c>
      <c r="E975" s="30" t="n">
        <v>0.272282347019833</v>
      </c>
      <c r="F975" s="30" t="n">
        <v>0.0193119142718998</v>
      </c>
      <c r="G975" s="30" t="n">
        <v>0.176476985257016</v>
      </c>
      <c r="H975" s="31" t="n">
        <f aca="false">MAX(D975,F975+0.015)</f>
        <v>0.0785941104059227</v>
      </c>
      <c r="I975" s="25" t="n">
        <f aca="false">(C975-'DCF Base Case'!$B$3)*(1-E975)+'DCF Base Case'!$B$3-G975</f>
        <v>0.137689464346964</v>
      </c>
      <c r="J975" s="24" t="n">
        <f aca="false">'DCF Base Case'!$B$2*(1+B975)^1*$I975-'DCF Base Case'!$B$2*(1+B975)^0*B975*'DCF Base Case'!$B$4</f>
        <v>21.3594518193464</v>
      </c>
      <c r="K975" s="24" t="n">
        <f aca="false">'DCF Base Case'!$B$2*(1+B975)^2*$I975-'DCF Base Case'!$B$2*(1+B975)^1*B975*'DCF Base Case'!$B$4</f>
        <v>23.2669363046906</v>
      </c>
      <c r="L975" s="24" t="n">
        <f aca="false">'DCF Base Case'!$B$2*(1+B975)^3*$I975-'DCF Base Case'!$B$2*(1+B975)^2*B975*'DCF Base Case'!$B$4</f>
        <v>25.3447667845201</v>
      </c>
      <c r="M975" s="24" t="n">
        <f aca="false">'DCF Base Case'!$B$2*(1+B975)^4*$I975-'DCF Base Case'!$B$2*(1+B975)^3*B975*'DCF Base Case'!$B$4</f>
        <v>27.608155837527</v>
      </c>
      <c r="N975" s="24" t="n">
        <f aca="false">'DCF Base Case'!$B$2*(1+B975)^5*$I975-'DCF Base Case'!$B$2*(1+B975)^4*B975*'DCF Base Case'!$B$4</f>
        <v>30.073674586531</v>
      </c>
      <c r="O975" s="24" t="n">
        <f aca="false">J975/(1+H975)^1+K975/(1+H975)^2+L975/(1+H975)^3+M975/(1+H975)^4+N975/(1+H975)^5</f>
        <v>101.001207753457</v>
      </c>
      <c r="P975" s="24" t="n">
        <f aca="false">N975*(1+F975)/(H975-F975)</f>
        <v>517.093778757532</v>
      </c>
      <c r="Q975" s="24" t="n">
        <f aca="false">O975+P975/(1+H975)^5</f>
        <v>455.226110821908</v>
      </c>
      <c r="R975" s="24" t="n">
        <f aca="false">Q975-'DCF Base Case'!$B$5</f>
        <v>270.226110821908</v>
      </c>
      <c r="S975" s="32" t="n">
        <f aca="false">R975/'DCF Base Case'!$B$6</f>
        <v>10.8090444328763</v>
      </c>
    </row>
    <row r="976" customFormat="false" ht="15" hidden="false" customHeight="true" outlineLevel="0" collapsed="false">
      <c r="A976" s="6" t="n">
        <v>975</v>
      </c>
      <c r="B976" s="30" t="n">
        <v>0.120626741969547</v>
      </c>
      <c r="C976" s="30" t="n">
        <v>0.438365329768584</v>
      </c>
      <c r="D976" s="30" t="n">
        <v>0.0955838099746087</v>
      </c>
      <c r="E976" s="30" t="n">
        <v>0.32291988523633</v>
      </c>
      <c r="F976" s="30" t="n">
        <v>0.0213899691299942</v>
      </c>
      <c r="G976" s="30" t="n">
        <v>0.16443162242526</v>
      </c>
      <c r="H976" s="31" t="n">
        <f aca="false">MAX(D976,F976+0.015)</f>
        <v>0.0955838099746087</v>
      </c>
      <c r="I976" s="25" t="n">
        <f aca="false">(C976-'DCF Base Case'!$B$3)*(1-E976)+'DCF Base Case'!$B$3-G976</f>
        <v>0.17435641044359</v>
      </c>
      <c r="J976" s="24" t="n">
        <f aca="false">'DCF Base Case'!$B$2*(1+B976)^1*$I976-'DCF Base Case'!$B$2*(1+B976)^0*B976*'DCF Base Case'!$B$4</f>
        <v>27.8065998180837</v>
      </c>
      <c r="K976" s="24" t="n">
        <f aca="false">'DCF Base Case'!$B$2*(1+B976)^2*$I976-'DCF Base Case'!$B$2*(1+B976)^1*B976*'DCF Base Case'!$B$4</f>
        <v>31.1608193593902</v>
      </c>
      <c r="L976" s="24" t="n">
        <f aca="false">'DCF Base Case'!$B$2*(1+B976)^3*$I976-'DCF Base Case'!$B$2*(1+B976)^2*B976*'DCF Base Case'!$B$4</f>
        <v>34.919647475815</v>
      </c>
      <c r="M976" s="24" t="n">
        <f aca="false">'DCF Base Case'!$B$2*(1+B976)^4*$I976-'DCF Base Case'!$B$2*(1+B976)^3*B976*'DCF Base Case'!$B$4</f>
        <v>39.1318907815477</v>
      </c>
      <c r="N976" s="24" t="n">
        <f aca="false">'DCF Base Case'!$B$2*(1+B976)^5*$I976-'DCF Base Case'!$B$2*(1+B976)^4*B976*'DCF Base Case'!$B$4</f>
        <v>43.8522432736339</v>
      </c>
      <c r="O976" s="24" t="n">
        <f aca="false">J976/(1+H976)^1+K976/(1+H976)^2+L976/(1+H976)^3+M976/(1+H976)^4+N976/(1+H976)^5</f>
        <v>132.838770648425</v>
      </c>
      <c r="P976" s="24" t="n">
        <f aca="false">N976*(1+F976)/(H976-F976)</f>
        <v>603.692178402557</v>
      </c>
      <c r="Q976" s="24" t="n">
        <f aca="false">O976+P976/(1+H976)^5</f>
        <v>515.300090928102</v>
      </c>
      <c r="R976" s="24" t="n">
        <f aca="false">Q976-'DCF Base Case'!$B$5</f>
        <v>330.300090928102</v>
      </c>
      <c r="S976" s="32" t="n">
        <f aca="false">R976/'DCF Base Case'!$B$6</f>
        <v>13.2120036371241</v>
      </c>
    </row>
    <row r="977" customFormat="false" ht="15" hidden="false" customHeight="true" outlineLevel="0" collapsed="false">
      <c r="A977" s="6" t="n">
        <v>976</v>
      </c>
      <c r="B977" s="30" t="n">
        <v>0.112030330332107</v>
      </c>
      <c r="C977" s="30" t="n">
        <v>0.441326012643446</v>
      </c>
      <c r="D977" s="30" t="n">
        <v>0.0921342242176264</v>
      </c>
      <c r="E977" s="30" t="n">
        <v>0.252662923254258</v>
      </c>
      <c r="F977" s="30" t="n">
        <v>0.0159167467754622</v>
      </c>
      <c r="G977" s="30" t="n">
        <v>0.159583540245773</v>
      </c>
      <c r="H977" s="31" t="n">
        <f aca="false">MAX(D977,F977+0.015)</f>
        <v>0.0921342242176264</v>
      </c>
      <c r="I977" s="25" t="n">
        <f aca="false">(C977-'DCF Base Case'!$B$3)*(1-E977)+'DCF Base Case'!$B$3-G977</f>
        <v>0.203081931958088</v>
      </c>
      <c r="J977" s="24" t="n">
        <f aca="false">'DCF Base Case'!$B$2*(1+B977)^1*$I977-'DCF Base Case'!$B$2*(1+B977)^0*B977*'DCF Base Case'!$B$4</f>
        <v>32.2584919056314</v>
      </c>
      <c r="K977" s="24" t="n">
        <f aca="false">'DCF Base Case'!$B$2*(1+B977)^2*$I977-'DCF Base Case'!$B$2*(1+B977)^1*B977*'DCF Base Case'!$B$4</f>
        <v>35.8724214098349</v>
      </c>
      <c r="L977" s="24" t="n">
        <f aca="false">'DCF Base Case'!$B$2*(1+B977)^3*$I977-'DCF Base Case'!$B$2*(1+B977)^2*B977*'DCF Base Case'!$B$4</f>
        <v>39.8912206301912</v>
      </c>
      <c r="M977" s="24" t="n">
        <f aca="false">'DCF Base Case'!$B$2*(1+B977)^4*$I977-'DCF Base Case'!$B$2*(1+B977)^3*B977*'DCF Base Case'!$B$4</f>
        <v>44.3602472547425</v>
      </c>
      <c r="N977" s="24" t="n">
        <f aca="false">'DCF Base Case'!$B$2*(1+B977)^5*$I977-'DCF Base Case'!$B$2*(1+B977)^4*B977*'DCF Base Case'!$B$4</f>
        <v>49.3299404083053</v>
      </c>
      <c r="O977" s="24" t="n">
        <f aca="false">J977/(1+H977)^1+K977/(1+H977)^2+L977/(1+H977)^3+M977/(1+H977)^4+N977/(1+H977)^5</f>
        <v>153.165453597213</v>
      </c>
      <c r="P977" s="24" t="n">
        <f aca="false">N977*(1+F977)/(H977-F977)</f>
        <v>657.527830362289</v>
      </c>
      <c r="Q977" s="24" t="n">
        <f aca="false">O977+P977/(1+H977)^5</f>
        <v>576.354146505467</v>
      </c>
      <c r="R977" s="24" t="n">
        <f aca="false">Q977-'DCF Base Case'!$B$5</f>
        <v>391.354146505467</v>
      </c>
      <c r="S977" s="32" t="n">
        <f aca="false">R977/'DCF Base Case'!$B$6</f>
        <v>15.6541658602187</v>
      </c>
    </row>
    <row r="978" customFormat="false" ht="15" hidden="false" customHeight="true" outlineLevel="0" collapsed="false">
      <c r="A978" s="6" t="n">
        <v>977</v>
      </c>
      <c r="B978" s="30" t="n">
        <v>0.106999470491107</v>
      </c>
      <c r="C978" s="30" t="n">
        <v>0.419990803836509</v>
      </c>
      <c r="D978" s="30" t="n">
        <v>0.0975055549679562</v>
      </c>
      <c r="E978" s="30" t="n">
        <v>0.319459364397538</v>
      </c>
      <c r="F978" s="30" t="n">
        <v>0.0236110352355979</v>
      </c>
      <c r="G978" s="30" t="n">
        <v>0.193846910995012</v>
      </c>
      <c r="H978" s="31" t="n">
        <f aca="false">MAX(D978,F978+0.015)</f>
        <v>0.0975055549679562</v>
      </c>
      <c r="I978" s="25" t="n">
        <f aca="false">(C978-'DCF Base Case'!$B$3)*(1-E978)+'DCF Base Case'!$B$3-G978</f>
        <v>0.133503614966755</v>
      </c>
      <c r="J978" s="24" t="n">
        <f aca="false">'DCF Base Case'!$B$2*(1+B978)^1*$I978-'DCF Base Case'!$B$2*(1+B978)^0*B978*'DCF Base Case'!$B$4</f>
        <v>20.9638748095064</v>
      </c>
      <c r="K978" s="24" t="n">
        <f aca="false">'DCF Base Case'!$B$2*(1+B978)^2*$I978-'DCF Base Case'!$B$2*(1+B978)^1*B978*'DCF Base Case'!$B$4</f>
        <v>23.2069983135654</v>
      </c>
      <c r="L978" s="24" t="n">
        <f aca="false">'DCF Base Case'!$B$2*(1+B978)^3*$I978-'DCF Base Case'!$B$2*(1+B978)^2*B978*'DCF Base Case'!$B$4</f>
        <v>25.6901348448049</v>
      </c>
      <c r="M978" s="24" t="n">
        <f aca="false">'DCF Base Case'!$B$2*(1+B978)^4*$I978-'DCF Base Case'!$B$2*(1+B978)^3*B978*'DCF Base Case'!$B$4</f>
        <v>28.4389656700442</v>
      </c>
      <c r="N978" s="24" t="n">
        <f aca="false">'DCF Base Case'!$B$2*(1+B978)^5*$I978-'DCF Base Case'!$B$2*(1+B978)^4*B978*'DCF Base Case'!$B$4</f>
        <v>31.4819199380537</v>
      </c>
      <c r="O978" s="24" t="n">
        <f aca="false">J978/(1+H978)^1+K978/(1+H978)^2+L978/(1+H978)^3+M978/(1+H978)^4+N978/(1+H978)^5</f>
        <v>97.1736298701558</v>
      </c>
      <c r="P978" s="24" t="n">
        <f aca="false">N978*(1+F978)/(H978-F978)</f>
        <v>436.097842921414</v>
      </c>
      <c r="Q978" s="24" t="n">
        <f aca="false">O978+P978/(1+H978)^5</f>
        <v>371.047313488854</v>
      </c>
      <c r="R978" s="24" t="n">
        <f aca="false">Q978-'DCF Base Case'!$B$5</f>
        <v>186.047313488854</v>
      </c>
      <c r="S978" s="32" t="n">
        <f aca="false">R978/'DCF Base Case'!$B$6</f>
        <v>7.44189253955416</v>
      </c>
    </row>
    <row r="979" customFormat="false" ht="15" hidden="false" customHeight="true" outlineLevel="0" collapsed="false">
      <c r="A979" s="6" t="n">
        <v>978</v>
      </c>
      <c r="B979" s="30" t="n">
        <v>0.067374198520792</v>
      </c>
      <c r="C979" s="30" t="n">
        <v>0.416684544871851</v>
      </c>
      <c r="D979" s="30" t="n">
        <v>0.0783171805494904</v>
      </c>
      <c r="E979" s="30" t="n">
        <v>0.250442578749874</v>
      </c>
      <c r="F979" s="30" t="n">
        <v>0.0182281993926159</v>
      </c>
      <c r="G979" s="30" t="n">
        <v>0.196425114544446</v>
      </c>
      <c r="H979" s="31" t="n">
        <f aca="false">MAX(D979,F979+0.015)</f>
        <v>0.0783171805494904</v>
      </c>
      <c r="I979" s="25" t="n">
        <f aca="false">(C979-'DCF Base Case'!$B$3)*(1-E979)+'DCF Base Case'!$B$3-G979</f>
        <v>0.148461413621965</v>
      </c>
      <c r="J979" s="24" t="n">
        <f aca="false">'DCF Base Case'!$B$2*(1+B979)^1*$I979-'DCF Base Case'!$B$2*(1+B979)^0*B979*'DCF Base Case'!$B$4</f>
        <v>22.6841851809558</v>
      </c>
      <c r="K979" s="24" t="n">
        <f aca="false">'DCF Base Case'!$B$2*(1+B979)^2*$I979-'DCF Base Case'!$B$2*(1+B979)^1*B979*'DCF Base Case'!$B$4</f>
        <v>24.2125139766199</v>
      </c>
      <c r="L979" s="24" t="n">
        <f aca="false">'DCF Base Case'!$B$2*(1+B979)^3*$I979-'DCF Base Case'!$B$2*(1+B979)^2*B979*'DCF Base Case'!$B$4</f>
        <v>25.8438126999681</v>
      </c>
      <c r="M979" s="24" t="n">
        <f aca="false">'DCF Base Case'!$B$2*(1+B979)^4*$I979-'DCF Base Case'!$B$2*(1+B979)^3*B979*'DCF Base Case'!$B$4</f>
        <v>27.5850188673499</v>
      </c>
      <c r="N979" s="24" t="n">
        <f aca="false">'DCF Base Case'!$B$2*(1+B979)^5*$I979-'DCF Base Case'!$B$2*(1+B979)^4*B979*'DCF Base Case'!$B$4</f>
        <v>29.4435374047186</v>
      </c>
      <c r="O979" s="24" t="n">
        <f aca="false">J979/(1+H979)^1+K979/(1+H979)^2+L979/(1+H979)^3+M979/(1+H979)^4+N979/(1+H979)^5</f>
        <v>103.069981552655</v>
      </c>
      <c r="P979" s="24" t="n">
        <f aca="false">N979*(1+F979)/(H979-F979)</f>
        <v>498.930744009226</v>
      </c>
      <c r="Q979" s="24" t="n">
        <f aca="false">O979+P979/(1+H979)^5</f>
        <v>445.291758562169</v>
      </c>
      <c r="R979" s="24" t="n">
        <f aca="false">Q979-'DCF Base Case'!$B$5</f>
        <v>260.291758562169</v>
      </c>
      <c r="S979" s="32" t="n">
        <f aca="false">R979/'DCF Base Case'!$B$6</f>
        <v>10.4116703424867</v>
      </c>
    </row>
    <row r="980" customFormat="false" ht="15" hidden="false" customHeight="true" outlineLevel="0" collapsed="false">
      <c r="A980" s="6" t="n">
        <v>979</v>
      </c>
      <c r="B980" s="30" t="n">
        <v>0.0998445610477448</v>
      </c>
      <c r="C980" s="30" t="n">
        <v>0.451030728025697</v>
      </c>
      <c r="D980" s="30" t="n">
        <v>0.0869495315979492</v>
      </c>
      <c r="E980" s="30" t="n">
        <v>0.341565161157388</v>
      </c>
      <c r="F980" s="30" t="n">
        <v>0.0199914382340949</v>
      </c>
      <c r="G980" s="30" t="n">
        <v>0.165721141424489</v>
      </c>
      <c r="H980" s="31" t="n">
        <f aca="false">MAX(D980,F980+0.015)</f>
        <v>0.0869495315979492</v>
      </c>
      <c r="I980" s="25" t="n">
        <f aca="false">(C980-'DCF Base Case'!$B$3)*(1-E980)+'DCF Base Case'!$B$3-G980</f>
        <v>0.175656674246637</v>
      </c>
      <c r="J980" s="24" t="n">
        <f aca="false">'DCF Base Case'!$B$2*(1+B980)^1*$I980-'DCF Base Case'!$B$2*(1+B980)^0*B980*'DCF Base Case'!$B$4</f>
        <v>27.5789566378177</v>
      </c>
      <c r="K980" s="24" t="n">
        <f aca="false">'DCF Base Case'!$B$2*(1+B980)^2*$I980-'DCF Base Case'!$B$2*(1+B980)^1*B980*'DCF Base Case'!$B$4</f>
        <v>30.3325654574754</v>
      </c>
      <c r="L980" s="24" t="n">
        <f aca="false">'DCF Base Case'!$B$2*(1+B980)^3*$I980-'DCF Base Case'!$B$2*(1+B980)^2*B980*'DCF Base Case'!$B$4</f>
        <v>33.3611071410291</v>
      </c>
      <c r="M980" s="24" t="n">
        <f aca="false">'DCF Base Case'!$B$2*(1+B980)^4*$I980-'DCF Base Case'!$B$2*(1+B980)^3*B980*'DCF Base Case'!$B$4</f>
        <v>36.6920322395919</v>
      </c>
      <c r="N980" s="24" t="n">
        <f aca="false">'DCF Base Case'!$B$2*(1+B980)^5*$I980-'DCF Base Case'!$B$2*(1+B980)^4*B980*'DCF Base Case'!$B$4</f>
        <v>40.3555320925036</v>
      </c>
      <c r="O980" s="24" t="n">
        <f aca="false">J980/(1+H980)^1+K980/(1+H980)^2+L980/(1+H980)^3+M980/(1+H980)^4+N980/(1+H980)^5</f>
        <v>129.910042463058</v>
      </c>
      <c r="P980" s="24" t="n">
        <f aca="false">N980*(1+F980)/(H980-F980)</f>
        <v>614.747152312963</v>
      </c>
      <c r="Q980" s="24" t="n">
        <f aca="false">O980+P980/(1+H980)^5</f>
        <v>535.091560294442</v>
      </c>
      <c r="R980" s="24" t="n">
        <f aca="false">Q980-'DCF Base Case'!$B$5</f>
        <v>350.091560294442</v>
      </c>
      <c r="S980" s="32" t="n">
        <f aca="false">R980/'DCF Base Case'!$B$6</f>
        <v>14.0036624117777</v>
      </c>
    </row>
    <row r="981" customFormat="false" ht="15" hidden="false" customHeight="true" outlineLevel="0" collapsed="false">
      <c r="A981" s="6" t="n">
        <v>980</v>
      </c>
      <c r="B981" s="30" t="n">
        <v>0.0624031093037705</v>
      </c>
      <c r="C981" s="30" t="n">
        <v>0.426728574572401</v>
      </c>
      <c r="D981" s="30" t="n">
        <v>0.0794766235816547</v>
      </c>
      <c r="E981" s="30" t="n">
        <v>0.264338605558991</v>
      </c>
      <c r="F981" s="30" t="n">
        <v>0.0238761352776214</v>
      </c>
      <c r="G981" s="30" t="n">
        <v>0.192791186368292</v>
      </c>
      <c r="H981" s="31" t="n">
        <f aca="false">MAX(D981,F981+0.015)</f>
        <v>0.0794766235816547</v>
      </c>
      <c r="I981" s="25" t="n">
        <f aca="false">(C981-'DCF Base Case'!$B$3)*(1-E981)+'DCF Base Case'!$B$3-G981</f>
        <v>0.155500570572133</v>
      </c>
      <c r="J981" s="24" t="n">
        <f aca="false">'DCF Base Case'!$B$2*(1+B981)^1*$I981-'DCF Base Case'!$B$2*(1+B981)^0*B981*'DCF Base Case'!$B$4</f>
        <v>23.6831684773086</v>
      </c>
      <c r="K981" s="24" t="n">
        <f aca="false">'DCF Base Case'!$B$2*(1+B981)^2*$I981-'DCF Base Case'!$B$2*(1+B981)^1*B981*'DCF Base Case'!$B$4</f>
        <v>25.1610718284577</v>
      </c>
      <c r="L981" s="24" t="n">
        <f aca="false">'DCF Base Case'!$B$2*(1+B981)^3*$I981-'DCF Base Case'!$B$2*(1+B981)^2*B981*'DCF Base Case'!$B$4</f>
        <v>26.731200943969</v>
      </c>
      <c r="M981" s="24" t="n">
        <f aca="false">'DCF Base Case'!$B$2*(1+B981)^4*$I981-'DCF Base Case'!$B$2*(1+B981)^3*B981*'DCF Base Case'!$B$4</f>
        <v>28.3993109982965</v>
      </c>
      <c r="N981" s="24" t="n">
        <f aca="false">'DCF Base Case'!$B$2*(1+B981)^5*$I981-'DCF Base Case'!$B$2*(1+B981)^4*B981*'DCF Base Case'!$B$4</f>
        <v>30.171516306675</v>
      </c>
      <c r="O981" s="24" t="n">
        <f aca="false">J981/(1+H981)^1+K981/(1+H981)^2+L981/(1+H981)^3+M981/(1+H981)^4+N981/(1+H981)^5</f>
        <v>106.28185603297</v>
      </c>
      <c r="P981" s="24" t="n">
        <f aca="false">N981*(1+F981)/(H981-F981)</f>
        <v>555.604751933504</v>
      </c>
      <c r="Q981" s="24" t="n">
        <f aca="false">O981+P981/(1+H981)^5</f>
        <v>485.334684413074</v>
      </c>
      <c r="R981" s="24" t="n">
        <f aca="false">Q981-'DCF Base Case'!$B$5</f>
        <v>300.334684413074</v>
      </c>
      <c r="S981" s="32" t="n">
        <f aca="false">R981/'DCF Base Case'!$B$6</f>
        <v>12.013387376523</v>
      </c>
    </row>
    <row r="982" customFormat="false" ht="15" hidden="false" customHeight="true" outlineLevel="0" collapsed="false">
      <c r="A982" s="6" t="n">
        <v>981</v>
      </c>
      <c r="B982" s="30" t="n">
        <v>0.114622212503344</v>
      </c>
      <c r="C982" s="30" t="n">
        <v>0.41600187832258</v>
      </c>
      <c r="D982" s="30" t="n">
        <v>0.0844392654816422</v>
      </c>
      <c r="E982" s="30" t="n">
        <v>0.277984337957031</v>
      </c>
      <c r="F982" s="30" t="n">
        <v>0.0221637699974763</v>
      </c>
      <c r="G982" s="30" t="n">
        <v>0.201003556187494</v>
      </c>
      <c r="H982" s="31" t="n">
        <f aca="false">MAX(D982,F982+0.015)</f>
        <v>0.0844392654816422</v>
      </c>
      <c r="I982" s="25" t="n">
        <f aca="false">(C982-'DCF Base Case'!$B$3)*(1-E982)+'DCF Base Case'!$B$3-G982</f>
        <v>0.135494279335116</v>
      </c>
      <c r="J982" s="24" t="n">
        <f aca="false">'DCF Base Case'!$B$2*(1+B982)^1*$I982-'DCF Base Case'!$B$2*(1+B982)^0*B982*'DCF Base Case'!$B$4</f>
        <v>21.4000087206482</v>
      </c>
      <c r="K982" s="24" t="n">
        <f aca="false">'DCF Base Case'!$B$2*(1+B982)^2*$I982-'DCF Base Case'!$B$2*(1+B982)^1*B982*'DCF Base Case'!$B$4</f>
        <v>23.8529250677998</v>
      </c>
      <c r="L982" s="24" t="n">
        <f aca="false">'DCF Base Case'!$B$2*(1+B982)^3*$I982-'DCF Base Case'!$B$2*(1+B982)^2*B982*'DCF Base Case'!$B$4</f>
        <v>26.5870001137474</v>
      </c>
      <c r="M982" s="24" t="n">
        <f aca="false">'DCF Base Case'!$B$2*(1+B982)^4*$I982-'DCF Base Case'!$B$2*(1+B982)^3*B982*'DCF Base Case'!$B$4</f>
        <v>29.6344608906118</v>
      </c>
      <c r="N982" s="24" t="n">
        <f aca="false">'DCF Base Case'!$B$2*(1+B982)^5*$I982-'DCF Base Case'!$B$2*(1+B982)^4*B982*'DCF Base Case'!$B$4</f>
        <v>33.0312283642376</v>
      </c>
      <c r="O982" s="24" t="n">
        <f aca="false">J982/(1+H982)^1+K982/(1+H982)^2+L982/(1+H982)^3+M982/(1+H982)^4+N982/(1+H982)^5</f>
        <v>104.315990679024</v>
      </c>
      <c r="P982" s="24" t="n">
        <f aca="false">N982*(1+F982)/(H982-F982)</f>
        <v>542.160678930628</v>
      </c>
      <c r="Q982" s="24" t="n">
        <f aca="false">O982+P982/(1+H982)^5</f>
        <v>465.810616850038</v>
      </c>
      <c r="R982" s="24" t="n">
        <f aca="false">Q982-'DCF Base Case'!$B$5</f>
        <v>280.810616850038</v>
      </c>
      <c r="S982" s="32" t="n">
        <f aca="false">R982/'DCF Base Case'!$B$6</f>
        <v>11.2324246740015</v>
      </c>
    </row>
    <row r="983" customFormat="false" ht="15" hidden="false" customHeight="true" outlineLevel="0" collapsed="false">
      <c r="A983" s="6" t="n">
        <v>982</v>
      </c>
      <c r="B983" s="30" t="n">
        <v>0.0977873254006111</v>
      </c>
      <c r="C983" s="30" t="n">
        <v>0.450218879615944</v>
      </c>
      <c r="D983" s="30" t="n">
        <v>0.0948691385983637</v>
      </c>
      <c r="E983" s="30" t="n">
        <v>0.273391279662287</v>
      </c>
      <c r="F983" s="30" t="n">
        <v>0.0223301890964669</v>
      </c>
      <c r="G983" s="30" t="n">
        <v>0.203750150823091</v>
      </c>
      <c r="H983" s="31" t="n">
        <f aca="false">MAX(D983,F983+0.015)</f>
        <v>0.0948691385983637</v>
      </c>
      <c r="I983" s="25" t="n">
        <f aca="false">(C983-'DCF Base Case'!$B$3)*(1-E983)+'DCF Base Case'!$B$3-G983</f>
        <v>0.158923679522626</v>
      </c>
      <c r="J983" s="24" t="n">
        <f aca="false">'DCF Base Case'!$B$2*(1+B983)^1*$I983-'DCF Base Case'!$B$2*(1+B983)^0*B983*'DCF Base Case'!$B$4</f>
        <v>24.8719632919727</v>
      </c>
      <c r="K983" s="24" t="n">
        <f aca="false">'DCF Base Case'!$B$2*(1+B983)^2*$I983-'DCF Base Case'!$B$2*(1+B983)^1*B983*'DCF Base Case'!$B$4</f>
        <v>27.3041260597568</v>
      </c>
      <c r="L983" s="24" t="n">
        <f aca="false">'DCF Base Case'!$B$2*(1+B983)^3*$I983-'DCF Base Case'!$B$2*(1+B983)^2*B983*'DCF Base Case'!$B$4</f>
        <v>29.9741235195416</v>
      </c>
      <c r="M983" s="24" t="n">
        <f aca="false">'DCF Base Case'!$B$2*(1+B983)^4*$I983-'DCF Base Case'!$B$2*(1+B983)^3*B983*'DCF Base Case'!$B$4</f>
        <v>32.9052128897451</v>
      </c>
      <c r="N983" s="24" t="n">
        <f aca="false">'DCF Base Case'!$B$2*(1+B983)^5*$I983-'DCF Base Case'!$B$2*(1+B983)^4*B983*'DCF Base Case'!$B$4</f>
        <v>36.122925649971</v>
      </c>
      <c r="O983" s="24" t="n">
        <f aca="false">J983/(1+H983)^1+K983/(1+H983)^2+L983/(1+H983)^3+M983/(1+H983)^4+N983/(1+H983)^5</f>
        <v>114.191277326565</v>
      </c>
      <c r="P983" s="24" t="n">
        <f aca="false">N983*(1+F983)/(H983-F983)</f>
        <v>509.099699734235</v>
      </c>
      <c r="Q983" s="24" t="n">
        <f aca="false">O983+P983/(1+H983)^5</f>
        <v>437.778801473024</v>
      </c>
      <c r="R983" s="24" t="n">
        <f aca="false">Q983-'DCF Base Case'!$B$5</f>
        <v>252.778801473024</v>
      </c>
      <c r="S983" s="32" t="n">
        <f aca="false">R983/'DCF Base Case'!$B$6</f>
        <v>10.1111520589209</v>
      </c>
    </row>
    <row r="984" customFormat="false" ht="15" hidden="false" customHeight="true" outlineLevel="0" collapsed="false">
      <c r="A984" s="6" t="n">
        <v>983</v>
      </c>
      <c r="B984" s="30" t="n">
        <v>0.129312935485053</v>
      </c>
      <c r="C984" s="30" t="n">
        <v>0.448158833729582</v>
      </c>
      <c r="D984" s="30" t="n">
        <v>0.085282418990238</v>
      </c>
      <c r="E984" s="30" t="n">
        <v>0.273847617618717</v>
      </c>
      <c r="F984" s="30" t="n">
        <v>0.021413146267306</v>
      </c>
      <c r="G984" s="30" t="n">
        <v>0.203195035380142</v>
      </c>
      <c r="H984" s="31" t="n">
        <f aca="false">MAX(D984,F984+0.015)</f>
        <v>0.085282418990238</v>
      </c>
      <c r="I984" s="25" t="n">
        <f aca="false">(C984-'DCF Base Case'!$B$3)*(1-E984)+'DCF Base Case'!$B$3-G984</f>
        <v>0.157836759708244</v>
      </c>
      <c r="J984" s="24" t="n">
        <f aca="false">'DCF Base Case'!$B$2*(1+B984)^1*$I984-'DCF Base Case'!$B$2*(1+B984)^0*B984*'DCF Base Case'!$B$4</f>
        <v>25.2833174235072</v>
      </c>
      <c r="K984" s="24" t="n">
        <f aca="false">'DCF Base Case'!$B$2*(1+B984)^2*$I984-'DCF Base Case'!$B$2*(1+B984)^1*B984*'DCF Base Case'!$B$4</f>
        <v>28.5527774183413</v>
      </c>
      <c r="L984" s="24" t="n">
        <f aca="false">'DCF Base Case'!$B$2*(1+B984)^3*$I984-'DCF Base Case'!$B$2*(1+B984)^2*B984*'DCF Base Case'!$B$4</f>
        <v>32.2450208825583</v>
      </c>
      <c r="M984" s="24" t="n">
        <f aca="false">'DCF Base Case'!$B$2*(1+B984)^4*$I984-'DCF Base Case'!$B$2*(1+B984)^3*B984*'DCF Base Case'!$B$4</f>
        <v>36.4147191876588</v>
      </c>
      <c r="N984" s="24" t="n">
        <f aca="false">'DCF Base Case'!$B$2*(1+B984)^5*$I984-'DCF Base Case'!$B$2*(1+B984)^4*B984*'DCF Base Case'!$B$4</f>
        <v>41.1236134206788</v>
      </c>
      <c r="O984" s="24" t="n">
        <f aca="false">J984/(1+H984)^1+K984/(1+H984)^2+L984/(1+H984)^3+M984/(1+H984)^4+N984/(1+H984)^5</f>
        <v>126.325493418495</v>
      </c>
      <c r="P984" s="24" t="n">
        <f aca="false">N984*(1+F984)/(H984-F984)</f>
        <v>657.658958355643</v>
      </c>
      <c r="Q984" s="24" t="n">
        <f aca="false">O984+P984/(1+H984)^5</f>
        <v>563.129790044234</v>
      </c>
      <c r="R984" s="24" t="n">
        <f aca="false">Q984-'DCF Base Case'!$B$5</f>
        <v>378.129790044234</v>
      </c>
      <c r="S984" s="32" t="n">
        <f aca="false">R984/'DCF Base Case'!$B$6</f>
        <v>15.1251916017694</v>
      </c>
    </row>
    <row r="985" customFormat="false" ht="15" hidden="false" customHeight="true" outlineLevel="0" collapsed="false">
      <c r="A985" s="6" t="n">
        <v>984</v>
      </c>
      <c r="B985" s="30" t="n">
        <v>0.0992429114671163</v>
      </c>
      <c r="C985" s="30" t="n">
        <v>0.426428196354637</v>
      </c>
      <c r="D985" s="30" t="n">
        <v>0.085565376397488</v>
      </c>
      <c r="E985" s="30" t="n">
        <v>0.271119206747874</v>
      </c>
      <c r="F985" s="30" t="n">
        <v>0.0187309789923542</v>
      </c>
      <c r="G985" s="30" t="n">
        <v>0.168261955580242</v>
      </c>
      <c r="H985" s="31" t="n">
        <f aca="false">MAX(D985,F985+0.015)</f>
        <v>0.085565376397488</v>
      </c>
      <c r="I985" s="25" t="n">
        <f aca="false">(C985-'DCF Base Case'!$B$3)*(1-E985)+'DCF Base Case'!$B$3-G985</f>
        <v>0.177798863321023</v>
      </c>
      <c r="J985" s="24" t="n">
        <f aca="false">'DCF Base Case'!$B$2*(1+B985)^1*$I985-'DCF Base Case'!$B$2*(1+B985)^0*B985*'DCF Base Case'!$B$4</f>
        <v>27.9076936601371</v>
      </c>
      <c r="K985" s="24" t="n">
        <f aca="false">'DCF Base Case'!$B$2*(1+B985)^2*$I985-'DCF Base Case'!$B$2*(1+B985)^1*B985*'DCF Base Case'!$B$4</f>
        <v>30.6773344313014</v>
      </c>
      <c r="L985" s="24" t="n">
        <f aca="false">'DCF Base Case'!$B$2*(1+B985)^3*$I985-'DCF Base Case'!$B$2*(1+B985)^2*B985*'DCF Base Case'!$B$4</f>
        <v>33.7218424163142</v>
      </c>
      <c r="M985" s="24" t="n">
        <f aca="false">'DCF Base Case'!$B$2*(1+B985)^4*$I985-'DCF Base Case'!$B$2*(1+B985)^3*B985*'DCF Base Case'!$B$4</f>
        <v>37.0684962377445</v>
      </c>
      <c r="N985" s="24" t="n">
        <f aca="false">'DCF Base Case'!$B$2*(1+B985)^5*$I985-'DCF Base Case'!$B$2*(1+B985)^4*B985*'DCF Base Case'!$B$4</f>
        <v>40.7472817280861</v>
      </c>
      <c r="O985" s="24" t="n">
        <f aca="false">J985/(1+H985)^1+K985/(1+H985)^2+L985/(1+H985)^3+M985/(1+H985)^4+N985/(1+H985)^5</f>
        <v>131.820037479762</v>
      </c>
      <c r="P985" s="24" t="n">
        <f aca="false">N985*(1+F985)/(H985-F985)</f>
        <v>621.095121940037</v>
      </c>
      <c r="Q985" s="24" t="n">
        <f aca="false">O985+P985/(1+H985)^5</f>
        <v>543.801999986484</v>
      </c>
      <c r="R985" s="24" t="n">
        <f aca="false">Q985-'DCF Base Case'!$B$5</f>
        <v>358.801999986483</v>
      </c>
      <c r="S985" s="32" t="n">
        <f aca="false">R985/'DCF Base Case'!$B$6</f>
        <v>14.3520799994593</v>
      </c>
    </row>
    <row r="986" customFormat="false" ht="15" hidden="false" customHeight="true" outlineLevel="0" collapsed="false">
      <c r="A986" s="6" t="n">
        <v>985</v>
      </c>
      <c r="B986" s="30" t="n">
        <v>0.125356027047704</v>
      </c>
      <c r="C986" s="30" t="n">
        <v>0.422414504523125</v>
      </c>
      <c r="D986" s="30" t="n">
        <v>0.0855787328350252</v>
      </c>
      <c r="E986" s="30" t="n">
        <v>0.260640143881838</v>
      </c>
      <c r="F986" s="30" t="n">
        <v>0.0219250456350721</v>
      </c>
      <c r="G986" s="30" t="n">
        <v>0.19730247456625</v>
      </c>
      <c r="H986" s="31" t="n">
        <f aca="false">MAX(D986,F986+0.015)</f>
        <v>0.0855787328350252</v>
      </c>
      <c r="I986" s="25" t="n">
        <f aca="false">(C986-'DCF Base Case'!$B$3)*(1-E986)+'DCF Base Case'!$B$3-G986</f>
        <v>0.148897071424831</v>
      </c>
      <c r="J986" s="24" t="n">
        <f aca="false">'DCF Base Case'!$B$2*(1+B986)^1*$I986-'DCF Base Case'!$B$2*(1+B986)^0*B986*'DCF Base Case'!$B$4</f>
        <v>23.751222709307</v>
      </c>
      <c r="K986" s="24" t="n">
        <f aca="false">'DCF Base Case'!$B$2*(1+B986)^2*$I986-'DCF Base Case'!$B$2*(1+B986)^1*B986*'DCF Base Case'!$B$4</f>
        <v>26.728581625671</v>
      </c>
      <c r="L986" s="24" t="n">
        <f aca="false">'DCF Base Case'!$B$2*(1+B986)^3*$I986-'DCF Base Case'!$B$2*(1+B986)^2*B986*'DCF Base Case'!$B$4</f>
        <v>30.0791704268853</v>
      </c>
      <c r="M986" s="24" t="n">
        <f aca="false">'DCF Base Case'!$B$2*(1+B986)^4*$I986-'DCF Base Case'!$B$2*(1+B986)^3*B986*'DCF Base Case'!$B$4</f>
        <v>33.8497757284905</v>
      </c>
      <c r="N986" s="24" t="n">
        <f aca="false">'DCF Base Case'!$B$2*(1+B986)^5*$I986-'DCF Base Case'!$B$2*(1+B986)^4*B986*'DCF Base Case'!$B$4</f>
        <v>38.0930491302699</v>
      </c>
      <c r="O986" s="24" t="n">
        <f aca="false">J986/(1+H986)^1+K986/(1+H986)^2+L986/(1+H986)^3+M986/(1+H986)^4+N986/(1+H986)^5</f>
        <v>117.710210347258</v>
      </c>
      <c r="P986" s="24" t="n">
        <f aca="false">N986*(1+F986)/(H986-F986)</f>
        <v>611.56301674318</v>
      </c>
      <c r="Q986" s="24" t="n">
        <f aca="false">O986+P986/(1+H986)^5</f>
        <v>523.344426071908</v>
      </c>
      <c r="R986" s="24" t="n">
        <f aca="false">Q986-'DCF Base Case'!$B$5</f>
        <v>338.344426071908</v>
      </c>
      <c r="S986" s="32" t="n">
        <f aca="false">R986/'DCF Base Case'!$B$6</f>
        <v>13.5337770428763</v>
      </c>
    </row>
    <row r="987" customFormat="false" ht="15" hidden="false" customHeight="true" outlineLevel="0" collapsed="false">
      <c r="A987" s="6" t="n">
        <v>986</v>
      </c>
      <c r="B987" s="30" t="n">
        <v>0.123854598198178</v>
      </c>
      <c r="C987" s="30" t="n">
        <v>0.4300731841761</v>
      </c>
      <c r="D987" s="30" t="n">
        <v>0.0913178971160716</v>
      </c>
      <c r="E987" s="30" t="n">
        <v>0.27547432208748</v>
      </c>
      <c r="F987" s="30" t="n">
        <v>0.0212382076769335</v>
      </c>
      <c r="G987" s="30" t="n">
        <v>0.172453785458715</v>
      </c>
      <c r="H987" s="31" t="n">
        <f aca="false">MAX(D987,F987+0.015)</f>
        <v>0.0913178971160716</v>
      </c>
      <c r="I987" s="25" t="n">
        <f aca="false">(C987-'DCF Base Case'!$B$3)*(1-E987)+'DCF Base Case'!$B$3-G987</f>
        <v>0.174956941729842</v>
      </c>
      <c r="J987" s="24" t="n">
        <f aca="false">'DCF Base Case'!$B$2*(1+B987)^1*$I987-'DCF Base Case'!$B$2*(1+B987)^0*B987*'DCF Base Case'!$B$4</f>
        <v>27.9720261980552</v>
      </c>
      <c r="K987" s="24" t="n">
        <f aca="false">'DCF Base Case'!$B$2*(1+B987)^2*$I987-'DCF Base Case'!$B$2*(1+B987)^1*B987*'DCF Base Case'!$B$4</f>
        <v>31.4364902636042</v>
      </c>
      <c r="L987" s="24" t="n">
        <f aca="false">'DCF Base Case'!$B$2*(1+B987)^3*$I987-'DCF Base Case'!$B$2*(1+B987)^2*B987*'DCF Base Case'!$B$4</f>
        <v>35.3300441339638</v>
      </c>
      <c r="M987" s="24" t="n">
        <f aca="false">'DCF Base Case'!$B$2*(1+B987)^4*$I987-'DCF Base Case'!$B$2*(1+B987)^3*B987*'DCF Base Case'!$B$4</f>
        <v>39.7058325544998</v>
      </c>
      <c r="N987" s="24" t="n">
        <f aca="false">'DCF Base Case'!$B$2*(1+B987)^5*$I987-'DCF Base Case'!$B$2*(1+B987)^4*B987*'DCF Base Case'!$B$4</f>
        <v>44.6235824916615</v>
      </c>
      <c r="O987" s="24" t="n">
        <f aca="false">J987/(1+H987)^1+K987/(1+H987)^2+L987/(1+H987)^3+M987/(1+H987)^4+N987/(1+H987)^5</f>
        <v>136.030130752376</v>
      </c>
      <c r="P987" s="24" t="n">
        <f aca="false">N987*(1+F987)/(H987-F987)</f>
        <v>650.278386913877</v>
      </c>
      <c r="Q987" s="24" t="n">
        <f aca="false">O987+P987/(1+H987)^5</f>
        <v>556.120700246485</v>
      </c>
      <c r="R987" s="24" t="n">
        <f aca="false">Q987-'DCF Base Case'!$B$5</f>
        <v>371.120700246485</v>
      </c>
      <c r="S987" s="32" t="n">
        <f aca="false">R987/'DCF Base Case'!$B$6</f>
        <v>14.8448280098594</v>
      </c>
    </row>
    <row r="988" customFormat="false" ht="15" hidden="false" customHeight="true" outlineLevel="0" collapsed="false">
      <c r="A988" s="6" t="n">
        <v>987</v>
      </c>
      <c r="B988" s="30" t="n">
        <v>0.0911753639501548</v>
      </c>
      <c r="C988" s="30" t="n">
        <v>0.417934141115639</v>
      </c>
      <c r="D988" s="30" t="n">
        <v>0.0899711451173302</v>
      </c>
      <c r="E988" s="30" t="n">
        <v>0.271928078375202</v>
      </c>
      <c r="F988" s="30" t="n">
        <v>0.0184103854665765</v>
      </c>
      <c r="G988" s="30" t="n">
        <v>0.203774576777904</v>
      </c>
      <c r="H988" s="31" t="n">
        <f aca="false">MAX(D988,F988+0.015)</f>
        <v>0.0899711451173302</v>
      </c>
      <c r="I988" s="25" t="n">
        <f aca="false">(C988-'DCF Base Case'!$B$3)*(1-E988)+'DCF Base Case'!$B$3-G988</f>
        <v>0.135862186645545</v>
      </c>
      <c r="J988" s="24" t="n">
        <f aca="false">'DCF Base Case'!$B$2*(1+B988)^1*$I988-'DCF Base Case'!$B$2*(1+B988)^0*B988*'DCF Base Case'!$B$4</f>
        <v>21.0995604560192</v>
      </c>
      <c r="K988" s="24" t="n">
        <f aca="false">'DCF Base Case'!$B$2*(1+B988)^2*$I988-'DCF Base Case'!$B$2*(1+B988)^1*B988*'DCF Base Case'!$B$4</f>
        <v>23.0233205597851</v>
      </c>
      <c r="L988" s="24" t="n">
        <f aca="false">'DCF Base Case'!$B$2*(1+B988)^3*$I988-'DCF Base Case'!$B$2*(1+B988)^2*B988*'DCF Base Case'!$B$4</f>
        <v>25.1224801911645</v>
      </c>
      <c r="M988" s="24" t="n">
        <f aca="false">'DCF Base Case'!$B$2*(1+B988)^4*$I988-'DCF Base Case'!$B$2*(1+B988)^3*B988*'DCF Base Case'!$B$4</f>
        <v>27.4130314659245</v>
      </c>
      <c r="N988" s="24" t="n">
        <f aca="false">'DCF Base Case'!$B$2*(1+B988)^5*$I988-'DCF Base Case'!$B$2*(1+B988)^4*B988*'DCF Base Case'!$B$4</f>
        <v>29.9124245868072</v>
      </c>
      <c r="O988" s="24" t="n">
        <f aca="false">J988/(1+H988)^1+K988/(1+H988)^2+L988/(1+H988)^3+M988/(1+H988)^4+N988/(1+H988)^5</f>
        <v>97.0036427182556</v>
      </c>
      <c r="P988" s="24" t="n">
        <f aca="false">N988*(1+F988)/(H988-F988)</f>
        <v>425.695926124359</v>
      </c>
      <c r="Q988" s="24" t="n">
        <f aca="false">O988+P988/(1+H988)^5</f>
        <v>373.713410002636</v>
      </c>
      <c r="R988" s="24" t="n">
        <f aca="false">Q988-'DCF Base Case'!$B$5</f>
        <v>188.713410002636</v>
      </c>
      <c r="S988" s="32" t="n">
        <f aca="false">R988/'DCF Base Case'!$B$6</f>
        <v>7.54853640010545</v>
      </c>
    </row>
    <row r="989" customFormat="false" ht="15" hidden="false" customHeight="true" outlineLevel="0" collapsed="false">
      <c r="A989" s="6" t="n">
        <v>988</v>
      </c>
      <c r="B989" s="30" t="n">
        <v>0.135902062267512</v>
      </c>
      <c r="C989" s="30" t="n">
        <v>0.410721175930143</v>
      </c>
      <c r="D989" s="30" t="n">
        <v>0.0711458167518634</v>
      </c>
      <c r="E989" s="30" t="n">
        <v>0.25929609118227</v>
      </c>
      <c r="F989" s="30" t="n">
        <v>0.0189611233177732</v>
      </c>
      <c r="G989" s="30" t="n">
        <v>0.186666683305063</v>
      </c>
      <c r="H989" s="31" t="n">
        <f aca="false">MAX(D989,F989+0.015)</f>
        <v>0.0711458167518634</v>
      </c>
      <c r="I989" s="25" t="n">
        <f aca="false">(C989-'DCF Base Case'!$B$3)*(1-E989)+'DCF Base Case'!$B$3-G989</f>
        <v>0.151264588994304</v>
      </c>
      <c r="J989" s="24" t="n">
        <f aca="false">'DCF Base Case'!$B$2*(1+B989)^1*$I989-'DCF Base Case'!$B$2*(1+B989)^0*B989*'DCF Base Case'!$B$4</f>
        <v>24.3229810242045</v>
      </c>
      <c r="K989" s="24" t="n">
        <f aca="false">'DCF Base Case'!$B$2*(1+B989)^2*$I989-'DCF Base Case'!$B$2*(1+B989)^1*B989*'DCF Base Case'!$B$4</f>
        <v>27.6285243058875</v>
      </c>
      <c r="L989" s="24" t="n">
        <f aca="false">'DCF Base Case'!$B$2*(1+B989)^3*$I989-'DCF Base Case'!$B$2*(1+B989)^2*B989*'DCF Base Case'!$B$4</f>
        <v>31.3832977364656</v>
      </c>
      <c r="M989" s="24" t="n">
        <f aca="false">'DCF Base Case'!$B$2*(1+B989)^4*$I989-'DCF Base Case'!$B$2*(1+B989)^3*B989*'DCF Base Case'!$B$4</f>
        <v>35.6483526196067</v>
      </c>
      <c r="N989" s="24" t="n">
        <f aca="false">'DCF Base Case'!$B$2*(1+B989)^5*$I989-'DCF Base Case'!$B$2*(1+B989)^4*B989*'DCF Base Case'!$B$4</f>
        <v>40.4930372570507</v>
      </c>
      <c r="O989" s="24" t="n">
        <f aca="false">J989/(1+H989)^1+K989/(1+H989)^2+L989/(1+H989)^3+M989/(1+H989)^4+N989/(1+H989)^5</f>
        <v>128.120324108946</v>
      </c>
      <c r="P989" s="24" t="n">
        <f aca="false">N989*(1+F989)/(H989-F989)</f>
        <v>790.669217633819</v>
      </c>
      <c r="Q989" s="24" t="n">
        <f aca="false">O989+P989/(1+H989)^5</f>
        <v>688.847817697481</v>
      </c>
      <c r="R989" s="24" t="n">
        <f aca="false">Q989-'DCF Base Case'!$B$5</f>
        <v>503.847817697481</v>
      </c>
      <c r="S989" s="32" t="n">
        <f aca="false">R989/'DCF Base Case'!$B$6</f>
        <v>20.1539127078992</v>
      </c>
    </row>
    <row r="990" customFormat="false" ht="15" hidden="false" customHeight="true" outlineLevel="0" collapsed="false">
      <c r="A990" s="6" t="n">
        <v>989</v>
      </c>
      <c r="B990" s="30" t="n">
        <v>0.102772625841137</v>
      </c>
      <c r="C990" s="30" t="n">
        <v>0.422242692440212</v>
      </c>
      <c r="D990" s="30" t="n">
        <v>0.0908182910165369</v>
      </c>
      <c r="E990" s="30" t="n">
        <v>0.263512844665804</v>
      </c>
      <c r="F990" s="30" t="n">
        <v>0.0184038310882652</v>
      </c>
      <c r="G990" s="30" t="n">
        <v>0.164790434226519</v>
      </c>
      <c r="H990" s="31" t="n">
        <f aca="false">MAX(D990,F990+0.015)</f>
        <v>0.0908182910165369</v>
      </c>
      <c r="I990" s="25" t="n">
        <f aca="false">(C990-'DCF Base Case'!$B$3)*(1-E990)+'DCF Base Case'!$B$3-G990</f>
        <v>0.180442554995979</v>
      </c>
      <c r="J990" s="24" t="n">
        <f aca="false">'DCF Base Case'!$B$2*(1+B990)^1*$I990-'DCF Base Case'!$B$2*(1+B990)^0*B990*'DCF Base Case'!$B$4</f>
        <v>28.406070054619</v>
      </c>
      <c r="K990" s="24" t="n">
        <f aca="false">'DCF Base Case'!$B$2*(1+B990)^2*$I990-'DCF Base Case'!$B$2*(1+B990)^1*B990*'DCF Base Case'!$B$4</f>
        <v>31.3254364639595</v>
      </c>
      <c r="L990" s="24" t="n">
        <f aca="false">'DCF Base Case'!$B$2*(1+B990)^3*$I990-'DCF Base Case'!$B$2*(1+B990)^2*B990*'DCF Base Case'!$B$4</f>
        <v>34.5448338249803</v>
      </c>
      <c r="M990" s="24" t="n">
        <f aca="false">'DCF Base Case'!$B$2*(1+B990)^4*$I990-'DCF Base Case'!$B$2*(1+B990)^3*B990*'DCF Base Case'!$B$4</f>
        <v>38.0950971064193</v>
      </c>
      <c r="N990" s="24" t="n">
        <f aca="false">'DCF Base Case'!$B$2*(1+B990)^5*$I990-'DCF Base Case'!$B$2*(1+B990)^4*B990*'DCF Base Case'!$B$4</f>
        <v>42.0102302677191</v>
      </c>
      <c r="O990" s="24" t="n">
        <f aca="false">J990/(1+H990)^1+K990/(1+H990)^2+L990/(1+H990)^3+M990/(1+H990)^4+N990/(1+H990)^5</f>
        <v>133.090626412518</v>
      </c>
      <c r="P990" s="24" t="n">
        <f aca="false">N990*(1+F990)/(H990-F990)</f>
        <v>590.812656642379</v>
      </c>
      <c r="Q990" s="24" t="n">
        <f aca="false">O990+P990/(1+H990)^5</f>
        <v>515.640208738763</v>
      </c>
      <c r="R990" s="24" t="n">
        <f aca="false">Q990-'DCF Base Case'!$B$5</f>
        <v>330.640208738762</v>
      </c>
      <c r="S990" s="32" t="n">
        <f aca="false">R990/'DCF Base Case'!$B$6</f>
        <v>13.2256083495505</v>
      </c>
    </row>
    <row r="991" customFormat="false" ht="15" hidden="false" customHeight="true" outlineLevel="0" collapsed="false">
      <c r="A991" s="6" t="n">
        <v>990</v>
      </c>
      <c r="B991" s="30" t="n">
        <v>0.0568184791506332</v>
      </c>
      <c r="C991" s="30" t="n">
        <v>0.377365575688059</v>
      </c>
      <c r="D991" s="30" t="n">
        <v>0.0726627733259458</v>
      </c>
      <c r="E991" s="30" t="n">
        <v>0.30307693933282</v>
      </c>
      <c r="F991" s="30" t="n">
        <v>0.020226371739005</v>
      </c>
      <c r="G991" s="30" t="n">
        <v>0.179707603753682</v>
      </c>
      <c r="H991" s="31" t="n">
        <f aca="false">MAX(D991,F991+0.015)</f>
        <v>0.0726627733259458</v>
      </c>
      <c r="I991" s="25" t="n">
        <f aca="false">(C991-'DCF Base Case'!$B$3)*(1-E991)+'DCF Base Case'!$B$3-G991</f>
        <v>0.122687170358539</v>
      </c>
      <c r="J991" s="24" t="n">
        <f aca="false">'DCF Base Case'!$B$2*(1+B991)^1*$I991-'DCF Base Case'!$B$2*(1+B991)^0*B991*'DCF Base Case'!$B$4</f>
        <v>18.5532595901876</v>
      </c>
      <c r="K991" s="24" t="n">
        <f aca="false">'DCF Base Case'!$B$2*(1+B991)^2*$I991-'DCF Base Case'!$B$2*(1+B991)^1*B991*'DCF Base Case'!$B$4</f>
        <v>19.607427583389</v>
      </c>
      <c r="L991" s="24" t="n">
        <f aca="false">'DCF Base Case'!$B$2*(1+B991)^3*$I991-'DCF Base Case'!$B$2*(1+B991)^2*B991*'DCF Base Case'!$B$4</f>
        <v>20.7214917987333</v>
      </c>
      <c r="M991" s="24" t="n">
        <f aca="false">'DCF Base Case'!$B$2*(1+B991)^4*$I991-'DCF Base Case'!$B$2*(1+B991)^3*B991*'DCF Base Case'!$B$4</f>
        <v>21.8988554484696</v>
      </c>
      <c r="N991" s="24" t="n">
        <f aca="false">'DCF Base Case'!$B$2*(1+B991)^5*$I991-'DCF Base Case'!$B$2*(1+B991)^4*B991*'DCF Base Case'!$B$4</f>
        <v>23.1431151101912</v>
      </c>
      <c r="O991" s="24" t="n">
        <f aca="false">J991/(1+H991)^1+K991/(1+H991)^2+L991/(1+H991)^3+M991/(1+H991)^4+N991/(1+H991)^5</f>
        <v>83.9648595757623</v>
      </c>
      <c r="P991" s="24" t="n">
        <f aca="false">N991*(1+F991)/(H991-F991)</f>
        <v>450.282926460173</v>
      </c>
      <c r="Q991" s="24" t="n">
        <f aca="false">O991+P991/(1+H991)^5</f>
        <v>401.045288005775</v>
      </c>
      <c r="R991" s="24" t="n">
        <f aca="false">Q991-'DCF Base Case'!$B$5</f>
        <v>216.045288005775</v>
      </c>
      <c r="S991" s="32" t="n">
        <f aca="false">R991/'DCF Base Case'!$B$6</f>
        <v>8.641811520231</v>
      </c>
    </row>
    <row r="992" customFormat="false" ht="15" hidden="false" customHeight="true" outlineLevel="0" collapsed="false">
      <c r="A992" s="6" t="n">
        <v>991</v>
      </c>
      <c r="B992" s="30" t="n">
        <v>0.0528275977482172</v>
      </c>
      <c r="C992" s="30" t="n">
        <v>0.371223761864656</v>
      </c>
      <c r="D992" s="30" t="n">
        <v>0.0922953698428215</v>
      </c>
      <c r="E992" s="30" t="n">
        <v>0.242450310283556</v>
      </c>
      <c r="F992" s="30" t="n">
        <v>0.0236941603544287</v>
      </c>
      <c r="G992" s="30" t="n">
        <v>0.131683781175708</v>
      </c>
      <c r="H992" s="31" t="n">
        <f aca="false">MAX(D992,F992+0.015)</f>
        <v>0.0922953698428215</v>
      </c>
      <c r="I992" s="25" t="n">
        <f aca="false">(C992-'DCF Base Case'!$B$3)*(1-E992)+'DCF Base Case'!$B$3-G992</f>
        <v>0.181055204777096</v>
      </c>
      <c r="J992" s="24" t="n">
        <f aca="false">'DCF Base Case'!$B$2*(1+B992)^1*$I992-'DCF Base Case'!$B$2*(1+B992)^0*B992*'DCF Base Case'!$B$4</f>
        <v>27.410087814061</v>
      </c>
      <c r="K992" s="24" t="n">
        <f aca="false">'DCF Base Case'!$B$2*(1+B992)^2*$I992-'DCF Base Case'!$B$2*(1+B992)^1*B992*'DCF Base Case'!$B$4</f>
        <v>28.8580969073455</v>
      </c>
      <c r="L992" s="24" t="n">
        <f aca="false">'DCF Base Case'!$B$2*(1+B992)^3*$I992-'DCF Base Case'!$B$2*(1+B992)^2*B992*'DCF Base Case'!$B$4</f>
        <v>30.3826008425458</v>
      </c>
      <c r="M992" s="24" t="n">
        <f aca="false">'DCF Base Case'!$B$2*(1+B992)^4*$I992-'DCF Base Case'!$B$2*(1+B992)^3*B992*'DCF Base Case'!$B$4</f>
        <v>31.9876406584005</v>
      </c>
      <c r="N992" s="24" t="n">
        <f aca="false">'DCF Base Case'!$B$2*(1+B992)^5*$I992-'DCF Base Case'!$B$2*(1+B992)^4*B992*'DCF Base Case'!$B$4</f>
        <v>33.677470872017</v>
      </c>
      <c r="O992" s="24" t="n">
        <f aca="false">J992/(1+H992)^1+K992/(1+H992)^2+L992/(1+H992)^3+M992/(1+H992)^4+N992/(1+H992)^5</f>
        <v>116.724681938898</v>
      </c>
      <c r="P992" s="24" t="n">
        <f aca="false">N992*(1+F992)/(H992-F992)</f>
        <v>502.548432080098</v>
      </c>
      <c r="Q992" s="24" t="n">
        <f aca="false">O992+P992/(1+H992)^5</f>
        <v>439.929226527935</v>
      </c>
      <c r="R992" s="24" t="n">
        <f aca="false">Q992-'DCF Base Case'!$B$5</f>
        <v>254.929226527935</v>
      </c>
      <c r="S992" s="32" t="n">
        <f aca="false">R992/'DCF Base Case'!$B$6</f>
        <v>10.1971690611174</v>
      </c>
    </row>
    <row r="993" customFormat="false" ht="15" hidden="false" customHeight="true" outlineLevel="0" collapsed="false">
      <c r="A993" s="6" t="n">
        <v>992</v>
      </c>
      <c r="B993" s="30" t="n">
        <v>0.108415368342877</v>
      </c>
      <c r="C993" s="30" t="n">
        <v>0.402111356056039</v>
      </c>
      <c r="D993" s="30" t="n">
        <v>0.0965379408668874</v>
      </c>
      <c r="E993" s="30" t="n">
        <v>0.347428513411007</v>
      </c>
      <c r="F993" s="30" t="n">
        <v>0.0114191033456462</v>
      </c>
      <c r="G993" s="30" t="n">
        <v>0.181784074868641</v>
      </c>
      <c r="H993" s="31" t="n">
        <f aca="false">MAX(D993,F993+0.015)</f>
        <v>0.0965379408668874</v>
      </c>
      <c r="I993" s="25" t="n">
        <f aca="false">(C993-'DCF Base Case'!$B$3)*(1-E993)+'DCF Base Case'!$B$3-G993</f>
        <v>0.125788037270595</v>
      </c>
      <c r="J993" s="24" t="n">
        <f aca="false">'DCF Base Case'!$B$2*(1+B993)^1*$I993-'DCF Base Case'!$B$2*(1+B993)^0*B993*'DCF Base Case'!$B$4</f>
        <v>19.7450752290486</v>
      </c>
      <c r="K993" s="24" t="n">
        <f aca="false">'DCF Base Case'!$B$2*(1+B993)^2*$I993-'DCF Base Case'!$B$2*(1+B993)^1*B993*'DCF Base Case'!$B$4</f>
        <v>21.8857448329637</v>
      </c>
      <c r="L993" s="24" t="n">
        <f aca="false">'DCF Base Case'!$B$2*(1+B993)^3*$I993-'DCF Base Case'!$B$2*(1+B993)^2*B993*'DCF Base Case'!$B$4</f>
        <v>24.2584959204876</v>
      </c>
      <c r="M993" s="24" t="n">
        <f aca="false">'DCF Base Case'!$B$2*(1+B993)^4*$I993-'DCF Base Case'!$B$2*(1+B993)^3*B993*'DCF Base Case'!$B$4</f>
        <v>26.8884896911515</v>
      </c>
      <c r="N993" s="24" t="n">
        <f aca="false">'DCF Base Case'!$B$2*(1+B993)^5*$I993-'DCF Base Case'!$B$2*(1+B993)^4*B993*'DCF Base Case'!$B$4</f>
        <v>29.8036152052013</v>
      </c>
      <c r="O993" s="24" t="n">
        <f aca="false">J993/(1+H993)^1+K993/(1+H993)^2+L993/(1+H993)^3+M993/(1+H993)^4+N993/(1+H993)^5</f>
        <v>92.0053944876452</v>
      </c>
      <c r="P993" s="24" t="n">
        <f aca="false">N993*(1+F993)/(H993-F993)</f>
        <v>354.139537676146</v>
      </c>
      <c r="Q993" s="24" t="n">
        <f aca="false">O993+P993/(1+H993)^5</f>
        <v>315.39147100363</v>
      </c>
      <c r="R993" s="24" t="n">
        <f aca="false">Q993-'DCF Base Case'!$B$5</f>
        <v>130.39147100363</v>
      </c>
      <c r="S993" s="32" t="n">
        <f aca="false">R993/'DCF Base Case'!$B$6</f>
        <v>5.21565884014522</v>
      </c>
    </row>
    <row r="994" customFormat="false" ht="15" hidden="false" customHeight="true" outlineLevel="0" collapsed="false">
      <c r="A994" s="6" t="n">
        <v>993</v>
      </c>
      <c r="B994" s="30" t="n">
        <v>0.0532835593789476</v>
      </c>
      <c r="C994" s="30" t="n">
        <v>0.409468119528845</v>
      </c>
      <c r="D994" s="30" t="n">
        <v>0.0827255062009292</v>
      </c>
      <c r="E994" s="30" t="n">
        <v>0.283375257495624</v>
      </c>
      <c r="F994" s="30" t="n">
        <v>0.0156275407957149</v>
      </c>
      <c r="G994" s="30" t="n">
        <v>0.183872208485751</v>
      </c>
      <c r="H994" s="31" t="n">
        <f aca="false">MAX(D994,F994+0.015)</f>
        <v>0.0827255062009292</v>
      </c>
      <c r="I994" s="25" t="n">
        <f aca="false">(C994-'DCF Base Case'!$B$3)*(1-E994)+'DCF Base Case'!$B$3-G994</f>
        <v>0.14640156070979</v>
      </c>
      <c r="J994" s="24" t="n">
        <f aca="false">'DCF Base Case'!$B$2*(1+B994)^1*$I994-'DCF Base Case'!$B$2*(1+B994)^0*B994*'DCF Base Case'!$B$4</f>
        <v>22.1275582763424</v>
      </c>
      <c r="K994" s="24" t="n">
        <f aca="false">'DCF Base Case'!$B$2*(1+B994)^2*$I994-'DCF Base Case'!$B$2*(1+B994)^1*B994*'DCF Base Case'!$B$4</f>
        <v>23.3065933416711</v>
      </c>
      <c r="L994" s="24" t="n">
        <f aca="false">'DCF Base Case'!$B$2*(1+B994)^3*$I994-'DCF Base Case'!$B$2*(1+B994)^2*B994*'DCF Base Case'!$B$4</f>
        <v>24.548451591913</v>
      </c>
      <c r="M994" s="24" t="n">
        <f aca="false">'DCF Base Case'!$B$2*(1+B994)^4*$I994-'DCF Base Case'!$B$2*(1+B994)^3*B994*'DCF Base Case'!$B$4</f>
        <v>25.8564804699719</v>
      </c>
      <c r="N994" s="24" t="n">
        <f aca="false">'DCF Base Case'!$B$2*(1+B994)^5*$I994-'DCF Base Case'!$B$2*(1+B994)^4*B994*'DCF Base Case'!$B$4</f>
        <v>27.2342057824242</v>
      </c>
      <c r="O994" s="24" t="n">
        <f aca="false">J994/(1+H994)^1+K994/(1+H994)^2+L994/(1+H994)^3+M994/(1+H994)^4+N994/(1+H994)^5</f>
        <v>96.7763049153325</v>
      </c>
      <c r="P994" s="24" t="n">
        <f aca="false">N994*(1+F994)/(H994-F994)</f>
        <v>412.230226017829</v>
      </c>
      <c r="Q994" s="24" t="n">
        <f aca="false">O994+P994/(1+H994)^5</f>
        <v>373.81982310274</v>
      </c>
      <c r="R994" s="24" t="n">
        <f aca="false">Q994-'DCF Base Case'!$B$5</f>
        <v>188.81982310274</v>
      </c>
      <c r="S994" s="32" t="n">
        <f aca="false">R994/'DCF Base Case'!$B$6</f>
        <v>7.55279292410958</v>
      </c>
    </row>
    <row r="995" customFormat="false" ht="15" hidden="false" customHeight="true" outlineLevel="0" collapsed="false">
      <c r="A995" s="6" t="n">
        <v>994</v>
      </c>
      <c r="B995" s="30" t="n">
        <v>0.0592039709313453</v>
      </c>
      <c r="C995" s="30" t="n">
        <v>0.42800907802246</v>
      </c>
      <c r="D995" s="30" t="n">
        <v>0.080498246627288</v>
      </c>
      <c r="E995" s="30" t="n">
        <v>0.253295864332589</v>
      </c>
      <c r="F995" s="30" t="n">
        <v>0.0248043706403629</v>
      </c>
      <c r="G995" s="30" t="n">
        <v>0.163776577529589</v>
      </c>
      <c r="H995" s="31" t="n">
        <f aca="false">MAX(D995,F995+0.015)</f>
        <v>0.080498246627288</v>
      </c>
      <c r="I995" s="25" t="n">
        <f aca="false">(C995-'DCF Base Case'!$B$3)*(1-E995)+'DCF Base Case'!$B$3-G995</f>
        <v>0.188748033496214</v>
      </c>
      <c r="J995" s="24" t="n">
        <f aca="false">'DCF Base Case'!$B$2*(1+B995)^1*$I995-'DCF Base Case'!$B$2*(1+B995)^0*B995*'DCF Base Case'!$B$4</f>
        <v>28.7312493812262</v>
      </c>
      <c r="K995" s="24" t="n">
        <f aca="false">'DCF Base Case'!$B$2*(1+B995)^2*$I995-'DCF Base Case'!$B$2*(1+B995)^1*B995*'DCF Base Case'!$B$4</f>
        <v>30.4322534344135</v>
      </c>
      <c r="L995" s="24" t="n">
        <f aca="false">'DCF Base Case'!$B$2*(1+B995)^3*$I995-'DCF Base Case'!$B$2*(1+B995)^2*B995*'DCF Base Case'!$B$4</f>
        <v>32.2339636821199</v>
      </c>
      <c r="M995" s="24" t="n">
        <f aca="false">'DCF Base Case'!$B$2*(1+B995)^4*$I995-'DCF Base Case'!$B$2*(1+B995)^3*B995*'DCF Base Case'!$B$4</f>
        <v>34.1423423309581</v>
      </c>
      <c r="N995" s="24" t="n">
        <f aca="false">'DCF Base Case'!$B$2*(1+B995)^5*$I995-'DCF Base Case'!$B$2*(1+B995)^4*B995*'DCF Base Case'!$B$4</f>
        <v>36.1637045738482</v>
      </c>
      <c r="O995" s="24" t="n">
        <f aca="false">J995/(1+H995)^1+K995/(1+H995)^2+L995/(1+H995)^3+M995/(1+H995)^4+N995/(1+H995)^5</f>
        <v>127.815512932969</v>
      </c>
      <c r="P995" s="24" t="n">
        <f aca="false">N995*(1+F995)/(H995-F995)</f>
        <v>665.436223446309</v>
      </c>
      <c r="Q995" s="24" t="n">
        <f aca="false">O995+P995/(1+H995)^5</f>
        <v>579.657001627631</v>
      </c>
      <c r="R995" s="24" t="n">
        <f aca="false">Q995-'DCF Base Case'!$B$5</f>
        <v>394.657001627631</v>
      </c>
      <c r="S995" s="32" t="n">
        <f aca="false">R995/'DCF Base Case'!$B$6</f>
        <v>15.7862800651052</v>
      </c>
    </row>
    <row r="996" customFormat="false" ht="15" hidden="false" customHeight="true" outlineLevel="0" collapsed="false">
      <c r="A996" s="6" t="n">
        <v>995</v>
      </c>
      <c r="B996" s="30" t="n">
        <v>0.128121628619698</v>
      </c>
      <c r="C996" s="30" t="n">
        <v>0.448166101983542</v>
      </c>
      <c r="D996" s="30" t="n">
        <v>0.0762203972473492</v>
      </c>
      <c r="E996" s="30" t="n">
        <v>0.277300165201515</v>
      </c>
      <c r="F996" s="30" t="n">
        <v>0.0197943689867589</v>
      </c>
      <c r="G996" s="30" t="n">
        <v>0.200485822684446</v>
      </c>
      <c r="H996" s="31" t="n">
        <f aca="false">MAX(D996,F996+0.015)</f>
        <v>0.0762203972473492</v>
      </c>
      <c r="I996" s="25" t="n">
        <f aca="false">(C996-'DCF Base Case'!$B$3)*(1-E996)+'DCF Base Case'!$B$3-G996</f>
        <v>0.159452766657538</v>
      </c>
      <c r="J996" s="24" t="n">
        <f aca="false">'DCF Base Case'!$B$2*(1+B996)^1*$I996-'DCF Base Case'!$B$2*(1+B996)^0*B996*'DCF Base Case'!$B$4</f>
        <v>25.5255775628989</v>
      </c>
      <c r="K996" s="24" t="n">
        <f aca="false">'DCF Base Case'!$B$2*(1+B996)^2*$I996-'DCF Base Case'!$B$2*(1+B996)^1*B996*'DCF Base Case'!$B$4</f>
        <v>28.795956131716</v>
      </c>
      <c r="L996" s="24" t="n">
        <f aca="false">'DCF Base Case'!$B$2*(1+B996)^3*$I996-'DCF Base Case'!$B$2*(1+B996)^2*B996*'DCF Base Case'!$B$4</f>
        <v>32.4853409289728</v>
      </c>
      <c r="M996" s="24" t="n">
        <f aca="false">'DCF Base Case'!$B$2*(1+B996)^4*$I996-'DCF Base Case'!$B$2*(1+B996)^3*B996*'DCF Base Case'!$B$4</f>
        <v>36.6474157150589</v>
      </c>
      <c r="N996" s="24" t="n">
        <f aca="false">'DCF Base Case'!$B$2*(1+B996)^5*$I996-'DCF Base Case'!$B$2*(1+B996)^4*B996*'DCF Base Case'!$B$4</f>
        <v>41.3427423011754</v>
      </c>
      <c r="O996" s="24" t="n">
        <f aca="false">J996/(1+H996)^1+K996/(1+H996)^2+L996/(1+H996)^3+M996/(1+H996)^4+N996/(1+H996)^5</f>
        <v>130.592039477395</v>
      </c>
      <c r="P996" s="24" t="n">
        <f aca="false">N996*(1+F996)/(H996-F996)</f>
        <v>747.192334759028</v>
      </c>
      <c r="Q996" s="24" t="n">
        <f aca="false">O996+P996/(1+H996)^5</f>
        <v>648.111057176043</v>
      </c>
      <c r="R996" s="24" t="n">
        <f aca="false">Q996-'DCF Base Case'!$B$5</f>
        <v>463.111057176043</v>
      </c>
      <c r="S996" s="32" t="n">
        <f aca="false">R996/'DCF Base Case'!$B$6</f>
        <v>18.5244422870417</v>
      </c>
    </row>
    <row r="997" customFormat="false" ht="15" hidden="false" customHeight="true" outlineLevel="0" collapsed="false">
      <c r="A997" s="6" t="n">
        <v>996</v>
      </c>
      <c r="B997" s="30" t="n">
        <v>0.0993264234177925</v>
      </c>
      <c r="C997" s="30" t="n">
        <v>0.421262997888701</v>
      </c>
      <c r="D997" s="30" t="n">
        <v>0.0828013245419186</v>
      </c>
      <c r="E997" s="30" t="n">
        <v>0.278239346241865</v>
      </c>
      <c r="F997" s="30" t="n">
        <v>0.0239500583291683</v>
      </c>
      <c r="G997" s="30" t="n">
        <v>0.165308769498992</v>
      </c>
      <c r="H997" s="31" t="n">
        <f aca="false">MAX(D997,F997+0.015)</f>
        <v>0.0828013245419186</v>
      </c>
      <c r="I997" s="25" t="n">
        <f aca="false">(C997-'DCF Base Case'!$B$3)*(1-E997)+'DCF Base Case'!$B$3-G997</f>
        <v>0.174913402272711</v>
      </c>
      <c r="J997" s="24" t="n">
        <f aca="false">'DCF Base Case'!$B$2*(1+B997)^1*$I997-'DCF Base Case'!$B$2*(1+B997)^0*B997*'DCF Base Case'!$B$4</f>
        <v>27.4495341727357</v>
      </c>
      <c r="K997" s="24" t="n">
        <f aca="false">'DCF Base Case'!$B$2*(1+B997)^2*$I997-'DCF Base Case'!$B$2*(1+B997)^1*B997*'DCF Base Case'!$B$4</f>
        <v>30.175998226598</v>
      </c>
      <c r="L997" s="24" t="n">
        <f aca="false">'DCF Base Case'!$B$2*(1+B997)^3*$I997-'DCF Base Case'!$B$2*(1+B997)^2*B997*'DCF Base Case'!$B$4</f>
        <v>33.1732722035076</v>
      </c>
      <c r="M997" s="24" t="n">
        <f aca="false">'DCF Base Case'!$B$2*(1+B997)^4*$I997-'DCF Base Case'!$B$2*(1+B997)^3*B997*'DCF Base Case'!$B$4</f>
        <v>36.4682546845469</v>
      </c>
      <c r="N997" s="24" t="n">
        <f aca="false">'DCF Base Case'!$B$2*(1+B997)^5*$I997-'DCF Base Case'!$B$2*(1+B997)^4*B997*'DCF Base Case'!$B$4</f>
        <v>40.0905159906521</v>
      </c>
      <c r="O997" s="24" t="n">
        <f aca="false">J997/(1+H997)^1+K997/(1+H997)^2+L997/(1+H997)^3+M997/(1+H997)^4+N997/(1+H997)^5</f>
        <v>130.680746398721</v>
      </c>
      <c r="P997" s="24" t="n">
        <f aca="false">N997*(1+F997)/(H997-F997)</f>
        <v>697.532760615113</v>
      </c>
      <c r="Q997" s="24" t="n">
        <f aca="false">O997+P997/(1+H997)^5</f>
        <v>599.300636582918</v>
      </c>
      <c r="R997" s="24" t="n">
        <f aca="false">Q997-'DCF Base Case'!$B$5</f>
        <v>414.300636582918</v>
      </c>
      <c r="S997" s="32" t="n">
        <f aca="false">R997/'DCF Base Case'!$B$6</f>
        <v>16.5720254633167</v>
      </c>
    </row>
    <row r="998" customFormat="false" ht="15" hidden="false" customHeight="true" outlineLevel="0" collapsed="false">
      <c r="A998" s="6" t="n">
        <v>997</v>
      </c>
      <c r="B998" s="30" t="n">
        <v>0.0816186527223949</v>
      </c>
      <c r="C998" s="30" t="n">
        <v>0.398912963697723</v>
      </c>
      <c r="D998" s="30" t="n">
        <v>0.0789085833078022</v>
      </c>
      <c r="E998" s="30" t="n">
        <v>0.253303204156436</v>
      </c>
      <c r="F998" s="30" t="n">
        <v>0.016296031373594</v>
      </c>
      <c r="G998" s="30" t="n">
        <v>0.199948260042685</v>
      </c>
      <c r="H998" s="31" t="n">
        <f aca="false">MAX(D998,F998+0.015)</f>
        <v>0.0789085833078022</v>
      </c>
      <c r="I998" s="25" t="n">
        <f aca="false">(C998-'DCF Base Case'!$B$3)*(1-E998)+'DCF Base Case'!$B$3-G998</f>
        <v>0.130848188311201</v>
      </c>
      <c r="J998" s="24" t="n">
        <f aca="false">'DCF Base Case'!$B$2*(1+B998)^1*$I998-'DCF Base Case'!$B$2*(1+B998)^0*B998*'DCF Base Case'!$B$4</f>
        <v>20.1664958277451</v>
      </c>
      <c r="K998" s="24" t="n">
        <f aca="false">'DCF Base Case'!$B$2*(1+B998)^2*$I998-'DCF Base Case'!$B$2*(1+B998)^1*B998*'DCF Base Case'!$B$4</f>
        <v>21.8124580473375</v>
      </c>
      <c r="L998" s="24" t="n">
        <f aca="false">'DCF Base Case'!$B$2*(1+B998)^3*$I998-'DCF Base Case'!$B$2*(1+B998)^2*B998*'DCF Base Case'!$B$4</f>
        <v>23.5927614857249</v>
      </c>
      <c r="M998" s="24" t="n">
        <f aca="false">'DCF Base Case'!$B$2*(1+B998)^4*$I998-'DCF Base Case'!$B$2*(1+B998)^3*B998*'DCF Base Case'!$B$4</f>
        <v>25.5183708921906</v>
      </c>
      <c r="N998" s="24" t="n">
        <f aca="false">'DCF Base Case'!$B$2*(1+B998)^5*$I998-'DCF Base Case'!$B$2*(1+B998)^4*B998*'DCF Base Case'!$B$4</f>
        <v>27.6011459440816</v>
      </c>
      <c r="O998" s="24" t="n">
        <f aca="false">J998/(1+H998)^1+K998/(1+H998)^2+L998/(1+H998)^3+M998/(1+H998)^4+N998/(1+H998)^5</f>
        <v>93.9285396698315</v>
      </c>
      <c r="P998" s="24" t="n">
        <f aca="false">N998*(1+F998)/(H998-F998)</f>
        <v>448.008174364283</v>
      </c>
      <c r="Q998" s="24" t="n">
        <f aca="false">O998+P998/(1+H998)^5</f>
        <v>400.380707166864</v>
      </c>
      <c r="R998" s="24" t="n">
        <f aca="false">Q998-'DCF Base Case'!$B$5</f>
        <v>215.380707166864</v>
      </c>
      <c r="S998" s="32" t="n">
        <f aca="false">R998/'DCF Base Case'!$B$6</f>
        <v>8.61522828667457</v>
      </c>
    </row>
    <row r="999" customFormat="false" ht="15" hidden="false" customHeight="true" outlineLevel="0" collapsed="false">
      <c r="A999" s="6" t="n">
        <v>998</v>
      </c>
      <c r="B999" s="30" t="n">
        <v>0.0857253441153764</v>
      </c>
      <c r="C999" s="30" t="n">
        <v>0.426628277258905</v>
      </c>
      <c r="D999" s="30" t="n">
        <v>0.0577336783030908</v>
      </c>
      <c r="E999" s="30" t="n">
        <v>0.296890426224761</v>
      </c>
      <c r="F999" s="30" t="n">
        <v>0.0187340635621219</v>
      </c>
      <c r="G999" s="30" t="n">
        <v>0.155502219570856</v>
      </c>
      <c r="H999" s="31" t="n">
        <f aca="false">MAX(D999,F999+0.015)</f>
        <v>0.0577336783030908</v>
      </c>
      <c r="I999" s="25" t="n">
        <f aca="false">(C999-'DCF Base Case'!$B$3)*(1-E999)+'DCF Base Case'!$B$3-G999</f>
        <v>0.183059962022336</v>
      </c>
      <c r="J999" s="24" t="n">
        <f aca="false">'DCF Base Case'!$B$2*(1+B999)^1*$I999-'DCF Base Case'!$B$2*(1+B999)^0*B999*'DCF Base Case'!$B$4</f>
        <v>28.4462565908632</v>
      </c>
      <c r="K999" s="24" t="n">
        <f aca="false">'DCF Base Case'!$B$2*(1+B999)^2*$I999-'DCF Base Case'!$B$2*(1+B999)^1*B999*'DCF Base Case'!$B$4</f>
        <v>30.8848217259092</v>
      </c>
      <c r="L999" s="24" t="n">
        <f aca="false">'DCF Base Case'!$B$2*(1+B999)^3*$I999-'DCF Base Case'!$B$2*(1+B999)^2*B999*'DCF Base Case'!$B$4</f>
        <v>33.5324336963048</v>
      </c>
      <c r="M999" s="24" t="n">
        <f aca="false">'DCF Base Case'!$B$2*(1+B999)^4*$I999-'DCF Base Case'!$B$2*(1+B999)^3*B999*'DCF Base Case'!$B$4</f>
        <v>36.4070131139466</v>
      </c>
      <c r="N999" s="24" t="n">
        <f aca="false">'DCF Base Case'!$B$2*(1+B999)^5*$I999-'DCF Base Case'!$B$2*(1+B999)^4*B999*'DCF Base Case'!$B$4</f>
        <v>39.5280168413527</v>
      </c>
      <c r="O999" s="24" t="n">
        <f aca="false">J999/(1+H999)^1+K999/(1+H999)^2+L999/(1+H999)^3+M999/(1+H999)^4+N999/(1+H999)^5</f>
        <v>141.775872964271</v>
      </c>
      <c r="P999" s="24" t="n">
        <f aca="false">N999*(1+F999)/(H999-F999)</f>
        <v>1032.53679526842</v>
      </c>
      <c r="Q999" s="24" t="n">
        <f aca="false">O999+P999/(1+H999)^5</f>
        <v>921.648854059619</v>
      </c>
      <c r="R999" s="24" t="n">
        <f aca="false">Q999-'DCF Base Case'!$B$5</f>
        <v>736.648854059619</v>
      </c>
      <c r="S999" s="32" t="n">
        <f aca="false">R999/'DCF Base Case'!$B$6</f>
        <v>29.4659541623848</v>
      </c>
    </row>
    <row r="1000" customFormat="false" ht="15" hidden="false" customHeight="true" outlineLevel="0" collapsed="false">
      <c r="A1000" s="6" t="n">
        <v>999</v>
      </c>
      <c r="B1000" s="30" t="n">
        <v>0.0937290856368667</v>
      </c>
      <c r="C1000" s="30" t="n">
        <v>0.405442021078339</v>
      </c>
      <c r="D1000" s="30" t="n">
        <v>0.0616373758812281</v>
      </c>
      <c r="E1000" s="30" t="n">
        <v>0.307997900706647</v>
      </c>
      <c r="F1000" s="30" t="n">
        <v>0.0202182102867002</v>
      </c>
      <c r="G1000" s="30" t="n">
        <v>0.158821765674017</v>
      </c>
      <c r="H1000" s="31" t="n">
        <f aca="false">MAX(D1000,F1000+0.015)</f>
        <v>0.0616373758812281</v>
      </c>
      <c r="I1000" s="25" t="n">
        <f aca="false">(C1000-'DCF Base Case'!$B$3)*(1-E1000)+'DCF Base Case'!$B$3-G1000</f>
        <v>0.161784691145798</v>
      </c>
      <c r="J1000" s="24" t="n">
        <f aca="false">'DCF Base Case'!$B$2*(1+B1000)^1*$I1000-'DCF Base Case'!$B$2*(1+B1000)^0*B1000*'DCF Base Case'!$B$4</f>
        <v>25.2498287134354</v>
      </c>
      <c r="K1000" s="24" t="n">
        <f aca="false">'DCF Base Case'!$B$2*(1+B1000)^2*$I1000-'DCF Base Case'!$B$2*(1+B1000)^1*B1000*'DCF Base Case'!$B$4</f>
        <v>27.6164720712332</v>
      </c>
      <c r="L1000" s="24" t="n">
        <f aca="false">'DCF Base Case'!$B$2*(1+B1000)^3*$I1000-'DCF Base Case'!$B$2*(1+B1000)^2*B1000*'DCF Base Case'!$B$4</f>
        <v>30.2049387469859</v>
      </c>
      <c r="M1000" s="24" t="n">
        <f aca="false">'DCF Base Case'!$B$2*(1+B1000)^4*$I1000-'DCF Base Case'!$B$2*(1+B1000)^3*B1000*'DCF Base Case'!$B$4</f>
        <v>33.0360200374585</v>
      </c>
      <c r="N1000" s="24" t="n">
        <f aca="false">'DCF Base Case'!$B$2*(1+B1000)^5*$I1000-'DCF Base Case'!$B$2*(1+B1000)^4*B1000*'DCF Base Case'!$B$4</f>
        <v>36.1324559886507</v>
      </c>
      <c r="O1000" s="24" t="n">
        <f aca="false">J1000/(1+H1000)^1+K1000/(1+H1000)^2+L1000/(1+H1000)^3+M1000/(1+H1000)^4+N1000/(1+H1000)^5</f>
        <v>126.329407639181</v>
      </c>
      <c r="P1000" s="24" t="n">
        <f aca="false">N1000*(1+F1000)/(H1000-F1000)</f>
        <v>889.998363146028</v>
      </c>
      <c r="Q1000" s="24" t="n">
        <f aca="false">O1000+P1000/(1+H1000)^5</f>
        <v>786.27511553291</v>
      </c>
      <c r="R1000" s="24" t="n">
        <f aca="false">Q1000-'DCF Base Case'!$B$5</f>
        <v>601.27511553291</v>
      </c>
      <c r="S1000" s="32" t="n">
        <f aca="false">R1000/'DCF Base Case'!$B$6</f>
        <v>24.0510046213164</v>
      </c>
    </row>
    <row r="1001" customFormat="false" ht="15" hidden="false" customHeight="true" outlineLevel="0" collapsed="false">
      <c r="A1001" s="6" t="n">
        <v>1000</v>
      </c>
      <c r="B1001" s="30" t="n">
        <v>0.068894265485659</v>
      </c>
      <c r="C1001" s="30" t="n">
        <v>0.376093671858165</v>
      </c>
      <c r="D1001" s="30" t="n">
        <v>0.0874628197777486</v>
      </c>
      <c r="E1001" s="30" t="n">
        <v>0.327023680352943</v>
      </c>
      <c r="F1001" s="30" t="n">
        <v>0.0200797778007944</v>
      </c>
      <c r="G1001" s="30" t="n">
        <v>0.138261323885787</v>
      </c>
      <c r="H1001" s="31" t="n">
        <f aca="false">MAX(D1001,F1001+0.015)</f>
        <v>0.0874628197777486</v>
      </c>
      <c r="I1001" s="25" t="n">
        <f aca="false">(C1001-'DCF Base Case'!$B$3)*(1-E1001)+'DCF Base Case'!$B$3-G1001</f>
        <v>0.157353889689751</v>
      </c>
      <c r="J1001" s="24" t="n">
        <f aca="false">'DCF Base Case'!$B$2*(1+B1001)^1*$I1001-'DCF Base Case'!$B$2*(1+B1001)^0*B1001*'DCF Base Case'!$B$4</f>
        <v>24.0885371446169</v>
      </c>
      <c r="K1001" s="24" t="n">
        <f aca="false">'DCF Base Case'!$B$2*(1+B1001)^2*$I1001-'DCF Base Case'!$B$2*(1+B1001)^1*B1001*'DCF Base Case'!$B$4</f>
        <v>25.7480992178193</v>
      </c>
      <c r="L1001" s="24" t="n">
        <f aca="false">'DCF Base Case'!$B$2*(1+B1001)^3*$I1001-'DCF Base Case'!$B$2*(1+B1001)^2*B1001*'DCF Base Case'!$B$4</f>
        <v>27.5219956010829</v>
      </c>
      <c r="M1001" s="24" t="n">
        <f aca="false">'DCF Base Case'!$B$2*(1+B1001)^4*$I1001-'DCF Base Case'!$B$2*(1+B1001)^3*B1001*'DCF Base Case'!$B$4</f>
        <v>29.418103272719</v>
      </c>
      <c r="N1001" s="24" t="n">
        <f aca="false">'DCF Base Case'!$B$2*(1+B1001)^5*$I1001-'DCF Base Case'!$B$2*(1+B1001)^4*B1001*'DCF Base Case'!$B$4</f>
        <v>31.4448418896742</v>
      </c>
      <c r="O1001" s="24" t="n">
        <f aca="false">J1001/(1+H1001)^1+K1001/(1+H1001)^2+L1001/(1+H1001)^3+M1001/(1+H1001)^4+N1001/(1+H1001)^5</f>
        <v>107.037383451351</v>
      </c>
      <c r="P1001" s="24" t="n">
        <f aca="false">N1001*(1+F1001)/(H1001-F1001)</f>
        <v>476.028484121724</v>
      </c>
      <c r="Q1001" s="24" t="n">
        <f aca="false">O1001+P1001/(1+H1001)^5</f>
        <v>420.049286774108</v>
      </c>
      <c r="R1001" s="24" t="n">
        <f aca="false">Q1001-'DCF Base Case'!$B$5</f>
        <v>235.049286774108</v>
      </c>
      <c r="S1001" s="32" t="n">
        <f aca="false">R1001/'DCF Base Case'!$B$6</f>
        <v>9.40197147096434</v>
      </c>
    </row>
    <row r="1002" customFormat="false" ht="15" hidden="false" customHeight="true" outlineLevel="0" collapsed="false">
      <c r="A1002" s="6" t="n">
        <v>1001</v>
      </c>
      <c r="B1002" s="30" t="n">
        <v>0.0946709676741559</v>
      </c>
      <c r="C1002" s="30" t="n">
        <v>0.415398375232581</v>
      </c>
      <c r="D1002" s="30" t="n">
        <v>0.0945044798868165</v>
      </c>
      <c r="E1002" s="30" t="n">
        <v>0.298106468585019</v>
      </c>
      <c r="F1002" s="30" t="n">
        <v>0.0104974581675562</v>
      </c>
      <c r="G1002" s="30" t="n">
        <v>0.178086269021618</v>
      </c>
      <c r="H1002" s="31" t="n">
        <f aca="false">MAX(D1002,F1002+0.015)</f>
        <v>0.0945044798868165</v>
      </c>
      <c r="I1002" s="25" t="n">
        <f aca="false">(C1002-'DCF Base Case'!$B$3)*(1-E1002)+'DCF Base Case'!$B$3-G1002</f>
        <v>0.152233004430476</v>
      </c>
      <c r="J1002" s="24" t="n">
        <f aca="false">'DCF Base Case'!$B$2*(1+B1002)^1*$I1002-'DCF Base Case'!$B$2*(1+B1002)^0*B1002*'DCF Base Case'!$B$4</f>
        <v>23.7517135800362</v>
      </c>
      <c r="K1002" s="24" t="n">
        <f aca="false">'DCF Base Case'!$B$2*(1+B1002)^2*$I1002-'DCF Base Case'!$B$2*(1+B1002)^1*B1002*'DCF Base Case'!$B$4</f>
        <v>26.0003112885776</v>
      </c>
      <c r="L1002" s="24" t="n">
        <f aca="false">'DCF Base Case'!$B$2*(1+B1002)^3*$I1002-'DCF Base Case'!$B$2*(1+B1002)^2*B1002*'DCF Base Case'!$B$4</f>
        <v>28.4617859180965</v>
      </c>
      <c r="M1002" s="24" t="n">
        <f aca="false">'DCF Base Case'!$B$2*(1+B1002)^4*$I1002-'DCF Base Case'!$B$2*(1+B1002)^3*B1002*'DCF Base Case'!$B$4</f>
        <v>31.1562907326974</v>
      </c>
      <c r="N1002" s="24" t="n">
        <f aca="false">'DCF Base Case'!$B$2*(1+B1002)^5*$I1002-'DCF Base Case'!$B$2*(1+B1002)^4*B1002*'DCF Base Case'!$B$4</f>
        <v>34.1058869254991</v>
      </c>
      <c r="O1002" s="24" t="n">
        <f aca="false">J1002/(1+H1002)^1+K1002/(1+H1002)^2+L1002/(1+H1002)^3+M1002/(1+H1002)^4+N1002/(1+H1002)^5</f>
        <v>108.537429402226</v>
      </c>
      <c r="P1002" s="24" t="n">
        <f aca="false">N1002*(1+F1002)/(H1002-F1002)</f>
        <v>410.250373616869</v>
      </c>
      <c r="Q1002" s="24" t="n">
        <f aca="false">O1002+P1002/(1+H1002)^5</f>
        <v>369.730269475957</v>
      </c>
      <c r="R1002" s="24" t="n">
        <f aca="false">Q1002-'DCF Base Case'!$B$5</f>
        <v>184.730269475957</v>
      </c>
      <c r="S1002" s="32" t="n">
        <f aca="false">R1002/'DCF Base Case'!$B$6</f>
        <v>7.38921077903827</v>
      </c>
    </row>
    <row r="1003" customFormat="false" ht="15" hidden="false" customHeight="true" outlineLevel="0" collapsed="false">
      <c r="A1003" s="6" t="n">
        <v>1002</v>
      </c>
      <c r="B1003" s="30" t="n">
        <v>0.0680904613146388</v>
      </c>
      <c r="C1003" s="30" t="n">
        <v>0.376646700403518</v>
      </c>
      <c r="D1003" s="30" t="n">
        <v>0.0829267924858908</v>
      </c>
      <c r="E1003" s="30" t="n">
        <v>0.291936122145918</v>
      </c>
      <c r="F1003" s="30" t="n">
        <v>0.0129706220309785</v>
      </c>
      <c r="G1003" s="30" t="n">
        <v>0.182010243004322</v>
      </c>
      <c r="H1003" s="31" t="n">
        <f aca="false">MAX(D1003,F1003+0.015)</f>
        <v>0.0829267924858908</v>
      </c>
      <c r="I1003" s="25" t="n">
        <f aca="false">(C1003-'DCF Base Case'!$B$3)*(1-E1003)+'DCF Base Case'!$B$3-G1003</f>
        <v>0.122631376143307</v>
      </c>
      <c r="J1003" s="24" t="n">
        <f aca="false">'DCF Base Case'!$B$2*(1+B1003)^1*$I1003-'DCF Base Case'!$B$2*(1+B1003)^0*B1003*'DCF Base Case'!$B$4</f>
        <v>18.6961099451816</v>
      </c>
      <c r="K1003" s="24" t="n">
        <f aca="false">'DCF Base Case'!$B$2*(1+B1003)^2*$I1003-'DCF Base Case'!$B$2*(1+B1003)^1*B1003*'DCF Base Case'!$B$4</f>
        <v>19.9691366961382</v>
      </c>
      <c r="L1003" s="24" t="n">
        <f aca="false">'DCF Base Case'!$B$2*(1+B1003)^3*$I1003-'DCF Base Case'!$B$2*(1+B1003)^2*B1003*'DCF Base Case'!$B$4</f>
        <v>21.3288444258334</v>
      </c>
      <c r="M1003" s="24" t="n">
        <f aca="false">'DCF Base Case'!$B$2*(1+B1003)^4*$I1003-'DCF Base Case'!$B$2*(1+B1003)^3*B1003*'DCF Base Case'!$B$4</f>
        <v>22.7811352820965</v>
      </c>
      <c r="N1003" s="24" t="n">
        <f aca="false">'DCF Base Case'!$B$2*(1+B1003)^5*$I1003-'DCF Base Case'!$B$2*(1+B1003)^4*B1003*'DCF Base Case'!$B$4</f>
        <v>24.3323132927256</v>
      </c>
      <c r="O1003" s="24" t="n">
        <f aca="false">J1003/(1+H1003)^1+K1003/(1+H1003)^2+L1003/(1+H1003)^3+M1003/(1+H1003)^4+N1003/(1+H1003)^5</f>
        <v>83.9890516958922</v>
      </c>
      <c r="P1003" s="24" t="n">
        <f aca="false">N1003*(1+F1003)/(H1003-F1003)</f>
        <v>352.333730838952</v>
      </c>
      <c r="Q1003" s="24" t="n">
        <f aca="false">O1003+P1003/(1+H1003)^5</f>
        <v>320.558539367545</v>
      </c>
      <c r="R1003" s="24" t="n">
        <f aca="false">Q1003-'DCF Base Case'!$B$5</f>
        <v>135.558539367544</v>
      </c>
      <c r="S1003" s="32" t="n">
        <f aca="false">R1003/'DCF Base Case'!$B$6</f>
        <v>5.42234157470178</v>
      </c>
    </row>
    <row r="1004" customFormat="false" ht="15" hidden="false" customHeight="true" outlineLevel="0" collapsed="false">
      <c r="A1004" s="6" t="n">
        <v>1003</v>
      </c>
      <c r="B1004" s="30" t="n">
        <v>0.106636047153565</v>
      </c>
      <c r="C1004" s="30" t="n">
        <v>0.421124076822694</v>
      </c>
      <c r="D1004" s="30" t="n">
        <v>0.0754561400675025</v>
      </c>
      <c r="E1004" s="30" t="n">
        <v>0.258977159041476</v>
      </c>
      <c r="F1004" s="30" t="n">
        <v>0.0230266780063144</v>
      </c>
      <c r="G1004" s="30" t="n">
        <v>0.136169831426556</v>
      </c>
      <c r="H1004" s="31" t="n">
        <f aca="false">MAX(D1004,F1004+0.015)</f>
        <v>0.0754561400675025</v>
      </c>
      <c r="I1004" s="25" t="n">
        <f aca="false">(C1004-'DCF Base Case'!$B$3)*(1-E1004)+'DCF Base Case'!$B$3-G1004</f>
        <v>0.209559759052024</v>
      </c>
      <c r="J1004" s="24" t="n">
        <f aca="false">'DCF Base Case'!$B$2*(1+B1004)^1*$I1004-'DCF Base Case'!$B$2*(1+B1004)^0*B1004*'DCF Base Case'!$B$4</f>
        <v>33.1625587878509</v>
      </c>
      <c r="K1004" s="24" t="n">
        <f aca="false">'DCF Base Case'!$B$2*(1+B1004)^2*$I1004-'DCF Base Case'!$B$2*(1+B1004)^1*B1004*'DCF Base Case'!$B$4</f>
        <v>36.6988829704851</v>
      </c>
      <c r="L1004" s="24" t="n">
        <f aca="false">'DCF Base Case'!$B$2*(1+B1004)^3*$I1004-'DCF Base Case'!$B$2*(1+B1004)^2*B1004*'DCF Base Case'!$B$4</f>
        <v>40.6123067854089</v>
      </c>
      <c r="M1004" s="24" t="n">
        <f aca="false">'DCF Base Case'!$B$2*(1+B1004)^4*$I1004-'DCF Base Case'!$B$2*(1+B1004)^3*B1004*'DCF Base Case'!$B$4</f>
        <v>44.9430426467928</v>
      </c>
      <c r="N1004" s="24" t="n">
        <f aca="false">'DCF Base Case'!$B$2*(1+B1004)^5*$I1004-'DCF Base Case'!$B$2*(1+B1004)^4*B1004*'DCF Base Case'!$B$4</f>
        <v>49.7355910617009</v>
      </c>
      <c r="O1004" s="24" t="n">
        <f aca="false">J1004/(1+H1004)^1+K1004/(1+H1004)^2+L1004/(1+H1004)^3+M1004/(1+H1004)^4+N1004/(1+H1004)^5</f>
        <v>163.382007061317</v>
      </c>
      <c r="P1004" s="24" t="n">
        <f aca="false">N1004*(1+F1004)/(H1004-F1004)</f>
        <v>970.462684571351</v>
      </c>
      <c r="Q1004" s="24" t="n">
        <f aca="false">O1004+P1004/(1+H1004)^5</f>
        <v>837.933835543919</v>
      </c>
      <c r="R1004" s="24" t="n">
        <f aca="false">Q1004-'DCF Base Case'!$B$5</f>
        <v>652.933835543919</v>
      </c>
      <c r="S1004" s="32" t="n">
        <f aca="false">R1004/'DCF Base Case'!$B$6</f>
        <v>26.1173534217568</v>
      </c>
    </row>
    <row r="1005" customFormat="false" ht="15" hidden="false" customHeight="true" outlineLevel="0" collapsed="false">
      <c r="A1005" s="6" t="n">
        <v>1004</v>
      </c>
      <c r="B1005" s="30" t="n">
        <v>0.113208414144511</v>
      </c>
      <c r="C1005" s="30" t="n">
        <v>0.419306650753569</v>
      </c>
      <c r="D1005" s="30" t="n">
        <v>0.0839458205039286</v>
      </c>
      <c r="E1005" s="30" t="n">
        <v>0.249817437385417</v>
      </c>
      <c r="F1005" s="30" t="n">
        <v>0.0187916791925541</v>
      </c>
      <c r="G1005" s="30" t="n">
        <v>0.179769815171958</v>
      </c>
      <c r="H1005" s="31" t="n">
        <f aca="false">MAX(D1005,F1005+0.015)</f>
        <v>0.0839458205039286</v>
      </c>
      <c r="I1005" s="25" t="n">
        <f aca="false">(C1005-'DCF Base Case'!$B$3)*(1-E1005)+'DCF Base Case'!$B$3-G1005</f>
        <v>0.167262989471797</v>
      </c>
      <c r="J1005" s="24" t="n">
        <f aca="false">'DCF Base Case'!$B$2*(1+B1005)^1*$I1005-'DCF Base Case'!$B$2*(1+B1005)^0*B1005*'DCF Base Case'!$B$4</f>
        <v>26.5063356504418</v>
      </c>
      <c r="K1005" s="24" t="n">
        <f aca="false">'DCF Base Case'!$B$2*(1+B1005)^2*$I1005-'DCF Base Case'!$B$2*(1+B1005)^1*B1005*'DCF Base Case'!$B$4</f>
        <v>29.5070758742105</v>
      </c>
      <c r="L1005" s="24" t="n">
        <f aca="false">'DCF Base Case'!$B$2*(1+B1005)^3*$I1005-'DCF Base Case'!$B$2*(1+B1005)^2*B1005*'DCF Base Case'!$B$4</f>
        <v>32.8475251399716</v>
      </c>
      <c r="M1005" s="24" t="n">
        <f aca="false">'DCF Base Case'!$B$2*(1+B1005)^4*$I1005-'DCF Base Case'!$B$2*(1+B1005)^3*B1005*'DCF Base Case'!$B$4</f>
        <v>36.5661413696397</v>
      </c>
      <c r="N1005" s="24" t="n">
        <f aca="false">'DCF Base Case'!$B$2*(1+B1005)^5*$I1005-'DCF Base Case'!$B$2*(1+B1005)^4*B1005*'DCF Base Case'!$B$4</f>
        <v>40.7057362454806</v>
      </c>
      <c r="O1005" s="24" t="n">
        <f aca="false">J1005/(1+H1005)^1+K1005/(1+H1005)^2+L1005/(1+H1005)^3+M1005/(1+H1005)^4+N1005/(1+H1005)^5</f>
        <v>129.05001584458</v>
      </c>
      <c r="P1005" s="24" t="n">
        <f aca="false">N1005*(1+F1005)/(H1005-F1005)</f>
        <v>636.500835520375</v>
      </c>
      <c r="Q1005" s="24" t="n">
        <f aca="false">O1005+P1005/(1+H1005)^5</f>
        <v>554.414379236514</v>
      </c>
      <c r="R1005" s="24" t="n">
        <f aca="false">Q1005-'DCF Base Case'!$B$5</f>
        <v>369.414379236514</v>
      </c>
      <c r="S1005" s="32" t="n">
        <f aca="false">R1005/'DCF Base Case'!$B$6</f>
        <v>14.7765751694605</v>
      </c>
    </row>
    <row r="1006" customFormat="false" ht="15" hidden="false" customHeight="true" outlineLevel="0" collapsed="false">
      <c r="A1006" s="6" t="n">
        <v>1005</v>
      </c>
      <c r="B1006" s="30" t="n">
        <v>0.0612964357846486</v>
      </c>
      <c r="C1006" s="30" t="n">
        <v>0.414758126582806</v>
      </c>
      <c r="D1006" s="30" t="n">
        <v>0.0859791347904693</v>
      </c>
      <c r="E1006" s="30" t="n">
        <v>0.264400250620015</v>
      </c>
      <c r="F1006" s="30" t="n">
        <v>0.0224232837773064</v>
      </c>
      <c r="G1006" s="30" t="n">
        <v>0.127436017222034</v>
      </c>
      <c r="H1006" s="31" t="n">
        <f aca="false">MAX(D1006,F1006+0.015)</f>
        <v>0.0859791347904693</v>
      </c>
      <c r="I1006" s="25" t="n">
        <f aca="false">(C1006-'DCF Base Case'!$B$3)*(1-E1006)+'DCF Base Case'!$B$3-G1006</f>
        <v>0.212031989326192</v>
      </c>
      <c r="J1006" s="24" t="n">
        <f aca="false">'DCF Base Case'!$B$2*(1+B1006)^1*$I1006-'DCF Base Case'!$B$2*(1+B1006)^0*B1006*'DCF Base Case'!$B$4</f>
        <v>32.3625357132482</v>
      </c>
      <c r="K1006" s="24" t="n">
        <f aca="false">'DCF Base Case'!$B$2*(1+B1006)^2*$I1006-'DCF Base Case'!$B$2*(1+B1006)^1*B1006*'DCF Base Case'!$B$4</f>
        <v>34.3462438054237</v>
      </c>
      <c r="L1006" s="24" t="n">
        <f aca="false">'DCF Base Case'!$B$2*(1+B1006)^3*$I1006-'DCF Base Case'!$B$2*(1+B1006)^2*B1006*'DCF Base Case'!$B$4</f>
        <v>36.4515461332867</v>
      </c>
      <c r="M1006" s="24" t="n">
        <f aca="false">'DCF Base Case'!$B$2*(1+B1006)^4*$I1006-'DCF Base Case'!$B$2*(1+B1006)^3*B1006*'DCF Base Case'!$B$4</f>
        <v>38.6858959900969</v>
      </c>
      <c r="N1006" s="24" t="n">
        <f aca="false">'DCF Base Case'!$B$2*(1+B1006)^5*$I1006-'DCF Base Case'!$B$2*(1+B1006)^4*B1006*'DCF Base Case'!$B$4</f>
        <v>41.0572035294254</v>
      </c>
      <c r="O1006" s="24" t="n">
        <f aca="false">J1006/(1+H1006)^1+K1006/(1+H1006)^2+L1006/(1+H1006)^3+M1006/(1+H1006)^4+N1006/(1+H1006)^5</f>
        <v>142.380674752823</v>
      </c>
      <c r="P1006" s="24" t="n">
        <f aca="false">N1006*(1+F1006)/(H1006-F1006)</f>
        <v>660.487432487914</v>
      </c>
      <c r="Q1006" s="24" t="n">
        <f aca="false">O1006+P1006/(1+H1006)^5</f>
        <v>579.658196342494</v>
      </c>
      <c r="R1006" s="24" t="n">
        <f aca="false">Q1006-'DCF Base Case'!$B$5</f>
        <v>394.658196342494</v>
      </c>
      <c r="S1006" s="32" t="n">
        <f aca="false">R1006/'DCF Base Case'!$B$6</f>
        <v>15.7863278536998</v>
      </c>
    </row>
    <row r="1007" customFormat="false" ht="15" hidden="false" customHeight="true" outlineLevel="0" collapsed="false">
      <c r="A1007" s="6" t="n">
        <v>1006</v>
      </c>
      <c r="B1007" s="30" t="n">
        <v>0.0973141951410859</v>
      </c>
      <c r="C1007" s="30" t="n">
        <v>0.445762723239973</v>
      </c>
      <c r="D1007" s="30" t="n">
        <v>0.100839374530107</v>
      </c>
      <c r="E1007" s="30" t="n">
        <v>0.29127552984016</v>
      </c>
      <c r="F1007" s="30" t="n">
        <v>0.018170272310542</v>
      </c>
      <c r="G1007" s="30" t="n">
        <v>0.152400775328423</v>
      </c>
      <c r="H1007" s="31" t="n">
        <f aca="false">MAX(D1007,F1007+0.015)</f>
        <v>0.100839374530107</v>
      </c>
      <c r="I1007" s="25" t="n">
        <f aca="false">(C1007-'DCF Base Case'!$B$3)*(1-E1007)+'DCF Base Case'!$B$3-G1007</f>
        <v>0.201387993396055</v>
      </c>
      <c r="J1007" s="24" t="n">
        <f aca="false">'DCF Base Case'!$B$2*(1+B1007)^1*$I1007-'DCF Base Case'!$B$2*(1+B1007)^0*B1007*'DCF Base Case'!$B$4</f>
        <v>31.6196393143845</v>
      </c>
      <c r="K1007" s="24" t="n">
        <f aca="false">'DCF Base Case'!$B$2*(1+B1007)^2*$I1007-'DCF Base Case'!$B$2*(1+B1007)^1*B1007*'DCF Base Case'!$B$4</f>
        <v>34.6966790649153</v>
      </c>
      <c r="L1007" s="24" t="n">
        <f aca="false">'DCF Base Case'!$B$2*(1+B1007)^3*$I1007-'DCF Base Case'!$B$2*(1+B1007)^2*B1007*'DCF Base Case'!$B$4</f>
        <v>38.0731584621861</v>
      </c>
      <c r="M1007" s="24" t="n">
        <f aca="false">'DCF Base Case'!$B$2*(1+B1007)^4*$I1007-'DCF Base Case'!$B$2*(1+B1007)^3*B1007*'DCF Base Case'!$B$4</f>
        <v>41.7782172344127</v>
      </c>
      <c r="N1007" s="24" t="n">
        <f aca="false">'DCF Base Case'!$B$2*(1+B1007)^5*$I1007-'DCF Base Case'!$B$2*(1+B1007)^4*B1007*'DCF Base Case'!$B$4</f>
        <v>45.843830819009</v>
      </c>
      <c r="O1007" s="24" t="n">
        <f aca="false">J1007/(1+H1007)^1+K1007/(1+H1007)^2+L1007/(1+H1007)^3+M1007/(1+H1007)^4+N1007/(1+H1007)^5</f>
        <v>142.699191920849</v>
      </c>
      <c r="P1007" s="24" t="n">
        <f aca="false">N1007*(1+F1007)/(H1007-F1007)</f>
        <v>564.622385577353</v>
      </c>
      <c r="Q1007" s="24" t="n">
        <f aca="false">O1007+P1007/(1+H1007)^5</f>
        <v>491.950722548322</v>
      </c>
      <c r="R1007" s="24" t="n">
        <f aca="false">Q1007-'DCF Base Case'!$B$5</f>
        <v>306.950722548322</v>
      </c>
      <c r="S1007" s="32" t="n">
        <f aca="false">R1007/'DCF Base Case'!$B$6</f>
        <v>12.2780289019329</v>
      </c>
    </row>
    <row r="1008" customFormat="false" ht="15" hidden="false" customHeight="true" outlineLevel="0" collapsed="false">
      <c r="A1008" s="6" t="n">
        <v>1007</v>
      </c>
      <c r="B1008" s="30" t="n">
        <v>0.0836447709829025</v>
      </c>
      <c r="C1008" s="30" t="n">
        <v>0.422941576772189</v>
      </c>
      <c r="D1008" s="30" t="n">
        <v>0.0761203181399464</v>
      </c>
      <c r="E1008" s="30" t="n">
        <v>0.302866782885073</v>
      </c>
      <c r="F1008" s="30" t="n">
        <v>0.02603036699426</v>
      </c>
      <c r="G1008" s="30" t="n">
        <v>0.163892669418449</v>
      </c>
      <c r="H1008" s="31" t="n">
        <f aca="false">MAX(D1008,F1008+0.015)</f>
        <v>0.0761203181399464</v>
      </c>
      <c r="I1008" s="25" t="n">
        <f aca="false">(C1008-'DCF Base Case'!$B$3)*(1-E1008)+'DCF Base Case'!$B$3-G1008</f>
        <v>0.170326634423466</v>
      </c>
      <c r="J1008" s="24" t="n">
        <f aca="false">'DCF Base Case'!$B$2*(1+B1008)^1*$I1008-'DCF Base Case'!$B$2*(1+B1008)^0*B1008*'DCF Base Case'!$B$4</f>
        <v>26.3993124252797</v>
      </c>
      <c r="K1008" s="24" t="n">
        <f aca="false">'DCF Base Case'!$B$2*(1+B1008)^2*$I1008-'DCF Base Case'!$B$2*(1+B1008)^1*B1008*'DCF Base Case'!$B$4</f>
        <v>28.6074768671983</v>
      </c>
      <c r="L1008" s="24" t="n">
        <f aca="false">'DCF Base Case'!$B$2*(1+B1008)^3*$I1008-'DCF Base Case'!$B$2*(1+B1008)^2*B1008*'DCF Base Case'!$B$4</f>
        <v>31.0003427181538</v>
      </c>
      <c r="M1008" s="24" t="n">
        <f aca="false">'DCF Base Case'!$B$2*(1+B1008)^4*$I1008-'DCF Base Case'!$B$2*(1+B1008)^3*B1008*'DCF Base Case'!$B$4</f>
        <v>33.5933592852053</v>
      </c>
      <c r="N1008" s="24" t="n">
        <f aca="false">'DCF Base Case'!$B$2*(1+B1008)^5*$I1008-'DCF Base Case'!$B$2*(1+B1008)^4*B1008*'DCF Base Case'!$B$4</f>
        <v>36.4032681291627</v>
      </c>
      <c r="O1008" s="24" t="n">
        <f aca="false">J1008/(1+H1008)^1+K1008/(1+H1008)^2+L1008/(1+H1008)^3+M1008/(1+H1008)^4+N1008/(1+H1008)^5</f>
        <v>124.387027839286</v>
      </c>
      <c r="P1008" s="24" t="n">
        <f aca="false">N1008*(1+F1008)/(H1008-F1008)</f>
        <v>745.675683526231</v>
      </c>
      <c r="Q1008" s="24" t="n">
        <f aca="false">O1008+P1008/(1+H1008)^5</f>
        <v>641.095787630765</v>
      </c>
      <c r="R1008" s="24" t="n">
        <f aca="false">Q1008-'DCF Base Case'!$B$5</f>
        <v>456.095787630765</v>
      </c>
      <c r="S1008" s="32" t="n">
        <f aca="false">R1008/'DCF Base Case'!$B$6</f>
        <v>18.2438315052306</v>
      </c>
    </row>
    <row r="1009" customFormat="false" ht="15" hidden="false" customHeight="true" outlineLevel="0" collapsed="false">
      <c r="A1009" s="6" t="n">
        <v>1008</v>
      </c>
      <c r="B1009" s="30" t="n">
        <v>0.06114360147855</v>
      </c>
      <c r="C1009" s="30" t="n">
        <v>0.375835686101434</v>
      </c>
      <c r="D1009" s="30" t="n">
        <v>0.0935422210688273</v>
      </c>
      <c r="E1009" s="30" t="n">
        <v>0.277987300216928</v>
      </c>
      <c r="F1009" s="30" t="n">
        <v>0.0225024542291245</v>
      </c>
      <c r="G1009" s="30" t="n">
        <v>0.154455612249266</v>
      </c>
      <c r="H1009" s="31" t="n">
        <f aca="false">MAX(D1009,F1009+0.015)</f>
        <v>0.0935422210688273</v>
      </c>
      <c r="I1009" s="25" t="n">
        <f aca="false">(C1009-'DCF Base Case'!$B$3)*(1-E1009)+'DCF Base Case'!$B$3-G1009</f>
        <v>0.153040875175854</v>
      </c>
      <c r="J1009" s="24" t="n">
        <f aca="false">'DCF Base Case'!$B$2*(1+B1009)^1*$I1009-'DCF Base Case'!$B$2*(1+B1009)^0*B1009*'DCF Base Case'!$B$4</f>
        <v>23.2817854249109</v>
      </c>
      <c r="K1009" s="24" t="n">
        <f aca="false">'DCF Base Case'!$B$2*(1+B1009)^2*$I1009-'DCF Base Case'!$B$2*(1+B1009)^1*B1009*'DCF Base Case'!$B$4</f>
        <v>24.7053176346408</v>
      </c>
      <c r="L1009" s="24" t="n">
        <f aca="false">'DCF Base Case'!$B$2*(1+B1009)^3*$I1009-'DCF Base Case'!$B$2*(1+B1009)^2*B1009*'DCF Base Case'!$B$4</f>
        <v>26.2158897304942</v>
      </c>
      <c r="M1009" s="24" t="n">
        <f aca="false">'DCF Base Case'!$B$2*(1+B1009)^4*$I1009-'DCF Base Case'!$B$2*(1+B1009)^3*B1009*'DCF Base Case'!$B$4</f>
        <v>27.8188236445812</v>
      </c>
      <c r="N1009" s="24" t="n">
        <f aca="false">'DCF Base Case'!$B$2*(1+B1009)^5*$I1009-'DCF Base Case'!$B$2*(1+B1009)^4*B1009*'DCF Base Case'!$B$4</f>
        <v>29.5197667111075</v>
      </c>
      <c r="O1009" s="24" t="n">
        <f aca="false">J1009/(1+H1009)^1+K1009/(1+H1009)^2+L1009/(1+H1009)^3+M1009/(1+H1009)^4+N1009/(1+H1009)^5</f>
        <v>100.327660094919</v>
      </c>
      <c r="P1009" s="24" t="n">
        <f aca="false">N1009*(1+F1009)/(H1009-F1009)</f>
        <v>424.889259257948</v>
      </c>
      <c r="Q1009" s="24" t="n">
        <f aca="false">O1009+P1009/(1+H1009)^5</f>
        <v>372.03287553875</v>
      </c>
      <c r="R1009" s="24" t="n">
        <f aca="false">Q1009-'DCF Base Case'!$B$5</f>
        <v>187.03287553875</v>
      </c>
      <c r="S1009" s="32" t="n">
        <f aca="false">R1009/'DCF Base Case'!$B$6</f>
        <v>7.48131502155001</v>
      </c>
    </row>
    <row r="1010" customFormat="false" ht="15" hidden="false" customHeight="true" outlineLevel="0" collapsed="false">
      <c r="A1010" s="6" t="n">
        <v>1009</v>
      </c>
      <c r="B1010" s="30" t="n">
        <v>0.108133625559417</v>
      </c>
      <c r="C1010" s="30" t="n">
        <v>0.417790851726142</v>
      </c>
      <c r="D1010" s="30" t="n">
        <v>0.0769424553914366</v>
      </c>
      <c r="E1010" s="30" t="n">
        <v>0.269425097935091</v>
      </c>
      <c r="F1010" s="30" t="n">
        <v>0.0144986075413533</v>
      </c>
      <c r="G1010" s="30" t="n">
        <v>0.20816849163136</v>
      </c>
      <c r="H1010" s="31" t="n">
        <f aca="false">MAX(D1010,F1010+0.015)</f>
        <v>0.0769424553914366</v>
      </c>
      <c r="I1010" s="25" t="n">
        <f aca="false">(C1010-'DCF Base Case'!$B$3)*(1-E1010)+'DCF Base Case'!$B$3-G1010</f>
        <v>0.132084281683643</v>
      </c>
      <c r="J1010" s="24" t="n">
        <f aca="false">'DCF Base Case'!$B$2*(1+B1010)^1*$I1010-'DCF Base Case'!$B$2*(1+B1010)^0*B1010*'DCF Base Case'!$B$4</f>
        <v>20.752838650335</v>
      </c>
      <c r="K1010" s="24" t="n">
        <f aca="false">'DCF Base Case'!$B$2*(1+B1010)^2*$I1010-'DCF Base Case'!$B$2*(1+B1010)^1*B1010*'DCF Base Case'!$B$4</f>
        <v>22.9969183342453</v>
      </c>
      <c r="L1010" s="24" t="n">
        <f aca="false">'DCF Base Case'!$B$2*(1+B1010)^3*$I1010-'DCF Base Case'!$B$2*(1+B1010)^2*B1010*'DCF Base Case'!$B$4</f>
        <v>25.4836584904211</v>
      </c>
      <c r="M1010" s="24" t="n">
        <f aca="false">'DCF Base Case'!$B$2*(1+B1010)^4*$I1010-'DCF Base Case'!$B$2*(1+B1010)^3*B1010*'DCF Base Case'!$B$4</f>
        <v>28.2392988755083</v>
      </c>
      <c r="N1010" s="24" t="n">
        <f aca="false">'DCF Base Case'!$B$2*(1+B1010)^5*$I1010-'DCF Base Case'!$B$2*(1+B1010)^4*B1010*'DCF Base Case'!$B$4</f>
        <v>31.292916646173</v>
      </c>
      <c r="O1010" s="24" t="n">
        <f aca="false">J1010/(1+H1010)^1+K1010/(1+H1010)^2+L1010/(1+H1010)^3+M1010/(1+H1010)^4+N1010/(1+H1010)^5</f>
        <v>102.09588745499</v>
      </c>
      <c r="P1010" s="24" t="n">
        <f aca="false">N1010*(1+F1010)/(H1010-F1010)</f>
        <v>508.402692282324</v>
      </c>
      <c r="Q1010" s="24" t="n">
        <f aca="false">O1010+P1010/(1+H1010)^5</f>
        <v>453.045971789711</v>
      </c>
      <c r="R1010" s="24" t="n">
        <f aca="false">Q1010-'DCF Base Case'!$B$5</f>
        <v>268.045971789711</v>
      </c>
      <c r="S1010" s="32" t="n">
        <f aca="false">R1010/'DCF Base Case'!$B$6</f>
        <v>10.7218388715884</v>
      </c>
    </row>
    <row r="1011" customFormat="false" ht="15" hidden="false" customHeight="true" outlineLevel="0" collapsed="false">
      <c r="A1011" s="6" t="n">
        <v>1010</v>
      </c>
      <c r="B1011" s="30" t="n">
        <v>0.0880420996510177</v>
      </c>
      <c r="C1011" s="30" t="n">
        <v>0.426275596437568</v>
      </c>
      <c r="D1011" s="30" t="n">
        <v>0.0790944395384212</v>
      </c>
      <c r="E1011" s="30" t="n">
        <v>0.257947588492337</v>
      </c>
      <c r="F1011" s="30" t="n">
        <v>0.0184450756404117</v>
      </c>
      <c r="G1011" s="30" t="n">
        <v>0.191496691209015</v>
      </c>
      <c r="H1011" s="31" t="n">
        <f aca="false">MAX(D1011,F1011+0.015)</f>
        <v>0.0790944395384212</v>
      </c>
      <c r="I1011" s="25" t="n">
        <f aca="false">(C1011-'DCF Base Case'!$B$3)*(1-E1011)+'DCF Base Case'!$B$3-G1011</f>
        <v>0.158355329598354</v>
      </c>
      <c r="J1011" s="24" t="n">
        <f aca="false">'DCF Base Case'!$B$2*(1+B1011)^1*$I1011-'DCF Base Case'!$B$2*(1+B1011)^0*B1011*'DCF Base Case'!$B$4</f>
        <v>24.6001203360507</v>
      </c>
      <c r="K1011" s="24" t="n">
        <f aca="false">'DCF Base Case'!$B$2*(1+B1011)^2*$I1011-'DCF Base Case'!$B$2*(1+B1011)^1*B1011*'DCF Base Case'!$B$4</f>
        <v>26.7659665821043</v>
      </c>
      <c r="L1011" s="24" t="n">
        <f aca="false">'DCF Base Case'!$B$2*(1+B1011)^3*$I1011-'DCF Base Case'!$B$2*(1+B1011)^2*B1011*'DCF Base Case'!$B$4</f>
        <v>29.1224984791817</v>
      </c>
      <c r="M1011" s="24" t="n">
        <f aca="false">'DCF Base Case'!$B$2*(1+B1011)^4*$I1011-'DCF Base Case'!$B$2*(1+B1011)^3*B1011*'DCF Base Case'!$B$4</f>
        <v>31.6865043923725</v>
      </c>
      <c r="N1011" s="24" t="n">
        <f aca="false">'DCF Base Case'!$B$2*(1+B1011)^5*$I1011-'DCF Base Case'!$B$2*(1+B1011)^4*B1011*'DCF Base Case'!$B$4</f>
        <v>34.4762507696781</v>
      </c>
      <c r="O1011" s="24" t="n">
        <f aca="false">J1011/(1+H1011)^1+K1011/(1+H1011)^2+L1011/(1+H1011)^3+M1011/(1+H1011)^4+N1011/(1+H1011)^5</f>
        <v>115.89104662676</v>
      </c>
      <c r="P1011" s="24" t="n">
        <f aca="false">N1011*(1+F1011)/(H1011-F1011)</f>
        <v>578.937116009472</v>
      </c>
      <c r="Q1011" s="24" t="n">
        <f aca="false">O1011+P1011/(1+H1011)^5</f>
        <v>511.561954974167</v>
      </c>
      <c r="R1011" s="24" t="n">
        <f aca="false">Q1011-'DCF Base Case'!$B$5</f>
        <v>326.561954974167</v>
      </c>
      <c r="S1011" s="32" t="n">
        <f aca="false">R1011/'DCF Base Case'!$B$6</f>
        <v>13.0624781989667</v>
      </c>
    </row>
    <row r="1012" customFormat="false" ht="15" hidden="false" customHeight="true" outlineLevel="0" collapsed="false">
      <c r="A1012" s="6" t="n">
        <v>1011</v>
      </c>
      <c r="B1012" s="30" t="n">
        <v>0.0788121638318882</v>
      </c>
      <c r="C1012" s="30" t="n">
        <v>0.390906887910258</v>
      </c>
      <c r="D1012" s="30" t="n">
        <v>0.0867101066880606</v>
      </c>
      <c r="E1012" s="30" t="n">
        <v>0.294701454462732</v>
      </c>
      <c r="F1012" s="30" t="n">
        <v>0.0249329604998853</v>
      </c>
      <c r="G1012" s="30" t="n">
        <v>0.173410541240141</v>
      </c>
      <c r="H1012" s="31" t="n">
        <f aca="false">MAX(D1012,F1012+0.015)</f>
        <v>0.0867101066880606</v>
      </c>
      <c r="I1012" s="25" t="n">
        <f aca="false">(C1012-'DCF Base Case'!$B$3)*(1-E1012)+'DCF Base Case'!$B$3-G1012</f>
        <v>0.140606707323619</v>
      </c>
      <c r="J1012" s="24" t="n">
        <f aca="false">'DCF Base Case'!$B$2*(1+B1012)^1*$I1012-'DCF Base Case'!$B$2*(1+B1012)^0*B1012*'DCF Base Case'!$B$4</f>
        <v>21.6519598830065</v>
      </c>
      <c r="K1012" s="24" t="n">
        <f aca="false">'DCF Base Case'!$B$2*(1+B1012)^2*$I1012-'DCF Base Case'!$B$2*(1+B1012)^1*B1012*'DCF Base Case'!$B$4</f>
        <v>23.3583976925875</v>
      </c>
      <c r="L1012" s="24" t="n">
        <f aca="false">'DCF Base Case'!$B$2*(1+B1012)^3*$I1012-'DCF Base Case'!$B$2*(1+B1012)^2*B1012*'DCF Base Case'!$B$4</f>
        <v>25.1993235583861</v>
      </c>
      <c r="M1012" s="24" t="n">
        <f aca="false">'DCF Base Case'!$B$2*(1+B1012)^4*$I1012-'DCF Base Case'!$B$2*(1+B1012)^3*B1012*'DCF Base Case'!$B$4</f>
        <v>27.1853367751224</v>
      </c>
      <c r="N1012" s="24" t="n">
        <f aca="false">'DCF Base Case'!$B$2*(1+B1012)^5*$I1012-'DCF Base Case'!$B$2*(1+B1012)^4*B1012*'DCF Base Case'!$B$4</f>
        <v>29.3278719908684</v>
      </c>
      <c r="O1012" s="24" t="n">
        <f aca="false">J1012/(1+H1012)^1+K1012/(1+H1012)^2+L1012/(1+H1012)^3+M1012/(1+H1012)^4+N1012/(1+H1012)^5</f>
        <v>98.1840349839526</v>
      </c>
      <c r="P1012" s="24" t="n">
        <f aca="false">N1012*(1+F1012)/(H1012-F1012)</f>
        <v>486.573183118581</v>
      </c>
      <c r="Q1012" s="24" t="n">
        <f aca="false">O1012+P1012/(1+H1012)^5</f>
        <v>419.239183673172</v>
      </c>
      <c r="R1012" s="24" t="n">
        <f aca="false">Q1012-'DCF Base Case'!$B$5</f>
        <v>234.239183673172</v>
      </c>
      <c r="S1012" s="32" t="n">
        <f aca="false">R1012/'DCF Base Case'!$B$6</f>
        <v>9.36956734692687</v>
      </c>
    </row>
    <row r="1013" customFormat="false" ht="15" hidden="false" customHeight="true" outlineLevel="0" collapsed="false">
      <c r="A1013" s="6" t="n">
        <v>1012</v>
      </c>
      <c r="B1013" s="30" t="n">
        <v>0.10395904476629</v>
      </c>
      <c r="C1013" s="30" t="n">
        <v>0.432850130864855</v>
      </c>
      <c r="D1013" s="30" t="n">
        <v>0.0723168307987411</v>
      </c>
      <c r="E1013" s="30" t="n">
        <v>0.259207264104706</v>
      </c>
      <c r="F1013" s="30" t="n">
        <v>0.0149356806706237</v>
      </c>
      <c r="G1013" s="30" t="n">
        <v>0.139121312576899</v>
      </c>
      <c r="H1013" s="31" t="n">
        <f aca="false">MAX(D1013,F1013+0.015)</f>
        <v>0.0723168307987411</v>
      </c>
      <c r="I1013" s="25" t="n">
        <f aca="false">(C1013-'DCF Base Case'!$B$3)*(1-E1013)+'DCF Base Case'!$B$3-G1013</f>
        <v>0.215227864432725</v>
      </c>
      <c r="J1013" s="24" t="n">
        <f aca="false">'DCF Base Case'!$B$2*(1+B1013)^1*$I1013-'DCF Base Case'!$B$2*(1+B1013)^0*B1013*'DCF Base Case'!$B$4</f>
        <v>34.0001765610714</v>
      </c>
      <c r="K1013" s="24" t="n">
        <f aca="false">'DCF Base Case'!$B$2*(1+B1013)^2*$I1013-'DCF Base Case'!$B$2*(1+B1013)^1*B1013*'DCF Base Case'!$B$4</f>
        <v>37.5348024382455</v>
      </c>
      <c r="L1013" s="24" t="n">
        <f aca="false">'DCF Base Case'!$B$2*(1+B1013)^3*$I1013-'DCF Base Case'!$B$2*(1+B1013)^2*B1013*'DCF Base Case'!$B$4</f>
        <v>41.4368846452169</v>
      </c>
      <c r="M1013" s="24" t="n">
        <f aca="false">'DCF Base Case'!$B$2*(1+B1013)^4*$I1013-'DCF Base Case'!$B$2*(1+B1013)^3*B1013*'DCF Base Case'!$B$4</f>
        <v>45.7446235910246</v>
      </c>
      <c r="N1013" s="24" t="n">
        <f aca="false">'DCF Base Case'!$B$2*(1+B1013)^5*$I1013-'DCF Base Case'!$B$2*(1+B1013)^4*B1013*'DCF Base Case'!$B$4</f>
        <v>50.5001909627411</v>
      </c>
      <c r="O1013" s="24" t="n">
        <f aca="false">J1013/(1+H1013)^1+K1013/(1+H1013)^2+L1013/(1+H1013)^3+M1013/(1+H1013)^4+N1013/(1+H1013)^5</f>
        <v>168.172491149083</v>
      </c>
      <c r="P1013" s="24" t="n">
        <f aca="false">N1013*(1+F1013)/(H1013-F1013)</f>
        <v>893.227925448131</v>
      </c>
      <c r="Q1013" s="24" t="n">
        <f aca="false">O1013+P1013/(1+H1013)^5</f>
        <v>798.181383086635</v>
      </c>
      <c r="R1013" s="24" t="n">
        <f aca="false">Q1013-'DCF Base Case'!$B$5</f>
        <v>613.181383086635</v>
      </c>
      <c r="S1013" s="32" t="n">
        <f aca="false">R1013/'DCF Base Case'!$B$6</f>
        <v>24.5272553234654</v>
      </c>
    </row>
    <row r="1014" customFormat="false" ht="15" hidden="false" customHeight="true" outlineLevel="0" collapsed="false">
      <c r="A1014" s="6" t="n">
        <v>1013</v>
      </c>
      <c r="B1014" s="30" t="n">
        <v>0.107352410396798</v>
      </c>
      <c r="C1014" s="30" t="n">
        <v>0.425875513238004</v>
      </c>
      <c r="D1014" s="30" t="n">
        <v>0.085874456694006</v>
      </c>
      <c r="E1014" s="30" t="n">
        <v>0.24323640766133</v>
      </c>
      <c r="F1014" s="30" t="n">
        <v>0.0258832011367836</v>
      </c>
      <c r="G1014" s="30" t="n">
        <v>0.147246151108291</v>
      </c>
      <c r="H1014" s="31" t="n">
        <f aca="false">MAX(D1014,F1014+0.015)</f>
        <v>0.085874456694006</v>
      </c>
      <c r="I1014" s="25" t="n">
        <f aca="false">(C1014-'DCF Base Case'!$B$3)*(1-E1014)+'DCF Base Case'!$B$3-G1014</f>
        <v>0.206661665174749</v>
      </c>
      <c r="J1014" s="24" t="n">
        <f aca="false">'DCF Base Case'!$B$2*(1+B1014)^1*$I1014-'DCF Base Case'!$B$2*(1+B1014)^0*B1014*'DCF Base Case'!$B$4</f>
        <v>32.7158745096156</v>
      </c>
      <c r="K1014" s="24" t="n">
        <f aca="false">'DCF Base Case'!$B$2*(1+B1014)^2*$I1014-'DCF Base Case'!$B$2*(1+B1014)^1*B1014*'DCF Base Case'!$B$4</f>
        <v>36.228002496462</v>
      </c>
      <c r="L1014" s="24" t="n">
        <f aca="false">'DCF Base Case'!$B$2*(1+B1014)^3*$I1014-'DCF Base Case'!$B$2*(1+B1014)^2*B1014*'DCF Base Case'!$B$4</f>
        <v>40.1171658883184</v>
      </c>
      <c r="M1014" s="24" t="n">
        <f aca="false">'DCF Base Case'!$B$2*(1+B1014)^4*$I1014-'DCF Base Case'!$B$2*(1+B1014)^3*B1014*'DCF Base Case'!$B$4</f>
        <v>44.4238403447176</v>
      </c>
      <c r="N1014" s="24" t="n">
        <f aca="false">'DCF Base Case'!$B$2*(1+B1014)^5*$I1014-'DCF Base Case'!$B$2*(1+B1014)^4*B1014*'DCF Base Case'!$B$4</f>
        <v>49.1928466848056</v>
      </c>
      <c r="O1014" s="24" t="n">
        <f aca="false">J1014/(1+H1014)^1+K1014/(1+H1014)^2+L1014/(1+H1014)^3+M1014/(1+H1014)^4+N1014/(1+H1014)^5</f>
        <v>156.721286906704</v>
      </c>
      <c r="P1014" s="24" t="n">
        <f aca="false">N1014*(1+F1014)/(H1014-F1014)</f>
        <v>841.224517828311</v>
      </c>
      <c r="Q1014" s="24" t="n">
        <f aca="false">O1014+P1014/(1+H1014)^5</f>
        <v>713.92478694673</v>
      </c>
      <c r="R1014" s="24" t="n">
        <f aca="false">Q1014-'DCF Base Case'!$B$5</f>
        <v>528.92478694673</v>
      </c>
      <c r="S1014" s="32" t="n">
        <f aca="false">R1014/'DCF Base Case'!$B$6</f>
        <v>21.1569914778692</v>
      </c>
    </row>
    <row r="1015" customFormat="false" ht="15" hidden="false" customHeight="true" outlineLevel="0" collapsed="false">
      <c r="A1015" s="6" t="n">
        <v>1014</v>
      </c>
      <c r="B1015" s="30" t="n">
        <v>0.129976544614701</v>
      </c>
      <c r="C1015" s="30" t="n">
        <v>0.39959300682083</v>
      </c>
      <c r="D1015" s="30" t="n">
        <v>0.0760635872558781</v>
      </c>
      <c r="E1015" s="30" t="n">
        <v>0.245510526551232</v>
      </c>
      <c r="F1015" s="30" t="n">
        <v>0.0206392348624405</v>
      </c>
      <c r="G1015" s="30" t="n">
        <v>0.14327165220149</v>
      </c>
      <c r="H1015" s="31" t="n">
        <f aca="false">MAX(D1015,F1015+0.015)</f>
        <v>0.0760635872558781</v>
      </c>
      <c r="I1015" s="25" t="n">
        <f aca="false">(C1015-'DCF Base Case'!$B$3)*(1-E1015)+'DCF Base Case'!$B$3-G1015</f>
        <v>0.190133433560228</v>
      </c>
      <c r="J1015" s="24" t="n">
        <f aca="false">'DCF Base Case'!$B$2*(1+B1015)^1*$I1015-'DCF Base Case'!$B$2*(1+B1015)^0*B1015*'DCF Base Case'!$B$4</f>
        <v>30.5873184700928</v>
      </c>
      <c r="K1015" s="24" t="n">
        <f aca="false">'DCF Base Case'!$B$2*(1+B1015)^2*$I1015-'DCF Base Case'!$B$2*(1+B1015)^1*B1015*'DCF Base Case'!$B$4</f>
        <v>34.5629524338649</v>
      </c>
      <c r="L1015" s="24" t="n">
        <f aca="false">'DCF Base Case'!$B$2*(1+B1015)^3*$I1015-'DCF Base Case'!$B$2*(1+B1015)^2*B1015*'DCF Base Case'!$B$4</f>
        <v>39.0553255629009</v>
      </c>
      <c r="M1015" s="24" t="n">
        <f aca="false">'DCF Base Case'!$B$2*(1+B1015)^4*$I1015-'DCF Base Case'!$B$2*(1+B1015)^3*B1015*'DCF Base Case'!$B$4</f>
        <v>44.131601828369</v>
      </c>
      <c r="N1015" s="24" t="n">
        <f aca="false">'DCF Base Case'!$B$2*(1+B1015)^5*$I1015-'DCF Base Case'!$B$2*(1+B1015)^4*B1015*'DCF Base Case'!$B$4</f>
        <v>49.8676749423322</v>
      </c>
      <c r="O1015" s="24" t="n">
        <f aca="false">J1015/(1+H1015)^1+K1015/(1+H1015)^2+L1015/(1+H1015)^3+M1015/(1+H1015)^4+N1015/(1+H1015)^5</f>
        <v>157.099163906753</v>
      </c>
      <c r="P1015" s="24" t="n">
        <f aca="false">N1015*(1+F1015)/(H1015-F1015)</f>
        <v>918.313041101715</v>
      </c>
      <c r="Q1015" s="24" t="n">
        <f aca="false">O1015+P1015/(1+H1015)^5</f>
        <v>793.603070814512</v>
      </c>
      <c r="R1015" s="24" t="n">
        <f aca="false">Q1015-'DCF Base Case'!$B$5</f>
        <v>608.603070814512</v>
      </c>
      <c r="S1015" s="32" t="n">
        <f aca="false">R1015/'DCF Base Case'!$B$6</f>
        <v>24.3441228325805</v>
      </c>
    </row>
    <row r="1016" customFormat="false" ht="15" hidden="false" customHeight="true" outlineLevel="0" collapsed="false">
      <c r="A1016" s="6" t="n">
        <v>1015</v>
      </c>
      <c r="B1016" s="30" t="n">
        <v>0.0666116068187695</v>
      </c>
      <c r="C1016" s="30" t="n">
        <v>0.377029043896154</v>
      </c>
      <c r="D1016" s="30" t="n">
        <v>0.0935509056901165</v>
      </c>
      <c r="E1016" s="30" t="n">
        <v>0.301418676539837</v>
      </c>
      <c r="F1016" s="30" t="n">
        <v>0.0253569879844632</v>
      </c>
      <c r="G1016" s="30" t="n">
        <v>0.151397392589011</v>
      </c>
      <c r="H1016" s="31" t="n">
        <f aca="false">MAX(D1016,F1016+0.015)</f>
        <v>0.0935509056901165</v>
      </c>
      <c r="I1016" s="25" t="n">
        <f aca="false">(C1016-'DCF Base Case'!$B$3)*(1-E1016)+'DCF Base Case'!$B$3-G1016</f>
        <v>0.151172483829063</v>
      </c>
      <c r="J1016" s="24" t="n">
        <f aca="false">'DCF Base Case'!$B$2*(1+B1016)^1*$I1016-'DCF Base Case'!$B$2*(1+B1016)^0*B1016*'DCF Base Case'!$B$4</f>
        <v>23.090376763475</v>
      </c>
      <c r="K1016" s="24" t="n">
        <f aca="false">'DCF Base Case'!$B$2*(1+B1016)^2*$I1016-'DCF Base Case'!$B$2*(1+B1016)^1*B1016*'DCF Base Case'!$B$4</f>
        <v>24.6284638617409</v>
      </c>
      <c r="L1016" s="24" t="n">
        <f aca="false">'DCF Base Case'!$B$2*(1+B1016)^3*$I1016-'DCF Base Case'!$B$2*(1+B1016)^2*B1016*'DCF Base Case'!$B$4</f>
        <v>26.2690054130495</v>
      </c>
      <c r="M1016" s="24" t="n">
        <f aca="false">'DCF Base Case'!$B$2*(1+B1016)^4*$I1016-'DCF Base Case'!$B$2*(1+B1016)^3*B1016*'DCF Base Case'!$B$4</f>
        <v>28.0188260731436</v>
      </c>
      <c r="N1016" s="24" t="n">
        <f aca="false">'DCF Base Case'!$B$2*(1+B1016)^5*$I1016-'DCF Base Case'!$B$2*(1+B1016)^4*B1016*'DCF Base Case'!$B$4</f>
        <v>29.8852050990514</v>
      </c>
      <c r="O1016" s="24" t="n">
        <f aca="false">J1016/(1+H1016)^1+K1016/(1+H1016)^2+L1016/(1+H1016)^3+M1016/(1+H1016)^4+N1016/(1+H1016)^5</f>
        <v>100.500167693661</v>
      </c>
      <c r="P1016" s="24" t="n">
        <f aca="false">N1016*(1+F1016)/(H1016-F1016)</f>
        <v>449.350981973586</v>
      </c>
      <c r="Q1016" s="24" t="n">
        <f aca="false">O1016+P1016/(1+H1016)^5</f>
        <v>387.836584774181</v>
      </c>
      <c r="R1016" s="24" t="n">
        <f aca="false">Q1016-'DCF Base Case'!$B$5</f>
        <v>202.836584774181</v>
      </c>
      <c r="S1016" s="32" t="n">
        <f aca="false">R1016/'DCF Base Case'!$B$6</f>
        <v>8.11346339096725</v>
      </c>
    </row>
    <row r="1017" customFormat="false" ht="15" hidden="false" customHeight="true" outlineLevel="0" collapsed="false">
      <c r="A1017" s="6" t="n">
        <v>1016</v>
      </c>
      <c r="B1017" s="30" t="n">
        <v>0.0945359824526842</v>
      </c>
      <c r="C1017" s="30" t="n">
        <v>0.387819342585385</v>
      </c>
      <c r="D1017" s="30" t="n">
        <v>0.0813145707499115</v>
      </c>
      <c r="E1017" s="30" t="n">
        <v>0.266868475587535</v>
      </c>
      <c r="F1017" s="30" t="n">
        <v>0.0210074962693484</v>
      </c>
      <c r="G1017" s="30" t="n">
        <v>0.189546278262831</v>
      </c>
      <c r="H1017" s="31" t="n">
        <f aca="false">MAX(D1017,F1017+0.015)</f>
        <v>0.0813145707499115</v>
      </c>
      <c r="I1017" s="25" t="n">
        <f aca="false">(C1017-'DCF Base Case'!$B$3)*(1-E1017)+'DCF Base Case'!$B$3-G1017</f>
        <v>0.129469209389812</v>
      </c>
      <c r="J1017" s="24" t="n">
        <f aca="false">'DCF Base Case'!$B$2*(1+B1017)^1*$I1017-'DCF Base Case'!$B$2*(1+B1017)^0*B1017*'DCF Base Case'!$B$4</f>
        <v>20.1365311793741</v>
      </c>
      <c r="K1017" s="24" t="n">
        <f aca="false">'DCF Base Case'!$B$2*(1+B1017)^2*$I1017-'DCF Base Case'!$B$2*(1+B1017)^1*B1017*'DCF Base Case'!$B$4</f>
        <v>22.0401579376053</v>
      </c>
      <c r="L1017" s="24" t="n">
        <f aca="false">'DCF Base Case'!$B$2*(1+B1017)^3*$I1017-'DCF Base Case'!$B$2*(1+B1017)^2*B1017*'DCF Base Case'!$B$4</f>
        <v>24.1237459216492</v>
      </c>
      <c r="M1017" s="24" t="n">
        <f aca="false">'DCF Base Case'!$B$2*(1+B1017)^4*$I1017-'DCF Base Case'!$B$2*(1+B1017)^3*B1017*'DCF Base Case'!$B$4</f>
        <v>26.4043079427912</v>
      </c>
      <c r="N1017" s="24" t="n">
        <f aca="false">'DCF Base Case'!$B$2*(1+B1017)^5*$I1017-'DCF Base Case'!$B$2*(1+B1017)^4*B1017*'DCF Base Case'!$B$4</f>
        <v>28.9004651351462</v>
      </c>
      <c r="O1017" s="24" t="n">
        <f aca="false">J1017/(1+H1017)^1+K1017/(1+H1017)^2+L1017/(1+H1017)^3+M1017/(1+H1017)^4+N1017/(1+H1017)^5</f>
        <v>95.416333892278</v>
      </c>
      <c r="P1017" s="24" t="n">
        <f aca="false">N1017*(1+F1017)/(H1017-F1017)</f>
        <v>489.289056098476</v>
      </c>
      <c r="Q1017" s="24" t="n">
        <f aca="false">O1017+P1017/(1+H1017)^5</f>
        <v>426.398981922153</v>
      </c>
      <c r="R1017" s="24" t="n">
        <f aca="false">Q1017-'DCF Base Case'!$B$5</f>
        <v>241.398981922153</v>
      </c>
      <c r="S1017" s="32" t="n">
        <f aca="false">R1017/'DCF Base Case'!$B$6</f>
        <v>9.6559592768861</v>
      </c>
    </row>
    <row r="1018" customFormat="false" ht="15" hidden="false" customHeight="true" outlineLevel="0" collapsed="false">
      <c r="A1018" s="6" t="n">
        <v>1017</v>
      </c>
      <c r="B1018" s="30" t="n">
        <v>0.111642769157404</v>
      </c>
      <c r="C1018" s="30" t="n">
        <v>0.404430827208989</v>
      </c>
      <c r="D1018" s="30" t="n">
        <v>0.095983146950853</v>
      </c>
      <c r="E1018" s="30" t="n">
        <v>0.278417466332034</v>
      </c>
      <c r="F1018" s="30" t="n">
        <v>0.0180765116525561</v>
      </c>
      <c r="G1018" s="30" t="n">
        <v>0.15093954367526</v>
      </c>
      <c r="H1018" s="31" t="n">
        <f aca="false">MAX(D1018,F1018+0.015)</f>
        <v>0.095983146950853</v>
      </c>
      <c r="I1018" s="25" t="n">
        <f aca="false">(C1018-'DCF Base Case'!$B$3)*(1-E1018)+'DCF Base Case'!$B$3-G1018</f>
        <v>0.177084947938798</v>
      </c>
      <c r="J1018" s="24" t="n">
        <f aca="false">'DCF Base Case'!$B$2*(1+B1018)^1*$I1018-'DCF Base Case'!$B$2*(1+B1018)^0*B1018*'DCF Base Case'!$B$4</f>
        <v>28.0583582300684</v>
      </c>
      <c r="K1018" s="24" t="n">
        <f aca="false">'DCF Base Case'!$B$2*(1+B1018)^2*$I1018-'DCF Base Case'!$B$2*(1+B1018)^1*B1018*'DCF Base Case'!$B$4</f>
        <v>31.1908710408837</v>
      </c>
      <c r="L1018" s="24" t="n">
        <f aca="false">'DCF Base Case'!$B$2*(1+B1018)^3*$I1018-'DCF Base Case'!$B$2*(1+B1018)^2*B1018*'DCF Base Case'!$B$4</f>
        <v>34.6731062563194</v>
      </c>
      <c r="M1018" s="24" t="n">
        <f aca="false">'DCF Base Case'!$B$2*(1+B1018)^4*$I1018-'DCF Base Case'!$B$2*(1+B1018)^3*B1018*'DCF Base Case'!$B$4</f>
        <v>38.5441078540638</v>
      </c>
      <c r="N1018" s="24" t="n">
        <f aca="false">'DCF Base Case'!$B$2*(1+B1018)^5*$I1018-'DCF Base Case'!$B$2*(1+B1018)^4*B1018*'DCF Base Case'!$B$4</f>
        <v>42.8472787895932</v>
      </c>
      <c r="O1018" s="24" t="n">
        <f aca="false">J1018/(1+H1018)^1+K1018/(1+H1018)^2+L1018/(1+H1018)^3+M1018/(1+H1018)^4+N1018/(1+H1018)^5</f>
        <v>131.716000441564</v>
      </c>
      <c r="P1018" s="24" t="n">
        <f aca="false">N1018*(1+F1018)/(H1018-F1018)</f>
        <v>559.924170218492</v>
      </c>
      <c r="Q1018" s="24" t="n">
        <f aca="false">O1018+P1018/(1+H1018)^5</f>
        <v>485.80288036914</v>
      </c>
      <c r="R1018" s="24" t="n">
        <f aca="false">Q1018-'DCF Base Case'!$B$5</f>
        <v>300.80288036914</v>
      </c>
      <c r="S1018" s="32" t="n">
        <f aca="false">R1018/'DCF Base Case'!$B$6</f>
        <v>12.0321152147656</v>
      </c>
    </row>
    <row r="1019" customFormat="false" ht="15" hidden="false" customHeight="true" outlineLevel="0" collapsed="false">
      <c r="A1019" s="6" t="n">
        <v>1018</v>
      </c>
      <c r="B1019" s="30" t="n">
        <v>0.077931623766013</v>
      </c>
      <c r="C1019" s="30" t="n">
        <v>0.442623919396487</v>
      </c>
      <c r="D1019" s="30" t="n">
        <v>0.0883815184314343</v>
      </c>
      <c r="E1019" s="30" t="n">
        <v>0.284701807365588</v>
      </c>
      <c r="F1019" s="30" t="n">
        <v>0.0183306046485039</v>
      </c>
      <c r="G1019" s="30" t="n">
        <v>0.213416849460706</v>
      </c>
      <c r="H1019" s="31" t="n">
        <f aca="false">MAX(D1019,F1019+0.015)</f>
        <v>0.0883815184314343</v>
      </c>
      <c r="I1019" s="25" t="n">
        <f aca="false">(C1019-'DCF Base Case'!$B$3)*(1-E1019)+'DCF Base Case'!$B$3-G1019</f>
        <v>0.140202475057887</v>
      </c>
      <c r="J1019" s="24" t="n">
        <f aca="false">'DCF Base Case'!$B$2*(1+B1019)^1*$I1019-'DCF Base Case'!$B$2*(1+B1019)^0*B1019*'DCF Base Case'!$B$4</f>
        <v>21.5746562679164</v>
      </c>
      <c r="K1019" s="24" t="n">
        <f aca="false">'DCF Base Case'!$B$2*(1+B1019)^2*$I1019-'DCF Base Case'!$B$2*(1+B1019)^1*B1019*'DCF Base Case'!$B$4</f>
        <v>23.2560042630687</v>
      </c>
      <c r="L1019" s="24" t="n">
        <f aca="false">'DCF Base Case'!$B$2*(1+B1019)^3*$I1019-'DCF Base Case'!$B$2*(1+B1019)^2*B1019*'DCF Base Case'!$B$4</f>
        <v>25.068382437599</v>
      </c>
      <c r="M1019" s="24" t="n">
        <f aca="false">'DCF Base Case'!$B$2*(1+B1019)^4*$I1019-'DCF Base Case'!$B$2*(1+B1019)^3*B1019*'DCF Base Case'!$B$4</f>
        <v>27.0220021861485</v>
      </c>
      <c r="N1019" s="24" t="n">
        <f aca="false">'DCF Base Case'!$B$2*(1+B1019)^5*$I1019-'DCF Base Case'!$B$2*(1+B1019)^4*B1019*'DCF Base Case'!$B$4</f>
        <v>29.1278706939238</v>
      </c>
      <c r="O1019" s="24" t="n">
        <f aca="false">J1019/(1+H1019)^1+K1019/(1+H1019)^2+L1019/(1+H1019)^3+M1019/(1+H1019)^4+N1019/(1+H1019)^5</f>
        <v>97.2284277397503</v>
      </c>
      <c r="P1019" s="24" t="n">
        <f aca="false">N1019*(1+F1019)/(H1019-F1019)</f>
        <v>423.432052118279</v>
      </c>
      <c r="Q1019" s="24" t="n">
        <f aca="false">O1019+P1019/(1+H1019)^5</f>
        <v>374.482501930642</v>
      </c>
      <c r="R1019" s="24" t="n">
        <f aca="false">Q1019-'DCF Base Case'!$B$5</f>
        <v>189.482501930642</v>
      </c>
      <c r="S1019" s="32" t="n">
        <f aca="false">R1019/'DCF Base Case'!$B$6</f>
        <v>7.57930007722569</v>
      </c>
    </row>
    <row r="1020" customFormat="false" ht="15" hidden="false" customHeight="true" outlineLevel="0" collapsed="false">
      <c r="A1020" s="6" t="n">
        <v>1019</v>
      </c>
      <c r="B1020" s="30" t="n">
        <v>0.118097415892722</v>
      </c>
      <c r="C1020" s="30" t="n">
        <v>0.409806112040959</v>
      </c>
      <c r="D1020" s="30" t="n">
        <v>0.0819902343982491</v>
      </c>
      <c r="E1020" s="30" t="n">
        <v>0.273909685182922</v>
      </c>
      <c r="F1020" s="30" t="n">
        <v>0.0198817020477345</v>
      </c>
      <c r="G1020" s="30" t="n">
        <v>0.151085752075058</v>
      </c>
      <c r="H1020" s="31" t="n">
        <f aca="false">MAX(D1020,F1020+0.015)</f>
        <v>0.0819902343982491</v>
      </c>
      <c r="I1020" s="25" t="n">
        <f aca="false">(C1020-'DCF Base Case'!$B$3)*(1-E1020)+'DCF Base Case'!$B$3-G1020</f>
        <v>0.182078755904505</v>
      </c>
      <c r="J1020" s="24" t="n">
        <f aca="false">'DCF Base Case'!$B$2*(1+B1020)^1*$I1020-'DCF Base Case'!$B$2*(1+B1020)^0*B1020*'DCF Base Case'!$B$4</f>
        <v>29.0056352784059</v>
      </c>
      <c r="K1020" s="24" t="n">
        <f aca="false">'DCF Base Case'!$B$2*(1+B1020)^2*$I1020-'DCF Base Case'!$B$2*(1+B1020)^1*B1020*'DCF Base Case'!$B$4</f>
        <v>32.4311258511125</v>
      </c>
      <c r="L1020" s="24" t="n">
        <f aca="false">'DCF Base Case'!$B$2*(1+B1020)^3*$I1020-'DCF Base Case'!$B$2*(1+B1020)^2*B1020*'DCF Base Case'!$B$4</f>
        <v>36.2611580086205</v>
      </c>
      <c r="M1020" s="24" t="n">
        <f aca="false">'DCF Base Case'!$B$2*(1+B1020)^4*$I1020-'DCF Base Case'!$B$2*(1+B1020)^3*B1020*'DCF Base Case'!$B$4</f>
        <v>40.5435070667163</v>
      </c>
      <c r="N1020" s="24" t="n">
        <f aca="false">'DCF Base Case'!$B$2*(1+B1020)^5*$I1020-'DCF Base Case'!$B$2*(1+B1020)^4*B1020*'DCF Base Case'!$B$4</f>
        <v>45.3315904825238</v>
      </c>
      <c r="O1020" s="24" t="n">
        <f aca="false">J1020/(1+H1020)^1+K1020/(1+H1020)^2+L1020/(1+H1020)^3+M1020/(1+H1020)^4+N1020/(1+H1020)^5</f>
        <v>143.287901955167</v>
      </c>
      <c r="P1020" s="24" t="n">
        <f aca="false">N1020*(1+F1020)/(H1020-F1020)</f>
        <v>744.38821701547</v>
      </c>
      <c r="Q1020" s="24" t="n">
        <f aca="false">O1020+P1020/(1+H1020)^5</f>
        <v>645.263707015895</v>
      </c>
      <c r="R1020" s="24" t="n">
        <f aca="false">Q1020-'DCF Base Case'!$B$5</f>
        <v>460.263707015895</v>
      </c>
      <c r="S1020" s="32" t="n">
        <f aca="false">R1020/'DCF Base Case'!$B$6</f>
        <v>18.4105482806358</v>
      </c>
    </row>
    <row r="1021" customFormat="false" ht="15" hidden="false" customHeight="true" outlineLevel="0" collapsed="false">
      <c r="A1021" s="6" t="n">
        <v>1020</v>
      </c>
      <c r="B1021" s="30" t="n">
        <v>0.0993553666925247</v>
      </c>
      <c r="C1021" s="30" t="n">
        <v>0.443871191023232</v>
      </c>
      <c r="D1021" s="30" t="n">
        <v>0.0705500908009542</v>
      </c>
      <c r="E1021" s="30" t="n">
        <v>0.256887384317887</v>
      </c>
      <c r="F1021" s="30" t="n">
        <v>0.0174186269964411</v>
      </c>
      <c r="G1021" s="30" t="n">
        <v>0.156393945079013</v>
      </c>
      <c r="H1021" s="31" t="n">
        <f aca="false">MAX(D1021,F1021+0.015)</f>
        <v>0.0705500908009542</v>
      </c>
      <c r="I1021" s="25" t="n">
        <f aca="false">(C1021-'DCF Base Case'!$B$3)*(1-E1021)+'DCF Base Case'!$B$3-G1021</f>
        <v>0.206847696669521</v>
      </c>
      <c r="J1021" s="24" t="n">
        <f aca="false">'DCF Base Case'!$B$2*(1+B1021)^1*$I1021-'DCF Base Case'!$B$2*(1+B1021)^0*B1021*'DCF Base Case'!$B$4</f>
        <v>32.5406773410232</v>
      </c>
      <c r="K1021" s="24" t="n">
        <f aca="false">'DCF Base Case'!$B$2*(1+B1021)^2*$I1021-'DCF Base Case'!$B$2*(1+B1021)^1*B1021*'DCF Base Case'!$B$4</f>
        <v>35.7737682706637</v>
      </c>
      <c r="L1021" s="24" t="n">
        <f aca="false">'DCF Base Case'!$B$2*(1+B1021)^3*$I1021-'DCF Base Case'!$B$2*(1+B1021)^2*B1021*'DCF Base Case'!$B$4</f>
        <v>39.3280841351689</v>
      </c>
      <c r="M1021" s="24" t="n">
        <f aca="false">'DCF Base Case'!$B$2*(1+B1021)^4*$I1021-'DCF Base Case'!$B$2*(1+B1021)^3*B1021*'DCF Base Case'!$B$4</f>
        <v>43.2355403557331</v>
      </c>
      <c r="N1021" s="24" t="n">
        <f aca="false">'DCF Base Case'!$B$2*(1+B1021)^5*$I1021-'DCF Base Case'!$B$2*(1+B1021)^4*B1021*'DCF Base Case'!$B$4</f>
        <v>47.5312233219264</v>
      </c>
      <c r="O1021" s="24" t="n">
        <f aca="false">J1021/(1+H1021)^1+K1021/(1+H1021)^2+L1021/(1+H1021)^3+M1021/(1+H1021)^4+N1021/(1+H1021)^5</f>
        <v>160.382853658266</v>
      </c>
      <c r="P1021" s="24" t="n">
        <f aca="false">N1021*(1+F1021)/(H1021-F1021)</f>
        <v>910.179176496693</v>
      </c>
      <c r="Q1021" s="24" t="n">
        <f aca="false">O1021+P1021/(1+H1021)^5</f>
        <v>807.662471943084</v>
      </c>
      <c r="R1021" s="24" t="n">
        <f aca="false">Q1021-'DCF Base Case'!$B$5</f>
        <v>622.662471943084</v>
      </c>
      <c r="S1021" s="32" t="n">
        <f aca="false">R1021/'DCF Base Case'!$B$6</f>
        <v>24.9064988777234</v>
      </c>
    </row>
    <row r="1022" customFormat="false" ht="15" hidden="false" customHeight="true" outlineLevel="0" collapsed="false">
      <c r="A1022" s="6" t="n">
        <v>1021</v>
      </c>
      <c r="B1022" s="30" t="n">
        <v>0.129315177114054</v>
      </c>
      <c r="C1022" s="30" t="n">
        <v>0.445754963818907</v>
      </c>
      <c r="D1022" s="30" t="n">
        <v>0.0953875458733009</v>
      </c>
      <c r="E1022" s="30" t="n">
        <v>0.272656065608722</v>
      </c>
      <c r="F1022" s="30" t="n">
        <v>0.0182329115706066</v>
      </c>
      <c r="G1022" s="30" t="n">
        <v>0.137122122144258</v>
      </c>
      <c r="H1022" s="31" t="n">
        <f aca="false">MAX(D1022,F1022+0.015)</f>
        <v>0.0953875458733009</v>
      </c>
      <c r="I1022" s="25" t="n">
        <f aca="false">(C1022-'DCF Base Case'!$B$3)*(1-E1022)+'DCF Base Case'!$B$3-G1022</f>
        <v>0.222540335543361</v>
      </c>
      <c r="J1022" s="24" t="n">
        <f aca="false">'DCF Base Case'!$B$2*(1+B1022)^1*$I1022-'DCF Base Case'!$B$2*(1+B1022)^0*B1022*'DCF Base Case'!$B$4</f>
        <v>35.8786148546838</v>
      </c>
      <c r="K1022" s="24" t="n">
        <f aca="false">'DCF Base Case'!$B$2*(1+B1022)^2*$I1022-'DCF Base Case'!$B$2*(1+B1022)^1*B1022*'DCF Base Case'!$B$4</f>
        <v>40.5182642892242</v>
      </c>
      <c r="L1022" s="24" t="n">
        <f aca="false">'DCF Base Case'!$B$2*(1+B1022)^3*$I1022-'DCF Base Case'!$B$2*(1+B1022)^2*B1022*'DCF Base Case'!$B$4</f>
        <v>45.7578908121393</v>
      </c>
      <c r="M1022" s="24" t="n">
        <f aca="false">'DCF Base Case'!$B$2*(1+B1022)^4*$I1022-'DCF Base Case'!$B$2*(1+B1022)^3*B1022*'DCF Base Case'!$B$4</f>
        <v>51.6750805668766</v>
      </c>
      <c r="N1022" s="24" t="n">
        <f aca="false">'DCF Base Case'!$B$2*(1+B1022)^5*$I1022-'DCF Base Case'!$B$2*(1+B1022)^4*B1022*'DCF Base Case'!$B$4</f>
        <v>58.3574527627653</v>
      </c>
      <c r="O1022" s="24" t="n">
        <f aca="false">J1022/(1+H1022)^1+K1022/(1+H1022)^2+L1022/(1+H1022)^3+M1022/(1+H1022)^4+N1022/(1+H1022)^5</f>
        <v>174.235485904308</v>
      </c>
      <c r="P1022" s="24" t="n">
        <f aca="false">N1022*(1+F1022)/(H1022-F1022)</f>
        <v>770.16085392034</v>
      </c>
      <c r="Q1022" s="24" t="n">
        <f aca="false">O1022+P1022/(1+H1022)^5</f>
        <v>662.598140784714</v>
      </c>
      <c r="R1022" s="24" t="n">
        <f aca="false">Q1022-'DCF Base Case'!$B$5</f>
        <v>477.598140784713</v>
      </c>
      <c r="S1022" s="32" t="n">
        <f aca="false">R1022/'DCF Base Case'!$B$6</f>
        <v>19.1039256313885</v>
      </c>
    </row>
    <row r="1023" customFormat="false" ht="15" hidden="false" customHeight="true" outlineLevel="0" collapsed="false">
      <c r="A1023" s="6" t="n">
        <v>1022</v>
      </c>
      <c r="B1023" s="30" t="n">
        <v>0.10704672797618</v>
      </c>
      <c r="C1023" s="30" t="n">
        <v>0.429563511402236</v>
      </c>
      <c r="D1023" s="30" t="n">
        <v>0.0991459710114611</v>
      </c>
      <c r="E1023" s="30" t="n">
        <v>0.273996380027326</v>
      </c>
      <c r="F1023" s="30" t="n">
        <v>0.0188110592411088</v>
      </c>
      <c r="G1023" s="30" t="n">
        <v>0.169059613329</v>
      </c>
      <c r="H1023" s="31" t="n">
        <f aca="false">MAX(D1023,F1023+0.015)</f>
        <v>0.0991459710114611</v>
      </c>
      <c r="I1023" s="25" t="n">
        <f aca="false">(C1023-'DCF Base Case'!$B$3)*(1-E1023)+'DCF Base Case'!$B$3-G1023</f>
        <v>0.178424580360749</v>
      </c>
      <c r="J1023" s="24" t="n">
        <f aca="false">'DCF Base Case'!$B$2*(1+B1023)^1*$I1023-'DCF Base Case'!$B$2*(1+B1023)^0*B1023*'DCF Base Case'!$B$4</f>
        <v>28.1753771757426</v>
      </c>
      <c r="K1023" s="24" t="n">
        <f aca="false">'DCF Base Case'!$B$2*(1+B1023)^2*$I1023-'DCF Base Case'!$B$2*(1+B1023)^1*B1023*'DCF Base Case'!$B$4</f>
        <v>31.1914591119006</v>
      </c>
      <c r="L1023" s="24" t="n">
        <f aca="false">'DCF Base Case'!$B$2*(1+B1023)^3*$I1023-'DCF Base Case'!$B$2*(1+B1023)^2*B1023*'DCF Base Case'!$B$4</f>
        <v>34.5304027506324</v>
      </c>
      <c r="M1023" s="24" t="n">
        <f aca="false">'DCF Base Case'!$B$2*(1+B1023)^4*$I1023-'DCF Base Case'!$B$2*(1+B1023)^3*B1023*'DCF Base Case'!$B$4</f>
        <v>38.2267693807873</v>
      </c>
      <c r="N1023" s="24" t="n">
        <f aca="false">'DCF Base Case'!$B$2*(1+B1023)^5*$I1023-'DCF Base Case'!$B$2*(1+B1023)^4*B1023*'DCF Base Case'!$B$4</f>
        <v>42.3188199641006</v>
      </c>
      <c r="O1023" s="24" t="n">
        <f aca="false">J1023/(1+H1023)^1+K1023/(1+H1023)^2+L1023/(1+H1023)^3+M1023/(1+H1023)^4+N1023/(1+H1023)^5</f>
        <v>130.025283734716</v>
      </c>
      <c r="P1023" s="24" t="n">
        <f aca="false">N1023*(1+F1023)/(H1023-F1023)</f>
        <v>536.689228174029</v>
      </c>
      <c r="Q1023" s="24" t="n">
        <f aca="false">O1023+P1023/(1+H1023)^5</f>
        <v>464.563715842737</v>
      </c>
      <c r="R1023" s="24" t="n">
        <f aca="false">Q1023-'DCF Base Case'!$B$5</f>
        <v>279.563715842737</v>
      </c>
      <c r="S1023" s="32" t="n">
        <f aca="false">R1023/'DCF Base Case'!$B$6</f>
        <v>11.1825486337095</v>
      </c>
    </row>
    <row r="1024" customFormat="false" ht="15" hidden="false" customHeight="true" outlineLevel="0" collapsed="false">
      <c r="A1024" s="6" t="n">
        <v>1023</v>
      </c>
      <c r="B1024" s="30" t="n">
        <v>0.109485747825474</v>
      </c>
      <c r="C1024" s="30" t="n">
        <v>0.389335072599796</v>
      </c>
      <c r="D1024" s="30" t="n">
        <v>0.0930966174711221</v>
      </c>
      <c r="E1024" s="30" t="n">
        <v>0.279070865354395</v>
      </c>
      <c r="F1024" s="30" t="n">
        <v>0.0150353190713492</v>
      </c>
      <c r="G1024" s="30" t="n">
        <v>0.128614534448822</v>
      </c>
      <c r="H1024" s="31" t="n">
        <f aca="false">MAX(D1024,F1024+0.015)</f>
        <v>0.0930966174711221</v>
      </c>
      <c r="I1024" s="25" t="n">
        <f aca="false">(C1024-'DCF Base Case'!$B$3)*(1-E1024)+'DCF Base Case'!$B$3-G1024</f>
        <v>0.188347675023804</v>
      </c>
      <c r="J1024" s="24" t="n">
        <f aca="false">'DCF Base Case'!$B$2*(1+B1024)^1*$I1024-'DCF Base Case'!$B$2*(1+B1024)^0*B1024*'DCF Base Case'!$B$4</f>
        <v>29.8242508528305</v>
      </c>
      <c r="K1024" s="24" t="n">
        <f aca="false">'DCF Base Case'!$B$2*(1+B1024)^2*$I1024-'DCF Base Case'!$B$2*(1+B1024)^1*B1024*'DCF Base Case'!$B$4</f>
        <v>33.0895812607872</v>
      </c>
      <c r="L1024" s="24" t="n">
        <f aca="false">'DCF Base Case'!$B$2*(1+B1024)^3*$I1024-'DCF Base Case'!$B$2*(1+B1024)^2*B1024*'DCF Base Case'!$B$4</f>
        <v>36.7124188103563</v>
      </c>
      <c r="M1024" s="24" t="n">
        <f aca="false">'DCF Base Case'!$B$2*(1+B1024)^4*$I1024-'DCF Base Case'!$B$2*(1+B1024)^3*B1024*'DCF Base Case'!$B$4</f>
        <v>40.7319054382901</v>
      </c>
      <c r="N1024" s="24" t="n">
        <f aca="false">'DCF Base Case'!$B$2*(1+B1024)^5*$I1024-'DCF Base Case'!$B$2*(1+B1024)^4*B1024*'DCF Base Case'!$B$4</f>
        <v>45.1914685655578</v>
      </c>
      <c r="O1024" s="24" t="n">
        <f aca="false">J1024/(1+H1024)^1+K1024/(1+H1024)^2+L1024/(1+H1024)^3+M1024/(1+H1024)^4+N1024/(1+H1024)^5</f>
        <v>140.573524169904</v>
      </c>
      <c r="P1024" s="24" t="n">
        <f aca="false">N1024*(1+F1024)/(H1024-F1024)</f>
        <v>587.627129641457</v>
      </c>
      <c r="Q1024" s="24" t="n">
        <f aca="false">O1024+P1024/(1+H1024)^5</f>
        <v>517.11176227236</v>
      </c>
      <c r="R1024" s="24" t="n">
        <f aca="false">Q1024-'DCF Base Case'!$B$5</f>
        <v>332.11176227236</v>
      </c>
      <c r="S1024" s="32" t="n">
        <f aca="false">R1024/'DCF Base Case'!$B$6</f>
        <v>13.2844704908944</v>
      </c>
    </row>
    <row r="1025" customFormat="false" ht="15" hidden="false" customHeight="true" outlineLevel="0" collapsed="false">
      <c r="A1025" s="6" t="n">
        <v>1024</v>
      </c>
      <c r="B1025" s="30" t="n">
        <v>0.087208230346435</v>
      </c>
      <c r="C1025" s="30" t="n">
        <v>0.440468239987404</v>
      </c>
      <c r="D1025" s="30" t="n">
        <v>0.103421531334155</v>
      </c>
      <c r="E1025" s="30" t="n">
        <v>0.290205155292688</v>
      </c>
      <c r="F1025" s="30" t="n">
        <v>0.0256928974141919</v>
      </c>
      <c r="G1025" s="30" t="n">
        <v>0.164297625709686</v>
      </c>
      <c r="H1025" s="31" t="n">
        <f aca="false">MAX(D1025,F1025+0.015)</f>
        <v>0.103421531334155</v>
      </c>
      <c r="I1025" s="25" t="n">
        <f aca="false">(C1025-'DCF Base Case'!$B$3)*(1-E1025)+'DCF Base Case'!$B$3-G1025</f>
        <v>0.186071130478726</v>
      </c>
      <c r="J1025" s="24" t="n">
        <f aca="false">'DCF Base Case'!$B$2*(1+B1025)^1*$I1025-'DCF Base Case'!$B$2*(1+B1025)^0*B1025*'DCF Base Case'!$B$4</f>
        <v>28.9538635485118</v>
      </c>
      <c r="K1025" s="24" t="n">
        <f aca="false">'DCF Base Case'!$B$2*(1+B1025)^2*$I1025-'DCF Base Case'!$B$2*(1+B1025)^1*B1025*'DCF Base Case'!$B$4</f>
        <v>31.4788787502696</v>
      </c>
      <c r="L1025" s="24" t="n">
        <f aca="false">'DCF Base Case'!$B$2*(1+B1025)^3*$I1025-'DCF Base Case'!$B$2*(1+B1025)^2*B1025*'DCF Base Case'!$B$4</f>
        <v>34.2240960593706</v>
      </c>
      <c r="M1025" s="24" t="n">
        <f aca="false">'DCF Base Case'!$B$2*(1+B1025)^4*$I1025-'DCF Base Case'!$B$2*(1+B1025)^3*B1025*'DCF Base Case'!$B$4</f>
        <v>37.2087189119147</v>
      </c>
      <c r="N1025" s="24" t="n">
        <f aca="false">'DCF Base Case'!$B$2*(1+B1025)^5*$I1025-'DCF Base Case'!$B$2*(1+B1025)^4*B1025*'DCF Base Case'!$B$4</f>
        <v>40.4536254416807</v>
      </c>
      <c r="O1025" s="24" t="n">
        <f aca="false">J1025/(1+H1025)^1+K1025/(1+H1025)^2+L1025/(1+H1025)^3+M1025/(1+H1025)^4+N1025/(1+H1025)^5</f>
        <v>127.400984998521</v>
      </c>
      <c r="P1025" s="24" t="n">
        <f aca="false">N1025*(1+F1025)/(H1025-F1025)</f>
        <v>533.818673989706</v>
      </c>
      <c r="Q1025" s="24" t="n">
        <f aca="false">O1025+P1025/(1+H1025)^5</f>
        <v>453.753144771121</v>
      </c>
      <c r="R1025" s="24" t="n">
        <f aca="false">Q1025-'DCF Base Case'!$B$5</f>
        <v>268.753144771121</v>
      </c>
      <c r="S1025" s="32" t="n">
        <f aca="false">R1025/'DCF Base Case'!$B$6</f>
        <v>10.7501257908448</v>
      </c>
    </row>
    <row r="1026" customFormat="false" ht="15" hidden="false" customHeight="true" outlineLevel="0" collapsed="false">
      <c r="A1026" s="6" t="n">
        <v>1025</v>
      </c>
      <c r="B1026" s="30" t="n">
        <v>0.110826540635729</v>
      </c>
      <c r="C1026" s="30" t="n">
        <v>0.412793600885994</v>
      </c>
      <c r="D1026" s="30" t="n">
        <v>0.0793394127678744</v>
      </c>
      <c r="E1026" s="30" t="n">
        <v>0.263776515894326</v>
      </c>
      <c r="F1026" s="30" t="n">
        <v>0.011855518829929</v>
      </c>
      <c r="G1026" s="30" t="n">
        <v>0.195624061069362</v>
      </c>
      <c r="H1026" s="31" t="n">
        <f aca="false">MAX(D1026,F1026+0.015)</f>
        <v>0.0793394127678744</v>
      </c>
      <c r="I1026" s="25" t="n">
        <f aca="false">(C1026-'DCF Base Case'!$B$3)*(1-E1026)+'DCF Base Case'!$B$3-G1026</f>
        <v>0.142575229057714</v>
      </c>
      <c r="J1026" s="24" t="n">
        <f aca="false">'DCF Base Case'!$B$2*(1+B1026)^1*$I1026-'DCF Base Case'!$B$2*(1+B1026)^0*B1026*'DCF Base Case'!$B$4</f>
        <v>22.482475077041</v>
      </c>
      <c r="K1026" s="24" t="n">
        <f aca="false">'DCF Base Case'!$B$2*(1+B1026)^2*$I1026-'DCF Base Case'!$B$2*(1+B1026)^1*B1026*'DCF Base Case'!$B$4</f>
        <v>24.9741300147584</v>
      </c>
      <c r="L1026" s="24" t="n">
        <f aca="false">'DCF Base Case'!$B$2*(1+B1026)^3*$I1026-'DCF Base Case'!$B$2*(1+B1026)^2*B1026*'DCF Base Case'!$B$4</f>
        <v>27.7419264496811</v>
      </c>
      <c r="M1026" s="24" t="n">
        <f aca="false">'DCF Base Case'!$B$2*(1+B1026)^4*$I1026-'DCF Base Case'!$B$2*(1+B1026)^3*B1026*'DCF Base Case'!$B$4</f>
        <v>30.81646818867</v>
      </c>
      <c r="N1026" s="24" t="n">
        <f aca="false">'DCF Base Case'!$B$2*(1+B1026)^5*$I1026-'DCF Base Case'!$B$2*(1+B1026)^4*B1026*'DCF Base Case'!$B$4</f>
        <v>34.2317507526313</v>
      </c>
      <c r="O1026" s="24" t="n">
        <f aca="false">J1026/(1+H1026)^1+K1026/(1+H1026)^2+L1026/(1+H1026)^3+M1026/(1+H1026)^4+N1026/(1+H1026)^5</f>
        <v>110.405713565423</v>
      </c>
      <c r="P1026" s="24" t="n">
        <f aca="false">N1026*(1+F1026)/(H1026-F1026)</f>
        <v>513.271891958568</v>
      </c>
      <c r="Q1026" s="24" t="n">
        <f aca="false">O1026+P1026/(1+H1026)^5</f>
        <v>460.800231162957</v>
      </c>
      <c r="R1026" s="24" t="n">
        <f aca="false">Q1026-'DCF Base Case'!$B$5</f>
        <v>275.800231162957</v>
      </c>
      <c r="S1026" s="32" t="n">
        <f aca="false">R1026/'DCF Base Case'!$B$6</f>
        <v>11.0320092465183</v>
      </c>
    </row>
    <row r="1027" customFormat="false" ht="15" hidden="false" customHeight="true" outlineLevel="0" collapsed="false">
      <c r="A1027" s="6" t="n">
        <v>1026</v>
      </c>
      <c r="B1027" s="30" t="n">
        <v>0.0760940391663184</v>
      </c>
      <c r="C1027" s="30" t="n">
        <v>0.391435748909374</v>
      </c>
      <c r="D1027" s="30" t="n">
        <v>0.0720203115022606</v>
      </c>
      <c r="E1027" s="30" t="n">
        <v>0.27416108848138</v>
      </c>
      <c r="F1027" s="30" t="n">
        <v>0.0252401829762275</v>
      </c>
      <c r="G1027" s="30" t="n">
        <v>0.209567404206162</v>
      </c>
      <c r="H1027" s="31" t="n">
        <f aca="false">MAX(D1027,F1027+0.015)</f>
        <v>0.0720203115022606</v>
      </c>
      <c r="I1027" s="25" t="n">
        <f aca="false">(C1027-'DCF Base Case'!$B$3)*(1-E1027)+'DCF Base Case'!$B$3-G1027</f>
        <v>0.110192835214273</v>
      </c>
      <c r="J1027" s="24" t="n">
        <f aca="false">'DCF Base Case'!$B$2*(1+B1027)^1*$I1027-'DCF Base Case'!$B$2*(1+B1027)^0*B1027*'DCF Base Case'!$B$4</f>
        <v>16.8627796338993</v>
      </c>
      <c r="K1027" s="24" t="n">
        <f aca="false">'DCF Base Case'!$B$2*(1+B1027)^2*$I1027-'DCF Base Case'!$B$2*(1+B1027)^1*B1027*'DCF Base Case'!$B$4</f>
        <v>18.1459366478143</v>
      </c>
      <c r="L1027" s="24" t="n">
        <f aca="false">'DCF Base Case'!$B$2*(1+B1027)^3*$I1027-'DCF Base Case'!$B$2*(1+B1027)^2*B1027*'DCF Base Case'!$B$4</f>
        <v>19.5267342618026</v>
      </c>
      <c r="M1027" s="24" t="n">
        <f aca="false">'DCF Base Case'!$B$2*(1+B1027)^4*$I1027-'DCF Base Case'!$B$2*(1+B1027)^3*B1027*'DCF Base Case'!$B$4</f>
        <v>21.0126023435105</v>
      </c>
      <c r="N1027" s="24" t="n">
        <f aca="false">'DCF Base Case'!$B$2*(1+B1027)^5*$I1027-'DCF Base Case'!$B$2*(1+B1027)^4*B1027*'DCF Base Case'!$B$4</f>
        <v>22.6115361292238</v>
      </c>
      <c r="O1027" s="24" t="n">
        <f aca="false">J1027/(1+H1027)^1+K1027/(1+H1027)^2+L1027/(1+H1027)^3+M1027/(1+H1027)^4+N1027/(1+H1027)^5</f>
        <v>79.2495538568025</v>
      </c>
      <c r="P1027" s="24" t="n">
        <f aca="false">N1027*(1+F1027)/(H1027-F1027)</f>
        <v>495.557754305829</v>
      </c>
      <c r="Q1027" s="24" t="n">
        <f aca="false">O1027+P1027/(1+H1027)^5</f>
        <v>429.258549425516</v>
      </c>
      <c r="R1027" s="24" t="n">
        <f aca="false">Q1027-'DCF Base Case'!$B$5</f>
        <v>244.258549425516</v>
      </c>
      <c r="S1027" s="32" t="n">
        <f aca="false">R1027/'DCF Base Case'!$B$6</f>
        <v>9.77034197702064</v>
      </c>
    </row>
    <row r="1028" customFormat="false" ht="15" hidden="false" customHeight="true" outlineLevel="0" collapsed="false">
      <c r="A1028" s="6" t="n">
        <v>1027</v>
      </c>
      <c r="B1028" s="30" t="n">
        <v>0.055551542222041</v>
      </c>
      <c r="C1028" s="30" t="n">
        <v>0.392912051678716</v>
      </c>
      <c r="D1028" s="30" t="n">
        <v>0.0736220645289693</v>
      </c>
      <c r="E1028" s="30" t="n">
        <v>0.31001516569505</v>
      </c>
      <c r="F1028" s="30" t="n">
        <v>0.0203710768100371</v>
      </c>
      <c r="G1028" s="30" t="n">
        <v>0.152385348839962</v>
      </c>
      <c r="H1028" s="31" t="n">
        <f aca="false">MAX(D1028,F1028+0.015)</f>
        <v>0.0736220645289693</v>
      </c>
      <c r="I1028" s="25" t="n">
        <f aca="false">(C1028-'DCF Base Case'!$B$3)*(1-E1028)+'DCF Base Case'!$B$3-G1028</f>
        <v>0.159019979574351</v>
      </c>
      <c r="J1028" s="24" t="n">
        <f aca="false">'DCF Base Case'!$B$2*(1+B1028)^1*$I1028-'DCF Base Case'!$B$2*(1+B1028)^0*B1028*'DCF Base Case'!$B$4</f>
        <v>24.0971495704886</v>
      </c>
      <c r="K1028" s="24" t="n">
        <f aca="false">'DCF Base Case'!$B$2*(1+B1028)^2*$I1028-'DCF Base Case'!$B$2*(1+B1028)^1*B1028*'DCF Base Case'!$B$4</f>
        <v>25.4357833922844</v>
      </c>
      <c r="L1028" s="24" t="n">
        <f aca="false">'DCF Base Case'!$B$2*(1+B1028)^3*$I1028-'DCF Base Case'!$B$2*(1+B1028)^2*B1028*'DCF Base Case'!$B$4</f>
        <v>26.8487803873516</v>
      </c>
      <c r="M1028" s="24" t="n">
        <f aca="false">'DCF Base Case'!$B$2*(1+B1028)^4*$I1028-'DCF Base Case'!$B$2*(1+B1028)^3*B1028*'DCF Base Case'!$B$4</f>
        <v>28.3402715446499</v>
      </c>
      <c r="N1028" s="24" t="n">
        <f aca="false">'DCF Base Case'!$B$2*(1+B1028)^5*$I1028-'DCF Base Case'!$B$2*(1+B1028)^4*B1028*'DCF Base Case'!$B$4</f>
        <v>29.9146173359466</v>
      </c>
      <c r="O1028" s="24" t="n">
        <f aca="false">J1028/(1+H1028)^1+K1028/(1+H1028)^2+L1028/(1+H1028)^3+M1028/(1+H1028)^4+N1028/(1+H1028)^5</f>
        <v>108.50891246047</v>
      </c>
      <c r="P1028" s="24" t="n">
        <f aca="false">N1028*(1+F1028)/(H1028-F1028)</f>
        <v>573.210218457374</v>
      </c>
      <c r="Q1028" s="24" t="n">
        <f aca="false">O1028+P1028/(1+H1028)^5</f>
        <v>510.352259290039</v>
      </c>
      <c r="R1028" s="24" t="n">
        <f aca="false">Q1028-'DCF Base Case'!$B$5</f>
        <v>325.352259290039</v>
      </c>
      <c r="S1028" s="32" t="n">
        <f aca="false">R1028/'DCF Base Case'!$B$6</f>
        <v>13.0140903716016</v>
      </c>
    </row>
    <row r="1029" customFormat="false" ht="15" hidden="false" customHeight="true" outlineLevel="0" collapsed="false">
      <c r="A1029" s="6" t="n">
        <v>1028</v>
      </c>
      <c r="B1029" s="30" t="n">
        <v>0.0914679011170467</v>
      </c>
      <c r="C1029" s="30" t="n">
        <v>0.404938476301523</v>
      </c>
      <c r="D1029" s="30" t="n">
        <v>0.102756707038124</v>
      </c>
      <c r="E1029" s="30" t="n">
        <v>0.296215128481584</v>
      </c>
      <c r="F1029" s="30" t="n">
        <v>0.0217547906938357</v>
      </c>
      <c r="G1029" s="30" t="n">
        <v>0.123912811408909</v>
      </c>
      <c r="H1029" s="31" t="n">
        <f aca="false">MAX(D1029,F1029+0.015)</f>
        <v>0.102756707038124</v>
      </c>
      <c r="I1029" s="25" t="n">
        <f aca="false">(C1029-'DCF Base Case'!$B$3)*(1-E1029)+'DCF Base Case'!$B$3-G1029</f>
        <v>0.199584728810427</v>
      </c>
      <c r="J1029" s="24" t="n">
        <f aca="false">'DCF Base Case'!$B$2*(1+B1029)^1*$I1029-'DCF Base Case'!$B$2*(1+B1029)^0*B1029*'DCF Base Case'!$B$4</f>
        <v>31.188961762352</v>
      </c>
      <c r="K1029" s="24" t="n">
        <f aca="false">'DCF Base Case'!$B$2*(1+B1029)^2*$I1029-'DCF Base Case'!$B$2*(1+B1029)^1*B1029*'DCF Base Case'!$B$4</f>
        <v>34.0417506327742</v>
      </c>
      <c r="L1029" s="24" t="n">
        <f aca="false">'DCF Base Case'!$B$2*(1+B1029)^3*$I1029-'DCF Base Case'!$B$2*(1+B1029)^2*B1029*'DCF Base Case'!$B$4</f>
        <v>37.1554781135039</v>
      </c>
      <c r="M1029" s="24" t="n">
        <f aca="false">'DCF Base Case'!$B$2*(1+B1029)^4*$I1029-'DCF Base Case'!$B$2*(1+B1029)^3*B1029*'DCF Base Case'!$B$4</f>
        <v>40.5540117115465</v>
      </c>
      <c r="N1029" s="24" t="n">
        <f aca="false">'DCF Base Case'!$B$2*(1+B1029)^5*$I1029-'DCF Base Case'!$B$2*(1+B1029)^4*B1029*'DCF Base Case'!$B$4</f>
        <v>44.2634020446778</v>
      </c>
      <c r="O1029" s="24" t="n">
        <f aca="false">J1029/(1+H1029)^1+K1029/(1+H1029)^2+L1029/(1+H1029)^3+M1029/(1+H1029)^4+N1029/(1+H1029)^5</f>
        <v>138.547826030878</v>
      </c>
      <c r="P1029" s="24" t="n">
        <f aca="false">N1029*(1+F1029)/(H1029-F1029)</f>
        <v>558.336705261738</v>
      </c>
      <c r="Q1029" s="24" t="n">
        <f aca="false">O1029+P1029/(1+H1029)^5</f>
        <v>480.91935328121</v>
      </c>
      <c r="R1029" s="24" t="n">
        <f aca="false">Q1029-'DCF Base Case'!$B$5</f>
        <v>295.91935328121</v>
      </c>
      <c r="S1029" s="32" t="n">
        <f aca="false">R1029/'DCF Base Case'!$B$6</f>
        <v>11.8367741312484</v>
      </c>
    </row>
    <row r="1030" customFormat="false" ht="15" hidden="false" customHeight="true" outlineLevel="0" collapsed="false">
      <c r="A1030" s="6" t="n">
        <v>1029</v>
      </c>
      <c r="B1030" s="30" t="n">
        <v>0.088650537927933</v>
      </c>
      <c r="C1030" s="30" t="n">
        <v>0.44962249834466</v>
      </c>
      <c r="D1030" s="30" t="n">
        <v>0.0995874197704035</v>
      </c>
      <c r="E1030" s="30" t="n">
        <v>0.248438457994267</v>
      </c>
      <c r="F1030" s="30" t="n">
        <v>0.0181222688671514</v>
      </c>
      <c r="G1030" s="30" t="n">
        <v>0.14142660776498</v>
      </c>
      <c r="H1030" s="31" t="n">
        <f aca="false">MAX(D1030,F1030+0.015)</f>
        <v>0.0995874197704035</v>
      </c>
      <c r="I1030" s="25" t="n">
        <f aca="false">(C1030-'DCF Base Case'!$B$3)*(1-E1030)+'DCF Base Case'!$B$3-G1030</f>
        <v>0.228789369950658</v>
      </c>
      <c r="J1030" s="24" t="n">
        <f aca="false">'DCF Base Case'!$B$2*(1+B1030)^1*$I1030-'DCF Base Case'!$B$2*(1+B1030)^0*B1030*'DCF Base Case'!$B$4</f>
        <v>35.729762407015</v>
      </c>
      <c r="K1030" s="24" t="n">
        <f aca="false">'DCF Base Case'!$B$2*(1+B1030)^2*$I1030-'DCF Base Case'!$B$2*(1+B1030)^1*B1030*'DCF Base Case'!$B$4</f>
        <v>38.8972250644342</v>
      </c>
      <c r="L1030" s="24" t="n">
        <f aca="false">'DCF Base Case'!$B$2*(1+B1030)^3*$I1030-'DCF Base Case'!$B$2*(1+B1030)^2*B1030*'DCF Base Case'!$B$4</f>
        <v>42.3454849903001</v>
      </c>
      <c r="M1030" s="24" t="n">
        <f aca="false">'DCF Base Case'!$B$2*(1+B1030)^4*$I1030-'DCF Base Case'!$B$2*(1+B1030)^3*B1030*'DCF Base Case'!$B$4</f>
        <v>46.0994350135094</v>
      </c>
      <c r="N1030" s="24" t="n">
        <f aca="false">'DCF Base Case'!$B$2*(1+B1030)^5*$I1030-'DCF Base Case'!$B$2*(1+B1030)^4*B1030*'DCF Base Case'!$B$4</f>
        <v>50.1861747256308</v>
      </c>
      <c r="O1030" s="24" t="n">
        <f aca="false">J1030/(1+H1030)^1+K1030/(1+H1030)^2+L1030/(1+H1030)^3+M1030/(1+H1030)^4+N1030/(1+H1030)^5</f>
        <v>159.268988960774</v>
      </c>
      <c r="P1030" s="24" t="n">
        <f aca="false">N1030*(1+F1030)/(H1030-F1030)</f>
        <v>627.208831149208</v>
      </c>
      <c r="Q1030" s="24" t="n">
        <f aca="false">O1030+P1030/(1+H1030)^5</f>
        <v>549.447504543184</v>
      </c>
      <c r="R1030" s="24" t="n">
        <f aca="false">Q1030-'DCF Base Case'!$B$5</f>
        <v>364.447504543184</v>
      </c>
      <c r="S1030" s="32" t="n">
        <f aca="false">R1030/'DCF Base Case'!$B$6</f>
        <v>14.5779001817274</v>
      </c>
    </row>
    <row r="1031" customFormat="false" ht="15" hidden="false" customHeight="true" outlineLevel="0" collapsed="false">
      <c r="A1031" s="6" t="n">
        <v>1030</v>
      </c>
      <c r="B1031" s="30" t="n">
        <v>0.125246833713907</v>
      </c>
      <c r="C1031" s="30" t="n">
        <v>0.431440134172892</v>
      </c>
      <c r="D1031" s="30" t="n">
        <v>0.0765542488429542</v>
      </c>
      <c r="E1031" s="30" t="n">
        <v>0.280608945421049</v>
      </c>
      <c r="F1031" s="30" t="n">
        <v>0.0108935136431757</v>
      </c>
      <c r="G1031" s="30" t="n">
        <v>0.143577056408882</v>
      </c>
      <c r="H1031" s="31" t="n">
        <f aca="false">MAX(D1031,F1031+0.015)</f>
        <v>0.0765542488429542</v>
      </c>
      <c r="I1031" s="25" t="n">
        <f aca="false">(C1031-'DCF Base Case'!$B$3)*(1-E1031)+'DCF Base Case'!$B$3-G1031</f>
        <v>0.203276279606175</v>
      </c>
      <c r="J1031" s="24" t="n">
        <f aca="false">'DCF Base Case'!$B$2*(1+B1031)^1*$I1031-'DCF Base Case'!$B$2*(1+B1031)^0*B1031*'DCF Base Case'!$B$4</f>
        <v>32.6218948227633</v>
      </c>
      <c r="K1031" s="24" t="n">
        <f aca="false">'DCF Base Case'!$B$2*(1+B1031)^2*$I1031-'DCF Base Case'!$B$2*(1+B1031)^1*B1031*'DCF Base Case'!$B$4</f>
        <v>36.7076838590625</v>
      </c>
      <c r="L1031" s="24" t="n">
        <f aca="false">'DCF Base Case'!$B$2*(1+B1031)^3*$I1031-'DCF Base Case'!$B$2*(1+B1031)^2*B1031*'DCF Base Case'!$B$4</f>
        <v>41.3052050353812</v>
      </c>
      <c r="M1031" s="24" t="n">
        <f aca="false">'DCF Base Case'!$B$2*(1+B1031)^4*$I1031-'DCF Base Case'!$B$2*(1+B1031)^3*B1031*'DCF Base Case'!$B$4</f>
        <v>46.4785511819664</v>
      </c>
      <c r="N1031" s="24" t="n">
        <f aca="false">'DCF Base Case'!$B$2*(1+B1031)^5*$I1031-'DCF Base Case'!$B$2*(1+B1031)^4*B1031*'DCF Base Case'!$B$4</f>
        <v>52.2998425531174</v>
      </c>
      <c r="O1031" s="24" t="n">
        <f aca="false">J1031/(1+H1031)^1+K1031/(1+H1031)^2+L1031/(1+H1031)^3+M1031/(1+H1031)^4+N1031/(1+H1031)^5</f>
        <v>165.850408036734</v>
      </c>
      <c r="P1031" s="24" t="n">
        <f aca="false">N1031*(1+F1031)/(H1031-F1031)</f>
        <v>805.193110321496</v>
      </c>
      <c r="Q1031" s="24" t="n">
        <f aca="false">O1031+P1031/(1+H1031)^5</f>
        <v>722.677623331543</v>
      </c>
      <c r="R1031" s="24" t="n">
        <f aca="false">Q1031-'DCF Base Case'!$B$5</f>
        <v>537.677623331543</v>
      </c>
      <c r="S1031" s="32" t="n">
        <f aca="false">R1031/'DCF Base Case'!$B$6</f>
        <v>21.5071049332617</v>
      </c>
    </row>
    <row r="1032" customFormat="false" ht="15" hidden="false" customHeight="true" outlineLevel="0" collapsed="false">
      <c r="A1032" s="6" t="n">
        <v>1031</v>
      </c>
      <c r="B1032" s="30" t="n">
        <v>0.0907321466584987</v>
      </c>
      <c r="C1032" s="30" t="n">
        <v>0.43098781405212</v>
      </c>
      <c r="D1032" s="30" t="n">
        <v>0.0636455446734293</v>
      </c>
      <c r="E1032" s="30" t="n">
        <v>0.269876880040646</v>
      </c>
      <c r="F1032" s="30" t="n">
        <v>0.0229703879086615</v>
      </c>
      <c r="G1032" s="30" t="n">
        <v>0.137126217936462</v>
      </c>
      <c r="H1032" s="31" t="n">
        <f aca="false">MAX(D1032,F1032+0.015)</f>
        <v>0.0636455446734293</v>
      </c>
      <c r="I1032" s="25" t="n">
        <f aca="false">(C1032-'DCF Base Case'!$B$3)*(1-E1032)+'DCF Base Case'!$B$3-G1032</f>
        <v>0.212631943929018</v>
      </c>
      <c r="J1032" s="24" t="n">
        <f aca="false">'DCF Base Case'!$B$2*(1+B1032)^1*$I1032-'DCF Base Case'!$B$2*(1+B1032)^0*B1032*'DCF Base Case'!$B$4</f>
        <v>33.2343671762663</v>
      </c>
      <c r="K1032" s="24" t="n">
        <f aca="false">'DCF Base Case'!$B$2*(1+B1032)^2*$I1032-'DCF Base Case'!$B$2*(1+B1032)^1*B1032*'DCF Base Case'!$B$4</f>
        <v>36.2497926530057</v>
      </c>
      <c r="L1032" s="24" t="n">
        <f aca="false">'DCF Base Case'!$B$2*(1+B1032)^3*$I1032-'DCF Base Case'!$B$2*(1+B1032)^2*B1032*'DCF Base Case'!$B$4</f>
        <v>39.5388141563383</v>
      </c>
      <c r="M1032" s="24" t="n">
        <f aca="false">'DCF Base Case'!$B$2*(1+B1032)^4*$I1032-'DCF Base Case'!$B$2*(1+B1032)^3*B1032*'DCF Base Case'!$B$4</f>
        <v>43.1262556410743</v>
      </c>
      <c r="N1032" s="24" t="n">
        <f aca="false">'DCF Base Case'!$B$2*(1+B1032)^5*$I1032-'DCF Base Case'!$B$2*(1+B1032)^4*B1032*'DCF Base Case'!$B$4</f>
        <v>47.0391933927322</v>
      </c>
      <c r="O1032" s="24" t="n">
        <f aca="false">J1032/(1+H1032)^1+K1032/(1+H1032)^2+L1032/(1+H1032)^3+M1032/(1+H1032)^4+N1032/(1+H1032)^5</f>
        <v>164.390783528802</v>
      </c>
      <c r="P1032" s="24" t="n">
        <f aca="false">N1032*(1+F1032)/(H1032-F1032)</f>
        <v>1183.02437505427</v>
      </c>
      <c r="Q1032" s="24" t="n">
        <f aca="false">O1032+P1032/(1+H1032)^5</f>
        <v>1033.36935371471</v>
      </c>
      <c r="R1032" s="24" t="n">
        <f aca="false">Q1032-'DCF Base Case'!$B$5</f>
        <v>848.369353714714</v>
      </c>
      <c r="S1032" s="32" t="n">
        <f aca="false">R1032/'DCF Base Case'!$B$6</f>
        <v>33.9347741485886</v>
      </c>
    </row>
    <row r="1033" customFormat="false" ht="15" hidden="false" customHeight="true" outlineLevel="0" collapsed="false">
      <c r="A1033" s="6" t="n">
        <v>1032</v>
      </c>
      <c r="B1033" s="30" t="n">
        <v>0.094758237948451</v>
      </c>
      <c r="C1033" s="30" t="n">
        <v>0.417782323605394</v>
      </c>
      <c r="D1033" s="30" t="n">
        <v>0.103858183523923</v>
      </c>
      <c r="E1033" s="30" t="n">
        <v>0.273508369154673</v>
      </c>
      <c r="F1033" s="30" t="n">
        <v>0.0186935757595615</v>
      </c>
      <c r="G1033" s="30" t="n">
        <v>0.185682070474103</v>
      </c>
      <c r="H1033" s="31" t="n">
        <f aca="false">MAX(D1033,F1033+0.015)</f>
        <v>0.103858183523923</v>
      </c>
      <c r="I1033" s="25" t="n">
        <f aca="false">(C1033-'DCF Base Case'!$B$3)*(1-E1033)+'DCF Base Case'!$B$3-G1033</f>
        <v>0.153389379130437</v>
      </c>
      <c r="J1033" s="24" t="n">
        <f aca="false">'DCF Base Case'!$B$2*(1+B1033)^1*$I1033-'DCF Base Case'!$B$2*(1+B1033)^0*B1033*'DCF Base Case'!$B$4</f>
        <v>23.9368231953667</v>
      </c>
      <c r="K1033" s="24" t="n">
        <f aca="false">'DCF Base Case'!$B$2*(1+B1033)^2*$I1033-'DCF Base Case'!$B$2*(1+B1033)^1*B1033*'DCF Base Case'!$B$4</f>
        <v>26.2050343834432</v>
      </c>
      <c r="L1033" s="24" t="n">
        <f aca="false">'DCF Base Case'!$B$2*(1+B1033)^3*$I1033-'DCF Base Case'!$B$2*(1+B1033)^2*B1033*'DCF Base Case'!$B$4</f>
        <v>28.6881772669969</v>
      </c>
      <c r="M1033" s="24" t="n">
        <f aca="false">'DCF Base Case'!$B$2*(1+B1033)^4*$I1033-'DCF Base Case'!$B$2*(1+B1033)^3*B1033*'DCF Base Case'!$B$4</f>
        <v>31.4066183947703</v>
      </c>
      <c r="N1033" s="24" t="n">
        <f aca="false">'DCF Base Case'!$B$2*(1+B1033)^5*$I1033-'DCF Base Case'!$B$2*(1+B1033)^4*B1033*'DCF Base Case'!$B$4</f>
        <v>34.3826542137782</v>
      </c>
      <c r="O1033" s="24" t="n">
        <f aca="false">J1033/(1+H1033)^1+K1033/(1+H1033)^2+L1033/(1+H1033)^3+M1033/(1+H1033)^4+N1033/(1+H1033)^5</f>
        <v>106.650494715004</v>
      </c>
      <c r="P1033" s="24" t="n">
        <f aca="false">N1033*(1+F1033)/(H1033-F1033)</f>
        <v>411.266955658959</v>
      </c>
      <c r="Q1033" s="24" t="n">
        <f aca="false">O1033+P1033/(1+H1033)^5</f>
        <v>357.583280497167</v>
      </c>
      <c r="R1033" s="24" t="n">
        <f aca="false">Q1033-'DCF Base Case'!$B$5</f>
        <v>172.583280497167</v>
      </c>
      <c r="S1033" s="32" t="n">
        <f aca="false">R1033/'DCF Base Case'!$B$6</f>
        <v>6.90333121988669</v>
      </c>
    </row>
    <row r="1034" customFormat="false" ht="15" hidden="false" customHeight="true" outlineLevel="0" collapsed="false">
      <c r="A1034" s="6" t="n">
        <v>1033</v>
      </c>
      <c r="B1034" s="30" t="n">
        <v>0.0614897785741266</v>
      </c>
      <c r="C1034" s="30" t="n">
        <v>0.398812432446813</v>
      </c>
      <c r="D1034" s="30" t="n">
        <v>0.0799870248807544</v>
      </c>
      <c r="E1034" s="30" t="n">
        <v>0.275859074659185</v>
      </c>
      <c r="F1034" s="30" t="n">
        <v>0.0224008442181826</v>
      </c>
      <c r="G1034" s="30" t="n">
        <v>0.178305815717239</v>
      </c>
      <c r="H1034" s="31" t="n">
        <f aca="false">MAX(D1034,F1034+0.015)</f>
        <v>0.0799870248807544</v>
      </c>
      <c r="I1034" s="25" t="n">
        <f aca="false">(C1034-'DCF Base Case'!$B$3)*(1-E1034)+'DCF Base Case'!$B$3-G1034</f>
        <v>0.146352267857911</v>
      </c>
      <c r="J1034" s="24" t="n">
        <f aca="false">'DCF Base Case'!$B$2*(1+B1034)^1*$I1034-'DCF Base Case'!$B$2*(1+B1034)^0*B1034*'DCF Base Case'!$B$4</f>
        <v>22.2584777415383</v>
      </c>
      <c r="K1034" s="24" t="n">
        <f aca="false">'DCF Base Case'!$B$2*(1+B1034)^2*$I1034-'DCF Base Case'!$B$2*(1+B1034)^1*B1034*'DCF Base Case'!$B$4</f>
        <v>23.6271466092627</v>
      </c>
      <c r="L1034" s="24" t="n">
        <f aca="false">'DCF Base Case'!$B$2*(1+B1034)^3*$I1034-'DCF Base Case'!$B$2*(1+B1034)^2*B1034*'DCF Base Case'!$B$4</f>
        <v>25.0799746226046</v>
      </c>
      <c r="M1034" s="24" t="n">
        <f aca="false">'DCF Base Case'!$B$2*(1+B1034)^4*$I1034-'DCF Base Case'!$B$2*(1+B1034)^3*B1034*'DCF Base Case'!$B$4</f>
        <v>26.6221367087933</v>
      </c>
      <c r="N1034" s="24" t="n">
        <f aca="false">'DCF Base Case'!$B$2*(1+B1034)^5*$I1034-'DCF Base Case'!$B$2*(1+B1034)^4*B1034*'DCF Base Case'!$B$4</f>
        <v>28.2591260001871</v>
      </c>
      <c r="O1034" s="24" t="n">
        <f aca="false">J1034/(1+H1034)^1+K1034/(1+H1034)^2+L1034/(1+H1034)^3+M1034/(1+H1034)^4+N1034/(1+H1034)^5</f>
        <v>99.5797632849997</v>
      </c>
      <c r="P1034" s="24" t="n">
        <f aca="false">N1034*(1+F1034)/(H1034-F1034)</f>
        <v>501.720272937598</v>
      </c>
      <c r="Q1034" s="24" t="n">
        <f aca="false">O1034+P1034/(1+H1034)^5</f>
        <v>441.062663041235</v>
      </c>
      <c r="R1034" s="24" t="n">
        <f aca="false">Q1034-'DCF Base Case'!$B$5</f>
        <v>256.062663041235</v>
      </c>
      <c r="S1034" s="32" t="n">
        <f aca="false">R1034/'DCF Base Case'!$B$6</f>
        <v>10.2425065216494</v>
      </c>
    </row>
    <row r="1035" customFormat="false" ht="15" hidden="false" customHeight="true" outlineLevel="0" collapsed="false">
      <c r="A1035" s="6" t="n">
        <v>1034</v>
      </c>
      <c r="B1035" s="30" t="n">
        <v>0.0736915682796286</v>
      </c>
      <c r="C1035" s="30" t="n">
        <v>0.411771046373705</v>
      </c>
      <c r="D1035" s="30" t="n">
        <v>0.101394857755106</v>
      </c>
      <c r="E1035" s="30" t="n">
        <v>0.261166149459433</v>
      </c>
      <c r="F1035" s="30" t="n">
        <v>0.0198792368415645</v>
      </c>
      <c r="G1035" s="30" t="n">
        <v>0.161182480517781</v>
      </c>
      <c r="H1035" s="31" t="n">
        <f aca="false">MAX(D1035,F1035+0.015)</f>
        <v>0.101394857755106</v>
      </c>
      <c r="I1035" s="25" t="n">
        <f aca="false">(C1035-'DCF Base Case'!$B$3)*(1-E1035)+'DCF Base Case'!$B$3-G1035</f>
        <v>0.176999506645348</v>
      </c>
      <c r="J1035" s="24" t="n">
        <f aca="false">'DCF Base Case'!$B$2*(1+B1035)^1*$I1035-'DCF Base Case'!$B$2*(1+B1035)^0*B1035*'DCF Base Case'!$B$4</f>
        <v>27.2356589698244</v>
      </c>
      <c r="K1035" s="24" t="n">
        <f aca="false">'DCF Base Case'!$B$2*(1+B1035)^2*$I1035-'DCF Base Case'!$B$2*(1+B1035)^1*B1035*'DCF Base Case'!$B$4</f>
        <v>29.2426973924399</v>
      </c>
      <c r="L1035" s="24" t="n">
        <f aca="false">'DCF Base Case'!$B$2*(1+B1035)^3*$I1035-'DCF Base Case'!$B$2*(1+B1035)^2*B1035*'DCF Base Case'!$B$4</f>
        <v>31.3976376240154</v>
      </c>
      <c r="M1035" s="24" t="n">
        <f aca="false">'DCF Base Case'!$B$2*(1+B1035)^4*$I1035-'DCF Base Case'!$B$2*(1+B1035)^3*B1035*'DCF Base Case'!$B$4</f>
        <v>33.7113787808046</v>
      </c>
      <c r="N1035" s="24" t="n">
        <f aca="false">'DCF Base Case'!$B$2*(1+B1035)^5*$I1035-'DCF Base Case'!$B$2*(1+B1035)^4*B1035*'DCF Base Case'!$B$4</f>
        <v>36.1956231520307</v>
      </c>
      <c r="O1035" s="24" t="n">
        <f aca="false">J1035/(1+H1035)^1+K1035/(1+H1035)^2+L1035/(1+H1035)^3+M1035/(1+H1035)^4+N1035/(1+H1035)^5</f>
        <v>117.57626035829</v>
      </c>
      <c r="P1035" s="24" t="n">
        <f aca="false">N1035*(1+F1035)/(H1035-F1035)</f>
        <v>452.860005279866</v>
      </c>
      <c r="Q1035" s="24" t="n">
        <f aca="false">O1035+P1035/(1+H1035)^5</f>
        <v>396.990634945373</v>
      </c>
      <c r="R1035" s="24" t="n">
        <f aca="false">Q1035-'DCF Base Case'!$B$5</f>
        <v>211.990634945373</v>
      </c>
      <c r="S1035" s="32" t="n">
        <f aca="false">R1035/'DCF Base Case'!$B$6</f>
        <v>8.47962539781491</v>
      </c>
    </row>
    <row r="1036" customFormat="false" ht="15" hidden="false" customHeight="true" outlineLevel="0" collapsed="false">
      <c r="A1036" s="6" t="n">
        <v>1035</v>
      </c>
      <c r="B1036" s="30" t="n">
        <v>0.0887278798584232</v>
      </c>
      <c r="C1036" s="30" t="n">
        <v>0.379071822753755</v>
      </c>
      <c r="D1036" s="30" t="n">
        <v>0.100518391397434</v>
      </c>
      <c r="E1036" s="30" t="n">
        <v>0.262089121608799</v>
      </c>
      <c r="F1036" s="30" t="n">
        <v>0.0230271615247924</v>
      </c>
      <c r="G1036" s="30" t="n">
        <v>0.152691034223572</v>
      </c>
      <c r="H1036" s="31" t="n">
        <f aca="false">MAX(D1036,F1036+0.015)</f>
        <v>0.100518391397434</v>
      </c>
      <c r="I1036" s="25" t="n">
        <f aca="false">(C1036-'DCF Base Case'!$B$3)*(1-E1036)+'DCF Base Case'!$B$3-G1036</f>
        <v>0.161101773287149</v>
      </c>
      <c r="J1036" s="24" t="n">
        <f aca="false">'DCF Base Case'!$B$2*(1+B1036)^1*$I1036-'DCF Base Case'!$B$2*(1+B1036)^0*B1036*'DCF Base Case'!$B$4</f>
        <v>25.0464525731066</v>
      </c>
      <c r="K1036" s="24" t="n">
        <f aca="false">'DCF Base Case'!$B$2*(1+B1036)^2*$I1036-'DCF Base Case'!$B$2*(1+B1036)^1*B1036*'DCF Base Case'!$B$4</f>
        <v>27.2687712078929</v>
      </c>
      <c r="L1036" s="24" t="n">
        <f aca="false">'DCF Base Case'!$B$2*(1+B1036)^3*$I1036-'DCF Base Case'!$B$2*(1+B1036)^2*B1036*'DCF Base Case'!$B$4</f>
        <v>29.6882714635137</v>
      </c>
      <c r="M1036" s="24" t="n">
        <f aca="false">'DCF Base Case'!$B$2*(1+B1036)^4*$I1036-'DCF Base Case'!$B$2*(1+B1036)^3*B1036*'DCF Base Case'!$B$4</f>
        <v>32.3224488471325</v>
      </c>
      <c r="N1036" s="24" t="n">
        <f aca="false">'DCF Base Case'!$B$2*(1+B1036)^5*$I1036-'DCF Base Case'!$B$2*(1+B1036)^4*B1036*'DCF Base Case'!$B$4</f>
        <v>35.190351205171</v>
      </c>
      <c r="O1036" s="24" t="n">
        <f aca="false">J1036/(1+H1036)^1+K1036/(1+H1036)^2+L1036/(1+H1036)^3+M1036/(1+H1036)^4+N1036/(1+H1036)^5</f>
        <v>111.381583940226</v>
      </c>
      <c r="P1036" s="24" t="n">
        <f aca="false">N1036*(1+F1036)/(H1036-F1036)</f>
        <v>464.577542073528</v>
      </c>
      <c r="Q1036" s="24" t="n">
        <f aca="false">O1036+P1036/(1+H1036)^5</f>
        <v>399.168926203053</v>
      </c>
      <c r="R1036" s="24" t="n">
        <f aca="false">Q1036-'DCF Base Case'!$B$5</f>
        <v>214.168926203053</v>
      </c>
      <c r="S1036" s="32" t="n">
        <f aca="false">R1036/'DCF Base Case'!$B$6</f>
        <v>8.56675704812213</v>
      </c>
    </row>
    <row r="1037" customFormat="false" ht="15" hidden="false" customHeight="true" outlineLevel="0" collapsed="false">
      <c r="A1037" s="6" t="n">
        <v>1036</v>
      </c>
      <c r="B1037" s="30" t="n">
        <v>0.0764568202202919</v>
      </c>
      <c r="C1037" s="30" t="n">
        <v>0.433208270297442</v>
      </c>
      <c r="D1037" s="30" t="n">
        <v>0.0959327306382572</v>
      </c>
      <c r="E1037" s="30" t="n">
        <v>0.285720844274508</v>
      </c>
      <c r="F1037" s="30" t="n">
        <v>0.022086501200885</v>
      </c>
      <c r="G1037" s="30" t="n">
        <v>0.159317264270574</v>
      </c>
      <c r="H1037" s="31" t="n">
        <f aca="false">MAX(D1037,F1037+0.015)</f>
        <v>0.0959327306382572</v>
      </c>
      <c r="I1037" s="25" t="n">
        <f aca="false">(C1037-'DCF Base Case'!$B$3)*(1-E1037)+'DCF Base Case'!$B$3-G1037</f>
        <v>0.18725808304647</v>
      </c>
      <c r="J1037" s="24" t="n">
        <f aca="false">'DCF Base Case'!$B$2*(1+B1037)^1*$I1037-'DCF Base Case'!$B$2*(1+B1037)^0*B1037*'DCF Base Case'!$B$4</f>
        <v>28.8958227243705</v>
      </c>
      <c r="K1037" s="24" t="n">
        <f aca="false">'DCF Base Case'!$B$2*(1+B1037)^2*$I1037-'DCF Base Case'!$B$2*(1+B1037)^1*B1037*'DCF Base Case'!$B$4</f>
        <v>31.1051054475251</v>
      </c>
      <c r="L1037" s="24" t="n">
        <f aca="false">'DCF Base Case'!$B$2*(1+B1037)^3*$I1037-'DCF Base Case'!$B$2*(1+B1037)^2*B1037*'DCF Base Case'!$B$4</f>
        <v>33.4833029026598</v>
      </c>
      <c r="M1037" s="24" t="n">
        <f aca="false">'DCF Base Case'!$B$2*(1+B1037)^4*$I1037-'DCF Base Case'!$B$2*(1+B1037)^3*B1037*'DCF Base Case'!$B$4</f>
        <v>36.04332977307</v>
      </c>
      <c r="N1037" s="24" t="n">
        <f aca="false">'DCF Base Case'!$B$2*(1+B1037)^5*$I1037-'DCF Base Case'!$B$2*(1+B1037)^4*B1037*'DCF Base Case'!$B$4</f>
        <v>38.7990881576703</v>
      </c>
      <c r="O1037" s="24" t="n">
        <f aca="false">J1037/(1+H1037)^1+K1037/(1+H1037)^2+L1037/(1+H1037)^3+M1037/(1+H1037)^4+N1037/(1+H1037)^5</f>
        <v>127.229033027245</v>
      </c>
      <c r="P1037" s="24" t="n">
        <f aca="false">N1037*(1+F1037)/(H1037-F1037)</f>
        <v>537.008112221756</v>
      </c>
      <c r="Q1037" s="24" t="n">
        <f aca="false">O1037+P1037/(1+H1037)^5</f>
        <v>466.902292335276</v>
      </c>
      <c r="R1037" s="24" t="n">
        <f aca="false">Q1037-'DCF Base Case'!$B$5</f>
        <v>281.902292335276</v>
      </c>
      <c r="S1037" s="32" t="n">
        <f aca="false">R1037/'DCF Base Case'!$B$6</f>
        <v>11.276091693411</v>
      </c>
    </row>
    <row r="1038" customFormat="false" ht="15" hidden="false" customHeight="true" outlineLevel="0" collapsed="false">
      <c r="A1038" s="6" t="n">
        <v>1037</v>
      </c>
      <c r="B1038" s="30" t="n">
        <v>0.0898328124066415</v>
      </c>
      <c r="C1038" s="30" t="n">
        <v>0.400005436520951</v>
      </c>
      <c r="D1038" s="30" t="n">
        <v>0.0949447144423029</v>
      </c>
      <c r="E1038" s="30" t="n">
        <v>0.263489009268474</v>
      </c>
      <c r="F1038" s="30" t="n">
        <v>0.0244960699300805</v>
      </c>
      <c r="G1038" s="30" t="n">
        <v>0.158784749115455</v>
      </c>
      <c r="H1038" s="31" t="n">
        <f aca="false">MAX(D1038,F1038+0.015)</f>
        <v>0.0949447144423029</v>
      </c>
      <c r="I1038" s="25" t="n">
        <f aca="false">(C1038-'DCF Base Case'!$B$3)*(1-E1038)+'DCF Base Case'!$B$3-G1038</f>
        <v>0.170077222439489</v>
      </c>
      <c r="J1038" s="24" t="n">
        <f aca="false">'DCF Base Case'!$B$2*(1+B1038)^1*$I1038-'DCF Base Case'!$B$2*(1+B1038)^0*B1038*'DCF Base Case'!$B$4</f>
        <v>26.4858092263741</v>
      </c>
      <c r="K1038" s="24" t="n">
        <f aca="false">'DCF Base Case'!$B$2*(1+B1038)^2*$I1038-'DCF Base Case'!$B$2*(1+B1038)^1*B1038*'DCF Base Case'!$B$4</f>
        <v>28.8651039580451</v>
      </c>
      <c r="L1038" s="24" t="n">
        <f aca="false">'DCF Base Case'!$B$2*(1+B1038)^3*$I1038-'DCF Base Case'!$B$2*(1+B1038)^2*B1038*'DCF Base Case'!$B$4</f>
        <v>31.4581374270064</v>
      </c>
      <c r="M1038" s="24" t="n">
        <f aca="false">'DCF Base Case'!$B$2*(1+B1038)^4*$I1038-'DCF Base Case'!$B$2*(1+B1038)^3*B1038*'DCF Base Case'!$B$4</f>
        <v>34.284110385149</v>
      </c>
      <c r="N1038" s="24" t="n">
        <f aca="false">'DCF Base Case'!$B$2*(1+B1038)^5*$I1038-'DCF Base Case'!$B$2*(1+B1038)^4*B1038*'DCF Base Case'!$B$4</f>
        <v>37.3639484419066</v>
      </c>
      <c r="O1038" s="24" t="n">
        <f aca="false">J1038/(1+H1038)^1+K1038/(1+H1038)^2+L1038/(1+H1038)^3+M1038/(1+H1038)^4+N1038/(1+H1038)^5</f>
        <v>119.821829277124</v>
      </c>
      <c r="P1038" s="24" t="n">
        <f aca="false">N1038*(1+F1038)/(H1038-F1038)</f>
        <v>543.363447243648</v>
      </c>
      <c r="Q1038" s="24" t="n">
        <f aca="false">O1038+P1038/(1+H1038)^5</f>
        <v>465.068470419026</v>
      </c>
      <c r="R1038" s="24" t="n">
        <f aca="false">Q1038-'DCF Base Case'!$B$5</f>
        <v>280.068470419026</v>
      </c>
      <c r="S1038" s="32" t="n">
        <f aca="false">R1038/'DCF Base Case'!$B$6</f>
        <v>11.202738816761</v>
      </c>
    </row>
    <row r="1039" customFormat="false" ht="15" hidden="false" customHeight="true" outlineLevel="0" collapsed="false">
      <c r="A1039" s="6" t="n">
        <v>1038</v>
      </c>
      <c r="B1039" s="30" t="n">
        <v>0.0904107451049867</v>
      </c>
      <c r="C1039" s="30" t="n">
        <v>0.429249099785407</v>
      </c>
      <c r="D1039" s="30" t="n">
        <v>0.0852625086330854</v>
      </c>
      <c r="E1039" s="30" t="n">
        <v>0.271837202283366</v>
      </c>
      <c r="F1039" s="30" t="n">
        <v>0.0192414409527525</v>
      </c>
      <c r="G1039" s="30" t="n">
        <v>0.186619507751206</v>
      </c>
      <c r="H1039" s="31" t="n">
        <f aca="false">MAX(D1039,F1039+0.015)</f>
        <v>0.0852625086330854</v>
      </c>
      <c r="I1039" s="25" t="n">
        <f aca="false">(C1039-'DCF Base Case'!$B$3)*(1-E1039)+'DCF Base Case'!$B$3-G1039</f>
        <v>0.16128255396272</v>
      </c>
      <c r="J1039" s="24" t="n">
        <f aca="false">'DCF Base Case'!$B$2*(1+B1039)^1*$I1039-'DCF Base Case'!$B$2*(1+B1039)^0*B1039*'DCF Base Case'!$B$4</f>
        <v>25.1070265854374</v>
      </c>
      <c r="K1039" s="24" t="n">
        <f aca="false">'DCF Base Case'!$B$2*(1+B1039)^2*$I1039-'DCF Base Case'!$B$2*(1+B1039)^1*B1039*'DCF Base Case'!$B$4</f>
        <v>27.3769715663975</v>
      </c>
      <c r="L1039" s="24" t="n">
        <f aca="false">'DCF Base Case'!$B$2*(1+B1039)^3*$I1039-'DCF Base Case'!$B$2*(1+B1039)^2*B1039*'DCF Base Case'!$B$4</f>
        <v>29.8521439644336</v>
      </c>
      <c r="M1039" s="24" t="n">
        <f aca="false">'DCF Base Case'!$B$2*(1+B1039)^4*$I1039-'DCF Base Case'!$B$2*(1+B1039)^3*B1039*'DCF Base Case'!$B$4</f>
        <v>32.5510985432393</v>
      </c>
      <c r="N1039" s="24" t="n">
        <f aca="false">'DCF Base Case'!$B$2*(1+B1039)^5*$I1039-'DCF Base Case'!$B$2*(1+B1039)^4*B1039*'DCF Base Case'!$B$4</f>
        <v>35.4940676165194</v>
      </c>
      <c r="O1039" s="24" t="n">
        <f aca="false">J1039/(1+H1039)^1+K1039/(1+H1039)^2+L1039/(1+H1039)^3+M1039/(1+H1039)^4+N1039/(1+H1039)^5</f>
        <v>116.775264071088</v>
      </c>
      <c r="P1039" s="24" t="n">
        <f aca="false">N1039*(1+F1039)/(H1039-F1039)</f>
        <v>547.961823306177</v>
      </c>
      <c r="Q1039" s="24" t="n">
        <f aca="false">O1039+P1039/(1+H1039)^5</f>
        <v>480.754242053817</v>
      </c>
      <c r="R1039" s="24" t="n">
        <f aca="false">Q1039-'DCF Base Case'!$B$5</f>
        <v>295.754242053817</v>
      </c>
      <c r="S1039" s="32" t="n">
        <f aca="false">R1039/'DCF Base Case'!$B$6</f>
        <v>11.8301696821527</v>
      </c>
    </row>
    <row r="1040" customFormat="false" ht="15" hidden="false" customHeight="true" outlineLevel="0" collapsed="false">
      <c r="A1040" s="6" t="n">
        <v>1039</v>
      </c>
      <c r="B1040" s="30" t="n">
        <v>0.0756168921945215</v>
      </c>
      <c r="C1040" s="30" t="n">
        <v>0.406673885141404</v>
      </c>
      <c r="D1040" s="30" t="n">
        <v>0.0851131540007122</v>
      </c>
      <c r="E1040" s="30" t="n">
        <v>0.306216793400328</v>
      </c>
      <c r="F1040" s="30" t="n">
        <v>0.0189744565253702</v>
      </c>
      <c r="G1040" s="30" t="n">
        <v>0.20545077705811</v>
      </c>
      <c r="H1040" s="31" t="n">
        <f aca="false">MAX(D1040,F1040+0.015)</f>
        <v>0.0851131540007122</v>
      </c>
      <c r="I1040" s="25" t="n">
        <f aca="false">(C1040-'DCF Base Case'!$B$3)*(1-E1040)+'DCF Base Case'!$B$3-G1040</f>
        <v>0.116500918157683</v>
      </c>
      <c r="J1040" s="24" t="n">
        <f aca="false">'DCF Base Case'!$B$2*(1+B1040)^1*$I1040-'DCF Base Case'!$B$2*(1+B1040)^0*B1040*'DCF Base Case'!$B$4</f>
        <v>17.8410680703072</v>
      </c>
      <c r="K1040" s="24" t="n">
        <f aca="false">'DCF Base Case'!$B$2*(1+B1040)^2*$I1040-'DCF Base Case'!$B$2*(1+B1040)^1*B1040*'DCF Base Case'!$B$4</f>
        <v>19.1901541912147</v>
      </c>
      <c r="L1040" s="24" t="n">
        <f aca="false">'DCF Base Case'!$B$2*(1+B1040)^3*$I1040-'DCF Base Case'!$B$2*(1+B1040)^2*B1040*'DCF Base Case'!$B$4</f>
        <v>20.6412540118881</v>
      </c>
      <c r="M1040" s="24" t="n">
        <f aca="false">'DCF Base Case'!$B$2*(1+B1040)^4*$I1040-'DCF Base Case'!$B$2*(1+B1040)^3*B1040*'DCF Base Case'!$B$4</f>
        <v>22.2020814912647</v>
      </c>
      <c r="N1040" s="24" t="n">
        <f aca="false">'DCF Base Case'!$B$2*(1+B1040)^5*$I1040-'DCF Base Case'!$B$2*(1+B1040)^4*B1040*'DCF Base Case'!$B$4</f>
        <v>23.8809338938837</v>
      </c>
      <c r="O1040" s="24" t="n">
        <f aca="false">J1040/(1+H1040)^1+K1040/(1+H1040)^2+L1040/(1+H1040)^3+M1040/(1+H1040)^4+N1040/(1+H1040)^5</f>
        <v>80.7819909285332</v>
      </c>
      <c r="P1040" s="24" t="n">
        <f aca="false">N1040*(1+F1040)/(H1040-F1040)</f>
        <v>367.924718277234</v>
      </c>
      <c r="Q1040" s="24" t="n">
        <f aca="false">O1040+P1040/(1+H1040)^5</f>
        <v>325.341089721472</v>
      </c>
      <c r="R1040" s="24" t="n">
        <f aca="false">Q1040-'DCF Base Case'!$B$5</f>
        <v>140.341089721472</v>
      </c>
      <c r="S1040" s="32" t="n">
        <f aca="false">R1040/'DCF Base Case'!$B$6</f>
        <v>5.6136435888589</v>
      </c>
    </row>
    <row r="1041" customFormat="false" ht="15" hidden="false" customHeight="true" outlineLevel="0" collapsed="false">
      <c r="A1041" s="6" t="n">
        <v>1040</v>
      </c>
      <c r="B1041" s="30" t="n">
        <v>0.0867869777132307</v>
      </c>
      <c r="C1041" s="30" t="n">
        <v>0.40841828255772</v>
      </c>
      <c r="D1041" s="30" t="n">
        <v>0.083118646662205</v>
      </c>
      <c r="E1041" s="30" t="n">
        <v>0.254378968308407</v>
      </c>
      <c r="F1041" s="30" t="n">
        <v>0.0151223068969972</v>
      </c>
      <c r="G1041" s="30" t="n">
        <v>0.154515203439531</v>
      </c>
      <c r="H1041" s="31" t="n">
        <f aca="false">MAX(D1041,F1041+0.015)</f>
        <v>0.083118646662205</v>
      </c>
      <c r="I1041" s="25" t="n">
        <f aca="false">(C1041-'DCF Base Case'!$B$3)*(1-E1041)+'DCF Base Case'!$B$3-G1041</f>
        <v>0.183079323642958</v>
      </c>
      <c r="J1041" s="24" t="n">
        <f aca="false">'DCF Base Case'!$B$2*(1+B1041)^1*$I1041-'DCF Base Case'!$B$2*(1+B1041)^0*B1041*'DCF Base Case'!$B$4</f>
        <v>28.4728692463857</v>
      </c>
      <c r="K1041" s="24" t="n">
        <f aca="false">'DCF Base Case'!$B$2*(1+B1041)^2*$I1041-'DCF Base Case'!$B$2*(1+B1041)^1*B1041*'DCF Base Case'!$B$4</f>
        <v>30.9439435151035</v>
      </c>
      <c r="L1041" s="24" t="n">
        <f aca="false">'DCF Base Case'!$B$2*(1+B1041)^3*$I1041-'DCF Base Case'!$B$2*(1+B1041)^2*B1041*'DCF Base Case'!$B$4</f>
        <v>33.6294748513083</v>
      </c>
      <c r="M1041" s="24" t="n">
        <f aca="false">'DCF Base Case'!$B$2*(1+B1041)^4*$I1041-'DCF Base Case'!$B$2*(1+B1041)^3*B1041*'DCF Base Case'!$B$4</f>
        <v>36.5480753357364</v>
      </c>
      <c r="N1041" s="24" t="n">
        <f aca="false">'DCF Base Case'!$B$2*(1+B1041)^5*$I1041-'DCF Base Case'!$B$2*(1+B1041)^4*B1041*'DCF Base Case'!$B$4</f>
        <v>39.7199723353605</v>
      </c>
      <c r="O1041" s="24" t="n">
        <f aca="false">J1041/(1+H1041)^1+K1041/(1+H1041)^2+L1041/(1+H1041)^3+M1041/(1+H1041)^4+N1041/(1+H1041)^5</f>
        <v>132.332633980764</v>
      </c>
      <c r="P1041" s="24" t="n">
        <f aca="false">N1041*(1+F1041)/(H1041-F1041)</f>
        <v>592.982358847309</v>
      </c>
      <c r="Q1041" s="24" t="n">
        <f aca="false">O1041+P1041/(1+H1041)^5</f>
        <v>530.129731852437</v>
      </c>
      <c r="R1041" s="24" t="n">
        <f aca="false">Q1041-'DCF Base Case'!$B$5</f>
        <v>345.129731852437</v>
      </c>
      <c r="S1041" s="32" t="n">
        <f aca="false">R1041/'DCF Base Case'!$B$6</f>
        <v>13.8051892740975</v>
      </c>
    </row>
    <row r="1042" customFormat="false" ht="15" hidden="false" customHeight="true" outlineLevel="0" collapsed="false">
      <c r="A1042" s="6" t="n">
        <v>1041</v>
      </c>
      <c r="B1042" s="30" t="n">
        <v>0.114700406019999</v>
      </c>
      <c r="C1042" s="30" t="n">
        <v>0.422211514059186</v>
      </c>
      <c r="D1042" s="30" t="n">
        <v>0.0796689139142272</v>
      </c>
      <c r="E1042" s="30" t="n">
        <v>0.317000186876191</v>
      </c>
      <c r="F1042" s="30" t="n">
        <v>0.0246837280559445</v>
      </c>
      <c r="G1042" s="30" t="n">
        <v>0.194939675586966</v>
      </c>
      <c r="H1042" s="31" t="n">
        <f aca="false">MAX(D1042,F1042+0.015)</f>
        <v>0.0796689139142272</v>
      </c>
      <c r="I1042" s="25" t="n">
        <f aca="false">(C1042-'DCF Base Case'!$B$3)*(1-E1042)+'DCF Base Case'!$B$3-G1042</f>
        <v>0.134640733908083</v>
      </c>
      <c r="J1042" s="24" t="n">
        <f aca="false">'DCF Base Case'!$B$2*(1+B1042)^1*$I1042-'DCF Base Case'!$B$2*(1+B1042)^0*B1042*'DCF Base Case'!$B$4</f>
        <v>21.2632449431678</v>
      </c>
      <c r="K1042" s="24" t="n">
        <f aca="false">'DCF Base Case'!$B$2*(1+B1042)^2*$I1042-'DCF Base Case'!$B$2*(1+B1042)^1*B1042*'DCF Base Case'!$B$4</f>
        <v>23.7021477714519</v>
      </c>
      <c r="L1042" s="24" t="n">
        <f aca="false">'DCF Base Case'!$B$2*(1+B1042)^3*$I1042-'DCF Base Case'!$B$2*(1+B1042)^2*B1042*'DCF Base Case'!$B$4</f>
        <v>26.4207937443834</v>
      </c>
      <c r="M1042" s="24" t="n">
        <f aca="false">'DCF Base Case'!$B$2*(1+B1042)^4*$I1042-'DCF Base Case'!$B$2*(1+B1042)^3*B1042*'DCF Base Case'!$B$4</f>
        <v>29.4512695142348</v>
      </c>
      <c r="N1042" s="24" t="n">
        <f aca="false">'DCF Base Case'!$B$2*(1+B1042)^5*$I1042-'DCF Base Case'!$B$2*(1+B1042)^4*B1042*'DCF Base Case'!$B$4</f>
        <v>32.829342085322</v>
      </c>
      <c r="O1042" s="24" t="n">
        <f aca="false">J1042/(1+H1042)^1+K1042/(1+H1042)^2+L1042/(1+H1042)^3+M1042/(1+H1042)^4+N1042/(1+H1042)^5</f>
        <v>105.071948004954</v>
      </c>
      <c r="P1042" s="24" t="n">
        <f aca="false">N1042*(1+F1042)/(H1042-F1042)</f>
        <v>611.795561159212</v>
      </c>
      <c r="Q1042" s="24" t="n">
        <f aca="false">O1042+P1042/(1+H1042)^5</f>
        <v>522.088540674266</v>
      </c>
      <c r="R1042" s="24" t="n">
        <f aca="false">Q1042-'DCF Base Case'!$B$5</f>
        <v>337.088540674266</v>
      </c>
      <c r="S1042" s="32" t="n">
        <f aca="false">R1042/'DCF Base Case'!$B$6</f>
        <v>13.4835416269706</v>
      </c>
    </row>
    <row r="1043" customFormat="false" ht="15" hidden="false" customHeight="true" outlineLevel="0" collapsed="false">
      <c r="A1043" s="6" t="n">
        <v>1042</v>
      </c>
      <c r="B1043" s="30" t="n">
        <v>0.071369148778304</v>
      </c>
      <c r="C1043" s="30" t="n">
        <v>0.396568772112615</v>
      </c>
      <c r="D1043" s="30" t="n">
        <v>0.104951096773462</v>
      </c>
      <c r="E1043" s="30" t="n">
        <v>0.286701011777331</v>
      </c>
      <c r="F1043" s="30" t="n">
        <v>0.018308809158982</v>
      </c>
      <c r="G1043" s="30" t="n">
        <v>0.182348595060047</v>
      </c>
      <c r="H1043" s="31" t="n">
        <f aca="false">MAX(D1043,F1043+0.015)</f>
        <v>0.104951096773462</v>
      </c>
      <c r="I1043" s="25" t="n">
        <f aca="false">(C1043-'DCF Base Case'!$B$3)*(1-E1043)+'DCF Base Case'!$B$3-G1043</f>
        <v>0.13779464037964</v>
      </c>
      <c r="J1043" s="24" t="n">
        <f aca="false">'DCF Base Case'!$B$2*(1+B1043)^1*$I1043-'DCF Base Case'!$B$2*(1+B1043)^0*B1043*'DCF Base Case'!$B$4</f>
        <v>21.0957385554278</v>
      </c>
      <c r="K1043" s="24" t="n">
        <f aca="false">'DCF Base Case'!$B$2*(1+B1043)^2*$I1043-'DCF Base Case'!$B$2*(1+B1043)^1*B1043*'DCF Base Case'!$B$4</f>
        <v>22.6013234589784</v>
      </c>
      <c r="L1043" s="24" t="n">
        <f aca="false">'DCF Base Case'!$B$2*(1+B1043)^3*$I1043-'DCF Base Case'!$B$2*(1+B1043)^2*B1043*'DCF Base Case'!$B$4</f>
        <v>24.2143606755088</v>
      </c>
      <c r="M1043" s="24" t="n">
        <f aca="false">'DCF Base Case'!$B$2*(1+B1043)^4*$I1043-'DCF Base Case'!$B$2*(1+B1043)^3*B1043*'DCF Base Case'!$B$4</f>
        <v>25.9425189851307</v>
      </c>
      <c r="N1043" s="24" t="n">
        <f aca="false">'DCF Base Case'!$B$2*(1+B1043)^5*$I1043-'DCF Base Case'!$B$2*(1+B1043)^4*B1043*'DCF Base Case'!$B$4</f>
        <v>27.7940144822644</v>
      </c>
      <c r="O1043" s="24" t="n">
        <f aca="false">J1043/(1+H1043)^1+K1043/(1+H1043)^2+L1043/(1+H1043)^3+M1043/(1+H1043)^4+N1043/(1+H1043)^5</f>
        <v>89.8312510888859</v>
      </c>
      <c r="P1043" s="24" t="n">
        <f aca="false">N1043*(1+F1043)/(H1043-F1043)</f>
        <v>326.663694697416</v>
      </c>
      <c r="Q1043" s="24" t="n">
        <f aca="false">O1043+P1043/(1+H1043)^5</f>
        <v>288.159959308843</v>
      </c>
      <c r="R1043" s="24" t="n">
        <f aca="false">Q1043-'DCF Base Case'!$B$5</f>
        <v>103.159959308843</v>
      </c>
      <c r="S1043" s="32" t="n">
        <f aca="false">R1043/'DCF Base Case'!$B$6</f>
        <v>4.12639837235372</v>
      </c>
    </row>
    <row r="1044" customFormat="false" ht="15" hidden="false" customHeight="true" outlineLevel="0" collapsed="false">
      <c r="A1044" s="6" t="n">
        <v>1043</v>
      </c>
      <c r="B1044" s="30" t="n">
        <v>0.111991471038271</v>
      </c>
      <c r="C1044" s="30" t="n">
        <v>0.410645644174638</v>
      </c>
      <c r="D1044" s="30" t="n">
        <v>0.0874138395448193</v>
      </c>
      <c r="E1044" s="30" t="n">
        <v>0.308130354353607</v>
      </c>
      <c r="F1044" s="30" t="n">
        <v>0.014638862216624</v>
      </c>
      <c r="G1044" s="30" t="n">
        <v>0.165498165159386</v>
      </c>
      <c r="H1044" s="31" t="n">
        <f aca="false">MAX(D1044,F1044+0.015)</f>
        <v>0.0874138395448193</v>
      </c>
      <c r="I1044" s="25" t="n">
        <f aca="false">(C1044-'DCF Base Case'!$B$3)*(1-E1044)+'DCF Base Case'!$B$3-G1044</f>
        <v>0.158672037227924</v>
      </c>
      <c r="J1044" s="24" t="n">
        <f aca="false">'DCF Base Case'!$B$2*(1+B1044)^1*$I1044-'DCF Base Case'!$B$2*(1+B1044)^0*B1044*'DCF Base Case'!$B$4</f>
        <v>25.0969201539928</v>
      </c>
      <c r="K1044" s="24" t="n">
        <f aca="false">'DCF Base Case'!$B$2*(1+B1044)^2*$I1044-'DCF Base Case'!$B$2*(1+B1044)^1*B1044*'DCF Base Case'!$B$4</f>
        <v>27.9075611605685</v>
      </c>
      <c r="L1044" s="24" t="n">
        <f aca="false">'DCF Base Case'!$B$2*(1+B1044)^3*$I1044-'DCF Base Case'!$B$2*(1+B1044)^2*B1044*'DCF Base Case'!$B$4</f>
        <v>31.032969988031</v>
      </c>
      <c r="M1044" s="24" t="n">
        <f aca="false">'DCF Base Case'!$B$2*(1+B1044)^4*$I1044-'DCF Base Case'!$B$2*(1+B1044)^3*B1044*'DCF Base Case'!$B$4</f>
        <v>34.5083979476772</v>
      </c>
      <c r="N1044" s="24" t="n">
        <f aca="false">'DCF Base Case'!$B$2*(1+B1044)^5*$I1044-'DCF Base Case'!$B$2*(1+B1044)^4*B1044*'DCF Base Case'!$B$4</f>
        <v>38.3730441970116</v>
      </c>
      <c r="O1044" s="24" t="n">
        <f aca="false">J1044/(1+H1044)^1+K1044/(1+H1044)^2+L1044/(1+H1044)^3+M1044/(1+H1044)^4+N1044/(1+H1044)^5</f>
        <v>120.732918628362</v>
      </c>
      <c r="P1044" s="24" t="n">
        <f aca="false">N1044*(1+F1044)/(H1044-F1044)</f>
        <v>535.002322683782</v>
      </c>
      <c r="Q1044" s="24" t="n">
        <f aca="false">O1044+P1044/(1+H1044)^5</f>
        <v>472.602227191789</v>
      </c>
      <c r="R1044" s="24" t="n">
        <f aca="false">Q1044-'DCF Base Case'!$B$5</f>
        <v>287.602227191789</v>
      </c>
      <c r="S1044" s="32" t="n">
        <f aca="false">R1044/'DCF Base Case'!$B$6</f>
        <v>11.5040890876716</v>
      </c>
    </row>
    <row r="1045" customFormat="false" ht="15" hidden="false" customHeight="true" outlineLevel="0" collapsed="false">
      <c r="A1045" s="6" t="n">
        <v>1044</v>
      </c>
      <c r="B1045" s="30" t="n">
        <v>0.0657445169049358</v>
      </c>
      <c r="C1045" s="30" t="n">
        <v>0.383857133026283</v>
      </c>
      <c r="D1045" s="30" t="n">
        <v>0.0788058991477167</v>
      </c>
      <c r="E1045" s="30" t="n">
        <v>0.294011419346236</v>
      </c>
      <c r="F1045" s="30" t="n">
        <v>0.018087064410124</v>
      </c>
      <c r="G1045" s="30" t="n">
        <v>0.152146992099031</v>
      </c>
      <c r="H1045" s="31" t="n">
        <f aca="false">MAX(D1045,F1045+0.015)</f>
        <v>0.0788058991477167</v>
      </c>
      <c r="I1045" s="25" t="n">
        <f aca="false">(C1045-'DCF Base Case'!$B$3)*(1-E1045)+'DCF Base Case'!$B$3-G1045</f>
        <v>0.157073244935028</v>
      </c>
      <c r="J1045" s="24" t="n">
        <f aca="false">'DCF Base Case'!$B$2*(1+B1045)^1*$I1045-'DCF Base Case'!$B$2*(1+B1045)^0*B1045*'DCF Base Case'!$B$4</f>
        <v>23.9870040350495</v>
      </c>
      <c r="K1045" s="24" t="n">
        <f aca="false">'DCF Base Case'!$B$2*(1+B1045)^2*$I1045-'DCF Base Case'!$B$2*(1+B1045)^1*B1045*'DCF Base Case'!$B$4</f>
        <v>25.5640180273306</v>
      </c>
      <c r="L1045" s="24" t="n">
        <f aca="false">'DCF Base Case'!$B$2*(1+B1045)^3*$I1045-'DCF Base Case'!$B$2*(1+B1045)^2*B1045*'DCF Base Case'!$B$4</f>
        <v>27.2447120426865</v>
      </c>
      <c r="M1045" s="24" t="n">
        <f aca="false">'DCF Base Case'!$B$2*(1+B1045)^4*$I1045-'DCF Base Case'!$B$2*(1+B1045)^3*B1045*'DCF Base Case'!$B$4</f>
        <v>29.035902474147</v>
      </c>
      <c r="N1045" s="24" t="n">
        <f aca="false">'DCF Base Case'!$B$2*(1+B1045)^5*$I1045-'DCF Base Case'!$B$2*(1+B1045)^4*B1045*'DCF Base Case'!$B$4</f>
        <v>30.9448538552087</v>
      </c>
      <c r="O1045" s="24" t="n">
        <f aca="false">J1045/(1+H1045)^1+K1045/(1+H1045)^2+L1045/(1+H1045)^3+M1045/(1+H1045)^4+N1045/(1+H1045)^5</f>
        <v>108.514238555003</v>
      </c>
      <c r="P1045" s="24" t="n">
        <f aca="false">N1045*(1+F1045)/(H1045-F1045)</f>
        <v>518.859684251226</v>
      </c>
      <c r="Q1045" s="24" t="n">
        <f aca="false">O1045+P1045/(1+H1045)^5</f>
        <v>463.600086743911</v>
      </c>
      <c r="R1045" s="24" t="n">
        <f aca="false">Q1045-'DCF Base Case'!$B$5</f>
        <v>278.600086743911</v>
      </c>
      <c r="S1045" s="32" t="n">
        <f aca="false">R1045/'DCF Base Case'!$B$6</f>
        <v>11.1440034697565</v>
      </c>
    </row>
    <row r="1046" customFormat="false" ht="15" hidden="false" customHeight="true" outlineLevel="0" collapsed="false">
      <c r="A1046" s="6" t="n">
        <v>1045</v>
      </c>
      <c r="B1046" s="30" t="n">
        <v>0.0910386983329066</v>
      </c>
      <c r="C1046" s="30" t="n">
        <v>0.389536310775742</v>
      </c>
      <c r="D1046" s="30" t="n">
        <v>0.089716835396173</v>
      </c>
      <c r="E1046" s="30" t="n">
        <v>0.314270920985397</v>
      </c>
      <c r="F1046" s="30" t="n">
        <v>0.0190540683625807</v>
      </c>
      <c r="G1046" s="30" t="n">
        <v>0.160993459514125</v>
      </c>
      <c r="H1046" s="31" t="n">
        <f aca="false">MAX(D1046,F1046+0.015)</f>
        <v>0.089716835396173</v>
      </c>
      <c r="I1046" s="25" t="n">
        <f aca="false">(C1046-'DCF Base Case'!$B$3)*(1-E1046)+'DCF Base Case'!$B$3-G1046</f>
        <v>0.146978135844972</v>
      </c>
      <c r="J1046" s="24" t="n">
        <f aca="false">'DCF Base Case'!$B$2*(1+B1046)^1*$I1046-'DCF Base Case'!$B$2*(1+B1046)^0*B1046*'DCF Base Case'!$B$4</f>
        <v>22.8560125945277</v>
      </c>
      <c r="K1046" s="24" t="n">
        <f aca="false">'DCF Base Case'!$B$2*(1+B1046)^2*$I1046-'DCF Base Case'!$B$2*(1+B1046)^1*B1046*'DCF Base Case'!$B$4</f>
        <v>24.9367942302141</v>
      </c>
      <c r="L1046" s="24" t="n">
        <f aca="false">'DCF Base Case'!$B$2*(1+B1046)^3*$I1046-'DCF Base Case'!$B$2*(1+B1046)^2*B1046*'DCF Base Case'!$B$4</f>
        <v>27.2070075175283</v>
      </c>
      <c r="M1046" s="24" t="n">
        <f aca="false">'DCF Base Case'!$B$2*(1+B1046)^4*$I1046-'DCF Base Case'!$B$2*(1+B1046)^3*B1046*'DCF Base Case'!$B$4</f>
        <v>29.6838980674577</v>
      </c>
      <c r="N1046" s="24" t="n">
        <f aca="false">'DCF Base Case'!$B$2*(1+B1046)^5*$I1046-'DCF Base Case'!$B$2*(1+B1046)^4*B1046*'DCF Base Case'!$B$4</f>
        <v>32.3862815089657</v>
      </c>
      <c r="O1046" s="24" t="n">
        <f aca="false">J1046/(1+H1046)^1+K1046/(1+H1046)^2+L1046/(1+H1046)^3+M1046/(1+H1046)^4+N1046/(1+H1046)^5</f>
        <v>105.126072059324</v>
      </c>
      <c r="P1046" s="24" t="n">
        <f aca="false">N1046*(1+F1046)/(H1046-F1046)</f>
        <v>467.054621780631</v>
      </c>
      <c r="Q1046" s="24" t="n">
        <f aca="false">O1046+P1046/(1+H1046)^5</f>
        <v>409.074129067159</v>
      </c>
      <c r="R1046" s="24" t="n">
        <f aca="false">Q1046-'DCF Base Case'!$B$5</f>
        <v>224.074129067159</v>
      </c>
      <c r="S1046" s="32" t="n">
        <f aca="false">R1046/'DCF Base Case'!$B$6</f>
        <v>8.96296516268635</v>
      </c>
    </row>
    <row r="1047" customFormat="false" ht="15" hidden="false" customHeight="true" outlineLevel="0" collapsed="false">
      <c r="A1047" s="6" t="n">
        <v>1046</v>
      </c>
      <c r="B1047" s="30" t="n">
        <v>0.0979042540553564</v>
      </c>
      <c r="C1047" s="30" t="n">
        <v>0.375180560676102</v>
      </c>
      <c r="D1047" s="30" t="n">
        <v>0.0909049920225765</v>
      </c>
      <c r="E1047" s="30" t="n">
        <v>0.346914799838815</v>
      </c>
      <c r="F1047" s="30" t="n">
        <v>0.0188857642193196</v>
      </c>
      <c r="G1047" s="30" t="n">
        <v>0.162689694589558</v>
      </c>
      <c r="H1047" s="31" t="n">
        <f aca="false">MAX(D1047,F1047+0.015)</f>
        <v>0.0909049920225765</v>
      </c>
      <c r="I1047" s="25" t="n">
        <f aca="false">(C1047-'DCF Base Case'!$B$3)*(1-E1047)+'DCF Base Case'!$B$3-G1047</f>
        <v>0.127434100955226</v>
      </c>
      <c r="J1047" s="24" t="n">
        <f aca="false">'DCF Base Case'!$B$2*(1+B1047)^1*$I1047-'DCF Base Case'!$B$2*(1+B1047)^0*B1047*'DCF Base Case'!$B$4</f>
        <v>19.8611305196762</v>
      </c>
      <c r="K1047" s="24" t="n">
        <f aca="false">'DCF Base Case'!$B$2*(1+B1047)^2*$I1047-'DCF Base Case'!$B$2*(1+B1047)^1*B1047*'DCF Base Case'!$B$4</f>
        <v>21.8056196879012</v>
      </c>
      <c r="L1047" s="24" t="n">
        <f aca="false">'DCF Base Case'!$B$2*(1+B1047)^3*$I1047-'DCF Base Case'!$B$2*(1+B1047)^2*B1047*'DCF Base Case'!$B$4</f>
        <v>23.9404826176599</v>
      </c>
      <c r="M1047" s="24" t="n">
        <f aca="false">'DCF Base Case'!$B$2*(1+B1047)^4*$I1047-'DCF Base Case'!$B$2*(1+B1047)^3*B1047*'DCF Base Case'!$B$4</f>
        <v>26.2843577100671</v>
      </c>
      <c r="N1047" s="24" t="n">
        <f aca="false">'DCF Base Case'!$B$2*(1+B1047)^5*$I1047-'DCF Base Case'!$B$2*(1+B1047)^4*B1047*'DCF Base Case'!$B$4</f>
        <v>28.8577081449954</v>
      </c>
      <c r="O1047" s="24" t="n">
        <f aca="false">J1047/(1+H1047)^1+K1047/(1+H1047)^2+L1047/(1+H1047)^3+M1047/(1+H1047)^4+N1047/(1+H1047)^5</f>
        <v>92.2061485215152</v>
      </c>
      <c r="P1047" s="24" t="n">
        <f aca="false">N1047*(1+F1047)/(H1047-F1047)</f>
        <v>408.261917182095</v>
      </c>
      <c r="Q1047" s="24" t="n">
        <f aca="false">O1047+P1047/(1+H1047)^5</f>
        <v>356.449594996029</v>
      </c>
      <c r="R1047" s="24" t="n">
        <f aca="false">Q1047-'DCF Base Case'!$B$5</f>
        <v>171.449594996029</v>
      </c>
      <c r="S1047" s="32" t="n">
        <f aca="false">R1047/'DCF Base Case'!$B$6</f>
        <v>6.85798379984116</v>
      </c>
    </row>
    <row r="1048" customFormat="false" ht="15" hidden="false" customHeight="true" outlineLevel="0" collapsed="false">
      <c r="A1048" s="6" t="n">
        <v>1047</v>
      </c>
      <c r="B1048" s="30" t="n">
        <v>0.106194886959725</v>
      </c>
      <c r="C1048" s="30" t="n">
        <v>0.448031725006264</v>
      </c>
      <c r="D1048" s="30" t="n">
        <v>0.0957246462887755</v>
      </c>
      <c r="E1048" s="30" t="n">
        <v>0.245850283111904</v>
      </c>
      <c r="F1048" s="30" t="n">
        <v>0.0213669874097044</v>
      </c>
      <c r="G1048" s="30" t="n">
        <v>0.214491825293753</v>
      </c>
      <c r="H1048" s="31" t="n">
        <f aca="false">MAX(D1048,F1048+0.015)</f>
        <v>0.0957246462887755</v>
      </c>
      <c r="I1048" s="25" t="n">
        <f aca="false">(C1048-'DCF Base Case'!$B$3)*(1-E1048)+'DCF Base Case'!$B$3-G1048</f>
        <v>0.155351710081154</v>
      </c>
      <c r="J1048" s="24" t="n">
        <f aca="false">'DCF Base Case'!$B$2*(1+B1048)^1*$I1048-'DCF Base Case'!$B$2*(1+B1048)^0*B1048*'DCF Base Case'!$B$4</f>
        <v>24.4561960106974</v>
      </c>
      <c r="K1048" s="24" t="n">
        <f aca="false">'DCF Base Case'!$B$2*(1+B1048)^2*$I1048-'DCF Base Case'!$B$2*(1+B1048)^1*B1048*'DCF Base Case'!$B$4</f>
        <v>27.0533189815183</v>
      </c>
      <c r="L1048" s="24" t="n">
        <f aca="false">'DCF Base Case'!$B$2*(1+B1048)^3*$I1048-'DCF Base Case'!$B$2*(1+B1048)^2*B1048*'DCF Base Case'!$B$4</f>
        <v>29.926243132646</v>
      </c>
      <c r="M1048" s="24" t="n">
        <f aca="false">'DCF Base Case'!$B$2*(1+B1048)^4*$I1048-'DCF Base Case'!$B$2*(1+B1048)^3*B1048*'DCF Base Case'!$B$4</f>
        <v>33.1042571392465</v>
      </c>
      <c r="N1048" s="24" t="n">
        <f aca="false">'DCF Base Case'!$B$2*(1+B1048)^5*$I1048-'DCF Base Case'!$B$2*(1+B1048)^4*B1048*'DCF Base Case'!$B$4</f>
        <v>36.6197599840345</v>
      </c>
      <c r="O1048" s="24" t="n">
        <f aca="false">J1048/(1+H1048)^1+K1048/(1+H1048)^2+L1048/(1+H1048)^3+M1048/(1+H1048)^4+N1048/(1+H1048)^5</f>
        <v>113.7515154982</v>
      </c>
      <c r="P1048" s="24" t="n">
        <f aca="false">N1048*(1+F1048)/(H1048-F1048)</f>
        <v>503.00418945932</v>
      </c>
      <c r="Q1048" s="24" t="n">
        <f aca="false">O1048+P1048/(1+H1048)^5</f>
        <v>432.21852534703</v>
      </c>
      <c r="R1048" s="24" t="n">
        <f aca="false">Q1048-'DCF Base Case'!$B$5</f>
        <v>247.21852534703</v>
      </c>
      <c r="S1048" s="32" t="n">
        <f aca="false">R1048/'DCF Base Case'!$B$6</f>
        <v>9.88874101388118</v>
      </c>
    </row>
    <row r="1049" customFormat="false" ht="15" hidden="false" customHeight="true" outlineLevel="0" collapsed="false">
      <c r="A1049" s="6" t="n">
        <v>1048</v>
      </c>
      <c r="B1049" s="30" t="n">
        <v>0.103474259173336</v>
      </c>
      <c r="C1049" s="30" t="n">
        <v>0.394106120153372</v>
      </c>
      <c r="D1049" s="30" t="n">
        <v>0.0881001258686048</v>
      </c>
      <c r="E1049" s="30" t="n">
        <v>0.254843648250588</v>
      </c>
      <c r="F1049" s="30" t="n">
        <v>0.0237206856994465</v>
      </c>
      <c r="G1049" s="30" t="n">
        <v>0.146043485051321</v>
      </c>
      <c r="H1049" s="31" t="n">
        <f aca="false">MAX(D1049,F1049+0.015)</f>
        <v>0.0881001258686048</v>
      </c>
      <c r="I1049" s="25" t="n">
        <f aca="false">(C1049-'DCF Base Case'!$B$3)*(1-E1049)+'DCF Base Case'!$B$3-G1049</f>
        <v>0.180756867916858</v>
      </c>
      <c r="J1049" s="24" t="n">
        <f aca="false">'DCF Base Case'!$B$2*(1+B1049)^1*$I1049-'DCF Base Case'!$B$2*(1+B1049)^0*B1049*'DCF Base Case'!$B$4</f>
        <v>28.4716668552778</v>
      </c>
      <c r="K1049" s="24" t="n">
        <f aca="false">'DCF Base Case'!$B$2*(1+B1049)^2*$I1049-'DCF Base Case'!$B$2*(1+B1049)^1*B1049*'DCF Base Case'!$B$4</f>
        <v>31.4177514905577</v>
      </c>
      <c r="L1049" s="24" t="n">
        <f aca="false">'DCF Base Case'!$B$2*(1+B1049)^3*$I1049-'DCF Base Case'!$B$2*(1+B1049)^2*B1049*'DCF Base Case'!$B$4</f>
        <v>34.6686800509351</v>
      </c>
      <c r="M1049" s="24" t="n">
        <f aca="false">'DCF Base Case'!$B$2*(1+B1049)^4*$I1049-'DCF Base Case'!$B$2*(1+B1049)^3*B1049*'DCF Base Case'!$B$4</f>
        <v>38.255996035723</v>
      </c>
      <c r="N1049" s="24" t="n">
        <f aca="false">'DCF Base Case'!$B$2*(1+B1049)^5*$I1049-'DCF Base Case'!$B$2*(1+B1049)^4*B1049*'DCF Base Case'!$B$4</f>
        <v>42.2145068844576</v>
      </c>
      <c r="O1049" s="24" t="n">
        <f aca="false">J1049/(1+H1049)^1+K1049/(1+H1049)^2+L1049/(1+H1049)^3+M1049/(1+H1049)^4+N1049/(1+H1049)^5</f>
        <v>134.581764621734</v>
      </c>
      <c r="P1049" s="24" t="n">
        <f aca="false">N1049*(1+F1049)/(H1049-F1049)</f>
        <v>671.26809150049</v>
      </c>
      <c r="Q1049" s="24" t="n">
        <f aca="false">O1049+P1049/(1+H1049)^5</f>
        <v>574.682101446958</v>
      </c>
      <c r="R1049" s="24" t="n">
        <f aca="false">Q1049-'DCF Base Case'!$B$5</f>
        <v>389.682101446958</v>
      </c>
      <c r="S1049" s="32" t="n">
        <f aca="false">R1049/'DCF Base Case'!$B$6</f>
        <v>15.5872840578783</v>
      </c>
    </row>
    <row r="1050" customFormat="false" ht="15" hidden="false" customHeight="true" outlineLevel="0" collapsed="false">
      <c r="A1050" s="6" t="n">
        <v>1049</v>
      </c>
      <c r="B1050" s="30" t="n">
        <v>0.091502151435071</v>
      </c>
      <c r="C1050" s="30" t="n">
        <v>0.396201117844732</v>
      </c>
      <c r="D1050" s="30" t="n">
        <v>0.0789890713669721</v>
      </c>
      <c r="E1050" s="30" t="n">
        <v>0.3239359552392</v>
      </c>
      <c r="F1050" s="30" t="n">
        <v>0.0197319056386077</v>
      </c>
      <c r="G1050" s="30" t="n">
        <v>0.153941819193698</v>
      </c>
      <c r="H1050" s="31" t="n">
        <f aca="false">MAX(D1050,F1050+0.015)</f>
        <v>0.0789890713669721</v>
      </c>
      <c r="I1050" s="25" t="n">
        <f aca="false">(C1050-'DCF Base Case'!$B$3)*(1-E1050)+'DCF Base Case'!$B$3-G1050</f>
        <v>0.156027185256258</v>
      </c>
      <c r="J1050" s="24" t="n">
        <f aca="false">'DCF Base Case'!$B$2*(1+B1050)^1*$I1050-'DCF Base Case'!$B$2*(1+B1050)^0*B1050*'DCF Base Case'!$B$4</f>
        <v>24.2960468577442</v>
      </c>
      <c r="K1050" s="24" t="n">
        <f aca="false">'DCF Base Case'!$B$2*(1+B1050)^2*$I1050-'DCF Base Case'!$B$2*(1+B1050)^1*B1050*'DCF Base Case'!$B$4</f>
        <v>26.5191874165951</v>
      </c>
      <c r="L1050" s="24" t="n">
        <f aca="false">'DCF Base Case'!$B$2*(1+B1050)^3*$I1050-'DCF Base Case'!$B$2*(1+B1050)^2*B1050*'DCF Base Case'!$B$4</f>
        <v>28.9457501195234</v>
      </c>
      <c r="M1050" s="24" t="n">
        <f aca="false">'DCF Base Case'!$B$2*(1+B1050)^4*$I1050-'DCF Base Case'!$B$2*(1+B1050)^3*B1050*'DCF Base Case'!$B$4</f>
        <v>31.5943485303618</v>
      </c>
      <c r="N1050" s="24" t="n">
        <f aca="false">'DCF Base Case'!$B$2*(1+B1050)^5*$I1050-'DCF Base Case'!$B$2*(1+B1050)^4*B1050*'DCF Base Case'!$B$4</f>
        <v>34.4852993940793</v>
      </c>
      <c r="O1050" s="24" t="n">
        <f aca="false">J1050/(1+H1050)^1+K1050/(1+H1050)^2+L1050/(1+H1050)^3+M1050/(1+H1050)^4+N1050/(1+H1050)^5</f>
        <v>115.228898976314</v>
      </c>
      <c r="P1050" s="24" t="n">
        <f aca="false">N1050*(1+F1050)/(H1050-F1050)</f>
        <v>593.443166499774</v>
      </c>
      <c r="Q1050" s="24" t="n">
        <f aca="false">O1050+P1050/(1+H1050)^5</f>
        <v>521.011950470082</v>
      </c>
      <c r="R1050" s="24" t="n">
        <f aca="false">Q1050-'DCF Base Case'!$B$5</f>
        <v>336.011950470082</v>
      </c>
      <c r="S1050" s="32" t="n">
        <f aca="false">R1050/'DCF Base Case'!$B$6</f>
        <v>13.4404780188033</v>
      </c>
    </row>
    <row r="1051" customFormat="false" ht="15" hidden="false" customHeight="true" outlineLevel="0" collapsed="false">
      <c r="A1051" s="6" t="n">
        <v>1050</v>
      </c>
      <c r="B1051" s="30" t="n">
        <v>0.0651055140597794</v>
      </c>
      <c r="C1051" s="30" t="n">
        <v>0.369679166672064</v>
      </c>
      <c r="D1051" s="30" t="n">
        <v>0.0712359130312505</v>
      </c>
      <c r="E1051" s="30" t="n">
        <v>0.282852879186927</v>
      </c>
      <c r="F1051" s="30" t="n">
        <v>0.0228677807953807</v>
      </c>
      <c r="G1051" s="30" t="n">
        <v>0.153918717878967</v>
      </c>
      <c r="H1051" s="31" t="n">
        <f aca="false">MAX(D1051,F1051+0.015)</f>
        <v>0.0712359130312505</v>
      </c>
      <c r="I1051" s="25" t="n">
        <f aca="false">(C1051-'DCF Base Case'!$B$3)*(1-E1051)+'DCF Base Case'!$B$3-G1051</f>
        <v>0.14796650641878</v>
      </c>
      <c r="J1051" s="24" t="n">
        <f aca="false">'DCF Base Case'!$B$2*(1+B1051)^1*$I1051-'DCF Base Case'!$B$2*(1+B1051)^0*B1051*'DCF Base Case'!$B$4</f>
        <v>22.5687825868466</v>
      </c>
      <c r="K1051" s="24" t="n">
        <f aca="false">'DCF Base Case'!$B$2*(1+B1051)^2*$I1051-'DCF Base Case'!$B$2*(1+B1051)^1*B1051*'DCF Base Case'!$B$4</f>
        <v>24.0381347788667</v>
      </c>
      <c r="L1051" s="24" t="n">
        <f aca="false">'DCF Base Case'!$B$2*(1+B1051)^3*$I1051-'DCF Base Case'!$B$2*(1+B1051)^2*B1051*'DCF Base Case'!$B$4</f>
        <v>25.6031499006831</v>
      </c>
      <c r="M1051" s="24" t="n">
        <f aca="false">'DCF Base Case'!$B$2*(1+B1051)^4*$I1051-'DCF Base Case'!$B$2*(1+B1051)^3*B1051*'DCF Base Case'!$B$4</f>
        <v>27.2700561365166</v>
      </c>
      <c r="N1051" s="24" t="n">
        <f aca="false">'DCF Base Case'!$B$2*(1+B1051)^5*$I1051-'DCF Base Case'!$B$2*(1+B1051)^4*B1051*'DCF Base Case'!$B$4</f>
        <v>29.0454871597236</v>
      </c>
      <c r="O1051" s="24" t="n">
        <f aca="false">J1051/(1+H1051)^1+K1051/(1+H1051)^2+L1051/(1+H1051)^3+M1051/(1+H1051)^4+N1051/(1+H1051)^5</f>
        <v>104.141142113016</v>
      </c>
      <c r="P1051" s="24" t="n">
        <f aca="false">N1051*(1+F1051)/(H1051-F1051)</f>
        <v>614.24106368851</v>
      </c>
      <c r="Q1051" s="24" t="n">
        <f aca="false">O1051+P1051/(1+H1051)^5</f>
        <v>539.566008558115</v>
      </c>
      <c r="R1051" s="24" t="n">
        <f aca="false">Q1051-'DCF Base Case'!$B$5</f>
        <v>354.566008558115</v>
      </c>
      <c r="S1051" s="32" t="n">
        <f aca="false">R1051/'DCF Base Case'!$B$6</f>
        <v>14.1826403423246</v>
      </c>
    </row>
    <row r="1052" customFormat="false" ht="15" hidden="false" customHeight="true" outlineLevel="0" collapsed="false">
      <c r="A1052" s="6" t="n">
        <v>1051</v>
      </c>
      <c r="B1052" s="30" t="n">
        <v>0.122949435550781</v>
      </c>
      <c r="C1052" s="30" t="n">
        <v>0.412035373420163</v>
      </c>
      <c r="D1052" s="30" t="n">
        <v>0.0823818710483213</v>
      </c>
      <c r="E1052" s="30" t="n">
        <v>0.257560289972639</v>
      </c>
      <c r="F1052" s="30" t="n">
        <v>0.0229045400450198</v>
      </c>
      <c r="G1052" s="30" t="n">
        <v>0.209615145848483</v>
      </c>
      <c r="H1052" s="31" t="n">
        <f aca="false">MAX(D1052,F1052+0.015)</f>
        <v>0.0823818710483213</v>
      </c>
      <c r="I1052" s="25" t="n">
        <f aca="false">(C1052-'DCF Base Case'!$B$3)*(1-E1052)+'DCF Base Case'!$B$3-G1052</f>
        <v>0.129779115011041</v>
      </c>
      <c r="J1052" s="24" t="n">
        <f aca="false">'DCF Base Case'!$B$2*(1+B1052)^1*$I1052-'DCF Base Case'!$B$2*(1+B1052)^0*B1052*'DCF Base Case'!$B$4</f>
        <v>20.5968006278038</v>
      </c>
      <c r="K1052" s="24" t="n">
        <f aca="false">'DCF Base Case'!$B$2*(1+B1052)^2*$I1052-'DCF Base Case'!$B$2*(1+B1052)^1*B1052*'DCF Base Case'!$B$4</f>
        <v>23.1291656391442</v>
      </c>
      <c r="L1052" s="24" t="n">
        <f aca="false">'DCF Base Case'!$B$2*(1+B1052)^3*$I1052-'DCF Base Case'!$B$2*(1+B1052)^2*B1052*'DCF Base Case'!$B$4</f>
        <v>25.9728834992375</v>
      </c>
      <c r="M1052" s="24" t="n">
        <f aca="false">'DCF Base Case'!$B$2*(1+B1052)^4*$I1052-'DCF Base Case'!$B$2*(1+B1052)^3*B1052*'DCF Base Case'!$B$4</f>
        <v>29.166234865095</v>
      </c>
      <c r="N1052" s="24" t="n">
        <f aca="false">'DCF Base Case'!$B$2*(1+B1052)^5*$I1052-'DCF Base Case'!$B$2*(1+B1052)^4*B1052*'DCF Base Case'!$B$4</f>
        <v>32.7522069788999</v>
      </c>
      <c r="O1052" s="24" t="n">
        <f aca="false">J1052/(1+H1052)^1+K1052/(1+H1052)^2+L1052/(1+H1052)^3+M1052/(1+H1052)^4+N1052/(1+H1052)^5</f>
        <v>102.550182369386</v>
      </c>
      <c r="P1052" s="24" t="n">
        <f aca="false">N1052*(1+F1052)/(H1052-F1052)</f>
        <v>563.279835360319</v>
      </c>
      <c r="Q1052" s="24" t="n">
        <f aca="false">O1052+P1052/(1+H1052)^5</f>
        <v>481.709433112503</v>
      </c>
      <c r="R1052" s="24" t="n">
        <f aca="false">Q1052-'DCF Base Case'!$B$5</f>
        <v>296.709433112503</v>
      </c>
      <c r="S1052" s="32" t="n">
        <f aca="false">R1052/'DCF Base Case'!$B$6</f>
        <v>11.8683773245001</v>
      </c>
    </row>
    <row r="1053" customFormat="false" ht="15" hidden="false" customHeight="true" outlineLevel="0" collapsed="false">
      <c r="A1053" s="6" t="n">
        <v>1052</v>
      </c>
      <c r="B1053" s="30" t="n">
        <v>0.0539732090201118</v>
      </c>
      <c r="C1053" s="30" t="n">
        <v>0.392253115809248</v>
      </c>
      <c r="D1053" s="30" t="n">
        <v>0.0989125783175504</v>
      </c>
      <c r="E1053" s="30" t="n">
        <v>0.252755524313669</v>
      </c>
      <c r="F1053" s="30" t="n">
        <v>0.0213789532946874</v>
      </c>
      <c r="G1053" s="30" t="n">
        <v>0.194198413709645</v>
      </c>
      <c r="H1053" s="31" t="n">
        <f aca="false">MAX(D1053,F1053+0.015)</f>
        <v>0.0989125783175504</v>
      </c>
      <c r="I1053" s="25" t="n">
        <f aca="false">(C1053-'DCF Base Case'!$B$3)*(1-E1053)+'DCF Base Case'!$B$3-G1053</f>
        <v>0.131768778310343</v>
      </c>
      <c r="J1053" s="24" t="n">
        <f aca="false">'DCF Base Case'!$B$2*(1+B1053)^1*$I1053-'DCF Base Case'!$B$2*(1+B1053)^0*B1053*'DCF Base Case'!$B$4</f>
        <v>19.9029270488023</v>
      </c>
      <c r="K1053" s="24" t="n">
        <f aca="false">'DCF Base Case'!$B$2*(1+B1053)^2*$I1053-'DCF Base Case'!$B$2*(1+B1053)^1*B1053*'DCF Base Case'!$B$4</f>
        <v>20.9771518905193</v>
      </c>
      <c r="L1053" s="24" t="n">
        <f aca="false">'DCF Base Case'!$B$2*(1+B1053)^3*$I1053-'DCF Base Case'!$B$2*(1+B1053)^2*B1053*'DCF Base Case'!$B$4</f>
        <v>22.1093560941529</v>
      </c>
      <c r="M1053" s="24" t="n">
        <f aca="false">'DCF Base Case'!$B$2*(1+B1053)^4*$I1053-'DCF Base Case'!$B$2*(1+B1053)^3*B1053*'DCF Base Case'!$B$4</f>
        <v>23.3026689919227</v>
      </c>
      <c r="N1053" s="24" t="n">
        <f aca="false">'DCF Base Case'!$B$2*(1+B1053)^5*$I1053-'DCF Base Case'!$B$2*(1+B1053)^4*B1053*'DCF Base Case'!$B$4</f>
        <v>24.5603888161502</v>
      </c>
      <c r="O1053" s="24" t="n">
        <f aca="false">J1053/(1+H1053)^1+K1053/(1+H1053)^2+L1053/(1+H1053)^3+M1053/(1+H1053)^4+N1053/(1+H1053)^5</f>
        <v>83.4475385263835</v>
      </c>
      <c r="P1053" s="24" t="n">
        <f aca="false">N1053*(1+F1053)/(H1053-F1053)</f>
        <v>323.543033285918</v>
      </c>
      <c r="Q1053" s="24" t="n">
        <f aca="false">O1053+P1053/(1+H1053)^5</f>
        <v>285.338246376457</v>
      </c>
      <c r="R1053" s="24" t="n">
        <f aca="false">Q1053-'DCF Base Case'!$B$5</f>
        <v>100.338246376457</v>
      </c>
      <c r="S1053" s="32" t="n">
        <f aca="false">R1053/'DCF Base Case'!$B$6</f>
        <v>4.01352985505826</v>
      </c>
    </row>
    <row r="1054" customFormat="false" ht="15" hidden="false" customHeight="true" outlineLevel="0" collapsed="false">
      <c r="A1054" s="6" t="n">
        <v>1053</v>
      </c>
      <c r="B1054" s="30" t="n">
        <v>0.0915839375386779</v>
      </c>
      <c r="C1054" s="30" t="n">
        <v>0.425729290620334</v>
      </c>
      <c r="D1054" s="30" t="n">
        <v>0.104369926247404</v>
      </c>
      <c r="E1054" s="30" t="n">
        <v>0.33405473336608</v>
      </c>
      <c r="F1054" s="30" t="n">
        <v>0.019120116908571</v>
      </c>
      <c r="G1054" s="30" t="n">
        <v>0.154480844640795</v>
      </c>
      <c r="H1054" s="31" t="n">
        <f aca="false">MAX(D1054,F1054+0.015)</f>
        <v>0.104369926247404</v>
      </c>
      <c r="I1054" s="25" t="n">
        <f aca="false">(C1054-'DCF Base Case'!$B$3)*(1-E1054)+'DCF Base Case'!$B$3-G1054</f>
        <v>0.172458676652823</v>
      </c>
      <c r="J1054" s="24" t="n">
        <f aca="false">'DCF Base Case'!$B$2*(1+B1054)^1*$I1054-'DCF Base Case'!$B$2*(1+B1054)^0*B1054*'DCF Base Case'!$B$4</f>
        <v>26.8983124635996</v>
      </c>
      <c r="K1054" s="24" t="n">
        <f aca="false">'DCF Base Case'!$B$2*(1+B1054)^2*$I1054-'DCF Base Case'!$B$2*(1+B1054)^1*B1054*'DCF Base Case'!$B$4</f>
        <v>29.3617658321617</v>
      </c>
      <c r="L1054" s="24" t="n">
        <f aca="false">'DCF Base Case'!$B$2*(1+B1054)^3*$I1054-'DCF Base Case'!$B$2*(1+B1054)^2*B1054*'DCF Base Case'!$B$4</f>
        <v>32.0508319601597</v>
      </c>
      <c r="M1054" s="24" t="n">
        <f aca="false">'DCF Base Case'!$B$2*(1+B1054)^4*$I1054-'DCF Base Case'!$B$2*(1+B1054)^3*B1054*'DCF Base Case'!$B$4</f>
        <v>34.9861733524616</v>
      </c>
      <c r="N1054" s="24" t="n">
        <f aca="false">'DCF Base Case'!$B$2*(1+B1054)^5*$I1054-'DCF Base Case'!$B$2*(1+B1054)^4*B1054*'DCF Base Case'!$B$4</f>
        <v>38.1903448674908</v>
      </c>
      <c r="O1054" s="24" t="n">
        <f aca="false">J1054/(1+H1054)^1+K1054/(1+H1054)^2+L1054/(1+H1054)^3+M1054/(1+H1054)^4+N1054/(1+H1054)^5</f>
        <v>118.993842754574</v>
      </c>
      <c r="P1054" s="24" t="n">
        <f aca="false">N1054*(1+F1054)/(H1054-F1054)</f>
        <v>456.547047178049</v>
      </c>
      <c r="Q1054" s="24" t="n">
        <f aca="false">O1054+P1054/(1+H1054)^5</f>
        <v>396.909285906046</v>
      </c>
      <c r="R1054" s="24" t="n">
        <f aca="false">Q1054-'DCF Base Case'!$B$5</f>
        <v>211.909285906046</v>
      </c>
      <c r="S1054" s="32" t="n">
        <f aca="false">R1054/'DCF Base Case'!$B$6</f>
        <v>8.47637143624183</v>
      </c>
    </row>
    <row r="1055" customFormat="false" ht="15" hidden="false" customHeight="true" outlineLevel="0" collapsed="false">
      <c r="A1055" s="6" t="n">
        <v>1054</v>
      </c>
      <c r="B1055" s="30" t="n">
        <v>0.0698991284459853</v>
      </c>
      <c r="C1055" s="30" t="n">
        <v>0.426741553128505</v>
      </c>
      <c r="D1055" s="30" t="n">
        <v>0.0699104688642994</v>
      </c>
      <c r="E1055" s="30" t="n">
        <v>0.27294779108907</v>
      </c>
      <c r="F1055" s="30" t="n">
        <v>0.0197291672650872</v>
      </c>
      <c r="G1055" s="30" t="n">
        <v>0.155070286726436</v>
      </c>
      <c r="H1055" s="31" t="n">
        <f aca="false">MAX(D1055,F1055+0.015)</f>
        <v>0.0699104688642994</v>
      </c>
      <c r="I1055" s="25" t="n">
        <f aca="false">(C1055-'DCF Base Case'!$B$3)*(1-E1055)+'DCF Base Case'!$B$3-G1055</f>
        <v>0.190676314951304</v>
      </c>
      <c r="J1055" s="24" t="n">
        <f aca="false">'DCF Base Case'!$B$2*(1+B1055)^1*$I1055-'DCF Base Case'!$B$2*(1+B1055)^0*B1055*'DCF Base Case'!$B$4</f>
        <v>29.2765801526053</v>
      </c>
      <c r="K1055" s="24" t="n">
        <f aca="false">'DCF Base Case'!$B$2*(1+B1055)^2*$I1055-'DCF Base Case'!$B$2*(1+B1055)^1*B1055*'DCF Base Case'!$B$4</f>
        <v>31.3229875891514</v>
      </c>
      <c r="L1055" s="24" t="n">
        <f aca="false">'DCF Base Case'!$B$2*(1+B1055)^3*$I1055-'DCF Base Case'!$B$2*(1+B1055)^2*B1055*'DCF Base Case'!$B$4</f>
        <v>33.5124371219575</v>
      </c>
      <c r="M1055" s="24" t="n">
        <f aca="false">'DCF Base Case'!$B$2*(1+B1055)^4*$I1055-'DCF Base Case'!$B$2*(1+B1055)^3*B1055*'DCF Base Case'!$B$4</f>
        <v>35.8549272688833</v>
      </c>
      <c r="N1055" s="24" t="n">
        <f aca="false">'DCF Base Case'!$B$2*(1+B1055)^5*$I1055-'DCF Base Case'!$B$2*(1+B1055)^4*B1055*'DCF Base Case'!$B$4</f>
        <v>38.3611554354724</v>
      </c>
      <c r="O1055" s="24" t="n">
        <f aca="false">J1055/(1+H1055)^1+K1055/(1+H1055)^2+L1055/(1+H1055)^3+M1055/(1+H1055)^4+N1055/(1+H1055)^5</f>
        <v>136.814997059445</v>
      </c>
      <c r="P1055" s="24" t="n">
        <f aca="false">N1055*(1+F1055)/(H1055-F1055)</f>
        <v>779.533169545267</v>
      </c>
      <c r="Q1055" s="24" t="n">
        <f aca="false">O1055+P1055/(1+H1055)^5</f>
        <v>692.843960190351</v>
      </c>
      <c r="R1055" s="24" t="n">
        <f aca="false">Q1055-'DCF Base Case'!$B$5</f>
        <v>507.843960190351</v>
      </c>
      <c r="S1055" s="32" t="n">
        <f aca="false">R1055/'DCF Base Case'!$B$6</f>
        <v>20.313758407614</v>
      </c>
    </row>
    <row r="1056" customFormat="false" ht="15" hidden="false" customHeight="true" outlineLevel="0" collapsed="false">
      <c r="A1056" s="6" t="n">
        <v>1055</v>
      </c>
      <c r="B1056" s="30" t="n">
        <v>0.0958520837610447</v>
      </c>
      <c r="C1056" s="30" t="n">
        <v>0.455017877286968</v>
      </c>
      <c r="D1056" s="30" t="n">
        <v>0.083662415506188</v>
      </c>
      <c r="E1056" s="30" t="n">
        <v>0.268656141784386</v>
      </c>
      <c r="F1056" s="30" t="n">
        <v>0.0229899760040813</v>
      </c>
      <c r="G1056" s="30" t="n">
        <v>0.170685102282894</v>
      </c>
      <c r="H1056" s="31" t="n">
        <f aca="false">MAX(D1056,F1056+0.015)</f>
        <v>0.083662415506188</v>
      </c>
      <c r="I1056" s="25" t="n">
        <f aca="false">(C1056-'DCF Base Case'!$B$3)*(1-E1056)+'DCF Base Case'!$B$3-G1056</f>
        <v>0.197014726081206</v>
      </c>
      <c r="J1056" s="24" t="n">
        <f aca="false">'DCF Base Case'!$B$2*(1+B1056)^1*$I1056-'DCF Base Case'!$B$2*(1+B1056)^0*B1056*'DCF Base Case'!$B$4</f>
        <v>30.8883981612561</v>
      </c>
      <c r="K1056" s="24" t="n">
        <f aca="false">'DCF Base Case'!$B$2*(1+B1056)^2*$I1056-'DCF Base Case'!$B$2*(1+B1056)^1*B1056*'DCF Base Case'!$B$4</f>
        <v>33.8491154890534</v>
      </c>
      <c r="L1056" s="24" t="n">
        <f aca="false">'DCF Base Case'!$B$2*(1+B1056)^3*$I1056-'DCF Base Case'!$B$2*(1+B1056)^2*B1056*'DCF Base Case'!$B$4</f>
        <v>37.0936237421474</v>
      </c>
      <c r="M1056" s="24" t="n">
        <f aca="false">'DCF Base Case'!$B$2*(1+B1056)^4*$I1056-'DCF Base Case'!$B$2*(1+B1056)^3*B1056*'DCF Base Case'!$B$4</f>
        <v>40.6491248720803</v>
      </c>
      <c r="N1056" s="24" t="n">
        <f aca="false">'DCF Base Case'!$B$2*(1+B1056)^5*$I1056-'DCF Base Case'!$B$2*(1+B1056)^4*B1056*'DCF Base Case'!$B$4</f>
        <v>44.5454281941322</v>
      </c>
      <c r="O1056" s="24" t="n">
        <f aca="false">J1056/(1+H1056)^1+K1056/(1+H1056)^2+L1056/(1+H1056)^3+M1056/(1+H1056)^4+N1056/(1+H1056)^5</f>
        <v>145.761078097413</v>
      </c>
      <c r="P1056" s="24" t="n">
        <f aca="false">N1056*(1+F1056)/(H1056-F1056)</f>
        <v>751.074571804954</v>
      </c>
      <c r="Q1056" s="24" t="n">
        <f aca="false">O1056+P1056/(1+H1056)^5</f>
        <v>648.35010639801</v>
      </c>
      <c r="R1056" s="24" t="n">
        <f aca="false">Q1056-'DCF Base Case'!$B$5</f>
        <v>463.35010639801</v>
      </c>
      <c r="S1056" s="32" t="n">
        <f aca="false">R1056/'DCF Base Case'!$B$6</f>
        <v>18.5340042559204</v>
      </c>
    </row>
    <row r="1057" customFormat="false" ht="15" hidden="false" customHeight="true" outlineLevel="0" collapsed="false">
      <c r="A1057" s="6" t="n">
        <v>1056</v>
      </c>
      <c r="B1057" s="30" t="n">
        <v>0.120631506736479</v>
      </c>
      <c r="C1057" s="30" t="n">
        <v>0.428046492237048</v>
      </c>
      <c r="D1057" s="30" t="n">
        <v>0.0822673447123186</v>
      </c>
      <c r="E1057" s="30" t="n">
        <v>0.249050702620684</v>
      </c>
      <c r="F1057" s="30" t="n">
        <v>0.013035261440649</v>
      </c>
      <c r="G1057" s="30" t="n">
        <v>0.131524081894459</v>
      </c>
      <c r="H1057" s="31" t="n">
        <f aca="false">MAX(D1057,F1057+0.015)</f>
        <v>0.0822673447123186</v>
      </c>
      <c r="I1057" s="25" t="n">
        <f aca="false">(C1057-'DCF Base Case'!$B$3)*(1-E1057)+'DCF Base Case'!$B$3-G1057</f>
        <v>0.222293722037322</v>
      </c>
      <c r="J1057" s="24" t="n">
        <f aca="false">'DCF Base Case'!$B$2*(1+B1057)^1*$I1057-'DCF Base Case'!$B$2*(1+B1057)^0*B1057*'DCF Base Case'!$B$4</f>
        <v>35.5961085020842</v>
      </c>
      <c r="K1057" s="24" t="n">
        <f aca="false">'DCF Base Case'!$B$2*(1+B1057)^2*$I1057-'DCF Base Case'!$B$2*(1+B1057)^1*B1057*'DCF Base Case'!$B$4</f>
        <v>39.8901207046458</v>
      </c>
      <c r="L1057" s="24" t="n">
        <f aca="false">'DCF Base Case'!$B$2*(1+B1057)^3*$I1057-'DCF Base Case'!$B$2*(1+B1057)^2*B1057*'DCF Base Case'!$B$4</f>
        <v>44.7021260691473</v>
      </c>
      <c r="M1057" s="24" t="n">
        <f aca="false">'DCF Base Case'!$B$2*(1+B1057)^4*$I1057-'DCF Base Case'!$B$2*(1+B1057)^3*B1057*'DCF Base Case'!$B$4</f>
        <v>50.0946108911925</v>
      </c>
      <c r="N1057" s="24" t="n">
        <f aca="false">'DCF Base Case'!$B$2*(1+B1057)^5*$I1057-'DCF Base Case'!$B$2*(1+B1057)^4*B1057*'DCF Base Case'!$B$4</f>
        <v>56.1375992823747</v>
      </c>
      <c r="O1057" s="24" t="n">
        <f aca="false">J1057/(1+H1057)^1+K1057/(1+H1057)^2+L1057/(1+H1057)^3+M1057/(1+H1057)^4+N1057/(1+H1057)^5</f>
        <v>176.531154416391</v>
      </c>
      <c r="P1057" s="24" t="n">
        <f aca="false">N1057*(1+F1057)/(H1057-F1057)</f>
        <v>821.430829150599</v>
      </c>
      <c r="Q1057" s="24" t="n">
        <f aca="false">O1057+P1057/(1+H1057)^5</f>
        <v>729.751603701882</v>
      </c>
      <c r="R1057" s="24" t="n">
        <f aca="false">Q1057-'DCF Base Case'!$B$5</f>
        <v>544.751603701882</v>
      </c>
      <c r="S1057" s="32" t="n">
        <f aca="false">R1057/'DCF Base Case'!$B$6</f>
        <v>21.7900641480753</v>
      </c>
    </row>
    <row r="1058" customFormat="false" ht="15" hidden="false" customHeight="true" outlineLevel="0" collapsed="false">
      <c r="A1058" s="6" t="n">
        <v>1057</v>
      </c>
      <c r="B1058" s="30" t="n">
        <v>0.0980346565989499</v>
      </c>
      <c r="C1058" s="30" t="n">
        <v>0.387544866113573</v>
      </c>
      <c r="D1058" s="30" t="n">
        <v>0.0988113510251132</v>
      </c>
      <c r="E1058" s="30" t="n">
        <v>0.280497780323332</v>
      </c>
      <c r="F1058" s="30" t="n">
        <v>0.0184035724565926</v>
      </c>
      <c r="G1058" s="30" t="n">
        <v>0.148240056475897</v>
      </c>
      <c r="H1058" s="31" t="n">
        <f aca="false">MAX(D1058,F1058+0.015)</f>
        <v>0.0988113510251132</v>
      </c>
      <c r="I1058" s="25" t="n">
        <f aca="false">(C1058-'DCF Base Case'!$B$3)*(1-E1058)+'DCF Base Case'!$B$3-G1058</f>
        <v>0.167064046359149</v>
      </c>
      <c r="J1058" s="24" t="n">
        <f aca="false">'DCF Base Case'!$B$2*(1+B1058)^1*$I1058-'DCF Base Case'!$B$2*(1+B1058)^0*B1058*'DCF Base Case'!$B$4</f>
        <v>26.1726555960245</v>
      </c>
      <c r="K1058" s="24" t="n">
        <f aca="false">'DCF Base Case'!$B$2*(1+B1058)^2*$I1058-'DCF Base Case'!$B$2*(1+B1058)^1*B1058*'DCF Base Case'!$B$4</f>
        <v>28.7384828996633</v>
      </c>
      <c r="L1058" s="24" t="n">
        <f aca="false">'DCF Base Case'!$B$2*(1+B1058)^3*$I1058-'DCF Base Case'!$B$2*(1+B1058)^2*B1058*'DCF Base Case'!$B$4</f>
        <v>31.5558502019066</v>
      </c>
      <c r="M1058" s="24" t="n">
        <f aca="false">'DCF Base Case'!$B$2*(1+B1058)^4*$I1058-'DCF Base Case'!$B$2*(1+B1058)^3*B1058*'DCF Base Case'!$B$4</f>
        <v>34.6494171401384</v>
      </c>
      <c r="N1058" s="24" t="n">
        <f aca="false">'DCF Base Case'!$B$2*(1+B1058)^5*$I1058-'DCF Base Case'!$B$2*(1+B1058)^4*B1058*'DCF Base Case'!$B$4</f>
        <v>38.0462608508256</v>
      </c>
      <c r="O1058" s="24" t="n">
        <f aca="false">J1058/(1+H1058)^1+K1058/(1+H1058)^2+L1058/(1+H1058)^3+M1058/(1+H1058)^4+N1058/(1+H1058)^5</f>
        <v>118.927063552732</v>
      </c>
      <c r="P1058" s="24" t="n">
        <f aca="false">N1058*(1+F1058)/(H1058-F1058)</f>
        <v>481.874374082825</v>
      </c>
      <c r="Q1058" s="24" t="n">
        <f aca="false">O1058+P1058/(1+H1058)^5</f>
        <v>419.754986752035</v>
      </c>
      <c r="R1058" s="24" t="n">
        <f aca="false">Q1058-'DCF Base Case'!$B$5</f>
        <v>234.754986752035</v>
      </c>
      <c r="S1058" s="32" t="n">
        <f aca="false">R1058/'DCF Base Case'!$B$6</f>
        <v>9.39019947008139</v>
      </c>
    </row>
    <row r="1059" customFormat="false" ht="15" hidden="false" customHeight="true" outlineLevel="0" collapsed="false">
      <c r="A1059" s="6" t="n">
        <v>1058</v>
      </c>
      <c r="B1059" s="30" t="n">
        <v>0.103470158035255</v>
      </c>
      <c r="C1059" s="30" t="n">
        <v>0.402145505465971</v>
      </c>
      <c r="D1059" s="30" t="n">
        <v>0.0741608419552313</v>
      </c>
      <c r="E1059" s="30" t="n">
        <v>0.315915647139348</v>
      </c>
      <c r="F1059" s="30" t="n">
        <v>0.0206124337923471</v>
      </c>
      <c r="G1059" s="30" t="n">
        <v>0.160357653674126</v>
      </c>
      <c r="H1059" s="31" t="n">
        <f aca="false">MAX(D1059,F1059+0.015)</f>
        <v>0.0741608419552313</v>
      </c>
      <c r="I1059" s="25" t="n">
        <f aca="false">(C1059-'DCF Base Case'!$B$3)*(1-E1059)+'DCF Base Case'!$B$3-G1059</f>
        <v>0.155812828316498</v>
      </c>
      <c r="J1059" s="24" t="n">
        <f aca="false">'DCF Base Case'!$B$2*(1+B1059)^1*$I1059-'DCF Base Case'!$B$2*(1+B1059)^0*B1059*'DCF Base Case'!$B$4</f>
        <v>24.4804517240639</v>
      </c>
      <c r="K1059" s="24" t="n">
        <f aca="false">'DCF Base Case'!$B$2*(1+B1059)^2*$I1059-'DCF Base Case'!$B$2*(1+B1059)^1*B1059*'DCF Base Case'!$B$4</f>
        <v>27.0134479327272</v>
      </c>
      <c r="L1059" s="24" t="n">
        <f aca="false">'DCF Base Case'!$B$2*(1+B1059)^3*$I1059-'DCF Base Case'!$B$2*(1+B1059)^2*B1059*'DCF Base Case'!$B$4</f>
        <v>29.8085336594036</v>
      </c>
      <c r="M1059" s="24" t="n">
        <f aca="false">'DCF Base Case'!$B$2*(1+B1059)^4*$I1059-'DCF Base Case'!$B$2*(1+B1059)^3*B1059*'DCF Base Case'!$B$4</f>
        <v>32.8928273479414</v>
      </c>
      <c r="N1059" s="24" t="n">
        <f aca="false">'DCF Base Case'!$B$2*(1+B1059)^5*$I1059-'DCF Base Case'!$B$2*(1+B1059)^4*B1059*'DCF Base Case'!$B$4</f>
        <v>36.2962533918592</v>
      </c>
      <c r="O1059" s="24" t="n">
        <f aca="false">J1059/(1+H1059)^1+K1059/(1+H1059)^2+L1059/(1+H1059)^3+M1059/(1+H1059)^4+N1059/(1+H1059)^5</f>
        <v>120.342034597326</v>
      </c>
      <c r="P1059" s="24" t="n">
        <f aca="false">N1059*(1+F1059)/(H1059-F1059)</f>
        <v>691.792880175393</v>
      </c>
      <c r="Q1059" s="24" t="n">
        <f aca="false">O1059+P1059/(1+H1059)^5</f>
        <v>604.101534246309</v>
      </c>
      <c r="R1059" s="24" t="n">
        <f aca="false">Q1059-'DCF Base Case'!$B$5</f>
        <v>419.101534246309</v>
      </c>
      <c r="S1059" s="32" t="n">
        <f aca="false">R1059/'DCF Base Case'!$B$6</f>
        <v>16.7640613698524</v>
      </c>
    </row>
    <row r="1060" customFormat="false" ht="15" hidden="false" customHeight="true" outlineLevel="0" collapsed="false">
      <c r="A1060" s="6" t="n">
        <v>1059</v>
      </c>
      <c r="B1060" s="30" t="n">
        <v>0.103901474813771</v>
      </c>
      <c r="C1060" s="30" t="n">
        <v>0.419602092089651</v>
      </c>
      <c r="D1060" s="30" t="n">
        <v>0.0892131446549685</v>
      </c>
      <c r="E1060" s="30" t="n">
        <v>0.261396252894981</v>
      </c>
      <c r="F1060" s="30" t="n">
        <v>0.0259122385330852</v>
      </c>
      <c r="G1060" s="30" t="n">
        <v>0.153531207094064</v>
      </c>
      <c r="H1060" s="31" t="n">
        <f aca="false">MAX(D1060,F1060+0.015)</f>
        <v>0.0892131446549685</v>
      </c>
      <c r="I1060" s="25" t="n">
        <f aca="false">(C1060-'DCF Base Case'!$B$3)*(1-E1060)+'DCF Base Case'!$B$3-G1060</f>
        <v>0.190369983292805</v>
      </c>
      <c r="J1060" s="24" t="n">
        <f aca="false">'DCF Base Case'!$B$2*(1+B1060)^1*$I1060-'DCF Base Case'!$B$2*(1+B1060)^0*B1060*'DCF Base Case'!$B$4</f>
        <v>30.0197358555542</v>
      </c>
      <c r="K1060" s="24" t="n">
        <f aca="false">'DCF Base Case'!$B$2*(1+B1060)^2*$I1060-'DCF Base Case'!$B$2*(1+B1060)^1*B1060*'DCF Base Case'!$B$4</f>
        <v>33.1388306844661</v>
      </c>
      <c r="L1060" s="24" t="n">
        <f aca="false">'DCF Base Case'!$B$2*(1+B1060)^3*$I1060-'DCF Base Case'!$B$2*(1+B1060)^2*B1060*'DCF Base Case'!$B$4</f>
        <v>36.582004066186</v>
      </c>
      <c r="M1060" s="24" t="n">
        <f aca="false">'DCF Base Case'!$B$2*(1+B1060)^4*$I1060-'DCF Base Case'!$B$2*(1+B1060)^3*B1060*'DCF Base Case'!$B$4</f>
        <v>40.382928240306</v>
      </c>
      <c r="N1060" s="24" t="n">
        <f aca="false">'DCF Base Case'!$B$2*(1+B1060)^5*$I1060-'DCF Base Case'!$B$2*(1+B1060)^4*B1060*'DCF Base Case'!$B$4</f>
        <v>44.5787740417725</v>
      </c>
      <c r="O1060" s="24" t="n">
        <f aca="false">J1060/(1+H1060)^1+K1060/(1+H1060)^2+L1060/(1+H1060)^3+M1060/(1+H1060)^4+N1060/(1+H1060)^5</f>
        <v>141.571814747957</v>
      </c>
      <c r="P1060" s="24" t="n">
        <f aca="false">N1060*(1+F1060)/(H1060-F1060)</f>
        <v>722.48428450924</v>
      </c>
      <c r="Q1060" s="24" t="n">
        <f aca="false">O1060+P1060/(1+H1060)^5</f>
        <v>612.835565953348</v>
      </c>
      <c r="R1060" s="24" t="n">
        <f aca="false">Q1060-'DCF Base Case'!$B$5</f>
        <v>427.835565953348</v>
      </c>
      <c r="S1060" s="32" t="n">
        <f aca="false">R1060/'DCF Base Case'!$B$6</f>
        <v>17.1134226381339</v>
      </c>
    </row>
    <row r="1061" customFormat="false" ht="15" hidden="false" customHeight="true" outlineLevel="0" collapsed="false">
      <c r="A1061" s="6" t="n">
        <v>1060</v>
      </c>
      <c r="B1061" s="30" t="n">
        <v>0.122700851899558</v>
      </c>
      <c r="C1061" s="30" t="n">
        <v>0.422234679663917</v>
      </c>
      <c r="D1061" s="30" t="n">
        <v>0.0938780682722046</v>
      </c>
      <c r="E1061" s="30" t="n">
        <v>0.302136422590608</v>
      </c>
      <c r="F1061" s="30" t="n">
        <v>0.0234378650964494</v>
      </c>
      <c r="G1061" s="30" t="n">
        <v>0.148304019970623</v>
      </c>
      <c r="H1061" s="31" t="n">
        <f aca="false">MAX(D1061,F1061+0.015)</f>
        <v>0.0938780682722046</v>
      </c>
      <c r="I1061" s="25" t="n">
        <f aca="false">(C1061-'DCF Base Case'!$B$3)*(1-E1061)+'DCF Base Case'!$B$3-G1061</f>
        <v>0.185635919022726</v>
      </c>
      <c r="J1061" s="24" t="n">
        <f aca="false">'DCF Base Case'!$B$2*(1+B1061)^1*$I1061-'DCF Base Case'!$B$2*(1+B1061)^0*B1061*'DCF Base Case'!$B$4</f>
        <v>29.6862239365828</v>
      </c>
      <c r="K1061" s="24" t="n">
        <f aca="false">'DCF Base Case'!$B$2*(1+B1061)^2*$I1061-'DCF Base Case'!$B$2*(1+B1061)^1*B1061*'DCF Base Case'!$B$4</f>
        <v>33.3287489032826</v>
      </c>
      <c r="L1061" s="24" t="n">
        <f aca="false">'DCF Base Case'!$B$2*(1+B1061)^3*$I1061-'DCF Base Case'!$B$2*(1+B1061)^2*B1061*'DCF Base Case'!$B$4</f>
        <v>37.4182147864618</v>
      </c>
      <c r="M1061" s="24" t="n">
        <f aca="false">'DCF Base Case'!$B$2*(1+B1061)^4*$I1061-'DCF Base Case'!$B$2*(1+B1061)^3*B1061*'DCF Base Case'!$B$4</f>
        <v>42.0094616173213</v>
      </c>
      <c r="N1061" s="24" t="n">
        <f aca="false">'DCF Base Case'!$B$2*(1+B1061)^5*$I1061-'DCF Base Case'!$B$2*(1+B1061)^4*B1061*'DCF Base Case'!$B$4</f>
        <v>47.1640583456084</v>
      </c>
      <c r="O1061" s="24" t="n">
        <f aca="false">J1061/(1+H1061)^1+K1061/(1+H1061)^2+L1061/(1+H1061)^3+M1061/(1+H1061)^4+N1061/(1+H1061)^5</f>
        <v>143.034250261562</v>
      </c>
      <c r="P1061" s="24" t="n">
        <f aca="false">N1061*(1+F1061)/(H1061-F1061)</f>
        <v>685.254740990408</v>
      </c>
      <c r="Q1061" s="24" t="n">
        <f aca="false">O1061+P1061/(1+H1061)^5</f>
        <v>580.563884827233</v>
      </c>
      <c r="R1061" s="24" t="n">
        <f aca="false">Q1061-'DCF Base Case'!$B$5</f>
        <v>395.563884827233</v>
      </c>
      <c r="S1061" s="32" t="n">
        <f aca="false">R1061/'DCF Base Case'!$B$6</f>
        <v>15.8225553930893</v>
      </c>
    </row>
    <row r="1062" customFormat="false" ht="15" hidden="false" customHeight="true" outlineLevel="0" collapsed="false">
      <c r="A1062" s="6" t="n">
        <v>1061</v>
      </c>
      <c r="B1062" s="30" t="n">
        <v>0.11344391085132</v>
      </c>
      <c r="C1062" s="30" t="n">
        <v>0.451610297886674</v>
      </c>
      <c r="D1062" s="30" t="n">
        <v>0.0821543772283396</v>
      </c>
      <c r="E1062" s="30" t="n">
        <v>0.280624536695816</v>
      </c>
      <c r="F1062" s="30" t="n">
        <v>0.0172496933656092</v>
      </c>
      <c r="G1062" s="30" t="n">
        <v>0.15818415599673</v>
      </c>
      <c r="H1062" s="31" t="n">
        <f aca="false">MAX(D1062,F1062+0.015)</f>
        <v>0.0821543772283396</v>
      </c>
      <c r="I1062" s="25" t="n">
        <f aca="false">(C1062-'DCF Base Case'!$B$3)*(1-E1062)+'DCF Base Case'!$B$3-G1062</f>
        <v>0.203174401048893</v>
      </c>
      <c r="J1062" s="24" t="n">
        <f aca="false">'DCF Base Case'!$B$2*(1+B1062)^1*$I1062-'DCF Base Case'!$B$2*(1+B1062)^0*B1062*'DCF Base Case'!$B$4</f>
        <v>32.308897442666</v>
      </c>
      <c r="K1062" s="24" t="n">
        <f aca="false">'DCF Base Case'!$B$2*(1+B1062)^2*$I1062-'DCF Base Case'!$B$2*(1+B1062)^1*B1062*'DCF Base Case'!$B$4</f>
        <v>35.9741451238563</v>
      </c>
      <c r="L1062" s="24" t="n">
        <f aca="false">'DCF Base Case'!$B$2*(1+B1062)^3*$I1062-'DCF Base Case'!$B$2*(1+B1062)^2*B1062*'DCF Base Case'!$B$4</f>
        <v>40.0551928362395</v>
      </c>
      <c r="M1062" s="24" t="n">
        <f aca="false">'DCF Base Case'!$B$2*(1+B1062)^4*$I1062-'DCF Base Case'!$B$2*(1+B1062)^3*B1062*'DCF Base Case'!$B$4</f>
        <v>44.5992105614863</v>
      </c>
      <c r="N1062" s="24" t="n">
        <f aca="false">'DCF Base Case'!$B$2*(1+B1062)^5*$I1062-'DCF Base Case'!$B$2*(1+B1062)^4*B1062*'DCF Base Case'!$B$4</f>
        <v>49.6587194284627</v>
      </c>
      <c r="O1062" s="24" t="n">
        <f aca="false">J1062/(1+H1062)^1+K1062/(1+H1062)^2+L1062/(1+H1062)^3+M1062/(1+H1062)^4+N1062/(1+H1062)^5</f>
        <v>158.166302495576</v>
      </c>
      <c r="P1062" s="24" t="n">
        <f aca="false">N1062*(1+F1062)/(H1062-F1062)</f>
        <v>778.300025593984</v>
      </c>
      <c r="Q1062" s="24" t="n">
        <f aca="false">O1062+P1062/(1+H1062)^5</f>
        <v>682.612501771521</v>
      </c>
      <c r="R1062" s="24" t="n">
        <f aca="false">Q1062-'DCF Base Case'!$B$5</f>
        <v>497.612501771521</v>
      </c>
      <c r="S1062" s="32" t="n">
        <f aca="false">R1062/'DCF Base Case'!$B$6</f>
        <v>19.9045000708608</v>
      </c>
    </row>
    <row r="1063" customFormat="false" ht="15" hidden="false" customHeight="true" outlineLevel="0" collapsed="false">
      <c r="A1063" s="6" t="n">
        <v>1062</v>
      </c>
      <c r="B1063" s="30" t="n">
        <v>0.125251856775695</v>
      </c>
      <c r="C1063" s="30" t="n">
        <v>0.406879509868511</v>
      </c>
      <c r="D1063" s="30" t="n">
        <v>0.0746366929596415</v>
      </c>
      <c r="E1063" s="30" t="n">
        <v>0.326964234033437</v>
      </c>
      <c r="F1063" s="30" t="n">
        <v>0.0215898347537566</v>
      </c>
      <c r="G1063" s="30" t="n">
        <v>0.209904233517125</v>
      </c>
      <c r="H1063" s="31" t="n">
        <f aca="false">MAX(D1063,F1063+0.015)</f>
        <v>0.0746366929596415</v>
      </c>
      <c r="I1063" s="25" t="n">
        <f aca="false">(C1063-'DCF Base Case'!$B$3)*(1-E1063)+'DCF Base Case'!$B$3-G1063</f>
        <v>0.106445579487675</v>
      </c>
      <c r="J1063" s="24" t="n">
        <f aca="false">'DCF Base Case'!$B$2*(1+B1063)^1*$I1063-'DCF Base Case'!$B$2*(1+B1063)^0*B1063*'DCF Base Case'!$B$4</f>
        <v>16.822976887816</v>
      </c>
      <c r="K1063" s="24" t="n">
        <f aca="false">'DCF Base Case'!$B$2*(1+B1063)^2*$I1063-'DCF Base Case'!$B$2*(1+B1063)^1*B1063*'DCF Base Case'!$B$4</f>
        <v>18.9300859795096</v>
      </c>
      <c r="L1063" s="24" t="n">
        <f aca="false">'DCF Base Case'!$B$2*(1+B1063)^3*$I1063-'DCF Base Case'!$B$2*(1+B1063)^2*B1063*'DCF Base Case'!$B$4</f>
        <v>21.3011143973667</v>
      </c>
      <c r="M1063" s="24" t="n">
        <f aca="false">'DCF Base Case'!$B$2*(1+B1063)^4*$I1063-'DCF Base Case'!$B$2*(1+B1063)^3*B1063*'DCF Base Case'!$B$4</f>
        <v>23.9691185270284</v>
      </c>
      <c r="N1063" s="24" t="n">
        <f aca="false">'DCF Base Case'!$B$2*(1+B1063)^5*$I1063-'DCF Base Case'!$B$2*(1+B1063)^4*B1063*'DCF Base Case'!$B$4</f>
        <v>26.9712951278154</v>
      </c>
      <c r="O1063" s="24" t="n">
        <f aca="false">J1063/(1+H1063)^1+K1063/(1+H1063)^2+L1063/(1+H1063)^3+M1063/(1+H1063)^4+N1063/(1+H1063)^5</f>
        <v>86.0016626205066</v>
      </c>
      <c r="P1063" s="24" t="n">
        <f aca="false">N1063*(1+F1063)/(H1063-F1063)</f>
        <v>519.420034750767</v>
      </c>
      <c r="Q1063" s="24" t="n">
        <f aca="false">O1063+P1063/(1+H1063)^5</f>
        <v>448.420172704492</v>
      </c>
      <c r="R1063" s="24" t="n">
        <f aca="false">Q1063-'DCF Base Case'!$B$5</f>
        <v>263.420172704492</v>
      </c>
      <c r="S1063" s="32" t="n">
        <f aca="false">R1063/'DCF Base Case'!$B$6</f>
        <v>10.5368069081797</v>
      </c>
    </row>
    <row r="1064" customFormat="false" ht="15" hidden="false" customHeight="true" outlineLevel="0" collapsed="false">
      <c r="A1064" s="6" t="n">
        <v>1063</v>
      </c>
      <c r="B1064" s="30" t="n">
        <v>0.0803854611918977</v>
      </c>
      <c r="C1064" s="30" t="n">
        <v>0.413905573136964</v>
      </c>
      <c r="D1064" s="30" t="n">
        <v>0.0777325536185102</v>
      </c>
      <c r="E1064" s="30" t="n">
        <v>0.283773426421777</v>
      </c>
      <c r="F1064" s="30" t="n">
        <v>0.0125795593108139</v>
      </c>
      <c r="G1064" s="30" t="n">
        <v>0.181527700972924</v>
      </c>
      <c r="H1064" s="31" t="n">
        <f aca="false">MAX(D1064,F1064+0.015)</f>
        <v>0.0777325536185102</v>
      </c>
      <c r="I1064" s="25" t="n">
        <f aca="false">(C1064-'DCF Base Case'!$B$3)*(1-E1064)+'DCF Base Case'!$B$3-G1064</f>
        <v>0.151813014894725</v>
      </c>
      <c r="J1064" s="24" t="n">
        <f aca="false">'DCF Base Case'!$B$2*(1+B1064)^1*$I1064-'DCF Base Case'!$B$2*(1+B1064)^0*B1064*'DCF Base Case'!$B$4</f>
        <v>23.4327264900509</v>
      </c>
      <c r="K1064" s="24" t="n">
        <f aca="false">'DCF Base Case'!$B$2*(1+B1064)^2*$I1064-'DCF Base Case'!$B$2*(1+B1064)^1*B1064*'DCF Base Case'!$B$4</f>
        <v>25.3163770159373</v>
      </c>
      <c r="L1064" s="24" t="n">
        <f aca="false">'DCF Base Case'!$B$2*(1+B1064)^3*$I1064-'DCF Base Case'!$B$2*(1+B1064)^2*B1064*'DCF Base Case'!$B$4</f>
        <v>27.3514456580714</v>
      </c>
      <c r="M1064" s="24" t="n">
        <f aca="false">'DCF Base Case'!$B$2*(1+B1064)^4*$I1064-'DCF Base Case'!$B$2*(1+B1064)^3*B1064*'DCF Base Case'!$B$4</f>
        <v>29.5501042315606</v>
      </c>
      <c r="N1064" s="24" t="n">
        <f aca="false">'DCF Base Case'!$B$2*(1+B1064)^5*$I1064-'DCF Base Case'!$B$2*(1+B1064)^4*B1064*'DCF Base Case'!$B$4</f>
        <v>31.9255029884832</v>
      </c>
      <c r="O1064" s="24" t="n">
        <f aca="false">J1064/(1+H1064)^1+K1064/(1+H1064)^2+L1064/(1+H1064)^3+M1064/(1+H1064)^4+N1064/(1+H1064)^5</f>
        <v>109.24961411199</v>
      </c>
      <c r="P1064" s="24" t="n">
        <f aca="false">N1064*(1+F1064)/(H1064-F1064)</f>
        <v>496.172310886956</v>
      </c>
      <c r="Q1064" s="24" t="n">
        <f aca="false">O1064+P1064/(1+H1064)^5</f>
        <v>450.50343177038</v>
      </c>
      <c r="R1064" s="24" t="n">
        <f aca="false">Q1064-'DCF Base Case'!$B$5</f>
        <v>265.50343177038</v>
      </c>
      <c r="S1064" s="32" t="n">
        <f aca="false">R1064/'DCF Base Case'!$B$6</f>
        <v>10.6201372708152</v>
      </c>
    </row>
    <row r="1065" customFormat="false" ht="15" hidden="false" customHeight="true" outlineLevel="0" collapsed="false">
      <c r="A1065" s="6" t="n">
        <v>1064</v>
      </c>
      <c r="B1065" s="30" t="n">
        <v>0.0968046231700246</v>
      </c>
      <c r="C1065" s="30" t="n">
        <v>0.416052336071257</v>
      </c>
      <c r="D1065" s="30" t="n">
        <v>0.0807059924294037</v>
      </c>
      <c r="E1065" s="30" t="n">
        <v>0.260200485130124</v>
      </c>
      <c r="F1065" s="30" t="n">
        <v>0.0219652867518259</v>
      </c>
      <c r="G1065" s="30" t="n">
        <v>0.141980109587311</v>
      </c>
      <c r="H1065" s="31" t="n">
        <f aca="false">MAX(D1065,F1065+0.015)</f>
        <v>0.0807059924294037</v>
      </c>
      <c r="I1065" s="25" t="n">
        <f aca="false">(C1065-'DCF Base Case'!$B$3)*(1-E1065)+'DCF Base Case'!$B$3-G1065</f>
        <v>0.1996412698656</v>
      </c>
      <c r="J1065" s="24" t="n">
        <f aca="false">'DCF Base Case'!$B$2*(1+B1065)^1*$I1065-'DCF Base Case'!$B$2*(1+B1065)^0*B1065*'DCF Base Case'!$B$4</f>
        <v>31.3291827150084</v>
      </c>
      <c r="K1065" s="24" t="n">
        <f aca="false">'DCF Base Case'!$B$2*(1+B1065)^2*$I1065-'DCF Base Case'!$B$2*(1+B1065)^1*B1065*'DCF Base Case'!$B$4</f>
        <v>34.3619924419596</v>
      </c>
      <c r="L1065" s="24" t="n">
        <f aca="false">'DCF Base Case'!$B$2*(1+B1065)^3*$I1065-'DCF Base Case'!$B$2*(1+B1065)^2*B1065*'DCF Base Case'!$B$4</f>
        <v>37.6883921716748</v>
      </c>
      <c r="M1065" s="24" t="n">
        <f aca="false">'DCF Base Case'!$B$2*(1+B1065)^4*$I1065-'DCF Base Case'!$B$2*(1+B1065)^3*B1065*'DCF Base Case'!$B$4</f>
        <v>41.3368027737379</v>
      </c>
      <c r="N1065" s="24" t="n">
        <f aca="false">'DCF Base Case'!$B$2*(1+B1065)^5*$I1065-'DCF Base Case'!$B$2*(1+B1065)^4*B1065*'DCF Base Case'!$B$4</f>
        <v>45.3383963893032</v>
      </c>
      <c r="O1065" s="24" t="n">
        <f aca="false">J1065/(1+H1065)^1+K1065/(1+H1065)^2+L1065/(1+H1065)^3+M1065/(1+H1065)^4+N1065/(1+H1065)^5</f>
        <v>149.330970061992</v>
      </c>
      <c r="P1065" s="24" t="n">
        <f aca="false">N1065*(1+F1065)/(H1065-F1065)</f>
        <v>788.793167061809</v>
      </c>
      <c r="Q1065" s="24" t="n">
        <f aca="false">O1065+P1065/(1+H1065)^5</f>
        <v>684.419130661141</v>
      </c>
      <c r="R1065" s="24" t="n">
        <f aca="false">Q1065-'DCF Base Case'!$B$5</f>
        <v>499.419130661141</v>
      </c>
      <c r="S1065" s="32" t="n">
        <f aca="false">R1065/'DCF Base Case'!$B$6</f>
        <v>19.9767652264456</v>
      </c>
    </row>
    <row r="1066" customFormat="false" ht="15" hidden="false" customHeight="true" outlineLevel="0" collapsed="false">
      <c r="A1066" s="6" t="n">
        <v>1065</v>
      </c>
      <c r="B1066" s="30" t="n">
        <v>0.100989621273733</v>
      </c>
      <c r="C1066" s="30" t="n">
        <v>0.451777625852235</v>
      </c>
      <c r="D1066" s="30" t="n">
        <v>0.101340736375087</v>
      </c>
      <c r="E1066" s="30" t="n">
        <v>0.252063179718608</v>
      </c>
      <c r="F1066" s="30" t="n">
        <v>0.0171938688591572</v>
      </c>
      <c r="G1066" s="30" t="n">
        <v>0.17505249815177</v>
      </c>
      <c r="H1066" s="31" t="n">
        <f aca="false">MAX(D1066,F1066+0.015)</f>
        <v>0.101340736375087</v>
      </c>
      <c r="I1066" s="25" t="n">
        <f aca="false">(C1066-'DCF Base Case'!$B$3)*(1-E1066)+'DCF Base Case'!$B$3-G1066</f>
        <v>0.195616836165846</v>
      </c>
      <c r="J1066" s="24" t="n">
        <f aca="false">'DCF Base Case'!$B$2*(1+B1066)^1*$I1066-'DCF Base Case'!$B$2*(1+B1066)^0*B1066*'DCF Base Case'!$B$4</f>
        <v>30.7896505703844</v>
      </c>
      <c r="K1066" s="24" t="n">
        <f aca="false">'DCF Base Case'!$B$2*(1+B1066)^2*$I1066-'DCF Base Case'!$B$2*(1+B1066)^1*B1066*'DCF Base Case'!$B$4</f>
        <v>33.8990857206381</v>
      </c>
      <c r="L1066" s="24" t="n">
        <f aca="false">'DCF Base Case'!$B$2*(1+B1066)^3*$I1066-'DCF Base Case'!$B$2*(1+B1066)^2*B1066*'DCF Base Case'!$B$4</f>
        <v>37.3225415490911</v>
      </c>
      <c r="M1066" s="24" t="n">
        <f aca="false">'DCF Base Case'!$B$2*(1+B1066)^4*$I1066-'DCF Base Case'!$B$2*(1+B1066)^3*B1066*'DCF Base Case'!$B$4</f>
        <v>41.091730885107</v>
      </c>
      <c r="N1066" s="24" t="n">
        <f aca="false">'DCF Base Case'!$B$2*(1+B1066)^5*$I1066-'DCF Base Case'!$B$2*(1+B1066)^4*B1066*'DCF Base Case'!$B$4</f>
        <v>45.2415692246761</v>
      </c>
      <c r="O1066" s="24" t="n">
        <f aca="false">J1066/(1+H1066)^1+K1066/(1+H1066)^2+L1066/(1+H1066)^3+M1066/(1+H1066)^4+N1066/(1+H1066)^5</f>
        <v>139.693484048988</v>
      </c>
      <c r="P1066" s="24" t="n">
        <f aca="false">N1066*(1+F1066)/(H1066-F1066)</f>
        <v>546.894354970442</v>
      </c>
      <c r="Q1066" s="24" t="n">
        <f aca="false">O1066+P1066/(1+H1066)^5</f>
        <v>477.209918615983</v>
      </c>
      <c r="R1066" s="24" t="n">
        <f aca="false">Q1066-'DCF Base Case'!$B$5</f>
        <v>292.209918615983</v>
      </c>
      <c r="S1066" s="32" t="n">
        <f aca="false">R1066/'DCF Base Case'!$B$6</f>
        <v>11.6883967446393</v>
      </c>
    </row>
    <row r="1067" customFormat="false" ht="15" hidden="false" customHeight="true" outlineLevel="0" collapsed="false">
      <c r="A1067" s="6" t="n">
        <v>1066</v>
      </c>
      <c r="B1067" s="30" t="n">
        <v>0.0885790405181309</v>
      </c>
      <c r="C1067" s="30" t="n">
        <v>0.383348373566578</v>
      </c>
      <c r="D1067" s="30" t="n">
        <v>0.0892384754662084</v>
      </c>
      <c r="E1067" s="30" t="n">
        <v>0.279363172835146</v>
      </c>
      <c r="F1067" s="30" t="n">
        <v>0.0255901976654771</v>
      </c>
      <c r="G1067" s="30" t="n">
        <v>0.160002287235705</v>
      </c>
      <c r="H1067" s="31" t="n">
        <f aca="false">MAX(D1067,F1067+0.015)</f>
        <v>0.0892384754662084</v>
      </c>
      <c r="I1067" s="25" t="n">
        <f aca="false">(C1067-'DCF Base Case'!$B$3)*(1-E1067)+'DCF Base Case'!$B$3-G1067</f>
        <v>0.15256988085869</v>
      </c>
      <c r="J1067" s="24" t="n">
        <f aca="false">'DCF Base Case'!$B$2*(1+B1067)^1*$I1067-'DCF Base Case'!$B$2*(1+B1067)^0*B1067*'DCF Base Case'!$B$4</f>
        <v>23.6969154787283</v>
      </c>
      <c r="K1067" s="24" t="n">
        <f aca="false">'DCF Base Case'!$B$2*(1+B1067)^2*$I1067-'DCF Base Case'!$B$2*(1+B1067)^1*B1067*'DCF Base Case'!$B$4</f>
        <v>25.7959655150733</v>
      </c>
      <c r="L1067" s="24" t="n">
        <f aca="false">'DCF Base Case'!$B$2*(1+B1067)^3*$I1067-'DCF Base Case'!$B$2*(1+B1067)^2*B1067*'DCF Base Case'!$B$4</f>
        <v>28.0809473896372</v>
      </c>
      <c r="M1067" s="24" t="n">
        <f aca="false">'DCF Base Case'!$B$2*(1+B1067)^4*$I1067-'DCF Base Case'!$B$2*(1+B1067)^3*B1067*'DCF Base Case'!$B$4</f>
        <v>30.5683307662514</v>
      </c>
      <c r="N1067" s="24" t="n">
        <f aca="false">'DCF Base Case'!$B$2*(1+B1067)^5*$I1067-'DCF Base Case'!$B$2*(1+B1067)^4*B1067*'DCF Base Case'!$B$4</f>
        <v>33.2760441757668</v>
      </c>
      <c r="O1067" s="24" t="n">
        <f aca="false">J1067/(1+H1067)^1+K1067/(1+H1067)^2+L1067/(1+H1067)^3+M1067/(1+H1067)^4+N1067/(1+H1067)^5</f>
        <v>108.645814108128</v>
      </c>
      <c r="P1067" s="24" t="n">
        <f aca="false">N1067*(1+F1067)/(H1067-F1067)</f>
        <v>536.190230167669</v>
      </c>
      <c r="Q1067" s="24" t="n">
        <f aca="false">O1067+P1067/(1+H1067)^5</f>
        <v>458.35257474968</v>
      </c>
      <c r="R1067" s="24" t="n">
        <f aca="false">Q1067-'DCF Base Case'!$B$5</f>
        <v>273.35257474968</v>
      </c>
      <c r="S1067" s="32" t="n">
        <f aca="false">R1067/'DCF Base Case'!$B$6</f>
        <v>10.9341029899872</v>
      </c>
    </row>
    <row r="1068" customFormat="false" ht="15" hidden="false" customHeight="true" outlineLevel="0" collapsed="false">
      <c r="A1068" s="6" t="n">
        <v>1067</v>
      </c>
      <c r="B1068" s="30" t="n">
        <v>0.115362356070614</v>
      </c>
      <c r="C1068" s="30" t="n">
        <v>0.39618636854615</v>
      </c>
      <c r="D1068" s="30" t="n">
        <v>0.0736918977231384</v>
      </c>
      <c r="E1068" s="30" t="n">
        <v>0.301740425208115</v>
      </c>
      <c r="F1068" s="30" t="n">
        <v>0.0232250117472013</v>
      </c>
      <c r="G1068" s="30" t="n">
        <v>0.146014191069291</v>
      </c>
      <c r="H1068" s="31" t="n">
        <f aca="false">MAX(D1068,F1068+0.015)</f>
        <v>0.0736918977231384</v>
      </c>
      <c r="I1068" s="25" t="n">
        <f aca="false">(C1068-'DCF Base Case'!$B$3)*(1-E1068)+'DCF Base Case'!$B$3-G1068</f>
        <v>0.16985298944714</v>
      </c>
      <c r="J1068" s="24" t="n">
        <f aca="false">'DCF Base Case'!$B$2*(1+B1068)^1*$I1068-'DCF Base Case'!$B$2*(1+B1068)^0*B1068*'DCF Base Case'!$B$4</f>
        <v>26.9680801729257</v>
      </c>
      <c r="K1068" s="24" t="n">
        <f aca="false">'DCF Base Case'!$B$2*(1+B1068)^2*$I1068-'DCF Base Case'!$B$2*(1+B1068)^1*B1068*'DCF Base Case'!$B$4</f>
        <v>30.0791814403756</v>
      </c>
      <c r="L1068" s="24" t="n">
        <f aca="false">'DCF Base Case'!$B$2*(1+B1068)^3*$I1068-'DCF Base Case'!$B$2*(1+B1068)^2*B1068*'DCF Base Case'!$B$4</f>
        <v>33.5491866800128</v>
      </c>
      <c r="M1068" s="24" t="n">
        <f aca="false">'DCF Base Case'!$B$2*(1+B1068)^4*$I1068-'DCF Base Case'!$B$2*(1+B1068)^3*B1068*'DCF Base Case'!$B$4</f>
        <v>37.4194998996719</v>
      </c>
      <c r="N1068" s="24" t="n">
        <f aca="false">'DCF Base Case'!$B$2*(1+B1068)^5*$I1068-'DCF Base Case'!$B$2*(1+B1068)^4*B1068*'DCF Base Case'!$B$4</f>
        <v>41.7363015710822</v>
      </c>
      <c r="O1068" s="24" t="n">
        <f aca="false">J1068/(1+H1068)^1+K1068/(1+H1068)^2+L1068/(1+H1068)^3+M1068/(1+H1068)^4+N1068/(1+H1068)^5</f>
        <v>135.71955153581</v>
      </c>
      <c r="P1068" s="24" t="n">
        <f aca="false">N1068*(1+F1068)/(H1068-F1068)</f>
        <v>846.2108735165</v>
      </c>
      <c r="Q1068" s="24" t="n">
        <f aca="false">O1068+P1068/(1+H1068)^5</f>
        <v>728.75441059073</v>
      </c>
      <c r="R1068" s="24" t="n">
        <f aca="false">Q1068-'DCF Base Case'!$B$5</f>
        <v>543.75441059073</v>
      </c>
      <c r="S1068" s="32" t="n">
        <f aca="false">R1068/'DCF Base Case'!$B$6</f>
        <v>21.7501764236292</v>
      </c>
    </row>
    <row r="1069" customFormat="false" ht="15" hidden="false" customHeight="true" outlineLevel="0" collapsed="false">
      <c r="A1069" s="6" t="n">
        <v>1068</v>
      </c>
      <c r="B1069" s="30" t="n">
        <v>0.0904825569846426</v>
      </c>
      <c r="C1069" s="30" t="n">
        <v>0.384404372510419</v>
      </c>
      <c r="D1069" s="30" t="n">
        <v>0.0830065819106397</v>
      </c>
      <c r="E1069" s="30" t="n">
        <v>0.305356433167214</v>
      </c>
      <c r="F1069" s="30" t="n">
        <v>0.0176199966039035</v>
      </c>
      <c r="G1069" s="30" t="n">
        <v>0.160083406358559</v>
      </c>
      <c r="H1069" s="31" t="n">
        <f aca="false">MAX(D1069,F1069+0.015)</f>
        <v>0.0830065819106397</v>
      </c>
      <c r="I1069" s="25" t="n">
        <f aca="false">(C1069-'DCF Base Case'!$B$3)*(1-E1069)+'DCF Base Case'!$B$3-G1069</f>
        <v>0.146636954379935</v>
      </c>
      <c r="J1069" s="24" t="n">
        <f aca="false">'DCF Base Case'!$B$2*(1+B1069)^1*$I1069-'DCF Base Case'!$B$2*(1+B1069)^0*B1069*'DCF Base Case'!$B$4</f>
        <v>22.7926318164143</v>
      </c>
      <c r="K1069" s="24" t="n">
        <f aca="false">'DCF Base Case'!$B$2*(1+B1069)^2*$I1069-'DCF Base Case'!$B$2*(1+B1069)^1*B1069*'DCF Base Case'!$B$4</f>
        <v>24.8549674235729</v>
      </c>
      <c r="L1069" s="24" t="n">
        <f aca="false">'DCF Base Case'!$B$2*(1+B1069)^3*$I1069-'DCF Base Case'!$B$2*(1+B1069)^2*B1069*'DCF Base Case'!$B$4</f>
        <v>27.1039084298278</v>
      </c>
      <c r="M1069" s="24" t="n">
        <f aca="false">'DCF Base Case'!$B$2*(1+B1069)^4*$I1069-'DCF Base Case'!$B$2*(1+B1069)^3*B1069*'DCF Base Case'!$B$4</f>
        <v>29.5563393688362</v>
      </c>
      <c r="N1069" s="24" t="n">
        <f aca="false">'DCF Base Case'!$B$2*(1+B1069)^5*$I1069-'DCF Base Case'!$B$2*(1+B1069)^4*B1069*'DCF Base Case'!$B$4</f>
        <v>32.2306725300344</v>
      </c>
      <c r="O1069" s="24" t="n">
        <f aca="false">J1069/(1+H1069)^1+K1069/(1+H1069)^2+L1069/(1+H1069)^3+M1069/(1+H1069)^4+N1069/(1+H1069)^5</f>
        <v>106.69134500555</v>
      </c>
      <c r="P1069" s="24" t="n">
        <f aca="false">N1069*(1+F1069)/(H1069-F1069)</f>
        <v>501.610180692158</v>
      </c>
      <c r="Q1069" s="24" t="n">
        <f aca="false">O1069+P1069/(1+H1069)^5</f>
        <v>443.366339891912</v>
      </c>
      <c r="R1069" s="24" t="n">
        <f aca="false">Q1069-'DCF Base Case'!$B$5</f>
        <v>258.366339891912</v>
      </c>
      <c r="S1069" s="32" t="n">
        <f aca="false">R1069/'DCF Base Case'!$B$6</f>
        <v>10.3346535956765</v>
      </c>
    </row>
    <row r="1070" customFormat="false" ht="15" hidden="false" customHeight="true" outlineLevel="0" collapsed="false">
      <c r="A1070" s="6" t="n">
        <v>1069</v>
      </c>
      <c r="B1070" s="30" t="n">
        <v>0.0654245180727293</v>
      </c>
      <c r="C1070" s="30" t="n">
        <v>0.390788050382579</v>
      </c>
      <c r="D1070" s="30" t="n">
        <v>0.104339220078358</v>
      </c>
      <c r="E1070" s="30" t="n">
        <v>0.281719430762081</v>
      </c>
      <c r="F1070" s="30" t="n">
        <v>0.0152599486787723</v>
      </c>
      <c r="G1070" s="30" t="n">
        <v>0.15880553596142</v>
      </c>
      <c r="H1070" s="31" t="n">
        <f aca="false">MAX(D1070,F1070+0.015)</f>
        <v>0.104339220078358</v>
      </c>
      <c r="I1070" s="25" t="n">
        <f aca="false">(C1070-'DCF Base Case'!$B$3)*(1-E1070)+'DCF Base Case'!$B$3-G1070</f>
        <v>0.158513453317826</v>
      </c>
      <c r="J1070" s="24" t="n">
        <f aca="false">'DCF Base Case'!$B$2*(1+B1070)^1*$I1070-'DCF Base Case'!$B$2*(1+B1070)^0*B1070*'DCF Base Case'!$B$4</f>
        <v>24.203600689716</v>
      </c>
      <c r="K1070" s="24" t="n">
        <f aca="false">'DCF Base Case'!$B$2*(1+B1070)^2*$I1070-'DCF Base Case'!$B$2*(1+B1070)^1*B1070*'DCF Base Case'!$B$4</f>
        <v>25.7871096004655</v>
      </c>
      <c r="L1070" s="24" t="n">
        <f aca="false">'DCF Base Case'!$B$2*(1+B1070)^3*$I1070-'DCF Base Case'!$B$2*(1+B1070)^2*B1070*'DCF Base Case'!$B$4</f>
        <v>27.4742188185646</v>
      </c>
      <c r="M1070" s="24" t="n">
        <f aca="false">'DCF Base Case'!$B$2*(1+B1070)^4*$I1070-'DCF Base Case'!$B$2*(1+B1070)^3*B1070*'DCF Base Case'!$B$4</f>
        <v>29.2717063441939</v>
      </c>
      <c r="N1070" s="24" t="n">
        <f aca="false">'DCF Base Case'!$B$2*(1+B1070)^5*$I1070-'DCF Base Case'!$B$2*(1+B1070)^4*B1070*'DCF Base Case'!$B$4</f>
        <v>31.1867936249292</v>
      </c>
      <c r="O1070" s="24" t="n">
        <f aca="false">J1070/(1+H1070)^1+K1070/(1+H1070)^2+L1070/(1+H1070)^3+M1070/(1+H1070)^4+N1070/(1+H1070)^5</f>
        <v>102.128421709119</v>
      </c>
      <c r="P1070" s="24" t="n">
        <f aca="false">N1070*(1+F1070)/(H1070-F1070)</f>
        <v>355.444111717873</v>
      </c>
      <c r="Q1070" s="24" t="n">
        <f aca="false">O1070+P1070/(1+H1070)^5</f>
        <v>318.529212315368</v>
      </c>
      <c r="R1070" s="24" t="n">
        <f aca="false">Q1070-'DCF Base Case'!$B$5</f>
        <v>133.529212315368</v>
      </c>
      <c r="S1070" s="32" t="n">
        <f aca="false">R1070/'DCF Base Case'!$B$6</f>
        <v>5.34116849261474</v>
      </c>
    </row>
    <row r="1071" customFormat="false" ht="15" hidden="false" customHeight="true" outlineLevel="0" collapsed="false">
      <c r="A1071" s="6" t="n">
        <v>1070</v>
      </c>
      <c r="B1071" s="30" t="n">
        <v>0.056595964837868</v>
      </c>
      <c r="C1071" s="30" t="n">
        <v>0.379844630896469</v>
      </c>
      <c r="D1071" s="30" t="n">
        <v>0.099963737129511</v>
      </c>
      <c r="E1071" s="30" t="n">
        <v>0.27576496687643</v>
      </c>
      <c r="F1071" s="30" t="n">
        <v>0.0255379635785954</v>
      </c>
      <c r="G1071" s="30" t="n">
        <v>0.163185526828497</v>
      </c>
      <c r="H1071" s="31" t="n">
        <f aca="false">MAX(D1071,F1071+0.015)</f>
        <v>0.099963737129511</v>
      </c>
      <c r="I1071" s="25" t="n">
        <f aca="false">(C1071-'DCF Base Case'!$B$3)*(1-E1071)+'DCF Base Case'!$B$3-G1071</f>
        <v>0.147760707704553</v>
      </c>
      <c r="J1071" s="24" t="n">
        <f aca="false">'DCF Base Case'!$B$2*(1+B1071)^1*$I1071-'DCF Base Case'!$B$2*(1+B1071)^0*B1071*'DCF Base Case'!$B$4</f>
        <v>22.391695843677</v>
      </c>
      <c r="K1071" s="24" t="n">
        <f aca="false">'DCF Base Case'!$B$2*(1+B1071)^2*$I1071-'DCF Base Case'!$B$2*(1+B1071)^1*B1071*'DCF Base Case'!$B$4</f>
        <v>23.658975474306</v>
      </c>
      <c r="L1071" s="24" t="n">
        <f aca="false">'DCF Base Case'!$B$2*(1+B1071)^3*$I1071-'DCF Base Case'!$B$2*(1+B1071)^2*B1071*'DCF Base Case'!$B$4</f>
        <v>24.9979780183498</v>
      </c>
      <c r="M1071" s="24" t="n">
        <f aca="false">'DCF Base Case'!$B$2*(1+B1071)^4*$I1071-'DCF Base Case'!$B$2*(1+B1071)^3*B1071*'DCF Base Case'!$B$4</f>
        <v>26.4127627032941</v>
      </c>
      <c r="N1071" s="24" t="n">
        <f aca="false">'DCF Base Case'!$B$2*(1+B1071)^5*$I1071-'DCF Base Case'!$B$2*(1+B1071)^4*B1071*'DCF Base Case'!$B$4</f>
        <v>27.9076184925207</v>
      </c>
      <c r="O1071" s="24" t="n">
        <f aca="false">J1071/(1+H1071)^1+K1071/(1+H1071)^2+L1071/(1+H1071)^3+M1071/(1+H1071)^4+N1071/(1+H1071)^5</f>
        <v>94.0680715384554</v>
      </c>
      <c r="P1071" s="24" t="n">
        <f aca="false">N1071*(1+F1071)/(H1071-F1071)</f>
        <v>384.548535697362</v>
      </c>
      <c r="Q1071" s="24" t="n">
        <f aca="false">O1071+P1071/(1+H1071)^5</f>
        <v>332.881818472371</v>
      </c>
      <c r="R1071" s="24" t="n">
        <f aca="false">Q1071-'DCF Base Case'!$B$5</f>
        <v>147.881818472371</v>
      </c>
      <c r="S1071" s="32" t="n">
        <f aca="false">R1071/'DCF Base Case'!$B$6</f>
        <v>5.91527273889483</v>
      </c>
    </row>
    <row r="1072" customFormat="false" ht="15" hidden="false" customHeight="true" outlineLevel="0" collapsed="false">
      <c r="A1072" s="6" t="n">
        <v>1071</v>
      </c>
      <c r="B1072" s="30" t="n">
        <v>0.0892772601189124</v>
      </c>
      <c r="C1072" s="30" t="n">
        <v>0.426632646824679</v>
      </c>
      <c r="D1072" s="30" t="n">
        <v>0.0556015365955866</v>
      </c>
      <c r="E1072" s="30" t="n">
        <v>0.285608877317324</v>
      </c>
      <c r="F1072" s="30" t="n">
        <v>0.0191695899907264</v>
      </c>
      <c r="G1072" s="30" t="n">
        <v>0.199706983932359</v>
      </c>
      <c r="H1072" s="31" t="n">
        <f aca="false">MAX(D1072,F1072+0.015)</f>
        <v>0.0556015365955866</v>
      </c>
      <c r="I1072" s="25" t="n">
        <f aca="false">(C1072-'DCF Base Case'!$B$3)*(1-E1072)+'DCF Base Case'!$B$3-G1072</f>
        <v>0.142204745657057</v>
      </c>
      <c r="J1072" s="24" t="n">
        <f aca="false">'DCF Base Case'!$B$2*(1+B1072)^1*$I1072-'DCF Base Case'!$B$2*(1+B1072)^0*B1072*'DCF Base Case'!$B$4</f>
        <v>22.0722012986405</v>
      </c>
      <c r="K1072" s="24" t="n">
        <f aca="false">'DCF Base Case'!$B$2*(1+B1072)^2*$I1072-'DCF Base Case'!$B$2*(1+B1072)^1*B1072*'DCF Base Case'!$B$4</f>
        <v>24.0427469553762</v>
      </c>
      <c r="L1072" s="24" t="n">
        <f aca="false">'DCF Base Case'!$B$2*(1+B1072)^3*$I1072-'DCF Base Case'!$B$2*(1+B1072)^2*B1072*'DCF Base Case'!$B$4</f>
        <v>26.1892175292846</v>
      </c>
      <c r="M1072" s="24" t="n">
        <f aca="false">'DCF Base Case'!$B$2*(1+B1072)^4*$I1072-'DCF Base Case'!$B$2*(1+B1072)^3*B1072*'DCF Base Case'!$B$4</f>
        <v>28.5273191149573</v>
      </c>
      <c r="N1072" s="24" t="n">
        <f aca="false">'DCF Base Case'!$B$2*(1+B1072)^5*$I1072-'DCF Base Case'!$B$2*(1+B1072)^4*B1072*'DCF Base Case'!$B$4</f>
        <v>31.0741600040785</v>
      </c>
      <c r="O1072" s="24" t="n">
        <f aca="false">J1072/(1+H1072)^1+K1072/(1+H1072)^2+L1072/(1+H1072)^3+M1072/(1+H1072)^4+N1072/(1+H1072)^5</f>
        <v>111.43476219915</v>
      </c>
      <c r="P1072" s="24" t="n">
        <f aca="false">N1072*(1+F1072)/(H1072-F1072)</f>
        <v>869.287585814535</v>
      </c>
      <c r="Q1072" s="24" t="n">
        <f aca="false">O1072+P1072/(1+H1072)^5</f>
        <v>774.663611336204</v>
      </c>
      <c r="R1072" s="24" t="n">
        <f aca="false">Q1072-'DCF Base Case'!$B$5</f>
        <v>589.663611336204</v>
      </c>
      <c r="S1072" s="32" t="n">
        <f aca="false">R1072/'DCF Base Case'!$B$6</f>
        <v>23.5865444534482</v>
      </c>
    </row>
    <row r="1073" customFormat="false" ht="15" hidden="false" customHeight="true" outlineLevel="0" collapsed="false">
      <c r="A1073" s="6" t="n">
        <v>1072</v>
      </c>
      <c r="B1073" s="30" t="n">
        <v>0.111073134492051</v>
      </c>
      <c r="C1073" s="30" t="n">
        <v>0.397504095242042</v>
      </c>
      <c r="D1073" s="30" t="n">
        <v>0.0986635248049034</v>
      </c>
      <c r="E1073" s="30" t="n">
        <v>0.272706668288328</v>
      </c>
      <c r="F1073" s="30" t="n">
        <v>0.0156571700956874</v>
      </c>
      <c r="G1073" s="30" t="n">
        <v>0.169688567715528</v>
      </c>
      <c r="H1073" s="31" t="n">
        <f aca="false">MAX(D1073,F1073+0.015)</f>
        <v>0.0986635248049034</v>
      </c>
      <c r="I1073" s="25" t="n">
        <f aca="false">(C1073-'DCF Base Case'!$B$3)*(1-E1073)+'DCF Base Case'!$B$3-G1073</f>
        <v>0.154865376959573</v>
      </c>
      <c r="J1073" s="24" t="n">
        <f aca="false">'DCF Base Case'!$B$2*(1+B1073)^1*$I1073-'DCF Base Case'!$B$2*(1+B1073)^0*B1073*'DCF Base Case'!$B$4</f>
        <v>24.4665120363606</v>
      </c>
      <c r="K1073" s="24" t="n">
        <f aca="false">'DCF Base Case'!$B$2*(1+B1073)^2*$I1073-'DCF Base Case'!$B$2*(1+B1073)^1*B1073*'DCF Base Case'!$B$4</f>
        <v>27.1840842183267</v>
      </c>
      <c r="L1073" s="24" t="n">
        <f aca="false">'DCF Base Case'!$B$2*(1+B1073)^3*$I1073-'DCF Base Case'!$B$2*(1+B1073)^2*B1073*'DCF Base Case'!$B$4</f>
        <v>30.2035056607522</v>
      </c>
      <c r="M1073" s="24" t="n">
        <f aca="false">'DCF Base Case'!$B$2*(1+B1073)^4*$I1073-'DCF Base Case'!$B$2*(1+B1073)^3*B1073*'DCF Base Case'!$B$4</f>
        <v>33.5583037071403</v>
      </c>
      <c r="N1073" s="24" t="n">
        <f aca="false">'DCF Base Case'!$B$2*(1+B1073)^5*$I1073-'DCF Base Case'!$B$2*(1+B1073)^4*B1073*'DCF Base Case'!$B$4</f>
        <v>37.2857296881286</v>
      </c>
      <c r="O1073" s="24" t="n">
        <f aca="false">J1073/(1+H1073)^1+K1073/(1+H1073)^2+L1073/(1+H1073)^3+M1073/(1+H1073)^4+N1073/(1+H1073)^5</f>
        <v>113.890637987586</v>
      </c>
      <c r="P1073" s="24" t="n">
        <f aca="false">N1073*(1+F1073)/(H1073-F1073)</f>
        <v>456.224331650995</v>
      </c>
      <c r="Q1073" s="24" t="n">
        <f aca="false">O1073+P1073/(1+H1073)^5</f>
        <v>398.897234473454</v>
      </c>
      <c r="R1073" s="24" t="n">
        <f aca="false">Q1073-'DCF Base Case'!$B$5</f>
        <v>213.897234473454</v>
      </c>
      <c r="S1073" s="32" t="n">
        <f aca="false">R1073/'DCF Base Case'!$B$6</f>
        <v>8.55588937893814</v>
      </c>
    </row>
    <row r="1074" customFormat="false" ht="15" hidden="false" customHeight="true" outlineLevel="0" collapsed="false">
      <c r="A1074" s="6" t="n">
        <v>1073</v>
      </c>
      <c r="B1074" s="30" t="n">
        <v>0.0858070767182001</v>
      </c>
      <c r="C1074" s="30" t="n">
        <v>0.441526866343366</v>
      </c>
      <c r="D1074" s="30" t="n">
        <v>0.0887468423134033</v>
      </c>
      <c r="E1074" s="30" t="n">
        <v>0.285630489536793</v>
      </c>
      <c r="F1074" s="30" t="n">
        <v>0.0225872309730631</v>
      </c>
      <c r="G1074" s="30" t="n">
        <v>0.191305915004031</v>
      </c>
      <c r="H1074" s="31" t="n">
        <f aca="false">MAX(D1074,F1074+0.015)</f>
        <v>0.0887468423134033</v>
      </c>
      <c r="I1074" s="25" t="n">
        <f aca="false">(C1074-'DCF Base Case'!$B$3)*(1-E1074)+'DCF Base Case'!$B$3-G1074</f>
        <v>0.161239380001816</v>
      </c>
      <c r="J1074" s="24" t="n">
        <f aca="false">'DCF Base Case'!$B$2*(1+B1074)^1*$I1074-'DCF Base Case'!$B$2*(1+B1074)^0*B1074*'DCF Base Case'!$B$4</f>
        <v>25.0125938947618</v>
      </c>
      <c r="K1074" s="24" t="n">
        <f aca="false">'DCF Base Case'!$B$2*(1+B1074)^2*$I1074-'DCF Base Case'!$B$2*(1+B1074)^1*B1074*'DCF Base Case'!$B$4</f>
        <v>27.1588514580108</v>
      </c>
      <c r="L1074" s="24" t="n">
        <f aca="false">'DCF Base Case'!$B$2*(1+B1074)^3*$I1074-'DCF Base Case'!$B$2*(1+B1074)^2*B1074*'DCF Base Case'!$B$4</f>
        <v>29.4892731086465</v>
      </c>
      <c r="M1074" s="24" t="n">
        <f aca="false">'DCF Base Case'!$B$2*(1+B1074)^4*$I1074-'DCF Base Case'!$B$2*(1+B1074)^3*B1074*'DCF Base Case'!$B$4</f>
        <v>32.0196614286441</v>
      </c>
      <c r="N1074" s="24" t="n">
        <f aca="false">'DCF Base Case'!$B$2*(1+B1074)^5*$I1074-'DCF Base Case'!$B$2*(1+B1074)^4*B1074*'DCF Base Case'!$B$4</f>
        <v>34.7671749733426</v>
      </c>
      <c r="O1074" s="24" t="n">
        <f aca="false">J1074/(1+H1074)^1+K1074/(1+H1074)^2+L1074/(1+H1074)^3+M1074/(1+H1074)^4+N1074/(1+H1074)^5</f>
        <v>114.250082285529</v>
      </c>
      <c r="P1074" s="24" t="n">
        <f aca="false">N1074*(1+F1074)/(H1074-F1074)</f>
        <v>537.374214637633</v>
      </c>
      <c r="Q1074" s="24" t="n">
        <f aca="false">O1074+P1074/(1+H1074)^5</f>
        <v>465.521069473856</v>
      </c>
      <c r="R1074" s="24" t="n">
        <f aca="false">Q1074-'DCF Base Case'!$B$5</f>
        <v>280.521069473856</v>
      </c>
      <c r="S1074" s="32" t="n">
        <f aca="false">R1074/'DCF Base Case'!$B$6</f>
        <v>11.2208427789542</v>
      </c>
    </row>
    <row r="1075" customFormat="false" ht="15" hidden="false" customHeight="true" outlineLevel="0" collapsed="false">
      <c r="A1075" s="6" t="n">
        <v>1074</v>
      </c>
      <c r="B1075" s="30" t="n">
        <v>0.107088305053857</v>
      </c>
      <c r="C1075" s="30" t="n">
        <v>0.445253715807362</v>
      </c>
      <c r="D1075" s="30" t="n">
        <v>0.0916955065420517</v>
      </c>
      <c r="E1075" s="30" t="n">
        <v>0.284494698445667</v>
      </c>
      <c r="F1075" s="30" t="n">
        <v>0.0237412944900924</v>
      </c>
      <c r="G1075" s="30" t="n">
        <v>0.163278975254298</v>
      </c>
      <c r="H1075" s="31" t="n">
        <f aca="false">MAX(D1075,F1075+0.015)</f>
        <v>0.0916955065420517</v>
      </c>
      <c r="I1075" s="25" t="n">
        <f aca="false">(C1075-'DCF Base Case'!$B$3)*(1-E1075)+'DCF Base Case'!$B$3-G1075</f>
        <v>0.192286729740573</v>
      </c>
      <c r="J1075" s="24" t="n">
        <f aca="false">'DCF Base Case'!$B$2*(1+B1075)^1*$I1075-'DCF Base Case'!$B$2*(1+B1075)^0*B1075*'DCF Base Case'!$B$4</f>
        <v>30.4015323813775</v>
      </c>
      <c r="K1075" s="24" t="n">
        <f aca="false">'DCF Base Case'!$B$2*(1+B1075)^2*$I1075-'DCF Base Case'!$B$2*(1+B1075)^1*B1075*'DCF Base Case'!$B$4</f>
        <v>33.6571809551391</v>
      </c>
      <c r="L1075" s="24" t="n">
        <f aca="false">'DCF Base Case'!$B$2*(1+B1075)^3*$I1075-'DCF Base Case'!$B$2*(1+B1075)^2*B1075*'DCF Base Case'!$B$4</f>
        <v>37.2614714165159</v>
      </c>
      <c r="M1075" s="24" t="n">
        <f aca="false">'DCF Base Case'!$B$2*(1+B1075)^4*$I1075-'DCF Base Case'!$B$2*(1+B1075)^3*B1075*'DCF Base Case'!$B$4</f>
        <v>41.2517392343233</v>
      </c>
      <c r="N1075" s="24" t="n">
        <f aca="false">'DCF Base Case'!$B$2*(1+B1075)^5*$I1075-'DCF Base Case'!$B$2*(1+B1075)^4*B1075*'DCF Base Case'!$B$4</f>
        <v>45.6693180694507</v>
      </c>
      <c r="O1075" s="24" t="n">
        <f aca="false">J1075/(1+H1075)^1+K1075/(1+H1075)^2+L1075/(1+H1075)^3+M1075/(1+H1075)^4+N1075/(1+H1075)^5</f>
        <v>143.222276417363</v>
      </c>
      <c r="P1075" s="24" t="n">
        <f aca="false">N1075*(1+F1075)/(H1075-F1075)</f>
        <v>688.015729814517</v>
      </c>
      <c r="Q1075" s="24" t="n">
        <f aca="false">O1075+P1075/(1+H1075)^5</f>
        <v>586.923630151041</v>
      </c>
      <c r="R1075" s="24" t="n">
        <f aca="false">Q1075-'DCF Base Case'!$B$5</f>
        <v>401.923630151041</v>
      </c>
      <c r="S1075" s="32" t="n">
        <f aca="false">R1075/'DCF Base Case'!$B$6</f>
        <v>16.0769452060417</v>
      </c>
    </row>
    <row r="1076" customFormat="false" ht="15" hidden="false" customHeight="true" outlineLevel="0" collapsed="false">
      <c r="A1076" s="6" t="n">
        <v>1075</v>
      </c>
      <c r="B1076" s="30" t="n">
        <v>0.0906675055382314</v>
      </c>
      <c r="C1076" s="30" t="n">
        <v>0.445556530640243</v>
      </c>
      <c r="D1076" s="30" t="n">
        <v>0.102841165407508</v>
      </c>
      <c r="E1076" s="30" t="n">
        <v>0.279414659996985</v>
      </c>
      <c r="F1076" s="30" t="n">
        <v>0.017542431046774</v>
      </c>
      <c r="G1076" s="30" t="n">
        <v>0.199257296946511</v>
      </c>
      <c r="H1076" s="31" t="n">
        <f aca="false">MAX(D1076,F1076+0.015)</f>
        <v>0.102841165407508</v>
      </c>
      <c r="I1076" s="25" t="n">
        <f aca="false">(C1076-'DCF Base Case'!$B$3)*(1-E1076)+'DCF Base Case'!$B$3-G1076</f>
        <v>0.15812811297506</v>
      </c>
      <c r="J1076" s="24" t="n">
        <f aca="false">'DCF Base Case'!$B$2*(1+B1076)^1*$I1076-'DCF Base Case'!$B$2*(1+B1076)^0*B1076*'DCF Base Case'!$B$4</f>
        <v>24.6130495583353</v>
      </c>
      <c r="K1076" s="24" t="n">
        <f aca="false">'DCF Base Case'!$B$2*(1+B1076)^2*$I1076-'DCF Base Case'!$B$2*(1+B1076)^1*B1076*'DCF Base Case'!$B$4</f>
        <v>26.8446533654784</v>
      </c>
      <c r="L1076" s="24" t="n">
        <f aca="false">'DCF Base Case'!$B$2*(1+B1076)^3*$I1076-'DCF Base Case'!$B$2*(1+B1076)^2*B1076*'DCF Base Case'!$B$4</f>
        <v>29.2785911231649</v>
      </c>
      <c r="M1076" s="24" t="n">
        <f aca="false">'DCF Base Case'!$B$2*(1+B1076)^4*$I1076-'DCF Base Case'!$B$2*(1+B1076)^3*B1076*'DCF Base Case'!$B$4</f>
        <v>31.933207945976</v>
      </c>
      <c r="N1076" s="24" t="n">
        <f aca="false">'DCF Base Case'!$B$2*(1+B1076)^5*$I1076-'DCF Base Case'!$B$2*(1+B1076)^4*B1076*'DCF Base Case'!$B$4</f>
        <v>34.8285122542713</v>
      </c>
      <c r="O1076" s="24" t="n">
        <f aca="false">J1076/(1+H1076)^1+K1076/(1+H1076)^2+L1076/(1+H1076)^3+M1076/(1+H1076)^4+N1076/(1+H1076)^5</f>
        <v>109.15277465456</v>
      </c>
      <c r="P1076" s="24" t="n">
        <f aca="false">N1076*(1+F1076)/(H1076-F1076)</f>
        <v>415.474969172199</v>
      </c>
      <c r="Q1076" s="24" t="n">
        <f aca="false">O1076+P1076/(1+H1076)^5</f>
        <v>363.824084333677</v>
      </c>
      <c r="R1076" s="24" t="n">
        <f aca="false">Q1076-'DCF Base Case'!$B$5</f>
        <v>178.824084333677</v>
      </c>
      <c r="S1076" s="32" t="n">
        <f aca="false">R1076/'DCF Base Case'!$B$6</f>
        <v>7.1529633733471</v>
      </c>
    </row>
    <row r="1077" customFormat="false" ht="15" hidden="false" customHeight="true" outlineLevel="0" collapsed="false">
      <c r="A1077" s="6" t="n">
        <v>1076</v>
      </c>
      <c r="B1077" s="30" t="n">
        <v>0.107462773311811</v>
      </c>
      <c r="C1077" s="30" t="n">
        <v>0.426391291779503</v>
      </c>
      <c r="D1077" s="30" t="n">
        <v>0.0814594001879106</v>
      </c>
      <c r="E1077" s="30" t="n">
        <v>0.289472436010099</v>
      </c>
      <c r="F1077" s="30" t="n">
        <v>0.0192727851853197</v>
      </c>
      <c r="G1077" s="30" t="n">
        <v>0.151826840563529</v>
      </c>
      <c r="H1077" s="31" t="n">
        <f aca="false">MAX(D1077,F1077+0.015)</f>
        <v>0.0814594001879106</v>
      </c>
      <c r="I1077" s="25" t="n">
        <f aca="false">(C1077-'DCF Base Case'!$B$3)*(1-E1077)+'DCF Base Case'!$B$3-G1077</f>
        <v>0.188767341972381</v>
      </c>
      <c r="J1077" s="24" t="n">
        <f aca="false">'DCF Base Case'!$B$2*(1+B1077)^1*$I1077-'DCF Base Case'!$B$2*(1+B1077)^0*B1077*'DCF Base Case'!$B$4</f>
        <v>29.8451935235513</v>
      </c>
      <c r="K1077" s="24" t="n">
        <f aca="false">'DCF Base Case'!$B$2*(1+B1077)^2*$I1077-'DCF Base Case'!$B$2*(1+B1077)^1*B1077*'DCF Base Case'!$B$4</f>
        <v>33.0524407896198</v>
      </c>
      <c r="L1077" s="24" t="n">
        <f aca="false">'DCF Base Case'!$B$2*(1+B1077)^3*$I1077-'DCF Base Case'!$B$2*(1+B1077)^2*B1077*'DCF Base Case'!$B$4</f>
        <v>36.6043477415968</v>
      </c>
      <c r="M1077" s="24" t="n">
        <f aca="false">'DCF Base Case'!$B$2*(1+B1077)^4*$I1077-'DCF Base Case'!$B$2*(1+B1077)^3*B1077*'DCF Base Case'!$B$4</f>
        <v>40.5379524651787</v>
      </c>
      <c r="N1077" s="24" t="n">
        <f aca="false">'DCF Base Case'!$B$2*(1+B1077)^5*$I1077-'DCF Base Case'!$B$2*(1+B1077)^4*B1077*'DCF Base Case'!$B$4</f>
        <v>44.8942732614692</v>
      </c>
      <c r="O1077" s="24" t="n">
        <f aca="false">J1077/(1+H1077)^1+K1077/(1+H1077)^2+L1077/(1+H1077)^3+M1077/(1+H1077)^4+N1077/(1+H1077)^5</f>
        <v>144.782865034034</v>
      </c>
      <c r="P1077" s="24" t="n">
        <f aca="false">N1077*(1+F1077)/(H1077-F1077)</f>
        <v>735.841803645078</v>
      </c>
      <c r="Q1077" s="24" t="n">
        <f aca="false">O1077+P1077/(1+H1077)^5</f>
        <v>642.214449157015</v>
      </c>
      <c r="R1077" s="24" t="n">
        <f aca="false">Q1077-'DCF Base Case'!$B$5</f>
        <v>457.214449157015</v>
      </c>
      <c r="S1077" s="32" t="n">
        <f aca="false">R1077/'DCF Base Case'!$B$6</f>
        <v>18.2885779662806</v>
      </c>
    </row>
    <row r="1078" customFormat="false" ht="15" hidden="false" customHeight="true" outlineLevel="0" collapsed="false">
      <c r="A1078" s="6" t="n">
        <v>1077</v>
      </c>
      <c r="B1078" s="30" t="n">
        <v>0.0926364022840497</v>
      </c>
      <c r="C1078" s="30" t="n">
        <v>0.420784946959985</v>
      </c>
      <c r="D1078" s="30" t="n">
        <v>0.0808706542638775</v>
      </c>
      <c r="E1078" s="30" t="n">
        <v>0.30743082338214</v>
      </c>
      <c r="F1078" s="30" t="n">
        <v>0.0239002675428292</v>
      </c>
      <c r="G1078" s="30" t="n">
        <v>0.188435899040324</v>
      </c>
      <c r="H1078" s="31" t="n">
        <f aca="false">MAX(D1078,F1078+0.015)</f>
        <v>0.0808706542638775</v>
      </c>
      <c r="I1078" s="25" t="n">
        <f aca="false">(C1078-'DCF Base Case'!$B$3)*(1-E1078)+'DCF Base Case'!$B$3-G1078</f>
        <v>0.142952792248621</v>
      </c>
      <c r="J1078" s="24" t="n">
        <f aca="false">'DCF Base Case'!$B$2*(1+B1078)^1*$I1078-'DCF Base Case'!$B$2*(1+B1078)^0*B1078*'DCF Base Case'!$B$4</f>
        <v>22.2453682198183</v>
      </c>
      <c r="K1078" s="24" t="n">
        <f aca="false">'DCF Base Case'!$B$2*(1+B1078)^2*$I1078-'DCF Base Case'!$B$2*(1+B1078)^1*B1078*'DCF Base Case'!$B$4</f>
        <v>24.3060990991862</v>
      </c>
      <c r="L1078" s="24" t="n">
        <f aca="false">'DCF Base Case'!$B$2*(1+B1078)^3*$I1078-'DCF Base Case'!$B$2*(1+B1078)^2*B1078*'DCF Base Case'!$B$4</f>
        <v>26.5577286732944</v>
      </c>
      <c r="M1078" s="24" t="n">
        <f aca="false">'DCF Base Case'!$B$2*(1+B1078)^4*$I1078-'DCF Base Case'!$B$2*(1+B1078)^3*B1078*'DCF Base Case'!$B$4</f>
        <v>29.0179411104243</v>
      </c>
      <c r="N1078" s="24" t="n">
        <f aca="false">'DCF Base Case'!$B$2*(1+B1078)^5*$I1078-'DCF Base Case'!$B$2*(1+B1078)^4*B1078*'DCF Base Case'!$B$4</f>
        <v>31.7060587765844</v>
      </c>
      <c r="O1078" s="24" t="n">
        <f aca="false">J1078/(1+H1078)^1+K1078/(1+H1078)^2+L1078/(1+H1078)^3+M1078/(1+H1078)^4+N1078/(1+H1078)^5</f>
        <v>105.169706314683</v>
      </c>
      <c r="P1078" s="24" t="n">
        <f aca="false">N1078*(1+F1078)/(H1078-F1078)</f>
        <v>569.837137020511</v>
      </c>
      <c r="Q1078" s="24" t="n">
        <f aca="false">O1078+P1078/(1+H1078)^5</f>
        <v>491.43182651767</v>
      </c>
      <c r="R1078" s="24" t="n">
        <f aca="false">Q1078-'DCF Base Case'!$B$5</f>
        <v>306.43182651767</v>
      </c>
      <c r="S1078" s="32" t="n">
        <f aca="false">R1078/'DCF Base Case'!$B$6</f>
        <v>12.2572730607068</v>
      </c>
    </row>
    <row r="1079" customFormat="false" ht="15" hidden="false" customHeight="true" outlineLevel="0" collapsed="false">
      <c r="A1079" s="6" t="n">
        <v>1078</v>
      </c>
      <c r="B1079" s="30" t="n">
        <v>0.0842254818087651</v>
      </c>
      <c r="C1079" s="30" t="n">
        <v>0.427106777617803</v>
      </c>
      <c r="D1079" s="30" t="n">
        <v>0.0858575753720604</v>
      </c>
      <c r="E1079" s="30" t="n">
        <v>0.255433998220776</v>
      </c>
      <c r="F1079" s="30" t="n">
        <v>0.0217653713756434</v>
      </c>
      <c r="G1079" s="30" t="n">
        <v>0.168507744213813</v>
      </c>
      <c r="H1079" s="31" t="n">
        <f aca="false">MAX(D1079,F1079+0.015)</f>
        <v>0.0858575753720604</v>
      </c>
      <c r="I1079" s="25" t="n">
        <f aca="false">(C1079-'DCF Base Case'!$B$3)*(1-E1079)+'DCF Base Case'!$B$3-G1079</f>
        <v>0.182707861298584</v>
      </c>
      <c r="J1079" s="24" t="n">
        <f aca="false">'DCF Base Case'!$B$2*(1+B1079)^1*$I1079-'DCF Base Case'!$B$2*(1+B1079)^0*B1079*'DCF Base Case'!$B$4</f>
        <v>28.3576144014042</v>
      </c>
      <c r="K1079" s="24" t="n">
        <f aca="false">'DCF Base Case'!$B$2*(1+B1079)^2*$I1079-'DCF Base Case'!$B$2*(1+B1079)^1*B1079*'DCF Base Case'!$B$4</f>
        <v>30.7460481373097</v>
      </c>
      <c r="L1079" s="24" t="n">
        <f aca="false">'DCF Base Case'!$B$2*(1+B1079)^3*$I1079-'DCF Base Case'!$B$2*(1+B1079)^2*B1079*'DCF Base Case'!$B$4</f>
        <v>33.3356488553901</v>
      </c>
      <c r="M1079" s="24" t="n">
        <f aca="false">'DCF Base Case'!$B$2*(1+B1079)^4*$I1079-'DCF Base Case'!$B$2*(1+B1079)^3*B1079*'DCF Base Case'!$B$4</f>
        <v>36.1433599416431</v>
      </c>
      <c r="N1079" s="24" t="n">
        <f aca="false">'DCF Base Case'!$B$2*(1+B1079)^5*$I1079-'DCF Base Case'!$B$2*(1+B1079)^4*B1079*'DCF Base Case'!$B$4</f>
        <v>39.1875518469156</v>
      </c>
      <c r="O1079" s="24" t="n">
        <f aca="false">J1079/(1+H1079)^1+K1079/(1+H1079)^2+L1079/(1+H1079)^3+M1079/(1+H1079)^4+N1079/(1+H1079)^5</f>
        <v>130.185106653986</v>
      </c>
      <c r="P1079" s="24" t="n">
        <f aca="false">N1079*(1+F1079)/(H1079-F1079)</f>
        <v>624.732509875997</v>
      </c>
      <c r="Q1079" s="24" t="n">
        <f aca="false">O1079+P1079/(1+H1079)^5</f>
        <v>544.022546650082</v>
      </c>
      <c r="R1079" s="24" t="n">
        <f aca="false">Q1079-'DCF Base Case'!$B$5</f>
        <v>359.022546650082</v>
      </c>
      <c r="S1079" s="32" t="n">
        <f aca="false">R1079/'DCF Base Case'!$B$6</f>
        <v>14.3609018660033</v>
      </c>
    </row>
    <row r="1080" customFormat="false" ht="15" hidden="false" customHeight="true" outlineLevel="0" collapsed="false">
      <c r="A1080" s="6" t="n">
        <v>1079</v>
      </c>
      <c r="B1080" s="30" t="n">
        <v>0.135126826551794</v>
      </c>
      <c r="C1080" s="30" t="n">
        <v>0.453212388789425</v>
      </c>
      <c r="D1080" s="30" t="n">
        <v>0.0928226517262798</v>
      </c>
      <c r="E1080" s="30" t="n">
        <v>0.286944603421937</v>
      </c>
      <c r="F1080" s="30" t="n">
        <v>0.0199438117825612</v>
      </c>
      <c r="G1080" s="30" t="n">
        <v>0.145120841791145</v>
      </c>
      <c r="H1080" s="31" t="n">
        <f aca="false">MAX(D1080,F1080+0.015)</f>
        <v>0.0928226517262798</v>
      </c>
      <c r="I1080" s="25" t="n">
        <f aca="false">(C1080-'DCF Base Case'!$B$3)*(1-E1080)+'DCF Base Case'!$B$3-G1080</f>
        <v>0.215347496276042</v>
      </c>
      <c r="J1080" s="24" t="n">
        <f aca="false">'DCF Base Case'!$B$2*(1+B1080)^1*$I1080-'DCF Base Case'!$B$2*(1+B1080)^0*B1080*'DCF Base Case'!$B$4</f>
        <v>34.8569727122858</v>
      </c>
      <c r="K1080" s="24" t="n">
        <f aca="false">'DCF Base Case'!$B$2*(1+B1080)^2*$I1080-'DCF Base Case'!$B$2*(1+B1080)^1*B1080*'DCF Base Case'!$B$4</f>
        <v>39.5670848180995</v>
      </c>
      <c r="L1080" s="24" t="n">
        <f aca="false">'DCF Base Case'!$B$2*(1+B1080)^3*$I1080-'DCF Base Case'!$B$2*(1+B1080)^2*B1080*'DCF Base Case'!$B$4</f>
        <v>44.9136594254749</v>
      </c>
      <c r="M1080" s="24" t="n">
        <f aca="false">'DCF Base Case'!$B$2*(1+B1080)^4*$I1080-'DCF Base Case'!$B$2*(1+B1080)^3*B1080*'DCF Base Case'!$B$4</f>
        <v>50.9826996924674</v>
      </c>
      <c r="N1080" s="24" t="n">
        <f aca="false">'DCF Base Case'!$B$2*(1+B1080)^5*$I1080-'DCF Base Case'!$B$2*(1+B1080)^4*B1080*'DCF Base Case'!$B$4</f>
        <v>57.8718301109537</v>
      </c>
      <c r="O1080" s="24" t="n">
        <f aca="false">J1080/(1+H1080)^1+K1080/(1+H1080)^2+L1080/(1+H1080)^3+M1080/(1+H1080)^4+N1080/(1+H1080)^5</f>
        <v>172.316022363738</v>
      </c>
      <c r="P1080" s="24" t="n">
        <f aca="false">N1080*(1+F1080)/(H1080-F1080)</f>
        <v>809.91979350635</v>
      </c>
      <c r="Q1080" s="24" t="n">
        <f aca="false">O1080+P1080/(1+H1080)^5</f>
        <v>691.945250030386</v>
      </c>
      <c r="R1080" s="24" t="n">
        <f aca="false">Q1080-'DCF Base Case'!$B$5</f>
        <v>506.945250030386</v>
      </c>
      <c r="S1080" s="32" t="n">
        <f aca="false">R1080/'DCF Base Case'!$B$6</f>
        <v>20.2778100012154</v>
      </c>
    </row>
    <row r="1081" customFormat="false" ht="15" hidden="false" customHeight="true" outlineLevel="0" collapsed="false">
      <c r="A1081" s="6" t="n">
        <v>1080</v>
      </c>
      <c r="B1081" s="30" t="n">
        <v>0.0543210517819362</v>
      </c>
      <c r="C1081" s="30" t="n">
        <v>0.381484692822563</v>
      </c>
      <c r="D1081" s="30" t="n">
        <v>0.0844751128001253</v>
      </c>
      <c r="E1081" s="30" t="n">
        <v>0.246226462173385</v>
      </c>
      <c r="F1081" s="30" t="n">
        <v>0.0171620007444433</v>
      </c>
      <c r="G1081" s="30" t="n">
        <v>0.160110948222596</v>
      </c>
      <c r="H1081" s="31" t="n">
        <f aca="false">MAX(D1081,F1081+0.015)</f>
        <v>0.0844751128001253</v>
      </c>
      <c r="I1081" s="25" t="n">
        <f aca="false">(C1081-'DCF Base Case'!$B$3)*(1-E1081)+'DCF Base Case'!$B$3-G1081</f>
        <v>0.159451558395507</v>
      </c>
      <c r="J1081" s="24" t="n">
        <f aca="false">'DCF Base Case'!$B$2*(1+B1081)^1*$I1081-'DCF Base Case'!$B$2*(1+B1081)^0*B1081*'DCF Base Case'!$B$4</f>
        <v>24.1401079643424</v>
      </c>
      <c r="K1081" s="24" t="n">
        <f aca="false">'DCF Base Case'!$B$2*(1+B1081)^2*$I1081-'DCF Base Case'!$B$2*(1+B1081)^1*B1081*'DCF Base Case'!$B$4</f>
        <v>25.451424019095</v>
      </c>
      <c r="L1081" s="24" t="n">
        <f aca="false">'DCF Base Case'!$B$2*(1+B1081)^3*$I1081-'DCF Base Case'!$B$2*(1+B1081)^2*B1081*'DCF Base Case'!$B$4</f>
        <v>26.8339721411603</v>
      </c>
      <c r="M1081" s="24" t="n">
        <f aca="false">'DCF Base Case'!$B$2*(1+B1081)^4*$I1081-'DCF Base Case'!$B$2*(1+B1081)^3*B1081*'DCF Base Case'!$B$4</f>
        <v>28.2916217313553</v>
      </c>
      <c r="N1081" s="24" t="n">
        <f aca="false">'DCF Base Case'!$B$2*(1+B1081)^5*$I1081-'DCF Base Case'!$B$2*(1+B1081)^4*B1081*'DCF Base Case'!$B$4</f>
        <v>29.8284523804192</v>
      </c>
      <c r="O1081" s="24" t="n">
        <f aca="false">J1081/(1+H1081)^1+K1081/(1+H1081)^2+L1081/(1+H1081)^3+M1081/(1+H1081)^4+N1081/(1+H1081)^5</f>
        <v>105.27893563324</v>
      </c>
      <c r="P1081" s="24" t="n">
        <f aca="false">N1081*(1+F1081)/(H1081-F1081)</f>
        <v>450.734892145228</v>
      </c>
      <c r="Q1081" s="24" t="n">
        <f aca="false">O1081+P1081/(1+H1081)^5</f>
        <v>405.76423424768</v>
      </c>
      <c r="R1081" s="24" t="n">
        <f aca="false">Q1081-'DCF Base Case'!$B$5</f>
        <v>220.76423424768</v>
      </c>
      <c r="S1081" s="32" t="n">
        <f aca="false">R1081/'DCF Base Case'!$B$6</f>
        <v>8.83056936990722</v>
      </c>
    </row>
    <row r="1082" customFormat="false" ht="15" hidden="false" customHeight="true" outlineLevel="0" collapsed="false">
      <c r="A1082" s="6" t="n">
        <v>1081</v>
      </c>
      <c r="B1082" s="30" t="n">
        <v>0.0855366547215072</v>
      </c>
      <c r="C1082" s="30" t="n">
        <v>0.398218592636445</v>
      </c>
      <c r="D1082" s="30" t="n">
        <v>0.0812433480418046</v>
      </c>
      <c r="E1082" s="30" t="n">
        <v>0.329520773744432</v>
      </c>
      <c r="F1082" s="30" t="n">
        <v>0.0217268291635776</v>
      </c>
      <c r="G1082" s="30" t="n">
        <v>0.153919737545835</v>
      </c>
      <c r="H1082" s="31" t="n">
        <f aca="false">MAX(D1082,F1082+0.015)</f>
        <v>0.0812433480418046</v>
      </c>
      <c r="I1082" s="25" t="n">
        <f aca="false">(C1082-'DCF Base Case'!$B$3)*(1-E1082)+'DCF Base Case'!$B$3-G1082</f>
        <v>0.155915256912406</v>
      </c>
      <c r="J1082" s="24" t="n">
        <f aca="false">'DCF Base Case'!$B$2*(1+B1082)^1*$I1082-'DCF Base Case'!$B$2*(1+B1082)^0*B1082*'DCF Base Case'!$B$4</f>
        <v>24.1694158812284</v>
      </c>
      <c r="K1082" s="24" t="n">
        <f aca="false">'DCF Base Case'!$B$2*(1+B1082)^2*$I1082-'DCF Base Case'!$B$2*(1+B1082)^1*B1082*'DCF Base Case'!$B$4</f>
        <v>26.2367868622815</v>
      </c>
      <c r="L1082" s="24" t="n">
        <f aca="false">'DCF Base Case'!$B$2*(1+B1082)^3*$I1082-'DCF Base Case'!$B$2*(1+B1082)^2*B1082*'DCF Base Case'!$B$4</f>
        <v>28.4809938411223</v>
      </c>
      <c r="M1082" s="24" t="n">
        <f aca="false">'DCF Base Case'!$B$2*(1+B1082)^4*$I1082-'DCF Base Case'!$B$2*(1+B1082)^3*B1082*'DCF Base Case'!$B$4</f>
        <v>30.9171627774358</v>
      </c>
      <c r="N1082" s="24" t="n">
        <f aca="false">'DCF Base Case'!$B$2*(1+B1082)^5*$I1082-'DCF Base Case'!$B$2*(1+B1082)^4*B1082*'DCF Base Case'!$B$4</f>
        <v>33.5617134548979</v>
      </c>
      <c r="O1082" s="24" t="n">
        <f aca="false">J1082/(1+H1082)^1+K1082/(1+H1082)^2+L1082/(1+H1082)^3+M1082/(1+H1082)^4+N1082/(1+H1082)^5</f>
        <v>112.657891441686</v>
      </c>
      <c r="P1082" s="24" t="n">
        <f aca="false">N1082*(1+F1082)/(H1082-F1082)</f>
        <v>576.157741008507</v>
      </c>
      <c r="Q1082" s="24" t="n">
        <f aca="false">O1082+P1082/(1+H1082)^5</f>
        <v>502.531787500089</v>
      </c>
      <c r="R1082" s="24" t="n">
        <f aca="false">Q1082-'DCF Base Case'!$B$5</f>
        <v>317.531787500089</v>
      </c>
      <c r="S1082" s="32" t="n">
        <f aca="false">R1082/'DCF Base Case'!$B$6</f>
        <v>12.7012715000035</v>
      </c>
    </row>
    <row r="1083" customFormat="false" ht="15" hidden="false" customHeight="true" outlineLevel="0" collapsed="false">
      <c r="A1083" s="6" t="n">
        <v>1082</v>
      </c>
      <c r="B1083" s="30" t="n">
        <v>0.0886186379752687</v>
      </c>
      <c r="C1083" s="30" t="n">
        <v>0.413659157292738</v>
      </c>
      <c r="D1083" s="30" t="n">
        <v>0.0765524902288584</v>
      </c>
      <c r="E1083" s="30" t="n">
        <v>0.26217625181736</v>
      </c>
      <c r="F1083" s="30" t="n">
        <v>0.0229732978888411</v>
      </c>
      <c r="G1083" s="30" t="n">
        <v>0.156732627962534</v>
      </c>
      <c r="H1083" s="31" t="n">
        <f aca="false">MAX(D1083,F1083+0.015)</f>
        <v>0.0765524902288584</v>
      </c>
      <c r="I1083" s="25" t="n">
        <f aca="false">(C1083-'DCF Base Case'!$B$3)*(1-E1083)+'DCF Base Case'!$B$3-G1083</f>
        <v>0.182557834677523</v>
      </c>
      <c r="J1083" s="24" t="n">
        <f aca="false">'DCF Base Case'!$B$2*(1+B1083)^1*$I1083-'DCF Base Case'!$B$2*(1+B1083)^0*B1083*'DCF Base Case'!$B$4</f>
        <v>28.4312088188697</v>
      </c>
      <c r="K1083" s="24" t="n">
        <f aca="false">'DCF Base Case'!$B$2*(1+B1083)^2*$I1083-'DCF Base Case'!$B$2*(1+B1083)^1*B1083*'DCF Base Case'!$B$4</f>
        <v>30.9507438203884</v>
      </c>
      <c r="L1083" s="24" t="n">
        <f aca="false">'DCF Base Case'!$B$2*(1+B1083)^3*$I1083-'DCF Base Case'!$B$2*(1+B1083)^2*B1083*'DCF Base Case'!$B$4</f>
        <v>33.6935565820727</v>
      </c>
      <c r="M1083" s="24" t="n">
        <f aca="false">'DCF Base Case'!$B$2*(1+B1083)^4*$I1083-'DCF Base Case'!$B$2*(1+B1083)^3*B1083*'DCF Base Case'!$B$4</f>
        <v>36.6794336749186</v>
      </c>
      <c r="N1083" s="24" t="n">
        <f aca="false">'DCF Base Case'!$B$2*(1+B1083)^5*$I1083-'DCF Base Case'!$B$2*(1+B1083)^4*B1083*'DCF Base Case'!$B$4</f>
        <v>39.9299151288941</v>
      </c>
      <c r="O1083" s="24" t="n">
        <f aca="false">J1083/(1+H1083)^1+K1083/(1+H1083)^2+L1083/(1+H1083)^3+M1083/(1+H1083)^4+N1083/(1+H1083)^5</f>
        <v>135.040855682124</v>
      </c>
      <c r="P1083" s="24" t="n">
        <f aca="false">N1083*(1+F1083)/(H1083-F1083)</f>
        <v>762.371271007724</v>
      </c>
      <c r="Q1083" s="24" t="n">
        <f aca="false">O1083+P1083/(1+H1083)^5</f>
        <v>662.259151185191</v>
      </c>
      <c r="R1083" s="24" t="n">
        <f aca="false">Q1083-'DCF Base Case'!$B$5</f>
        <v>477.259151185191</v>
      </c>
      <c r="S1083" s="32" t="n">
        <f aca="false">R1083/'DCF Base Case'!$B$6</f>
        <v>19.0903660474076</v>
      </c>
    </row>
    <row r="1084" customFormat="false" ht="15" hidden="false" customHeight="true" outlineLevel="0" collapsed="false">
      <c r="A1084" s="6" t="n">
        <v>1083</v>
      </c>
      <c r="B1084" s="30" t="n">
        <v>0.066155767623862</v>
      </c>
      <c r="C1084" s="30" t="n">
        <v>0.404896215606071</v>
      </c>
      <c r="D1084" s="30" t="n">
        <v>0.0862981072844204</v>
      </c>
      <c r="E1084" s="30" t="n">
        <v>0.247306312165795</v>
      </c>
      <c r="F1084" s="30" t="n">
        <v>0.0192008740946682</v>
      </c>
      <c r="G1084" s="30" t="n">
        <v>0.185996824377595</v>
      </c>
      <c r="H1084" s="31" t="n">
        <f aca="false">MAX(D1084,F1084+0.015)</f>
        <v>0.0862981072844204</v>
      </c>
      <c r="I1084" s="25" t="n">
        <f aca="false">(C1084-'DCF Base Case'!$B$3)*(1-E1084)+'DCF Base Case'!$B$3-G1084</f>
        <v>0.150915821918605</v>
      </c>
      <c r="J1084" s="24" t="n">
        <f aca="false">'DCF Base Case'!$B$2*(1+B1084)^1*$I1084-'DCF Base Case'!$B$2*(1+B1084)^0*B1084*'DCF Base Case'!$B$4</f>
        <v>23.0426896356476</v>
      </c>
      <c r="K1084" s="24" t="n">
        <f aca="false">'DCF Base Case'!$B$2*(1+B1084)^2*$I1084-'DCF Base Case'!$B$2*(1+B1084)^1*B1084*'DCF Base Case'!$B$4</f>
        <v>24.5670964566123</v>
      </c>
      <c r="L1084" s="24" t="n">
        <f aca="false">'DCF Base Case'!$B$2*(1+B1084)^3*$I1084-'DCF Base Case'!$B$2*(1+B1084)^2*B1084*'DCF Base Case'!$B$4</f>
        <v>26.1923515809889</v>
      </c>
      <c r="M1084" s="24" t="n">
        <f aca="false">'DCF Base Case'!$B$2*(1+B1084)^4*$I1084-'DCF Base Case'!$B$2*(1+B1084)^3*B1084*'DCF Base Case'!$B$4</f>
        <v>27.9251267057034</v>
      </c>
      <c r="N1084" s="24" t="n">
        <f aca="false">'DCF Base Case'!$B$2*(1+B1084)^5*$I1084-'DCF Base Case'!$B$2*(1+B1084)^4*B1084*'DCF Base Case'!$B$4</f>
        <v>29.7725348989128</v>
      </c>
      <c r="O1084" s="24" t="n">
        <f aca="false">J1084/(1+H1084)^1+K1084/(1+H1084)^2+L1084/(1+H1084)^3+M1084/(1+H1084)^4+N1084/(1+H1084)^5</f>
        <v>102.199682911948</v>
      </c>
      <c r="P1084" s="24" t="n">
        <f aca="false">N1084*(1+F1084)/(H1084-F1084)</f>
        <v>452.242099270651</v>
      </c>
      <c r="Q1084" s="24" t="n">
        <f aca="false">O1084+P1084/(1+H1084)^5</f>
        <v>401.168486992554</v>
      </c>
      <c r="R1084" s="24" t="n">
        <f aca="false">Q1084-'DCF Base Case'!$B$5</f>
        <v>216.168486992554</v>
      </c>
      <c r="S1084" s="32" t="n">
        <f aca="false">R1084/'DCF Base Case'!$B$6</f>
        <v>8.64673947970216</v>
      </c>
    </row>
    <row r="1085" customFormat="false" ht="15" hidden="false" customHeight="true" outlineLevel="0" collapsed="false">
      <c r="A1085" s="6" t="n">
        <v>1084</v>
      </c>
      <c r="B1085" s="30" t="n">
        <v>0.0996321838371999</v>
      </c>
      <c r="C1085" s="30" t="n">
        <v>0.452977203739248</v>
      </c>
      <c r="D1085" s="30" t="n">
        <v>0.098762204305434</v>
      </c>
      <c r="E1085" s="30" t="n">
        <v>0.322992367005094</v>
      </c>
      <c r="F1085" s="30" t="n">
        <v>0.0269209735865022</v>
      </c>
      <c r="G1085" s="30" t="n">
        <v>0.18332477232331</v>
      </c>
      <c r="H1085" s="31" t="n">
        <f aca="false">MAX(D1085,F1085+0.015)</f>
        <v>0.098762204305434</v>
      </c>
      <c r="I1085" s="25" t="n">
        <f aca="false">(C1085-'DCF Base Case'!$B$3)*(1-E1085)+'DCF Base Case'!$B$3-G1085</f>
        <v>0.165333259891512</v>
      </c>
      <c r="J1085" s="24" t="n">
        <f aca="false">'DCF Base Case'!$B$2*(1+B1085)^1*$I1085-'DCF Base Case'!$B$2*(1+B1085)^0*B1085*'DCF Base Case'!$B$4</f>
        <v>25.928437177445</v>
      </c>
      <c r="K1085" s="24" t="n">
        <f aca="false">'DCF Base Case'!$B$2*(1+B1085)^2*$I1085-'DCF Base Case'!$B$2*(1+B1085)^1*B1085*'DCF Base Case'!$B$4</f>
        <v>28.5117439969195</v>
      </c>
      <c r="L1085" s="24" t="n">
        <f aca="false">'DCF Base Case'!$B$2*(1+B1085)^3*$I1085-'DCF Base Case'!$B$2*(1+B1085)^2*B1085*'DCF Base Case'!$B$4</f>
        <v>31.3524313163398</v>
      </c>
      <c r="M1085" s="24" t="n">
        <f aca="false">'DCF Base Case'!$B$2*(1+B1085)^4*$I1085-'DCF Base Case'!$B$2*(1+B1085)^3*B1085*'DCF Base Case'!$B$4</f>
        <v>34.4761425169925</v>
      </c>
      <c r="N1085" s="24" t="n">
        <f aca="false">'DCF Base Case'!$B$2*(1+B1085)^5*$I1085-'DCF Base Case'!$B$2*(1+B1085)^4*B1085*'DCF Base Case'!$B$4</f>
        <v>37.911075886243</v>
      </c>
      <c r="O1085" s="24" t="n">
        <f aca="false">J1085/(1+H1085)^1+K1085/(1+H1085)^2+L1085/(1+H1085)^3+M1085/(1+H1085)^4+N1085/(1+H1085)^5</f>
        <v>118.176293786536</v>
      </c>
      <c r="P1085" s="24" t="n">
        <f aca="false">N1085*(1+F1085)/(H1085-F1085)</f>
        <v>541.912750786897</v>
      </c>
      <c r="Q1085" s="24" t="n">
        <f aca="false">O1085+P1085/(1+H1085)^5</f>
        <v>456.561065228259</v>
      </c>
      <c r="R1085" s="24" t="n">
        <f aca="false">Q1085-'DCF Base Case'!$B$5</f>
        <v>271.561065228259</v>
      </c>
      <c r="S1085" s="32" t="n">
        <f aca="false">R1085/'DCF Base Case'!$B$6</f>
        <v>10.8624426091304</v>
      </c>
    </row>
    <row r="1086" customFormat="false" ht="15" hidden="false" customHeight="true" outlineLevel="0" collapsed="false">
      <c r="A1086" s="6" t="n">
        <v>1085</v>
      </c>
      <c r="B1086" s="30" t="n">
        <v>0.0933506924914897</v>
      </c>
      <c r="C1086" s="30" t="n">
        <v>0.434215016361185</v>
      </c>
      <c r="D1086" s="30" t="n">
        <v>0.0788483992326551</v>
      </c>
      <c r="E1086" s="30" t="n">
        <v>0.282728086222967</v>
      </c>
      <c r="F1086" s="30" t="n">
        <v>0.0167269308128683</v>
      </c>
      <c r="G1086" s="30" t="n">
        <v>0.174481600351968</v>
      </c>
      <c r="H1086" s="31" t="n">
        <f aca="false">MAX(D1086,F1086+0.015)</f>
        <v>0.0788483992326551</v>
      </c>
      <c r="I1086" s="25" t="n">
        <f aca="false">(C1086-'DCF Base Case'!$B$3)*(1-E1086)+'DCF Base Case'!$B$3-G1086</f>
        <v>0.173723286633131</v>
      </c>
      <c r="J1086" s="24" t="n">
        <f aca="false">'DCF Base Case'!$B$2*(1+B1086)^1*$I1086-'DCF Base Case'!$B$2*(1+B1086)^0*B1086*'DCF Base Case'!$B$4</f>
        <v>27.1352934702855</v>
      </c>
      <c r="K1086" s="24" t="n">
        <f aca="false">'DCF Base Case'!$B$2*(1+B1086)^2*$I1086-'DCF Base Case'!$B$2*(1+B1086)^1*B1086*'DCF Base Case'!$B$4</f>
        <v>29.6683919066964</v>
      </c>
      <c r="L1086" s="24" t="n">
        <f aca="false">'DCF Base Case'!$B$2*(1+B1086)^3*$I1086-'DCF Base Case'!$B$2*(1+B1086)^2*B1086*'DCF Base Case'!$B$4</f>
        <v>32.4379568362955</v>
      </c>
      <c r="M1086" s="24" t="n">
        <f aca="false">'DCF Base Case'!$B$2*(1+B1086)^4*$I1086-'DCF Base Case'!$B$2*(1+B1086)^3*B1086*'DCF Base Case'!$B$4</f>
        <v>35.4660625699727</v>
      </c>
      <c r="N1086" s="24" t="n">
        <f aca="false">'DCF Base Case'!$B$2*(1+B1086)^5*$I1086-'DCF Base Case'!$B$2*(1+B1086)^4*B1086*'DCF Base Case'!$B$4</f>
        <v>38.7768440708262</v>
      </c>
      <c r="O1086" s="24" t="n">
        <f aca="false">J1086/(1+H1086)^1+K1086/(1+H1086)^2+L1086/(1+H1086)^3+M1086/(1+H1086)^4+N1086/(1+H1086)^5</f>
        <v>129.187252612128</v>
      </c>
      <c r="P1086" s="24" t="n">
        <f aca="false">N1086*(1+F1086)/(H1086-F1086)</f>
        <v>634.651154610868</v>
      </c>
      <c r="Q1086" s="24" t="n">
        <f aca="false">O1086+P1086/(1+H1086)^5</f>
        <v>563.430393187197</v>
      </c>
      <c r="R1086" s="24" t="n">
        <f aca="false">Q1086-'DCF Base Case'!$B$5</f>
        <v>378.430393187197</v>
      </c>
      <c r="S1086" s="32" t="n">
        <f aca="false">R1086/'DCF Base Case'!$B$6</f>
        <v>15.1372157274879</v>
      </c>
    </row>
    <row r="1087" customFormat="false" ht="15" hidden="false" customHeight="true" outlineLevel="0" collapsed="false">
      <c r="A1087" s="6" t="n">
        <v>1086</v>
      </c>
      <c r="B1087" s="30" t="n">
        <v>0.0758629273010598</v>
      </c>
      <c r="C1087" s="30" t="n">
        <v>0.393914611966338</v>
      </c>
      <c r="D1087" s="30" t="n">
        <v>0.0895482062241606</v>
      </c>
      <c r="E1087" s="30" t="n">
        <v>0.275890749307131</v>
      </c>
      <c r="F1087" s="30" t="n">
        <v>0.0121719893428869</v>
      </c>
      <c r="G1087" s="30" t="n">
        <v>0.137059609846443</v>
      </c>
      <c r="H1087" s="31" t="n">
        <f aca="false">MAX(D1087,F1087+0.015)</f>
        <v>0.0895482062241606</v>
      </c>
      <c r="I1087" s="25" t="n">
        <f aca="false">(C1087-'DCF Base Case'!$B$3)*(1-E1087)+'DCF Base Case'!$B$3-G1087</f>
        <v>0.184043402071401</v>
      </c>
      <c r="J1087" s="24" t="n">
        <f aca="false">'DCF Base Case'!$B$2*(1+B1087)^1*$I1087-'DCF Base Case'!$B$2*(1+B1087)^0*B1087*'DCF Base Case'!$B$4</f>
        <v>28.380789895173</v>
      </c>
      <c r="K1087" s="24" t="n">
        <f aca="false">'DCF Base Case'!$B$2*(1+B1087)^2*$I1087-'DCF Base Case'!$B$2*(1+B1087)^1*B1087*'DCF Base Case'!$B$4</f>
        <v>30.5338396957372</v>
      </c>
      <c r="L1087" s="24" t="n">
        <f aca="false">'DCF Base Case'!$B$2*(1+B1087)^3*$I1087-'DCF Base Case'!$B$2*(1+B1087)^2*B1087*'DCF Base Case'!$B$4</f>
        <v>32.8502261567971</v>
      </c>
      <c r="M1087" s="24" t="n">
        <f aca="false">'DCF Base Case'!$B$2*(1+B1087)^4*$I1087-'DCF Base Case'!$B$2*(1+B1087)^3*B1087*'DCF Base Case'!$B$4</f>
        <v>35.3423404755536</v>
      </c>
      <c r="N1087" s="24" t="n">
        <f aca="false">'DCF Base Case'!$B$2*(1+B1087)^5*$I1087-'DCF Base Case'!$B$2*(1+B1087)^4*B1087*'DCF Base Case'!$B$4</f>
        <v>38.0235138816998</v>
      </c>
      <c r="O1087" s="24" t="n">
        <f aca="false">J1087/(1+H1087)^1+K1087/(1+H1087)^2+L1087/(1+H1087)^3+M1087/(1+H1087)^4+N1087/(1+H1087)^5</f>
        <v>127.010142511392</v>
      </c>
      <c r="P1087" s="24" t="n">
        <f aca="false">N1087*(1+F1087)/(H1087-F1087)</f>
        <v>497.392315606494</v>
      </c>
      <c r="Q1087" s="24" t="n">
        <f aca="false">O1087+P1087/(1+H1087)^5</f>
        <v>450.951815860188</v>
      </c>
      <c r="R1087" s="24" t="n">
        <f aca="false">Q1087-'DCF Base Case'!$B$5</f>
        <v>265.951815860188</v>
      </c>
      <c r="S1087" s="32" t="n">
        <f aca="false">R1087/'DCF Base Case'!$B$6</f>
        <v>10.6380726344075</v>
      </c>
    </row>
    <row r="1088" customFormat="false" ht="15" hidden="false" customHeight="true" outlineLevel="0" collapsed="false">
      <c r="A1088" s="6" t="n">
        <v>1087</v>
      </c>
      <c r="B1088" s="30" t="n">
        <v>0.0650634942899028</v>
      </c>
      <c r="C1088" s="30" t="n">
        <v>0.38564352001708</v>
      </c>
      <c r="D1088" s="30" t="n">
        <v>0.089558656624265</v>
      </c>
      <c r="E1088" s="30" t="n">
        <v>0.286030057524962</v>
      </c>
      <c r="F1088" s="30" t="n">
        <v>0.023162035319851</v>
      </c>
      <c r="G1088" s="30" t="n">
        <v>0.18319365498263</v>
      </c>
      <c r="H1088" s="31" t="n">
        <f aca="false">MAX(D1088,F1088+0.015)</f>
        <v>0.089558656624265</v>
      </c>
      <c r="I1088" s="25" t="n">
        <f aca="false">(C1088-'DCF Base Case'!$B$3)*(1-E1088)+'DCF Base Case'!$B$3-G1088</f>
        <v>0.129328134298081</v>
      </c>
      <c r="J1088" s="24" t="n">
        <f aca="false">'DCF Base Case'!$B$2*(1+B1088)^1*$I1088-'DCF Base Case'!$B$2*(1+B1088)^0*B1088*'DCF Base Case'!$B$4</f>
        <v>19.6896616205376</v>
      </c>
      <c r="K1088" s="24" t="n">
        <f aca="false">'DCF Base Case'!$B$2*(1+B1088)^2*$I1088-'DCF Base Case'!$B$2*(1+B1088)^1*B1088*'DCF Base Case'!$B$4</f>
        <v>20.9707398069555</v>
      </c>
      <c r="L1088" s="24" t="n">
        <f aca="false">'DCF Base Case'!$B$2*(1+B1088)^3*$I1088-'DCF Base Case'!$B$2*(1+B1088)^2*B1088*'DCF Base Case'!$B$4</f>
        <v>22.3351694166404</v>
      </c>
      <c r="M1088" s="24" t="n">
        <f aca="false">'DCF Base Case'!$B$2*(1+B1088)^4*$I1088-'DCF Base Case'!$B$2*(1+B1088)^3*B1088*'DCF Base Case'!$B$4</f>
        <v>23.788373584444</v>
      </c>
      <c r="N1088" s="24" t="n">
        <f aca="false">'DCF Base Case'!$B$2*(1+B1088)^5*$I1088-'DCF Base Case'!$B$2*(1+B1088)^4*B1088*'DCF Base Case'!$B$4</f>
        <v>25.3361282933216</v>
      </c>
      <c r="O1088" s="24" t="n">
        <f aca="false">J1088/(1+H1088)^1+K1088/(1+H1088)^2+L1088/(1+H1088)^3+M1088/(1+H1088)^4+N1088/(1+H1088)^5</f>
        <v>86.3837248646767</v>
      </c>
      <c r="P1088" s="24" t="n">
        <f aca="false">N1088*(1+F1088)/(H1088-F1088)</f>
        <v>390.425959671481</v>
      </c>
      <c r="Q1088" s="24" t="n">
        <f aca="false">O1088+P1088/(1+H1088)^5</f>
        <v>340.648154502528</v>
      </c>
      <c r="R1088" s="24" t="n">
        <f aca="false">Q1088-'DCF Base Case'!$B$5</f>
        <v>155.648154502528</v>
      </c>
      <c r="S1088" s="32" t="n">
        <f aca="false">R1088/'DCF Base Case'!$B$6</f>
        <v>6.22592618010112</v>
      </c>
    </row>
    <row r="1089" customFormat="false" ht="15" hidden="false" customHeight="true" outlineLevel="0" collapsed="false">
      <c r="A1089" s="6" t="n">
        <v>1088</v>
      </c>
      <c r="B1089" s="30" t="n">
        <v>0.113365265990997</v>
      </c>
      <c r="C1089" s="30" t="n">
        <v>0.433746713250155</v>
      </c>
      <c r="D1089" s="30" t="n">
        <v>0.0873064724000064</v>
      </c>
      <c r="E1089" s="30" t="n">
        <v>0.313332676359162</v>
      </c>
      <c r="F1089" s="30" t="n">
        <v>0.0226537792681103</v>
      </c>
      <c r="G1089" s="30" t="n">
        <v>0.173950700393067</v>
      </c>
      <c r="H1089" s="31" t="n">
        <f aca="false">MAX(D1089,F1089+0.015)</f>
        <v>0.0873064724000064</v>
      </c>
      <c r="I1089" s="25" t="n">
        <f aca="false">(C1089-'DCF Base Case'!$B$3)*(1-E1089)+'DCF Base Case'!$B$3-G1089</f>
        <v>0.164622242259118</v>
      </c>
      <c r="J1089" s="24" t="n">
        <f aca="false">'DCF Base Case'!$B$2*(1+B1089)^1*$I1089-'DCF Base Case'!$B$2*(1+B1089)^0*B1089*'DCF Base Case'!$B$4</f>
        <v>26.0831406413635</v>
      </c>
      <c r="K1089" s="24" t="n">
        <f aca="false">'DCF Base Case'!$B$2*(1+B1089)^2*$I1089-'DCF Base Case'!$B$2*(1+B1089)^1*B1089*'DCF Base Case'!$B$4</f>
        <v>29.0400628180522</v>
      </c>
      <c r="L1089" s="24" t="n">
        <f aca="false">'DCF Base Case'!$B$2*(1+B1089)^3*$I1089-'DCF Base Case'!$B$2*(1+B1089)^2*B1089*'DCF Base Case'!$B$4</f>
        <v>32.332197263816</v>
      </c>
      <c r="M1089" s="24" t="n">
        <f aca="false">'DCF Base Case'!$B$2*(1+B1089)^4*$I1089-'DCF Base Case'!$B$2*(1+B1089)^3*B1089*'DCF Base Case'!$B$4</f>
        <v>35.9975454067018</v>
      </c>
      <c r="N1089" s="24" t="n">
        <f aca="false">'DCF Base Case'!$B$2*(1+B1089)^5*$I1089-'DCF Base Case'!$B$2*(1+B1089)^4*B1089*'DCF Base Case'!$B$4</f>
        <v>40.0784167167556</v>
      </c>
      <c r="O1089" s="24" t="n">
        <f aca="false">J1089/(1+H1089)^1+K1089/(1+H1089)^2+L1089/(1+H1089)^3+M1089/(1+H1089)^4+N1089/(1+H1089)^5</f>
        <v>125.832515318777</v>
      </c>
      <c r="P1089" s="24" t="n">
        <f aca="false">N1089*(1+F1089)/(H1089-F1089)</f>
        <v>633.9464349746</v>
      </c>
      <c r="Q1089" s="24" t="n">
        <f aca="false">O1089+P1089/(1+H1089)^5</f>
        <v>542.982947254526</v>
      </c>
      <c r="R1089" s="24" t="n">
        <f aca="false">Q1089-'DCF Base Case'!$B$5</f>
        <v>357.982947254526</v>
      </c>
      <c r="S1089" s="32" t="n">
        <f aca="false">R1089/'DCF Base Case'!$B$6</f>
        <v>14.319317890181</v>
      </c>
    </row>
    <row r="1090" customFormat="false" ht="15" hidden="false" customHeight="true" outlineLevel="0" collapsed="false">
      <c r="A1090" s="6" t="n">
        <v>1089</v>
      </c>
      <c r="B1090" s="30" t="n">
        <v>0.117433261126833</v>
      </c>
      <c r="C1090" s="30" t="n">
        <v>0.375460994019255</v>
      </c>
      <c r="D1090" s="30" t="n">
        <v>0.0818049050844551</v>
      </c>
      <c r="E1090" s="30" t="n">
        <v>0.271647161710632</v>
      </c>
      <c r="F1090" s="30" t="n">
        <v>0.0234573167904514</v>
      </c>
      <c r="G1090" s="30" t="n">
        <v>0.201337931997763</v>
      </c>
      <c r="H1090" s="31" t="n">
        <f aca="false">MAX(D1090,F1090+0.015)</f>
        <v>0.0818049050844551</v>
      </c>
      <c r="I1090" s="25" t="n">
        <f aca="false">(C1090-'DCF Base Case'!$B$3)*(1-E1090)+'DCF Base Case'!$B$3-G1090</f>
        <v>0.107444279685491</v>
      </c>
      <c r="J1090" s="24" t="n">
        <f aca="false">'DCF Base Case'!$B$2*(1+B1090)^1*$I1090-'DCF Base Case'!$B$2*(1+B1090)^0*B1090*'DCF Base Case'!$B$4</f>
        <v>16.8981280306636</v>
      </c>
      <c r="K1090" s="24" t="n">
        <f aca="false">'DCF Base Case'!$B$2*(1+B1090)^2*$I1090-'DCF Base Case'!$B$2*(1+B1090)^1*B1090*'DCF Base Case'!$B$4</f>
        <v>18.8825303122432</v>
      </c>
      <c r="L1090" s="24" t="n">
        <f aca="false">'DCF Base Case'!$B$2*(1+B1090)^3*$I1090-'DCF Base Case'!$B$2*(1+B1090)^2*B1090*'DCF Base Case'!$B$4</f>
        <v>21.0999674251362</v>
      </c>
      <c r="M1090" s="24" t="n">
        <f aca="false">'DCF Base Case'!$B$2*(1+B1090)^4*$I1090-'DCF Base Case'!$B$2*(1+B1090)^3*B1090*'DCF Base Case'!$B$4</f>
        <v>23.5778054095399</v>
      </c>
      <c r="N1090" s="24" t="n">
        <f aca="false">'DCF Base Case'!$B$2*(1+B1090)^5*$I1090-'DCF Base Case'!$B$2*(1+B1090)^4*B1090*'DCF Base Case'!$B$4</f>
        <v>26.346623988996</v>
      </c>
      <c r="O1090" s="24" t="n">
        <f aca="false">J1090/(1+H1090)^1+K1090/(1+H1090)^2+L1090/(1+H1090)^3+M1090/(1+H1090)^4+N1090/(1+H1090)^5</f>
        <v>83.4182066963805</v>
      </c>
      <c r="P1090" s="24" t="n">
        <f aca="false">N1090*(1+F1090)/(H1090-F1090)</f>
        <v>462.13812571643</v>
      </c>
      <c r="Q1090" s="24" t="n">
        <f aca="false">O1090+P1090/(1+H1090)^5</f>
        <v>395.326604103272</v>
      </c>
      <c r="R1090" s="24" t="n">
        <f aca="false">Q1090-'DCF Base Case'!$B$5</f>
        <v>210.326604103272</v>
      </c>
      <c r="S1090" s="32" t="n">
        <f aca="false">R1090/'DCF Base Case'!$B$6</f>
        <v>8.41306416413088</v>
      </c>
    </row>
    <row r="1091" customFormat="false" ht="15" hidden="false" customHeight="true" outlineLevel="0" collapsed="false">
      <c r="A1091" s="6" t="n">
        <v>1090</v>
      </c>
      <c r="B1091" s="30" t="n">
        <v>0.0591708441613594</v>
      </c>
      <c r="C1091" s="30" t="n">
        <v>0.431174808894903</v>
      </c>
      <c r="D1091" s="30" t="n">
        <v>0.0721141029537111</v>
      </c>
      <c r="E1091" s="30" t="n">
        <v>0.256708033927177</v>
      </c>
      <c r="F1091" s="30" t="n">
        <v>0.0184434459010785</v>
      </c>
      <c r="G1091" s="30" t="n">
        <v>0.158738309815458</v>
      </c>
      <c r="H1091" s="31" t="n">
        <f aca="false">MAX(D1091,F1091+0.015)</f>
        <v>0.0721141029537111</v>
      </c>
      <c r="I1091" s="25" t="n">
        <f aca="false">(C1091-'DCF Base Case'!$B$3)*(1-E1091)+'DCF Base Case'!$B$3-G1091</f>
        <v>0.195122506019641</v>
      </c>
      <c r="J1091" s="24" t="n">
        <f aca="false">'DCF Base Case'!$B$2*(1+B1091)^1*$I1091-'DCF Base Case'!$B$2*(1+B1091)^0*B1091*'DCF Base Case'!$B$4</f>
        <v>29.7094768931751</v>
      </c>
      <c r="K1091" s="24" t="n">
        <f aca="false">'DCF Base Case'!$B$2*(1+B1091)^2*$I1091-'DCF Base Case'!$B$2*(1+B1091)^1*B1091*'DCF Base Case'!$B$4</f>
        <v>31.4674117205366</v>
      </c>
      <c r="L1091" s="24" t="n">
        <f aca="false">'DCF Base Case'!$B$2*(1+B1091)^3*$I1091-'DCF Base Case'!$B$2*(1+B1091)^2*B1091*'DCF Base Case'!$B$4</f>
        <v>33.3293650356138</v>
      </c>
      <c r="M1091" s="24" t="n">
        <f aca="false">'DCF Base Case'!$B$2*(1+B1091)^4*$I1091-'DCF Base Case'!$B$2*(1+B1091)^3*B1091*'DCF Base Case'!$B$4</f>
        <v>35.3014917001332</v>
      </c>
      <c r="N1091" s="24" t="n">
        <f aca="false">'DCF Base Case'!$B$2*(1+B1091)^5*$I1091-'DCF Base Case'!$B$2*(1+B1091)^4*B1091*'DCF Base Case'!$B$4</f>
        <v>37.3903107641853</v>
      </c>
      <c r="O1091" s="24" t="n">
        <f aca="false">J1091/(1+H1091)^1+K1091/(1+H1091)^2+L1091/(1+H1091)^3+M1091/(1+H1091)^4+N1091/(1+H1091)^5</f>
        <v>135.250252988832</v>
      </c>
      <c r="P1091" s="24" t="n">
        <f aca="false">N1091*(1+F1091)/(H1091-F1091)</f>
        <v>709.510913955193</v>
      </c>
      <c r="Q1091" s="24" t="n">
        <f aca="false">O1091+P1091/(1+H1091)^5</f>
        <v>636.153717818639</v>
      </c>
      <c r="R1091" s="24" t="n">
        <f aca="false">Q1091-'DCF Base Case'!$B$5</f>
        <v>451.153717818639</v>
      </c>
      <c r="S1091" s="32" t="n">
        <f aca="false">R1091/'DCF Base Case'!$B$6</f>
        <v>18.0461487127456</v>
      </c>
    </row>
    <row r="1092" customFormat="false" ht="15" hidden="false" customHeight="true" outlineLevel="0" collapsed="false">
      <c r="A1092" s="6" t="n">
        <v>1091</v>
      </c>
      <c r="B1092" s="30" t="n">
        <v>0.0572579230387158</v>
      </c>
      <c r="C1092" s="30" t="n">
        <v>0.416138057761895</v>
      </c>
      <c r="D1092" s="30" t="n">
        <v>0.0924734266719926</v>
      </c>
      <c r="E1092" s="30" t="n">
        <v>0.311990446286936</v>
      </c>
      <c r="F1092" s="30" t="n">
        <v>0.0176262606184551</v>
      </c>
      <c r="G1092" s="30" t="n">
        <v>0.164369769228207</v>
      </c>
      <c r="H1092" s="31" t="n">
        <f aca="false">MAX(D1092,F1092+0.015)</f>
        <v>0.0924734266719926</v>
      </c>
      <c r="I1092" s="25" t="n">
        <f aca="false">(C1092-'DCF Base Case'!$B$3)*(1-E1092)+'DCF Base Case'!$B$3-G1092</f>
        <v>0.162495948192877</v>
      </c>
      <c r="J1092" s="24" t="n">
        <f aca="false">'DCF Base Case'!$B$2*(1+B1092)^1*$I1092-'DCF Base Case'!$B$2*(1+B1092)^0*B1092*'DCF Base Case'!$B$4</f>
        <v>24.6619466946298</v>
      </c>
      <c r="K1092" s="24" t="n">
        <f aca="false">'DCF Base Case'!$B$2*(1+B1092)^2*$I1092-'DCF Base Case'!$B$2*(1+B1092)^1*B1092*'DCF Base Case'!$B$4</f>
        <v>26.0740385404558</v>
      </c>
      <c r="L1092" s="24" t="n">
        <f aca="false">'DCF Base Case'!$B$2*(1+B1092)^3*$I1092-'DCF Base Case'!$B$2*(1+B1092)^2*B1092*'DCF Base Case'!$B$4</f>
        <v>27.5669838325137</v>
      </c>
      <c r="M1092" s="24" t="n">
        <f aca="false">'DCF Base Case'!$B$2*(1+B1092)^4*$I1092-'DCF Base Case'!$B$2*(1+B1092)^3*B1092*'DCF Base Case'!$B$4</f>
        <v>29.1454120712053</v>
      </c>
      <c r="N1092" s="24" t="n">
        <f aca="false">'DCF Base Case'!$B$2*(1+B1092)^5*$I1092-'DCF Base Case'!$B$2*(1+B1092)^4*B1092*'DCF Base Case'!$B$4</f>
        <v>30.8142178325101</v>
      </c>
      <c r="O1092" s="24" t="n">
        <f aca="false">J1092/(1+H1092)^1+K1092/(1+H1092)^2+L1092/(1+H1092)^3+M1092/(1+H1092)^4+N1092/(1+H1092)^5</f>
        <v>105.826090953023</v>
      </c>
      <c r="P1092" s="24" t="n">
        <f aca="false">N1092*(1+F1092)/(H1092-F1092)</f>
        <v>418.951831046617</v>
      </c>
      <c r="Q1092" s="24" t="n">
        <f aca="false">O1092+P1092/(1+H1092)^5</f>
        <v>375.047555782456</v>
      </c>
      <c r="R1092" s="24" t="n">
        <f aca="false">Q1092-'DCF Base Case'!$B$5</f>
        <v>190.047555782456</v>
      </c>
      <c r="S1092" s="32" t="n">
        <f aca="false">R1092/'DCF Base Case'!$B$6</f>
        <v>7.60190223129825</v>
      </c>
    </row>
    <row r="1093" customFormat="false" ht="15" hidden="false" customHeight="true" outlineLevel="0" collapsed="false">
      <c r="A1093" s="6" t="n">
        <v>1092</v>
      </c>
      <c r="B1093" s="30" t="n">
        <v>0.0893894315725156</v>
      </c>
      <c r="C1093" s="30" t="n">
        <v>0.444750061983822</v>
      </c>
      <c r="D1093" s="30" t="n">
        <v>0.055</v>
      </c>
      <c r="E1093" s="30" t="n">
        <v>0.259299090119123</v>
      </c>
      <c r="F1093" s="30" t="n">
        <v>0.0193747976725327</v>
      </c>
      <c r="G1093" s="30" t="n">
        <v>0.143565617941324</v>
      </c>
      <c r="H1093" s="31" t="n">
        <f aca="false">MAX(D1093,F1093+0.015)</f>
        <v>0.055</v>
      </c>
      <c r="I1093" s="25" t="n">
        <f aca="false">(C1093-'DCF Base Case'!$B$3)*(1-E1093)+'DCF Base Case'!$B$3-G1093</f>
        <v>0.219570039355155</v>
      </c>
      <c r="J1093" s="24" t="n">
        <f aca="false">'DCF Base Case'!$B$2*(1+B1093)^1*$I1093-'DCF Base Case'!$B$2*(1+B1093)^0*B1093*'DCF Base Case'!$B$4</f>
        <v>34.2947616253624</v>
      </c>
      <c r="K1093" s="24" t="n">
        <f aca="false">'DCF Base Case'!$B$2*(1+B1093)^2*$I1093-'DCF Base Case'!$B$2*(1+B1093)^1*B1093*'DCF Base Case'!$B$4</f>
        <v>37.3603508729684</v>
      </c>
      <c r="L1093" s="24" t="n">
        <f aca="false">'DCF Base Case'!$B$2*(1+B1093)^3*$I1093-'DCF Base Case'!$B$2*(1+B1093)^2*B1093*'DCF Base Case'!$B$4</f>
        <v>40.6999714008528</v>
      </c>
      <c r="M1093" s="24" t="n">
        <f aca="false">'DCF Base Case'!$B$2*(1+B1093)^4*$I1093-'DCF Base Case'!$B$2*(1+B1093)^3*B1093*'DCF Base Case'!$B$4</f>
        <v>44.3381187093927</v>
      </c>
      <c r="N1093" s="24" t="n">
        <f aca="false">'DCF Base Case'!$B$2*(1+B1093)^5*$I1093-'DCF Base Case'!$B$2*(1+B1093)^4*B1093*'DCF Base Case'!$B$4</f>
        <v>48.30147793782</v>
      </c>
      <c r="O1093" s="24" t="n">
        <f aca="false">J1093/(1+H1093)^1+K1093/(1+H1093)^2+L1093/(1+H1093)^3+M1093/(1+H1093)^4+N1093/(1+H1093)^5</f>
        <v>173.48162422807</v>
      </c>
      <c r="P1093" s="24" t="n">
        <f aca="false">N1093*(1+F1093)/(H1093-F1093)</f>
        <v>1382.0920607709</v>
      </c>
      <c r="Q1093" s="24" t="n">
        <f aca="false">O1093+P1093/(1+H1093)^5</f>
        <v>1230.96774009472</v>
      </c>
      <c r="R1093" s="24" t="n">
        <f aca="false">Q1093-'DCF Base Case'!$B$5</f>
        <v>1045.96774009472</v>
      </c>
      <c r="S1093" s="32" t="n">
        <f aca="false">R1093/'DCF Base Case'!$B$6</f>
        <v>41.8387096037888</v>
      </c>
    </row>
    <row r="1094" customFormat="false" ht="15" hidden="false" customHeight="true" outlineLevel="0" collapsed="false">
      <c r="A1094" s="6" t="n">
        <v>1093</v>
      </c>
      <c r="B1094" s="30" t="n">
        <v>0.0846138901146561</v>
      </c>
      <c r="C1094" s="30" t="n">
        <v>0.410044824801403</v>
      </c>
      <c r="D1094" s="30" t="n">
        <v>0.0777654528032828</v>
      </c>
      <c r="E1094" s="30" t="n">
        <v>0.281475884518251</v>
      </c>
      <c r="F1094" s="30" t="n">
        <v>0.0216029591001721</v>
      </c>
      <c r="G1094" s="30" t="n">
        <v>0.160331564195949</v>
      </c>
      <c r="H1094" s="31" t="n">
        <f aca="false">MAX(D1094,F1094+0.015)</f>
        <v>0.0777654528032828</v>
      </c>
      <c r="I1094" s="25" t="n">
        <f aca="false">(C1094-'DCF Base Case'!$B$3)*(1-E1094)+'DCF Base Case'!$B$3-G1094</f>
        <v>0.17088739583972</v>
      </c>
      <c r="J1094" s="24" t="n">
        <f aca="false">'DCF Base Case'!$B$2*(1+B1094)^1*$I1094-'DCF Base Case'!$B$2*(1+B1094)^0*B1094*'DCF Base Case'!$B$4</f>
        <v>26.5072218381272</v>
      </c>
      <c r="K1094" s="24" t="n">
        <f aca="false">'DCF Base Case'!$B$2*(1+B1094)^2*$I1094-'DCF Base Case'!$B$2*(1+B1094)^1*B1094*'DCF Base Case'!$B$4</f>
        <v>28.7501009939833</v>
      </c>
      <c r="L1094" s="24" t="n">
        <f aca="false">'DCF Base Case'!$B$2*(1+B1094)^3*$I1094-'DCF Base Case'!$B$2*(1+B1094)^2*B1094*'DCF Base Case'!$B$4</f>
        <v>31.1827588802734</v>
      </c>
      <c r="M1094" s="24" t="n">
        <f aca="false">'DCF Base Case'!$B$2*(1+B1094)^4*$I1094-'DCF Base Case'!$B$2*(1+B1094)^3*B1094*'DCF Base Case'!$B$4</f>
        <v>33.8212534136407</v>
      </c>
      <c r="N1094" s="24" t="n">
        <f aca="false">'DCF Base Case'!$B$2*(1+B1094)^5*$I1094-'DCF Base Case'!$B$2*(1+B1094)^4*B1094*'DCF Base Case'!$B$4</f>
        <v>36.6830012335225</v>
      </c>
      <c r="O1094" s="24" t="n">
        <f aca="false">J1094/(1+H1094)^1+K1094/(1+H1094)^2+L1094/(1+H1094)^3+M1094/(1+H1094)^4+N1094/(1+H1094)^5</f>
        <v>124.545829727854</v>
      </c>
      <c r="P1094" s="24" t="n">
        <f aca="false">N1094*(1+F1094)/(H1094-F1094)</f>
        <v>667.26849428992</v>
      </c>
      <c r="Q1094" s="24" t="n">
        <f aca="false">O1094+P1094/(1+H1094)^5</f>
        <v>583.40490724532</v>
      </c>
      <c r="R1094" s="24" t="n">
        <f aca="false">Q1094-'DCF Base Case'!$B$5</f>
        <v>398.40490724532</v>
      </c>
      <c r="S1094" s="32" t="n">
        <f aca="false">R1094/'DCF Base Case'!$B$6</f>
        <v>15.9361962898128</v>
      </c>
    </row>
    <row r="1095" customFormat="false" ht="15" hidden="false" customHeight="true" outlineLevel="0" collapsed="false">
      <c r="A1095" s="6" t="n">
        <v>1094</v>
      </c>
      <c r="B1095" s="30" t="n">
        <v>0.0803239545454867</v>
      </c>
      <c r="C1095" s="30" t="n">
        <v>0.407547814180068</v>
      </c>
      <c r="D1095" s="30" t="n">
        <v>0.0849182001868985</v>
      </c>
      <c r="E1095" s="30" t="n">
        <v>0.249485948156855</v>
      </c>
      <c r="F1095" s="30" t="n">
        <v>0.0209970136200817</v>
      </c>
      <c r="G1095" s="30" t="n">
        <v>0.156110626216834</v>
      </c>
      <c r="H1095" s="31" t="n">
        <f aca="false">MAX(D1095,F1095+0.015)</f>
        <v>0.0849182001868985</v>
      </c>
      <c r="I1095" s="25" t="n">
        <f aca="false">(C1095-'DCF Base Case'!$B$3)*(1-E1095)+'DCF Base Case'!$B$3-G1095</f>
        <v>0.182192908383657</v>
      </c>
      <c r="J1095" s="24" t="n">
        <f aca="false">'DCF Base Case'!$B$2*(1+B1095)^1*$I1095-'DCF Base Case'!$B$2*(1+B1095)^0*B1095*'DCF Base Case'!$B$4</f>
        <v>28.1905584726277</v>
      </c>
      <c r="K1095" s="24" t="n">
        <f aca="false">'DCF Base Case'!$B$2*(1+B1095)^2*$I1095-'DCF Base Case'!$B$2*(1+B1095)^1*B1095*'DCF Base Case'!$B$4</f>
        <v>30.4549356099949</v>
      </c>
      <c r="L1095" s="24" t="n">
        <f aca="false">'DCF Base Case'!$B$2*(1+B1095)^3*$I1095-'DCF Base Case'!$B$2*(1+B1095)^2*B1095*'DCF Base Case'!$B$4</f>
        <v>32.9011964736179</v>
      </c>
      <c r="M1095" s="24" t="n">
        <f aca="false">'DCF Base Case'!$B$2*(1+B1095)^4*$I1095-'DCF Base Case'!$B$2*(1+B1095)^3*B1095*'DCF Base Case'!$B$4</f>
        <v>35.5439506836569</v>
      </c>
      <c r="N1095" s="24" t="n">
        <f aca="false">'DCF Base Case'!$B$2*(1+B1095)^5*$I1095-'DCF Base Case'!$B$2*(1+B1095)^4*B1095*'DCF Base Case'!$B$4</f>
        <v>38.3989813627379</v>
      </c>
      <c r="O1095" s="24" t="n">
        <f aca="false">J1095/(1+H1095)^1+K1095/(1+H1095)^2+L1095/(1+H1095)^3+M1095/(1+H1095)^4+N1095/(1+H1095)^5</f>
        <v>128.824519851365</v>
      </c>
      <c r="P1095" s="24" t="n">
        <f aca="false">N1095*(1+F1095)/(H1095-F1095)</f>
        <v>613.337258006426</v>
      </c>
      <c r="Q1095" s="24" t="n">
        <f aca="false">O1095+P1095/(1+H1095)^5</f>
        <v>536.875450955235</v>
      </c>
      <c r="R1095" s="24" t="n">
        <f aca="false">Q1095-'DCF Base Case'!$B$5</f>
        <v>351.875450955235</v>
      </c>
      <c r="S1095" s="32" t="n">
        <f aca="false">R1095/'DCF Base Case'!$B$6</f>
        <v>14.0750180382094</v>
      </c>
    </row>
    <row r="1096" customFormat="false" ht="15" hidden="false" customHeight="true" outlineLevel="0" collapsed="false">
      <c r="A1096" s="6" t="n">
        <v>1095</v>
      </c>
      <c r="B1096" s="30" t="n">
        <v>0.117244993342014</v>
      </c>
      <c r="C1096" s="30" t="n">
        <v>0.434716176346092</v>
      </c>
      <c r="D1096" s="30" t="n">
        <v>0.0978707304464162</v>
      </c>
      <c r="E1096" s="30" t="n">
        <v>0.258526091748113</v>
      </c>
      <c r="F1096" s="30" t="n">
        <v>0.017883881514094</v>
      </c>
      <c r="G1096" s="30" t="n">
        <v>0.140691420818531</v>
      </c>
      <c r="H1096" s="31" t="n">
        <f aca="false">MAX(D1096,F1096+0.015)</f>
        <v>0.0978707304464162</v>
      </c>
      <c r="I1096" s="25" t="n">
        <f aca="false">(C1096-'DCF Base Case'!$B$3)*(1-E1096)+'DCF Base Case'!$B$3-G1096</f>
        <v>0.215247673364377</v>
      </c>
      <c r="J1096" s="24" t="n">
        <f aca="false">'DCF Base Case'!$B$2*(1+B1096)^1*$I1096-'DCF Base Case'!$B$2*(1+B1096)^0*B1096*'DCF Base Case'!$B$4</f>
        <v>34.360220161218</v>
      </c>
      <c r="K1096" s="24" t="n">
        <f aca="false">'DCF Base Case'!$B$2*(1+B1096)^2*$I1096-'DCF Base Case'!$B$2*(1+B1096)^1*B1096*'DCF Base Case'!$B$4</f>
        <v>38.3887839452502</v>
      </c>
      <c r="L1096" s="24" t="n">
        <f aca="false">'DCF Base Case'!$B$2*(1+B1096)^3*$I1096-'DCF Base Case'!$B$2*(1+B1096)^2*B1096*'DCF Base Case'!$B$4</f>
        <v>42.889676663319</v>
      </c>
      <c r="M1096" s="24" t="n">
        <f aca="false">'DCF Base Case'!$B$2*(1+B1096)^4*$I1096-'DCF Base Case'!$B$2*(1+B1096)^3*B1096*'DCF Base Case'!$B$4</f>
        <v>47.918276518151</v>
      </c>
      <c r="N1096" s="24" t="n">
        <f aca="false">'DCF Base Case'!$B$2*(1+B1096)^5*$I1096-'DCF Base Case'!$B$2*(1+B1096)^4*B1096*'DCF Base Case'!$B$4</f>
        <v>53.5364545294824</v>
      </c>
      <c r="O1096" s="24" t="n">
        <f aca="false">J1096/(1+H1096)^1+K1096/(1+H1096)^2+L1096/(1+H1096)^3+M1096/(1+H1096)^4+N1096/(1+H1096)^5</f>
        <v>162.107103872961</v>
      </c>
      <c r="P1096" s="24" t="n">
        <f aca="false">N1096*(1+F1096)/(H1096-F1096)</f>
        <v>681.285672161936</v>
      </c>
      <c r="Q1096" s="24" t="n">
        <f aca="false">O1096+P1096/(1+H1096)^5</f>
        <v>589.250032976998</v>
      </c>
      <c r="R1096" s="24" t="n">
        <f aca="false">Q1096-'DCF Base Case'!$B$5</f>
        <v>404.250032976998</v>
      </c>
      <c r="S1096" s="32" t="n">
        <f aca="false">R1096/'DCF Base Case'!$B$6</f>
        <v>16.1700013190799</v>
      </c>
    </row>
    <row r="1097" customFormat="false" ht="15" hidden="false" customHeight="true" outlineLevel="0" collapsed="false">
      <c r="A1097" s="6" t="n">
        <v>1096</v>
      </c>
      <c r="B1097" s="30" t="n">
        <v>0.0746659505639269</v>
      </c>
      <c r="C1097" s="30" t="n">
        <v>0.433376779553894</v>
      </c>
      <c r="D1097" s="30" t="n">
        <v>0.101362396357147</v>
      </c>
      <c r="E1097" s="30" t="n">
        <v>0.25661339505922</v>
      </c>
      <c r="F1097" s="30" t="n">
        <v>0.0175226913085305</v>
      </c>
      <c r="G1097" s="30" t="n">
        <v>0.163588921989715</v>
      </c>
      <c r="H1097" s="31" t="n">
        <f aca="false">MAX(D1097,F1097+0.015)</f>
        <v>0.101362396357147</v>
      </c>
      <c r="I1097" s="25" t="n">
        <f aca="false">(C1097-'DCF Base Case'!$B$3)*(1-E1097)+'DCF Base Case'!$B$3-G1097</f>
        <v>0.191937312180722</v>
      </c>
      <c r="J1097" s="24" t="n">
        <f aca="false">'DCF Base Case'!$B$2*(1+B1097)^1*$I1097-'DCF Base Case'!$B$2*(1+B1097)^0*B1097*'DCF Base Case'!$B$4</f>
        <v>29.5841347513371</v>
      </c>
      <c r="K1097" s="24" t="n">
        <f aca="false">'DCF Base Case'!$B$2*(1+B1097)^2*$I1097-'DCF Base Case'!$B$2*(1+B1097)^1*B1097*'DCF Base Case'!$B$4</f>
        <v>31.793062294157</v>
      </c>
      <c r="L1097" s="24" t="n">
        <f aca="false">'DCF Base Case'!$B$2*(1+B1097)^3*$I1097-'DCF Base Case'!$B$2*(1+B1097)^2*B1097*'DCF Base Case'!$B$4</f>
        <v>34.1669215116884</v>
      </c>
      <c r="M1097" s="24" t="n">
        <f aca="false">'DCF Base Case'!$B$2*(1+B1097)^4*$I1097-'DCF Base Case'!$B$2*(1+B1097)^3*B1097*'DCF Base Case'!$B$4</f>
        <v>36.7180271842016</v>
      </c>
      <c r="N1097" s="24" t="n">
        <f aca="false">'DCF Base Case'!$B$2*(1+B1097)^5*$I1097-'DCF Base Case'!$B$2*(1+B1097)^4*B1097*'DCF Base Case'!$B$4</f>
        <v>39.4596135867422</v>
      </c>
      <c r="O1097" s="24" t="n">
        <f aca="false">J1097/(1+H1097)^1+K1097/(1+H1097)^2+L1097/(1+H1097)^3+M1097/(1+H1097)^4+N1097/(1+H1097)^5</f>
        <v>127.951854131709</v>
      </c>
      <c r="P1097" s="24" t="n">
        <f aca="false">N1097*(1+F1097)/(H1097-F1097)</f>
        <v>478.902593842547</v>
      </c>
      <c r="Q1097" s="24" t="n">
        <f aca="false">O1097+P1097/(1+H1097)^5</f>
        <v>423.478039193896</v>
      </c>
      <c r="R1097" s="24" t="n">
        <f aca="false">Q1097-'DCF Base Case'!$B$5</f>
        <v>238.478039193896</v>
      </c>
      <c r="S1097" s="32" t="n">
        <f aca="false">R1097/'DCF Base Case'!$B$6</f>
        <v>9.53912156775582</v>
      </c>
    </row>
    <row r="1098" customFormat="false" ht="15" hidden="false" customHeight="true" outlineLevel="0" collapsed="false">
      <c r="A1098" s="6" t="n">
        <v>1097</v>
      </c>
      <c r="B1098" s="30" t="n">
        <v>0.102645597442431</v>
      </c>
      <c r="C1098" s="30" t="n">
        <v>0.381133041438911</v>
      </c>
      <c r="D1098" s="30" t="n">
        <v>0.0673669991031872</v>
      </c>
      <c r="E1098" s="30" t="n">
        <v>0.294405284056042</v>
      </c>
      <c r="F1098" s="30" t="n">
        <v>0.012118477437974</v>
      </c>
      <c r="G1098" s="30" t="n">
        <v>0.156194511857458</v>
      </c>
      <c r="H1098" s="31" t="n">
        <f aca="false">MAX(D1098,F1098+0.015)</f>
        <v>0.0673669991031872</v>
      </c>
      <c r="I1098" s="25" t="n">
        <f aca="false">(C1098-'DCF Base Case'!$B$3)*(1-E1098)+'DCF Base Case'!$B$3-G1098</f>
        <v>0.151003635180773</v>
      </c>
      <c r="J1098" s="24" t="n">
        <f aca="false">'DCF Base Case'!$B$2*(1+B1098)^1*$I1098-'DCF Base Case'!$B$2*(1+B1098)^0*B1098*'DCF Base Case'!$B$4</f>
        <v>23.6964982129583</v>
      </c>
      <c r="K1098" s="24" t="n">
        <f aca="false">'DCF Base Case'!$B$2*(1+B1098)^2*$I1098-'DCF Base Case'!$B$2*(1+B1098)^1*B1098*'DCF Base Case'!$B$4</f>
        <v>26.1288394293209</v>
      </c>
      <c r="L1098" s="24" t="n">
        <f aca="false">'DCF Base Case'!$B$2*(1+B1098)^3*$I1098-'DCF Base Case'!$B$2*(1+B1098)^2*B1098*'DCF Base Case'!$B$4</f>
        <v>28.8108497630209</v>
      </c>
      <c r="M1098" s="24" t="n">
        <f aca="false">'DCF Base Case'!$B$2*(1+B1098)^4*$I1098-'DCF Base Case'!$B$2*(1+B1098)^3*B1098*'DCF Base Case'!$B$4</f>
        <v>31.7681566497703</v>
      </c>
      <c r="N1098" s="24" t="n">
        <f aca="false">'DCF Base Case'!$B$2*(1+B1098)^5*$I1098-'DCF Base Case'!$B$2*(1+B1098)^4*B1098*'DCF Base Case'!$B$4</f>
        <v>35.0290180687307</v>
      </c>
      <c r="O1098" s="24" t="n">
        <f aca="false">J1098/(1+H1098)^1+K1098/(1+H1098)^2+L1098/(1+H1098)^3+M1098/(1+H1098)^4+N1098/(1+H1098)^5</f>
        <v>118.588853834086</v>
      </c>
      <c r="P1098" s="24" t="n">
        <f aca="false">N1098*(1+F1098)/(H1098-F1098)</f>
        <v>641.709775488781</v>
      </c>
      <c r="Q1098" s="24" t="n">
        <f aca="false">O1098+P1098/(1+H1098)^5</f>
        <v>581.79018569616</v>
      </c>
      <c r="R1098" s="24" t="n">
        <f aca="false">Q1098-'DCF Base Case'!$B$5</f>
        <v>396.79018569616</v>
      </c>
      <c r="S1098" s="32" t="n">
        <f aca="false">R1098/'DCF Base Case'!$B$6</f>
        <v>15.8716074278464</v>
      </c>
    </row>
    <row r="1099" customFormat="false" ht="15" hidden="false" customHeight="true" outlineLevel="0" collapsed="false">
      <c r="A1099" s="6" t="n">
        <v>1098</v>
      </c>
      <c r="B1099" s="30" t="n">
        <v>0.093330053655542</v>
      </c>
      <c r="C1099" s="30" t="n">
        <v>0.423791716958887</v>
      </c>
      <c r="D1099" s="30" t="n">
        <v>0.0834411009490179</v>
      </c>
      <c r="E1099" s="30" t="n">
        <v>0.270231621312385</v>
      </c>
      <c r="F1099" s="30" t="n">
        <v>0.0223870995944725</v>
      </c>
      <c r="G1099" s="30" t="n">
        <v>0.171766617983225</v>
      </c>
      <c r="H1099" s="31" t="n">
        <f aca="false">MAX(D1099,F1099+0.015)</f>
        <v>0.0834411009490179</v>
      </c>
      <c r="I1099" s="25" t="n">
        <f aca="false">(C1099-'DCF Base Case'!$B$3)*(1-E1099)+'DCF Base Case'!$B$3-G1099</f>
        <v>0.172633286973713</v>
      </c>
      <c r="J1099" s="24" t="n">
        <f aca="false">'DCF Base Case'!$B$2*(1+B1099)^1*$I1099-'DCF Base Case'!$B$2*(1+B1099)^0*B1099*'DCF Base Case'!$B$4</f>
        <v>26.9620625985052</v>
      </c>
      <c r="K1099" s="24" t="n">
        <f aca="false">'DCF Base Case'!$B$2*(1+B1099)^2*$I1099-'DCF Base Case'!$B$2*(1+B1099)^1*B1099*'DCF Base Case'!$B$4</f>
        <v>29.4784333474877</v>
      </c>
      <c r="L1099" s="24" t="n">
        <f aca="false">'DCF Base Case'!$B$2*(1+B1099)^3*$I1099-'DCF Base Case'!$B$2*(1+B1099)^2*B1099*'DCF Base Case'!$B$4</f>
        <v>32.2296571134901</v>
      </c>
      <c r="M1099" s="24" t="n">
        <f aca="false">'DCF Base Case'!$B$2*(1+B1099)^4*$I1099-'DCF Base Case'!$B$2*(1+B1099)^3*B1099*'DCF Base Case'!$B$4</f>
        <v>35.2376527411918</v>
      </c>
      <c r="N1099" s="24" t="n">
        <f aca="false">'DCF Base Case'!$B$2*(1+B1099)^5*$I1099-'DCF Base Case'!$B$2*(1+B1099)^4*B1099*'DCF Base Case'!$B$4</f>
        <v>38.5263847622226</v>
      </c>
      <c r="O1099" s="24" t="n">
        <f aca="false">J1099/(1+H1099)^1+K1099/(1+H1099)^2+L1099/(1+H1099)^3+M1099/(1+H1099)^4+N1099/(1+H1099)^5</f>
        <v>126.720133423608</v>
      </c>
      <c r="P1099" s="24" t="n">
        <f aca="false">N1099*(1+F1099)/(H1099-F1099)</f>
        <v>645.148195057276</v>
      </c>
      <c r="Q1099" s="24" t="n">
        <f aca="false">O1099+P1099/(1+H1099)^5</f>
        <v>558.868576545495</v>
      </c>
      <c r="R1099" s="24" t="n">
        <f aca="false">Q1099-'DCF Base Case'!$B$5</f>
        <v>373.868576545495</v>
      </c>
      <c r="S1099" s="32" t="n">
        <f aca="false">R1099/'DCF Base Case'!$B$6</f>
        <v>14.9547430618198</v>
      </c>
    </row>
    <row r="1100" customFormat="false" ht="15" hidden="false" customHeight="true" outlineLevel="0" collapsed="false">
      <c r="A1100" s="6" t="n">
        <v>1099</v>
      </c>
      <c r="B1100" s="30" t="n">
        <v>0.0759729476747083</v>
      </c>
      <c r="C1100" s="30" t="n">
        <v>0.41045093961942</v>
      </c>
      <c r="D1100" s="30" t="n">
        <v>0.0892148592492181</v>
      </c>
      <c r="E1100" s="30" t="n">
        <v>0.329397109699511</v>
      </c>
      <c r="F1100" s="30" t="n">
        <v>0.0221775135963433</v>
      </c>
      <c r="G1100" s="30" t="n">
        <v>0.194046089746265</v>
      </c>
      <c r="H1100" s="31" t="n">
        <f aca="false">MAX(D1100,F1100+0.015)</f>
        <v>0.0892148592492181</v>
      </c>
      <c r="I1100" s="25" t="n">
        <f aca="false">(C1100-'DCF Base Case'!$B$3)*(1-E1100)+'DCF Base Case'!$B$3-G1100</f>
        <v>0.124025120950006</v>
      </c>
      <c r="J1100" s="24" t="n">
        <f aca="false">'DCF Base Case'!$B$2*(1+B1100)^1*$I1100-'DCF Base Case'!$B$2*(1+B1100)^0*B1100*'DCF Base Case'!$B$4</f>
        <v>19.0194305488871</v>
      </c>
      <c r="K1100" s="24" t="n">
        <f aca="false">'DCF Base Case'!$B$2*(1+B1100)^2*$I1100-'DCF Base Case'!$B$2*(1+B1100)^1*B1100*'DCF Base Case'!$B$4</f>
        <v>20.4643927507804</v>
      </c>
      <c r="L1100" s="24" t="n">
        <f aca="false">'DCF Base Case'!$B$2*(1+B1100)^3*$I1100-'DCF Base Case'!$B$2*(1+B1100)^2*B1100*'DCF Base Case'!$B$4</f>
        <v>22.0191329904302</v>
      </c>
      <c r="M1100" s="24" t="n">
        <f aca="false">'DCF Base Case'!$B$2*(1+B1100)^4*$I1100-'DCF Base Case'!$B$2*(1+B1100)^3*B1100*'DCF Base Case'!$B$4</f>
        <v>23.6919914289545</v>
      </c>
      <c r="N1100" s="24" t="n">
        <f aca="false">'DCF Base Case'!$B$2*(1+B1100)^5*$I1100-'DCF Base Case'!$B$2*(1+B1100)^4*B1100*'DCF Base Case'!$B$4</f>
        <v>25.4919418540961</v>
      </c>
      <c r="O1100" s="24" t="n">
        <f aca="false">J1100/(1+H1100)^1+K1100/(1+H1100)^2+L1100/(1+H1100)^3+M1100/(1+H1100)^4+N1100/(1+H1100)^5</f>
        <v>85.2107763807296</v>
      </c>
      <c r="P1100" s="24" t="n">
        <f aca="false">N1100*(1+F1100)/(H1100-F1100)</f>
        <v>388.698112781635</v>
      </c>
      <c r="Q1100" s="24" t="n">
        <f aca="false">O1100+P1100/(1+H1100)^5</f>
        <v>338.749701563803</v>
      </c>
      <c r="R1100" s="24" t="n">
        <f aca="false">Q1100-'DCF Base Case'!$B$5</f>
        <v>153.749701563803</v>
      </c>
      <c r="S1100" s="32" t="n">
        <f aca="false">R1100/'DCF Base Case'!$B$6</f>
        <v>6.14998806255214</v>
      </c>
    </row>
    <row r="1101" customFormat="false" ht="15" hidden="false" customHeight="true" outlineLevel="0" collapsed="false">
      <c r="A1101" s="6" t="n">
        <v>1100</v>
      </c>
      <c r="B1101" s="30" t="n">
        <v>0.0767919666835812</v>
      </c>
      <c r="C1101" s="30" t="n">
        <v>0.397985717389786</v>
      </c>
      <c r="D1101" s="30" t="n">
        <v>0.0824108200790571</v>
      </c>
      <c r="E1101" s="30" t="n">
        <v>0.275736265992066</v>
      </c>
      <c r="F1101" s="30" t="n">
        <v>0.0152370045902123</v>
      </c>
      <c r="G1101" s="30" t="n">
        <v>0.195168356103353</v>
      </c>
      <c r="H1101" s="31" t="n">
        <f aca="false">MAX(D1101,F1101+0.015)</f>
        <v>0.0824108200790571</v>
      </c>
      <c r="I1101" s="25" t="n">
        <f aca="false">(C1101-'DCF Base Case'!$B$3)*(1-E1101)+'DCF Base Case'!$B$3-G1101</f>
        <v>0.128923980234168</v>
      </c>
      <c r="J1101" s="24" t="n">
        <f aca="false">'DCF Base Case'!$B$2*(1+B1101)^1*$I1101-'DCF Base Case'!$B$2*(1+B1101)^0*B1101*'DCF Base Case'!$B$4</f>
        <v>19.7954793481351</v>
      </c>
      <c r="K1101" s="24" t="n">
        <f aca="false">'DCF Base Case'!$B$2*(1+B1101)^2*$I1101-'DCF Base Case'!$B$2*(1+B1101)^1*B1101*'DCF Base Case'!$B$4</f>
        <v>21.3156131387226</v>
      </c>
      <c r="L1101" s="24" t="n">
        <f aca="false">'DCF Base Case'!$B$2*(1+B1101)^3*$I1101-'DCF Base Case'!$B$2*(1+B1101)^2*B1101*'DCF Base Case'!$B$4</f>
        <v>22.9524809927115</v>
      </c>
      <c r="M1101" s="24" t="n">
        <f aca="false">'DCF Base Case'!$B$2*(1+B1101)^4*$I1101-'DCF Base Case'!$B$2*(1+B1101)^3*B1101*'DCF Base Case'!$B$4</f>
        <v>24.7150471484093</v>
      </c>
      <c r="N1101" s="24" t="n">
        <f aca="false">'DCF Base Case'!$B$2*(1+B1101)^5*$I1101-'DCF Base Case'!$B$2*(1+B1101)^4*B1101*'DCF Base Case'!$B$4</f>
        <v>26.6129642256131</v>
      </c>
      <c r="O1101" s="24" t="n">
        <f aca="false">J1101/(1+H1101)^1+K1101/(1+H1101)^2+L1101/(1+H1101)^3+M1101/(1+H1101)^4+N1101/(1+H1101)^5</f>
        <v>90.4971765781721</v>
      </c>
      <c r="P1101" s="24" t="n">
        <f aca="false">N1101*(1+F1101)/(H1101-F1101)</f>
        <v>402.217231328251</v>
      </c>
      <c r="Q1101" s="24" t="n">
        <f aca="false">O1101+P1101/(1+H1101)^5</f>
        <v>361.204526582589</v>
      </c>
      <c r="R1101" s="24" t="n">
        <f aca="false">Q1101-'DCF Base Case'!$B$5</f>
        <v>176.204526582589</v>
      </c>
      <c r="S1101" s="32" t="n">
        <f aca="false">R1101/'DCF Base Case'!$B$6</f>
        <v>7.04818106330356</v>
      </c>
    </row>
    <row r="1102" customFormat="false" ht="15" hidden="false" customHeight="true" outlineLevel="0" collapsed="false">
      <c r="A1102" s="6" t="n">
        <v>1101</v>
      </c>
      <c r="B1102" s="30" t="n">
        <v>0.109297951530127</v>
      </c>
      <c r="C1102" s="30" t="n">
        <v>0.415268806745165</v>
      </c>
      <c r="D1102" s="30" t="n">
        <v>0.0920588171391524</v>
      </c>
      <c r="E1102" s="30" t="n">
        <v>0.286149477372916</v>
      </c>
      <c r="F1102" s="30" t="n">
        <v>0.0219366575894867</v>
      </c>
      <c r="G1102" s="30" t="n">
        <v>0.138912910563353</v>
      </c>
      <c r="H1102" s="31" t="n">
        <f aca="false">MAX(D1102,F1102+0.015)</f>
        <v>0.0920588171391524</v>
      </c>
      <c r="I1102" s="25" t="n">
        <f aca="false">(C1102-'DCF Base Case'!$B$3)*(1-E1102)+'DCF Base Case'!$B$3-G1102</f>
        <v>0.194726376220888</v>
      </c>
      <c r="J1102" s="24" t="n">
        <f aca="false">'DCF Base Case'!$B$2*(1+B1102)^1*$I1102-'DCF Base Case'!$B$2*(1+B1102)^0*B1102*'DCF Base Case'!$B$4</f>
        <v>30.8459415971977</v>
      </c>
      <c r="K1102" s="24" t="n">
        <f aca="false">'DCF Base Case'!$B$2*(1+B1102)^2*$I1102-'DCF Base Case'!$B$2*(1+B1102)^1*B1102*'DCF Base Case'!$B$4</f>
        <v>34.2173398267893</v>
      </c>
      <c r="L1102" s="24" t="n">
        <f aca="false">'DCF Base Case'!$B$2*(1+B1102)^3*$I1102-'DCF Base Case'!$B$2*(1+B1102)^2*B1102*'DCF Base Case'!$B$4</f>
        <v>37.9572249766676</v>
      </c>
      <c r="M1102" s="24" t="n">
        <f aca="false">'DCF Base Case'!$B$2*(1+B1102)^4*$I1102-'DCF Base Case'!$B$2*(1+B1102)^3*B1102*'DCF Base Case'!$B$4</f>
        <v>42.1058719123856</v>
      </c>
      <c r="N1102" s="24" t="n">
        <f aca="false">'DCF Base Case'!$B$2*(1+B1102)^5*$I1102-'DCF Base Case'!$B$2*(1+B1102)^4*B1102*'DCF Base Case'!$B$4</f>
        <v>46.7079574597992</v>
      </c>
      <c r="O1102" s="24" t="n">
        <f aca="false">J1102/(1+H1102)^1+K1102/(1+H1102)^2+L1102/(1+H1102)^3+M1102/(1+H1102)^4+N1102/(1+H1102)^5</f>
        <v>145.758168827446</v>
      </c>
      <c r="P1102" s="24" t="n">
        <f aca="false">N1102*(1+F1102)/(H1102-F1102)</f>
        <v>680.705988461342</v>
      </c>
      <c r="Q1102" s="24" t="n">
        <f aca="false">O1102+P1102/(1+H1102)^5</f>
        <v>584.015735503455</v>
      </c>
      <c r="R1102" s="24" t="n">
        <f aca="false">Q1102-'DCF Base Case'!$B$5</f>
        <v>399.015735503455</v>
      </c>
      <c r="S1102" s="32" t="n">
        <f aca="false">R1102/'DCF Base Case'!$B$6</f>
        <v>15.9606294201382</v>
      </c>
    </row>
    <row r="1103" customFormat="false" ht="15" hidden="false" customHeight="true" outlineLevel="0" collapsed="false">
      <c r="A1103" s="6" t="n">
        <v>1102</v>
      </c>
      <c r="B1103" s="30" t="n">
        <v>0.0870156610244355</v>
      </c>
      <c r="C1103" s="30" t="n">
        <v>0.41242420022813</v>
      </c>
      <c r="D1103" s="30" t="n">
        <v>0.0918600630957282</v>
      </c>
      <c r="E1103" s="30" t="n">
        <v>0.264689395099807</v>
      </c>
      <c r="F1103" s="30" t="n">
        <v>0.0110425468579425</v>
      </c>
      <c r="G1103" s="30" t="n">
        <v>0.143638357754036</v>
      </c>
      <c r="H1103" s="31" t="n">
        <f aca="false">MAX(D1103,F1103+0.015)</f>
        <v>0.0918600630957282</v>
      </c>
      <c r="I1103" s="25" t="n">
        <f aca="false">(C1103-'DCF Base Case'!$B$3)*(1-E1103)+'DCF Base Case'!$B$3-G1103</f>
        <v>0.194031151754163</v>
      </c>
      <c r="J1103" s="24" t="n">
        <f aca="false">'DCF Base Case'!$B$2*(1+B1103)^1*$I1103-'DCF Base Case'!$B$2*(1+B1103)^0*B1103*'DCF Base Case'!$B$4</f>
        <v>30.2041424736345</v>
      </c>
      <c r="K1103" s="24" t="n">
        <f aca="false">'DCF Base Case'!$B$2*(1+B1103)^2*$I1103-'DCF Base Case'!$B$2*(1+B1103)^1*B1103*'DCF Base Case'!$B$4</f>
        <v>32.832375896654</v>
      </c>
      <c r="L1103" s="24" t="n">
        <f aca="false">'DCF Base Case'!$B$2*(1+B1103)^3*$I1103-'DCF Base Case'!$B$2*(1+B1103)^2*B1103*'DCF Base Case'!$B$4</f>
        <v>35.6893067883041</v>
      </c>
      <c r="M1103" s="24" t="n">
        <f aca="false">'DCF Base Case'!$B$2*(1+B1103)^4*$I1103-'DCF Base Case'!$B$2*(1+B1103)^3*B1103*'DCF Base Case'!$B$4</f>
        <v>38.7948354099922</v>
      </c>
      <c r="N1103" s="24" t="n">
        <f aca="false">'DCF Base Case'!$B$2*(1+B1103)^5*$I1103-'DCF Base Case'!$B$2*(1+B1103)^4*B1103*'DCF Base Case'!$B$4</f>
        <v>42.1705936575269</v>
      </c>
      <c r="O1103" s="24" t="n">
        <f aca="false">J1103/(1+H1103)^1+K1103/(1+H1103)^2+L1103/(1+H1103)^3+M1103/(1+H1103)^4+N1103/(1+H1103)^5</f>
        <v>137.093151733515</v>
      </c>
      <c r="P1103" s="24" t="n">
        <f aca="false">N1103*(1+F1103)/(H1103-F1103)</f>
        <v>527.562172148061</v>
      </c>
      <c r="Q1103" s="24" t="n">
        <f aca="false">O1103+P1103/(1+H1103)^5</f>
        <v>477.061701104833</v>
      </c>
      <c r="R1103" s="24" t="n">
        <f aca="false">Q1103-'DCF Base Case'!$B$5</f>
        <v>292.061701104833</v>
      </c>
      <c r="S1103" s="32" t="n">
        <f aca="false">R1103/'DCF Base Case'!$B$6</f>
        <v>11.6824680441933</v>
      </c>
    </row>
    <row r="1104" customFormat="false" ht="15" hidden="false" customHeight="true" outlineLevel="0" collapsed="false">
      <c r="A1104" s="6" t="n">
        <v>1103</v>
      </c>
      <c r="B1104" s="30" t="n">
        <v>0.0887678427147968</v>
      </c>
      <c r="C1104" s="30" t="n">
        <v>0.415606449771376</v>
      </c>
      <c r="D1104" s="30" t="n">
        <v>0.103521229348875</v>
      </c>
      <c r="E1104" s="30" t="n">
        <v>0.297347204964734</v>
      </c>
      <c r="F1104" s="30" t="n">
        <v>0.0196532755323185</v>
      </c>
      <c r="G1104" s="30" t="n">
        <v>0.164524600559151</v>
      </c>
      <c r="H1104" s="31" t="n">
        <f aca="false">MAX(D1104,F1104+0.015)</f>
        <v>0.103521229348875</v>
      </c>
      <c r="I1104" s="25" t="n">
        <f aca="false">(C1104-'DCF Base Case'!$B$3)*(1-E1104)+'DCF Base Case'!$B$3-G1104</f>
        <v>0.166157569652806</v>
      </c>
      <c r="J1104" s="24" t="n">
        <f aca="false">'DCF Base Case'!$B$2*(1+B1104)^1*$I1104-'DCF Base Case'!$B$2*(1+B1104)^0*B1104*'DCF Base Case'!$B$4</f>
        <v>25.8453775901254</v>
      </c>
      <c r="K1104" s="24" t="n">
        <f aca="false">'DCF Base Case'!$B$2*(1+B1104)^2*$I1104-'DCF Base Case'!$B$2*(1+B1104)^1*B1104*'DCF Base Case'!$B$4</f>
        <v>28.1396160029502</v>
      </c>
      <c r="L1104" s="24" t="n">
        <f aca="false">'DCF Base Case'!$B$2*(1+B1104)^3*$I1104-'DCF Base Case'!$B$2*(1+B1104)^2*B1104*'DCF Base Case'!$B$4</f>
        <v>30.6375090103548</v>
      </c>
      <c r="M1104" s="24" t="n">
        <f aca="false">'DCF Base Case'!$B$2*(1+B1104)^4*$I1104-'DCF Base Case'!$B$2*(1+B1104)^3*B1104*'DCF Base Case'!$B$4</f>
        <v>33.3571345913592</v>
      </c>
      <c r="N1104" s="24" t="n">
        <f aca="false">'DCF Base Case'!$B$2*(1+B1104)^5*$I1104-'DCF Base Case'!$B$2*(1+B1104)^4*B1104*'DCF Base Case'!$B$4</f>
        <v>36.3181754681812</v>
      </c>
      <c r="O1104" s="24" t="n">
        <f aca="false">J1104/(1+H1104)^1+K1104/(1+H1104)^2+L1104/(1+H1104)^3+M1104/(1+H1104)^4+N1104/(1+H1104)^5</f>
        <v>114.014490904619</v>
      </c>
      <c r="P1104" s="24" t="n">
        <f aca="false">N1104*(1+F1104)/(H1104-F1104)</f>
        <v>441.550614892645</v>
      </c>
      <c r="Q1104" s="24" t="n">
        <f aca="false">O1104+P1104/(1+H1104)^5</f>
        <v>383.836288682046</v>
      </c>
      <c r="R1104" s="24" t="n">
        <f aca="false">Q1104-'DCF Base Case'!$B$5</f>
        <v>198.836288682046</v>
      </c>
      <c r="S1104" s="32" t="n">
        <f aca="false">R1104/'DCF Base Case'!$B$6</f>
        <v>7.95345154728182</v>
      </c>
    </row>
    <row r="1105" customFormat="false" ht="15" hidden="false" customHeight="true" outlineLevel="0" collapsed="false">
      <c r="A1105" s="6" t="n">
        <v>1104</v>
      </c>
      <c r="B1105" s="30" t="n">
        <v>0.11404265052253</v>
      </c>
      <c r="C1105" s="30" t="n">
        <v>0.411026577322349</v>
      </c>
      <c r="D1105" s="30" t="n">
        <v>0.0834568783348534</v>
      </c>
      <c r="E1105" s="30" t="n">
        <v>0.257425386163905</v>
      </c>
      <c r="F1105" s="30" t="n">
        <v>0.0243011454290836</v>
      </c>
      <c r="G1105" s="30" t="n">
        <v>0.174348397729487</v>
      </c>
      <c r="H1105" s="31" t="n">
        <f aca="false">MAX(D1105,F1105+0.015)</f>
        <v>0.0834568783348534</v>
      </c>
      <c r="I1105" s="25" t="n">
        <f aca="false">(C1105-'DCF Base Case'!$B$3)*(1-E1105)+'DCF Base Case'!$B$3-G1105</f>
        <v>0.164334804403336</v>
      </c>
      <c r="J1105" s="24" t="n">
        <f aca="false">'DCF Base Case'!$B$2*(1+B1105)^1*$I1105-'DCF Base Case'!$B$2*(1+B1105)^0*B1105*'DCF Base Case'!$B$4</f>
        <v>26.0499317254631</v>
      </c>
      <c r="K1105" s="24" t="n">
        <f aca="false">'DCF Base Case'!$B$2*(1+B1105)^2*$I1105-'DCF Base Case'!$B$2*(1+B1105)^1*B1105*'DCF Base Case'!$B$4</f>
        <v>29.0207349853658</v>
      </c>
      <c r="L1105" s="24" t="n">
        <f aca="false">'DCF Base Case'!$B$2*(1+B1105)^3*$I1105-'DCF Base Case'!$B$2*(1+B1105)^2*B1105*'DCF Base Case'!$B$4</f>
        <v>32.3303365232089</v>
      </c>
      <c r="M1105" s="24" t="n">
        <f aca="false">'DCF Base Case'!$B$2*(1+B1105)^4*$I1105-'DCF Base Case'!$B$2*(1+B1105)^3*B1105*'DCF Base Case'!$B$4</f>
        <v>36.017373792601</v>
      </c>
      <c r="N1105" s="24" t="n">
        <f aca="false">'DCF Base Case'!$B$2*(1+B1105)^5*$I1105-'DCF Base Case'!$B$2*(1+B1105)^4*B1105*'DCF Base Case'!$B$4</f>
        <v>40.1248905647699</v>
      </c>
      <c r="O1105" s="24" t="n">
        <f aca="false">J1105/(1+H1105)^1+K1105/(1+H1105)^2+L1105/(1+H1105)^3+M1105/(1+H1105)^4+N1105/(1+H1105)^5</f>
        <v>127.198460421039</v>
      </c>
      <c r="P1105" s="24" t="n">
        <f aca="false">N1105*(1+F1105)/(H1105-F1105)</f>
        <v>694.775795123345</v>
      </c>
      <c r="Q1105" s="24" t="n">
        <f aca="false">O1105+P1105/(1+H1105)^5</f>
        <v>592.555753623416</v>
      </c>
      <c r="R1105" s="24" t="n">
        <f aca="false">Q1105-'DCF Base Case'!$B$5</f>
        <v>407.555753623416</v>
      </c>
      <c r="S1105" s="32" t="n">
        <f aca="false">R1105/'DCF Base Case'!$B$6</f>
        <v>16.3022301449366</v>
      </c>
    </row>
    <row r="1106" customFormat="false" ht="15" hidden="false" customHeight="true" outlineLevel="0" collapsed="false">
      <c r="A1106" s="6" t="n">
        <v>1105</v>
      </c>
      <c r="B1106" s="30" t="n">
        <v>0.0746136295721165</v>
      </c>
      <c r="C1106" s="30" t="n">
        <v>0.406562951889643</v>
      </c>
      <c r="D1106" s="30" t="n">
        <v>0.0906061583952691</v>
      </c>
      <c r="E1106" s="30" t="n">
        <v>0.272993867874345</v>
      </c>
      <c r="F1106" s="30" t="n">
        <v>0.0172033948501082</v>
      </c>
      <c r="G1106" s="30" t="n">
        <v>0.152029220903321</v>
      </c>
      <c r="H1106" s="31" t="n">
        <f aca="false">MAX(D1106,F1106+0.015)</f>
        <v>0.0906061583952691</v>
      </c>
      <c r="I1106" s="25" t="n">
        <f aca="false">(C1106-'DCF Base Case'!$B$3)*(1-E1106)+'DCF Base Case'!$B$3-G1106</f>
        <v>0.179033741039222</v>
      </c>
      <c r="J1106" s="24" t="n">
        <f aca="false">'DCF Base Case'!$B$2*(1+B1106)^1*$I1106-'DCF Base Case'!$B$2*(1+B1106)^0*B1106*'DCF Base Case'!$B$4</f>
        <v>27.572284961096</v>
      </c>
      <c r="K1106" s="24" t="n">
        <f aca="false">'DCF Base Case'!$B$2*(1+B1106)^2*$I1106-'DCF Base Case'!$B$2*(1+B1106)^1*B1106*'DCF Base Case'!$B$4</f>
        <v>29.6295532176401</v>
      </c>
      <c r="L1106" s="24" t="n">
        <f aca="false">'DCF Base Case'!$B$2*(1+B1106)^3*$I1106-'DCF Base Case'!$B$2*(1+B1106)^2*B1106*'DCF Base Case'!$B$4</f>
        <v>31.8403217258084</v>
      </c>
      <c r="M1106" s="24" t="n">
        <f aca="false">'DCF Base Case'!$B$2*(1+B1106)^4*$I1106-'DCF Base Case'!$B$2*(1+B1106)^3*B1106*'DCF Base Case'!$B$4</f>
        <v>34.2160436965149</v>
      </c>
      <c r="N1106" s="24" t="n">
        <f aca="false">'DCF Base Case'!$B$2*(1+B1106)^5*$I1106-'DCF Base Case'!$B$2*(1+B1106)^4*B1106*'DCF Base Case'!$B$4</f>
        <v>36.76902690631</v>
      </c>
      <c r="O1106" s="24" t="n">
        <f aca="false">J1106/(1+H1106)^1+K1106/(1+H1106)^2+L1106/(1+H1106)^3+M1106/(1+H1106)^4+N1106/(1+H1106)^5</f>
        <v>122.754772091514</v>
      </c>
      <c r="P1106" s="24" t="n">
        <f aca="false">N1106*(1+F1106)/(H1106-F1106)</f>
        <v>509.539112535215</v>
      </c>
      <c r="Q1106" s="24" t="n">
        <f aca="false">O1106+P1106/(1+H1106)^5</f>
        <v>453.000948272216</v>
      </c>
      <c r="R1106" s="24" t="n">
        <f aca="false">Q1106-'DCF Base Case'!$B$5</f>
        <v>268.000948272216</v>
      </c>
      <c r="S1106" s="32" t="n">
        <f aca="false">R1106/'DCF Base Case'!$B$6</f>
        <v>10.7200379308887</v>
      </c>
    </row>
    <row r="1107" customFormat="false" ht="15" hidden="false" customHeight="true" outlineLevel="0" collapsed="false">
      <c r="A1107" s="6" t="n">
        <v>1106</v>
      </c>
      <c r="B1107" s="30" t="n">
        <v>0.0971444743120965</v>
      </c>
      <c r="C1107" s="30" t="n">
        <v>0.409851393522831</v>
      </c>
      <c r="D1107" s="30" t="n">
        <v>0.0800086649176098</v>
      </c>
      <c r="E1107" s="30" t="n">
        <v>0.254130888086861</v>
      </c>
      <c r="F1107" s="30" t="n">
        <v>0.0196392441672922</v>
      </c>
      <c r="G1107" s="30" t="n">
        <v>0.161421647284187</v>
      </c>
      <c r="H1107" s="31" t="n">
        <f aca="false">MAX(D1107,F1107+0.015)</f>
        <v>0.0800086649176098</v>
      </c>
      <c r="I1107" s="25" t="n">
        <f aca="false">(C1107-'DCF Base Case'!$B$3)*(1-E1107)+'DCF Base Case'!$B$3-G1107</f>
        <v>0.177310863070341</v>
      </c>
      <c r="J1107" s="24" t="n">
        <f aca="false">'DCF Base Case'!$B$2*(1+B1107)^1*$I1107-'DCF Base Case'!$B$2*(1+B1107)^0*B1107*'DCF Base Case'!$B$4</f>
        <v>27.7850884164468</v>
      </c>
      <c r="K1107" s="24" t="n">
        <f aca="false">'DCF Base Case'!$B$2*(1+B1107)^2*$I1107-'DCF Base Case'!$B$2*(1+B1107)^1*B1107*'DCF Base Case'!$B$4</f>
        <v>30.4842562243776</v>
      </c>
      <c r="L1107" s="24" t="n">
        <f aca="false">'DCF Base Case'!$B$2*(1+B1107)^3*$I1107-'DCF Base Case'!$B$2*(1+B1107)^2*B1107*'DCF Base Case'!$B$4</f>
        <v>33.44563327009</v>
      </c>
      <c r="M1107" s="24" t="n">
        <f aca="false">'DCF Base Case'!$B$2*(1+B1107)^4*$I1107-'DCF Base Case'!$B$2*(1+B1107)^3*B1107*'DCF Base Case'!$B$4</f>
        <v>36.6946917321481</v>
      </c>
      <c r="N1107" s="24" t="n">
        <f aca="false">'DCF Base Case'!$B$2*(1+B1107)^5*$I1107-'DCF Base Case'!$B$2*(1+B1107)^4*B1107*'DCF Base Case'!$B$4</f>
        <v>40.259378270512</v>
      </c>
      <c r="O1107" s="24" t="n">
        <f aca="false">J1107/(1+H1107)^1+K1107/(1+H1107)^2+L1107/(1+H1107)^3+M1107/(1+H1107)^4+N1107/(1+H1107)^5</f>
        <v>132.780812734401</v>
      </c>
      <c r="P1107" s="24" t="n">
        <f aca="false">N1107*(1+F1107)/(H1107-F1107)</f>
        <v>679.980717392821</v>
      </c>
      <c r="Q1107" s="24" t="n">
        <f aca="false">O1107+P1107/(1+H1107)^5</f>
        <v>595.545699021342</v>
      </c>
      <c r="R1107" s="24" t="n">
        <f aca="false">Q1107-'DCF Base Case'!$B$5</f>
        <v>410.545699021342</v>
      </c>
      <c r="S1107" s="32" t="n">
        <f aca="false">R1107/'DCF Base Case'!$B$6</f>
        <v>16.4218279608537</v>
      </c>
    </row>
    <row r="1108" customFormat="false" ht="15" hidden="false" customHeight="true" outlineLevel="0" collapsed="false">
      <c r="A1108" s="6" t="n">
        <v>1107</v>
      </c>
      <c r="B1108" s="30" t="n">
        <v>0.0832353764788082</v>
      </c>
      <c r="C1108" s="30" t="n">
        <v>0.416356589610881</v>
      </c>
      <c r="D1108" s="30" t="n">
        <v>0.0932280248900949</v>
      </c>
      <c r="E1108" s="30" t="n">
        <v>0.301106202393923</v>
      </c>
      <c r="F1108" s="30" t="n">
        <v>0.0213281293309645</v>
      </c>
      <c r="G1108" s="30" t="n">
        <v>0.16024577026262</v>
      </c>
      <c r="H1108" s="31" t="n">
        <f aca="false">MAX(D1108,F1108+0.015)</f>
        <v>0.0932280248900949</v>
      </c>
      <c r="I1108" s="25" t="n">
        <f aca="false">(C1108-'DCF Base Case'!$B$3)*(1-E1108)+'DCF Base Case'!$B$3-G1108</f>
        <v>0.169887074120054</v>
      </c>
      <c r="J1108" s="24" t="n">
        <f aca="false">'DCF Base Case'!$B$2*(1+B1108)^1*$I1108-'DCF Base Case'!$B$2*(1+B1108)^0*B1108*'DCF Base Case'!$B$4</f>
        <v>26.3219409728485</v>
      </c>
      <c r="K1108" s="24" t="n">
        <f aca="false">'DCF Base Case'!$B$2*(1+B1108)^2*$I1108-'DCF Base Case'!$B$2*(1+B1108)^1*B1108*'DCF Base Case'!$B$4</f>
        <v>28.5128576393765</v>
      </c>
      <c r="L1108" s="24" t="n">
        <f aca="false">'DCF Base Case'!$B$2*(1+B1108)^3*$I1108-'DCF Base Case'!$B$2*(1+B1108)^2*B1108*'DCF Base Case'!$B$4</f>
        <v>30.8861360794767</v>
      </c>
      <c r="M1108" s="24" t="n">
        <f aca="false">'DCF Base Case'!$B$2*(1+B1108)^4*$I1108-'DCF Base Case'!$B$2*(1+B1108)^3*B1108*'DCF Base Case'!$B$4</f>
        <v>33.4569552440276</v>
      </c>
      <c r="N1108" s="24" t="n">
        <f aca="false">'DCF Base Case'!$B$2*(1+B1108)^5*$I1108-'DCF Base Case'!$B$2*(1+B1108)^4*B1108*'DCF Base Case'!$B$4</f>
        <v>36.2417575095989</v>
      </c>
      <c r="O1108" s="24" t="n">
        <f aca="false">J1108/(1+H1108)^1+K1108/(1+H1108)^2+L1108/(1+H1108)^3+M1108/(1+H1108)^4+N1108/(1+H1108)^5</f>
        <v>118.205568087862</v>
      </c>
      <c r="P1108" s="24" t="n">
        <f aca="false">N1108*(1+F1108)/(H1108-F1108)</f>
        <v>514.80918175332</v>
      </c>
      <c r="Q1108" s="24" t="n">
        <f aca="false">O1108+P1108/(1+H1108)^5</f>
        <v>447.885492970758</v>
      </c>
      <c r="R1108" s="24" t="n">
        <f aca="false">Q1108-'DCF Base Case'!$B$5</f>
        <v>262.885492970758</v>
      </c>
      <c r="S1108" s="32" t="n">
        <f aca="false">R1108/'DCF Base Case'!$B$6</f>
        <v>10.5154197188303</v>
      </c>
    </row>
    <row r="1109" customFormat="false" ht="15" hidden="false" customHeight="true" outlineLevel="0" collapsed="false">
      <c r="A1109" s="6" t="n">
        <v>1108</v>
      </c>
      <c r="B1109" s="30" t="n">
        <v>0.0777728511032816</v>
      </c>
      <c r="C1109" s="30" t="n">
        <v>0.386802623203074</v>
      </c>
      <c r="D1109" s="30" t="n">
        <v>0.0784752784192811</v>
      </c>
      <c r="E1109" s="30" t="n">
        <v>0.28019744716773</v>
      </c>
      <c r="F1109" s="30" t="n">
        <v>0.0161460344621637</v>
      </c>
      <c r="G1109" s="30" t="n">
        <v>0.167365167658691</v>
      </c>
      <c r="H1109" s="31" t="n">
        <f aca="false">MAX(D1109,F1109+0.015)</f>
        <v>0.0784752784192811</v>
      </c>
      <c r="I1109" s="25" t="n">
        <f aca="false">(C1109-'DCF Base Case'!$B$3)*(1-E1109)+'DCF Base Case'!$B$3-G1109</f>
        <v>0.147482016096905</v>
      </c>
      <c r="J1109" s="24" t="n">
        <f aca="false">'DCF Base Case'!$B$2*(1+B1109)^1*$I1109-'DCF Base Case'!$B$2*(1+B1109)^0*B1109*'DCF Base Case'!$B$4</f>
        <v>22.7097444791079</v>
      </c>
      <c r="K1109" s="24" t="n">
        <f aca="false">'DCF Base Case'!$B$2*(1+B1109)^2*$I1109-'DCF Base Case'!$B$2*(1+B1109)^1*B1109*'DCF Base Case'!$B$4</f>
        <v>24.4759460550751</v>
      </c>
      <c r="L1109" s="24" t="n">
        <f aca="false">'DCF Base Case'!$B$2*(1+B1109)^3*$I1109-'DCF Base Case'!$B$2*(1+B1109)^2*B1109*'DCF Base Case'!$B$4</f>
        <v>26.3795101632284</v>
      </c>
      <c r="M1109" s="24" t="n">
        <f aca="false">'DCF Base Case'!$B$2*(1+B1109)^4*$I1109-'DCF Base Case'!$B$2*(1+B1109)^3*B1109*'DCF Base Case'!$B$4</f>
        <v>28.4311198793307</v>
      </c>
      <c r="N1109" s="24" t="n">
        <f aca="false">'DCF Base Case'!$B$2*(1+B1109)^5*$I1109-'DCF Base Case'!$B$2*(1+B1109)^4*B1109*'DCF Base Case'!$B$4</f>
        <v>30.6422891324054</v>
      </c>
      <c r="O1109" s="24" t="n">
        <f aca="false">J1109/(1+H1109)^1+K1109/(1+H1109)^2+L1109/(1+H1109)^3+M1109/(1+H1109)^4+N1109/(1+H1109)^5</f>
        <v>105.14928710786</v>
      </c>
      <c r="P1109" s="24" t="n">
        <f aca="false">N1109*(1+F1109)/(H1109-F1109)</f>
        <v>499.55748877941</v>
      </c>
      <c r="Q1109" s="24" t="n">
        <f aca="false">O1109+P1109/(1+H1109)^5</f>
        <v>447.549875307914</v>
      </c>
      <c r="R1109" s="24" t="n">
        <f aca="false">Q1109-'DCF Base Case'!$B$5</f>
        <v>262.549875307914</v>
      </c>
      <c r="S1109" s="32" t="n">
        <f aca="false">R1109/'DCF Base Case'!$B$6</f>
        <v>10.5019950123166</v>
      </c>
    </row>
    <row r="1110" customFormat="false" ht="15" hidden="false" customHeight="true" outlineLevel="0" collapsed="false">
      <c r="A1110" s="6" t="n">
        <v>1109</v>
      </c>
      <c r="B1110" s="30" t="n">
        <v>0.0689100382571589</v>
      </c>
      <c r="C1110" s="30" t="n">
        <v>0.373218826011726</v>
      </c>
      <c r="D1110" s="30" t="n">
        <v>0.0940134673295127</v>
      </c>
      <c r="E1110" s="30" t="n">
        <v>0.267806698697384</v>
      </c>
      <c r="F1110" s="30" t="n">
        <v>0.0159350816789254</v>
      </c>
      <c r="G1110" s="30" t="n">
        <v>0.1434103406568</v>
      </c>
      <c r="H1110" s="31" t="n">
        <f aca="false">MAX(D1110,F1110+0.015)</f>
        <v>0.0940134673295127</v>
      </c>
      <c r="I1110" s="25" t="n">
        <f aca="false">(C1110-'DCF Base Case'!$B$3)*(1-E1110)+'DCF Base Case'!$B$3-G1110</f>
        <v>0.164672854499672</v>
      </c>
      <c r="J1110" s="24" t="n">
        <f aca="false">'DCF Base Case'!$B$2*(1+B1110)^1*$I1110-'DCF Base Case'!$B$2*(1+B1110)^0*B1110*'DCF Base Case'!$B$4</f>
        <v>25.2232090780396</v>
      </c>
      <c r="K1110" s="24" t="n">
        <f aca="false">'DCF Base Case'!$B$2*(1+B1110)^2*$I1110-'DCF Base Case'!$B$2*(1+B1110)^1*B1110*'DCF Base Case'!$B$4</f>
        <v>26.9613413805756</v>
      </c>
      <c r="L1110" s="24" t="n">
        <f aca="false">'DCF Base Case'!$B$2*(1+B1110)^3*$I1110-'DCF Base Case'!$B$2*(1+B1110)^2*B1110*'DCF Base Case'!$B$4</f>
        <v>28.8192484465754</v>
      </c>
      <c r="M1110" s="24" t="n">
        <f aca="false">'DCF Base Case'!$B$2*(1+B1110)^4*$I1110-'DCF Base Case'!$B$2*(1+B1110)^3*B1110*'DCF Base Case'!$B$4</f>
        <v>30.8051839595715</v>
      </c>
      <c r="N1110" s="24" t="n">
        <f aca="false">'DCF Base Case'!$B$2*(1+B1110)^5*$I1110-'DCF Base Case'!$B$2*(1+B1110)^4*B1110*'DCF Base Case'!$B$4</f>
        <v>32.9279703647444</v>
      </c>
      <c r="O1110" s="24" t="n">
        <f aca="false">J1110/(1+H1110)^1+K1110/(1+H1110)^2+L1110/(1+H1110)^3+M1110/(1+H1110)^4+N1110/(1+H1110)^5</f>
        <v>110.107943419816</v>
      </c>
      <c r="P1110" s="24" t="n">
        <f aca="false">N1110*(1+F1110)/(H1110-F1110)</f>
        <v>428.449947873329</v>
      </c>
      <c r="Q1110" s="24" t="n">
        <f aca="false">O1110+P1110/(1+H1110)^5</f>
        <v>383.500542219921</v>
      </c>
      <c r="R1110" s="24" t="n">
        <f aca="false">Q1110-'DCF Base Case'!$B$5</f>
        <v>198.500542219921</v>
      </c>
      <c r="S1110" s="32" t="n">
        <f aca="false">R1110/'DCF Base Case'!$B$6</f>
        <v>7.94002168879683</v>
      </c>
    </row>
    <row r="1111" customFormat="false" ht="15" hidden="false" customHeight="true" outlineLevel="0" collapsed="false">
      <c r="A1111" s="6" t="n">
        <v>1110</v>
      </c>
      <c r="B1111" s="30" t="n">
        <v>0.0990039936696204</v>
      </c>
      <c r="C1111" s="30" t="n">
        <v>0.442621832321292</v>
      </c>
      <c r="D1111" s="30" t="n">
        <v>0.0805661875289324</v>
      </c>
      <c r="E1111" s="30" t="n">
        <v>0.273876246357518</v>
      </c>
      <c r="F1111" s="30" t="n">
        <v>0.0231837538177873</v>
      </c>
      <c r="G1111" s="30" t="n">
        <v>0.13185130348018</v>
      </c>
      <c r="H1111" s="31" t="n">
        <f aca="false">MAX(D1111,F1111+0.015)</f>
        <v>0.0805661875289324</v>
      </c>
      <c r="I1111" s="25" t="n">
        <f aca="false">(C1111-'DCF Base Case'!$B$3)*(1-E1111)+'DCF Base Case'!$B$3-G1111</f>
        <v>0.225150834875547</v>
      </c>
      <c r="J1111" s="24" t="n">
        <f aca="false">'DCF Base Case'!$B$2*(1+B1111)^1*$I1111-'DCF Base Case'!$B$2*(1+B1111)^0*B1111*'DCF Base Case'!$B$4</f>
        <v>35.4483742999471</v>
      </c>
      <c r="K1111" s="24" t="n">
        <f aca="false">'DCF Base Case'!$B$2*(1+B1111)^2*$I1111-'DCF Base Case'!$B$2*(1+B1111)^1*B1111*'DCF Base Case'!$B$4</f>
        <v>38.9579049247374</v>
      </c>
      <c r="L1111" s="24" t="n">
        <f aca="false">'DCF Base Case'!$B$2*(1+B1111)^3*$I1111-'DCF Base Case'!$B$2*(1+B1111)^2*B1111*'DCF Base Case'!$B$4</f>
        <v>42.8148930972878</v>
      </c>
      <c r="M1111" s="24" t="n">
        <f aca="false">'DCF Base Case'!$B$2*(1+B1111)^4*$I1111-'DCF Base Case'!$B$2*(1+B1111)^3*B1111*'DCF Base Case'!$B$4</f>
        <v>47.0537385024571</v>
      </c>
      <c r="N1111" s="24" t="n">
        <f aca="false">'DCF Base Case'!$B$2*(1+B1111)^5*$I1111-'DCF Base Case'!$B$2*(1+B1111)^4*B1111*'DCF Base Case'!$B$4</f>
        <v>51.7122465312864</v>
      </c>
      <c r="O1111" s="24" t="n">
        <f aca="false">J1111/(1+H1111)^1+K1111/(1+H1111)^2+L1111/(1+H1111)^3+M1111/(1+H1111)^4+N1111/(1+H1111)^5</f>
        <v>169.72079589332</v>
      </c>
      <c r="P1111" s="24" t="n">
        <f aca="false">N1111*(1+F1111)/(H1111-F1111)</f>
        <v>922.078885510145</v>
      </c>
      <c r="Q1111" s="24" t="n">
        <f aca="false">O1111+P1111/(1+H1111)^5</f>
        <v>795.629813735334</v>
      </c>
      <c r="R1111" s="24" t="n">
        <f aca="false">Q1111-'DCF Base Case'!$B$5</f>
        <v>610.629813735334</v>
      </c>
      <c r="S1111" s="32" t="n">
        <f aca="false">R1111/'DCF Base Case'!$B$6</f>
        <v>24.4251925494134</v>
      </c>
    </row>
    <row r="1112" customFormat="false" ht="15" hidden="false" customHeight="true" outlineLevel="0" collapsed="false">
      <c r="A1112" s="6" t="n">
        <v>1111</v>
      </c>
      <c r="B1112" s="30" t="n">
        <v>0.128909648741111</v>
      </c>
      <c r="C1112" s="30" t="n">
        <v>0.457590779512701</v>
      </c>
      <c r="D1112" s="30" t="n">
        <v>0.0552302871763791</v>
      </c>
      <c r="E1112" s="30" t="n">
        <v>0.276962458367085</v>
      </c>
      <c r="F1112" s="30" t="n">
        <v>0.0164276890235945</v>
      </c>
      <c r="G1112" s="30" t="n">
        <v>0.159779021721284</v>
      </c>
      <c r="H1112" s="31" t="n">
        <f aca="false">MAX(D1112,F1112+0.015)</f>
        <v>0.0552302871763791</v>
      </c>
      <c r="I1112" s="25" t="n">
        <f aca="false">(C1112-'DCF Base Case'!$B$3)*(1-E1112)+'DCF Base Case'!$B$3-G1112</f>
        <v>0.20708141015919</v>
      </c>
      <c r="J1112" s="24" t="n">
        <f aca="false">'DCF Base Case'!$B$2*(1+B1112)^1*$I1112-'DCF Base Case'!$B$2*(1+B1112)^0*B1112*'DCF Base Case'!$B$4</f>
        <v>33.3367923185018</v>
      </c>
      <c r="K1112" s="24" t="n">
        <f aca="false">'DCF Base Case'!$B$2*(1+B1112)^2*$I1112-'DCF Base Case'!$B$2*(1+B1112)^1*B1112*'DCF Base Case'!$B$4</f>
        <v>37.6342265064352</v>
      </c>
      <c r="L1112" s="24" t="n">
        <f aca="false">'DCF Base Case'!$B$2*(1+B1112)^3*$I1112-'DCF Base Case'!$B$2*(1+B1112)^2*B1112*'DCF Base Case'!$B$4</f>
        <v>42.4856414260231</v>
      </c>
      <c r="M1112" s="24" t="n">
        <f aca="false">'DCF Base Case'!$B$2*(1+B1112)^4*$I1112-'DCF Base Case'!$B$2*(1+B1112)^3*B1112*'DCF Base Case'!$B$4</f>
        <v>47.9624505387926</v>
      </c>
      <c r="N1112" s="24" t="n">
        <f aca="false">'DCF Base Case'!$B$2*(1+B1112)^5*$I1112-'DCF Base Case'!$B$2*(1+B1112)^4*B1112*'DCF Base Case'!$B$4</f>
        <v>54.1452731905113</v>
      </c>
      <c r="O1112" s="24" t="n">
        <f aca="false">J1112/(1+H1112)^1+K1112/(1+H1112)^2+L1112/(1+H1112)^3+M1112/(1+H1112)^4+N1112/(1+H1112)^5</f>
        <v>181.612964890216</v>
      </c>
      <c r="P1112" s="24" t="n">
        <f aca="false">N1112*(1+F1112)/(H1112-F1112)</f>
        <v>1418.32654308055</v>
      </c>
      <c r="Q1112" s="24" t="n">
        <f aca="false">O1112+P1112/(1+H1112)^5</f>
        <v>1265.6396954478</v>
      </c>
      <c r="R1112" s="24" t="n">
        <f aca="false">Q1112-'DCF Base Case'!$B$5</f>
        <v>1080.6396954478</v>
      </c>
      <c r="S1112" s="32" t="n">
        <f aca="false">R1112/'DCF Base Case'!$B$6</f>
        <v>43.2255878179121</v>
      </c>
    </row>
    <row r="1113" customFormat="false" ht="15" hidden="false" customHeight="true" outlineLevel="0" collapsed="false">
      <c r="A1113" s="6" t="n">
        <v>1112</v>
      </c>
      <c r="B1113" s="30" t="n">
        <v>0.0810994404142085</v>
      </c>
      <c r="C1113" s="30" t="n">
        <v>0.427160136001227</v>
      </c>
      <c r="D1113" s="30" t="n">
        <v>0.0837617310233521</v>
      </c>
      <c r="E1113" s="30" t="n">
        <v>0.259964435645341</v>
      </c>
      <c r="F1113" s="30" t="n">
        <v>0.0186912626690412</v>
      </c>
      <c r="G1113" s="30" t="n">
        <v>0.177337236319903</v>
      </c>
      <c r="H1113" s="31" t="n">
        <f aca="false">MAX(D1113,F1113+0.015)</f>
        <v>0.0837617310233521</v>
      </c>
      <c r="I1113" s="25" t="n">
        <f aca="false">(C1113-'DCF Base Case'!$B$3)*(1-E1113)+'DCF Base Case'!$B$3-G1113</f>
        <v>0.172571832629472</v>
      </c>
      <c r="J1113" s="24" t="n">
        <f aca="false">'DCF Base Case'!$B$2*(1+B1113)^1*$I1113-'DCF Base Case'!$B$2*(1+B1113)^0*B1113*'DCF Base Case'!$B$4</f>
        <v>26.6994776288098</v>
      </c>
      <c r="K1113" s="24" t="n">
        <f aca="false">'DCF Base Case'!$B$2*(1+B1113)^2*$I1113-'DCF Base Case'!$B$2*(1+B1113)^1*B1113*'DCF Base Case'!$B$4</f>
        <v>28.864790323858</v>
      </c>
      <c r="L1113" s="24" t="n">
        <f aca="false">'DCF Base Case'!$B$2*(1+B1113)^3*$I1113-'DCF Base Case'!$B$2*(1+B1113)^2*B1113*'DCF Base Case'!$B$4</f>
        <v>31.2057086667963</v>
      </c>
      <c r="M1113" s="24" t="n">
        <f aca="false">'DCF Base Case'!$B$2*(1+B1113)^4*$I1113-'DCF Base Case'!$B$2*(1+B1113)^3*B1113*'DCF Base Case'!$B$4</f>
        <v>33.7364741774023</v>
      </c>
      <c r="N1113" s="24" t="n">
        <f aca="false">'DCF Base Case'!$B$2*(1+B1113)^5*$I1113-'DCF Base Case'!$B$2*(1+B1113)^4*B1113*'DCF Base Case'!$B$4</f>
        <v>36.4724833547381</v>
      </c>
      <c r="O1113" s="24" t="n">
        <f aca="false">J1113/(1+H1113)^1+K1113/(1+H1113)^2+L1113/(1+H1113)^3+M1113/(1+H1113)^4+N1113/(1+H1113)^5</f>
        <v>122.575944059018</v>
      </c>
      <c r="P1113" s="24" t="n">
        <f aca="false">N1113*(1+F1113)/(H1113-F1113)</f>
        <v>570.984058682471</v>
      </c>
      <c r="Q1113" s="24" t="n">
        <f aca="false">O1113+P1113/(1+H1113)^5</f>
        <v>504.480576210221</v>
      </c>
      <c r="R1113" s="24" t="n">
        <f aca="false">Q1113-'DCF Base Case'!$B$5</f>
        <v>319.480576210221</v>
      </c>
      <c r="S1113" s="32" t="n">
        <f aca="false">R1113/'DCF Base Case'!$B$6</f>
        <v>12.7792230484088</v>
      </c>
    </row>
    <row r="1114" customFormat="false" ht="15" hidden="false" customHeight="true" outlineLevel="0" collapsed="false">
      <c r="A1114" s="6" t="n">
        <v>1113</v>
      </c>
      <c r="B1114" s="30" t="n">
        <v>0.0643168353967477</v>
      </c>
      <c r="C1114" s="30" t="n">
        <v>0.372298379506391</v>
      </c>
      <c r="D1114" s="30" t="n">
        <v>0.106920170809189</v>
      </c>
      <c r="E1114" s="30" t="n">
        <v>0.264425185351753</v>
      </c>
      <c r="F1114" s="30" t="n">
        <v>0.0188284076482882</v>
      </c>
      <c r="G1114" s="30" t="n">
        <v>0.157169369218144</v>
      </c>
      <c r="H1114" s="31" t="n">
        <f aca="false">MAX(D1114,F1114+0.015)</f>
        <v>0.106920170809189</v>
      </c>
      <c r="I1114" s="25" t="n">
        <f aca="false">(C1114-'DCF Base Case'!$B$3)*(1-E1114)+'DCF Base Case'!$B$3-G1114</f>
        <v>0.15105921637684</v>
      </c>
      <c r="J1114" s="24" t="n">
        <f aca="false">'DCF Base Case'!$B$2*(1+B1114)^1*$I1114-'DCF Base Case'!$B$2*(1+B1114)^0*B1114*'DCF Base Case'!$B$4</f>
        <v>23.0325775001223</v>
      </c>
      <c r="K1114" s="24" t="n">
        <f aca="false">'DCF Base Case'!$B$2*(1+B1114)^2*$I1114-'DCF Base Case'!$B$2*(1+B1114)^1*B1114*'DCF Base Case'!$B$4</f>
        <v>24.5139599959604</v>
      </c>
      <c r="L1114" s="24" t="n">
        <f aca="false">'DCF Base Case'!$B$2*(1+B1114)^3*$I1114-'DCF Base Case'!$B$2*(1+B1114)^2*B1114*'DCF Base Case'!$B$4</f>
        <v>26.0906203259431</v>
      </c>
      <c r="M1114" s="24" t="n">
        <f aca="false">'DCF Base Case'!$B$2*(1+B1114)^4*$I1114-'DCF Base Case'!$B$2*(1+B1114)^3*B1114*'DCF Base Case'!$B$4</f>
        <v>27.7686864588458</v>
      </c>
      <c r="N1114" s="24" t="n">
        <f aca="false">'DCF Base Case'!$B$2*(1+B1114)^5*$I1114-'DCF Base Case'!$B$2*(1+B1114)^4*B1114*'DCF Base Case'!$B$4</f>
        <v>29.5546804950033</v>
      </c>
      <c r="O1114" s="24" t="n">
        <f aca="false">J1114/(1+H1114)^1+K1114/(1+H1114)^2+L1114/(1+H1114)^3+M1114/(1+H1114)^4+N1114/(1+H1114)^5</f>
        <v>96.3328226039997</v>
      </c>
      <c r="P1114" s="24" t="n">
        <f aca="false">N1114*(1+F1114)/(H1114-F1114)</f>
        <v>341.815704293257</v>
      </c>
      <c r="Q1114" s="24" t="n">
        <f aca="false">O1114+P1114/(1+H1114)^5</f>
        <v>302.021556444161</v>
      </c>
      <c r="R1114" s="24" t="n">
        <f aca="false">Q1114-'DCF Base Case'!$B$5</f>
        <v>117.021556444161</v>
      </c>
      <c r="S1114" s="32" t="n">
        <f aca="false">R1114/'DCF Base Case'!$B$6</f>
        <v>4.68086225776644</v>
      </c>
    </row>
    <row r="1115" customFormat="false" ht="15" hidden="false" customHeight="true" outlineLevel="0" collapsed="false">
      <c r="A1115" s="6" t="n">
        <v>1114</v>
      </c>
      <c r="B1115" s="30" t="n">
        <v>0.101802104670439</v>
      </c>
      <c r="C1115" s="30" t="n">
        <v>0.448690240420726</v>
      </c>
      <c r="D1115" s="30" t="n">
        <v>0.0913792722590221</v>
      </c>
      <c r="E1115" s="30" t="n">
        <v>0.251908593953446</v>
      </c>
      <c r="F1115" s="30" t="n">
        <v>0.0138148470693361</v>
      </c>
      <c r="G1115" s="30" t="n">
        <v>0.157146175017213</v>
      </c>
      <c r="H1115" s="31" t="n">
        <f aca="false">MAX(D1115,F1115+0.015)</f>
        <v>0.0913792722590221</v>
      </c>
      <c r="I1115" s="25" t="n">
        <f aca="false">(C1115-'DCF Base Case'!$B$3)*(1-E1115)+'DCF Base Case'!$B$3-G1115</f>
        <v>0.211263255032442</v>
      </c>
      <c r="J1115" s="24" t="n">
        <f aca="false">'DCF Base Case'!$B$2*(1+B1115)^1*$I1115-'DCF Base Case'!$B$2*(1+B1115)^0*B1115*'DCF Base Case'!$B$4</f>
        <v>33.3088542046531</v>
      </c>
      <c r="K1115" s="24" t="n">
        <f aca="false">'DCF Base Case'!$B$2*(1+B1115)^2*$I1115-'DCF Base Case'!$B$2*(1+B1115)^1*B1115*'DCF Base Case'!$B$4</f>
        <v>36.6997656668476</v>
      </c>
      <c r="L1115" s="24" t="n">
        <f aca="false">'DCF Base Case'!$B$2*(1+B1115)^3*$I1115-'DCF Base Case'!$B$2*(1+B1115)^2*B1115*'DCF Base Case'!$B$4</f>
        <v>40.4358790526446</v>
      </c>
      <c r="M1115" s="24" t="n">
        <f aca="false">'DCF Base Case'!$B$2*(1+B1115)^4*$I1115-'DCF Base Case'!$B$2*(1+B1115)^3*B1115*'DCF Base Case'!$B$4</f>
        <v>44.5523366444031</v>
      </c>
      <c r="N1115" s="24" t="n">
        <f aca="false">'DCF Base Case'!$B$2*(1+B1115)^5*$I1115-'DCF Base Case'!$B$2*(1+B1115)^4*B1115*'DCF Base Case'!$B$4</f>
        <v>49.0878582827893</v>
      </c>
      <c r="O1115" s="24" t="n">
        <f aca="false">J1115/(1+H1115)^1+K1115/(1+H1115)^2+L1115/(1+H1115)^3+M1115/(1+H1115)^4+N1115/(1+H1115)^5</f>
        <v>155.542481555806</v>
      </c>
      <c r="P1115" s="24" t="n">
        <f aca="false">N1115*(1+F1115)/(H1115-F1115)</f>
        <v>641.608564960329</v>
      </c>
      <c r="Q1115" s="24" t="n">
        <f aca="false">O1115+P1115/(1+H1115)^5</f>
        <v>569.915669235316</v>
      </c>
      <c r="R1115" s="24" t="n">
        <f aca="false">Q1115-'DCF Base Case'!$B$5</f>
        <v>384.915669235316</v>
      </c>
      <c r="S1115" s="32" t="n">
        <f aca="false">R1115/'DCF Base Case'!$B$6</f>
        <v>15.3966267694126</v>
      </c>
    </row>
    <row r="1116" customFormat="false" ht="15" hidden="false" customHeight="true" outlineLevel="0" collapsed="false">
      <c r="A1116" s="6" t="n">
        <v>1115</v>
      </c>
      <c r="B1116" s="30" t="n">
        <v>0.084399319293527</v>
      </c>
      <c r="C1116" s="30" t="n">
        <v>0.376233032732095</v>
      </c>
      <c r="D1116" s="30" t="n">
        <v>0.0940127501219189</v>
      </c>
      <c r="E1116" s="30" t="n">
        <v>0.257466279349259</v>
      </c>
      <c r="F1116" s="30" t="n">
        <v>0.0245195828709137</v>
      </c>
      <c r="G1116" s="30" t="n">
        <v>0.205647711929133</v>
      </c>
      <c r="H1116" s="31" t="n">
        <f aca="false">MAX(D1116,F1116+0.015)</f>
        <v>0.0940127501219189</v>
      </c>
      <c r="I1116" s="25" t="n">
        <f aca="false">(C1116-'DCF Base Case'!$B$3)*(1-E1116)+'DCF Base Case'!$B$3-G1116</f>
        <v>0.107188618012545</v>
      </c>
      <c r="J1116" s="24" t="n">
        <f aca="false">'DCF Base Case'!$B$2*(1+B1116)^1*$I1116-'DCF Base Case'!$B$2*(1+B1116)^0*B1116*'DCF Base Case'!$B$4</f>
        <v>16.4869763003518</v>
      </c>
      <c r="K1116" s="24" t="n">
        <f aca="false">'DCF Base Case'!$B$2*(1+B1116)^2*$I1116-'DCF Base Case'!$B$2*(1+B1116)^1*B1116*'DCF Base Case'!$B$4</f>
        <v>17.87846587731</v>
      </c>
      <c r="L1116" s="24" t="n">
        <f aca="false">'DCF Base Case'!$B$2*(1+B1116)^3*$I1116-'DCF Base Case'!$B$2*(1+B1116)^2*B1116*'DCF Base Case'!$B$4</f>
        <v>19.3873962273675</v>
      </c>
      <c r="M1116" s="24" t="n">
        <f aca="false">'DCF Base Case'!$B$2*(1+B1116)^4*$I1116-'DCF Base Case'!$B$2*(1+B1116)^3*B1116*'DCF Base Case'!$B$4</f>
        <v>21.0236792718312</v>
      </c>
      <c r="N1116" s="24" t="n">
        <f aca="false">'DCF Base Case'!$B$2*(1+B1116)^5*$I1116-'DCF Base Case'!$B$2*(1+B1116)^4*B1116*'DCF Base Case'!$B$4</f>
        <v>22.7980634914192</v>
      </c>
      <c r="O1116" s="24" t="n">
        <f aca="false">J1116/(1+H1116)^1+K1116/(1+H1116)^2+L1116/(1+H1116)^3+M1116/(1+H1116)^4+N1116/(1+H1116)^5</f>
        <v>74.0382545026559</v>
      </c>
      <c r="P1116" s="24" t="n">
        <f aca="false">N1116*(1+F1116)/(H1116-F1116)</f>
        <v>336.105885261051</v>
      </c>
      <c r="Q1116" s="24" t="n">
        <f aca="false">O1116+P1116/(1+H1116)^5</f>
        <v>288.507092928959</v>
      </c>
      <c r="R1116" s="24" t="n">
        <f aca="false">Q1116-'DCF Base Case'!$B$5</f>
        <v>103.507092928959</v>
      </c>
      <c r="S1116" s="32" t="n">
        <f aca="false">R1116/'DCF Base Case'!$B$6</f>
        <v>4.14028371715835</v>
      </c>
    </row>
    <row r="1117" customFormat="false" ht="15" hidden="false" customHeight="true" outlineLevel="0" collapsed="false">
      <c r="A1117" s="6" t="n">
        <v>1116</v>
      </c>
      <c r="B1117" s="30" t="n">
        <v>0.0848313018251582</v>
      </c>
      <c r="C1117" s="30" t="n">
        <v>0.421381436491807</v>
      </c>
      <c r="D1117" s="30" t="n">
        <v>0.0714485805570738</v>
      </c>
      <c r="E1117" s="30" t="n">
        <v>0.298642830513237</v>
      </c>
      <c r="F1117" s="30" t="n">
        <v>0.0173556432036079</v>
      </c>
      <c r="G1117" s="30" t="n">
        <v>0.14353435040196</v>
      </c>
      <c r="H1117" s="31" t="n">
        <f aca="false">MAX(D1117,F1117+0.015)</f>
        <v>0.0714485805570738</v>
      </c>
      <c r="I1117" s="25" t="n">
        <f aca="false">(C1117-'DCF Base Case'!$B$3)*(1-E1117)+'DCF Base Case'!$B$3-G1117</f>
        <v>0.190828109136921</v>
      </c>
      <c r="J1117" s="24" t="n">
        <f aca="false">'DCF Base Case'!$B$2*(1+B1117)^1*$I1117-'DCF Base Case'!$B$2*(1+B1117)^0*B1117*'DCF Base Case'!$B$4</f>
        <v>29.6483482157372</v>
      </c>
      <c r="K1117" s="24" t="n">
        <f aca="false">'DCF Base Case'!$B$2*(1+B1117)^2*$I1117-'DCF Base Case'!$B$2*(1+B1117)^1*B1117*'DCF Base Case'!$B$4</f>
        <v>32.1634561918438</v>
      </c>
      <c r="L1117" s="24" t="n">
        <f aca="false">'DCF Base Case'!$B$2*(1+B1117)^3*$I1117-'DCF Base Case'!$B$2*(1+B1117)^2*B1117*'DCF Base Case'!$B$4</f>
        <v>34.8919240517944</v>
      </c>
      <c r="M1117" s="24" t="n">
        <f aca="false">'DCF Base Case'!$B$2*(1+B1117)^4*$I1117-'DCF Base Case'!$B$2*(1+B1117)^3*B1117*'DCF Base Case'!$B$4</f>
        <v>37.8518513922927</v>
      </c>
      <c r="N1117" s="24" t="n">
        <f aca="false">'DCF Base Case'!$B$2*(1+B1117)^5*$I1117-'DCF Base Case'!$B$2*(1+B1117)^4*B1117*'DCF Base Case'!$B$4</f>
        <v>41.0628732223933</v>
      </c>
      <c r="O1117" s="24" t="n">
        <f aca="false">J1117/(1+H1117)^1+K1117/(1+H1117)^2+L1117/(1+H1117)^3+M1117/(1+H1117)^4+N1117/(1+H1117)^5</f>
        <v>141.856041190367</v>
      </c>
      <c r="P1117" s="24" t="n">
        <f aca="false">N1117*(1+F1117)/(H1117-F1117)</f>
        <v>772.292055910686</v>
      </c>
      <c r="Q1117" s="24" t="n">
        <f aca="false">O1117+P1117/(1+H1117)^5</f>
        <v>688.777417960207</v>
      </c>
      <c r="R1117" s="24" t="n">
        <f aca="false">Q1117-'DCF Base Case'!$B$5</f>
        <v>503.777417960207</v>
      </c>
      <c r="S1117" s="32" t="n">
        <f aca="false">R1117/'DCF Base Case'!$B$6</f>
        <v>20.1510967184083</v>
      </c>
    </row>
    <row r="1118" customFormat="false" ht="15" hidden="false" customHeight="true" outlineLevel="0" collapsed="false">
      <c r="A1118" s="6" t="n">
        <v>1117</v>
      </c>
      <c r="B1118" s="30" t="n">
        <v>0.0839410127327277</v>
      </c>
      <c r="C1118" s="30" t="n">
        <v>0.402102846650332</v>
      </c>
      <c r="D1118" s="30" t="n">
        <v>0.0814232465669587</v>
      </c>
      <c r="E1118" s="30" t="n">
        <v>0.308838599678932</v>
      </c>
      <c r="F1118" s="30" t="n">
        <v>0.0161501145483491</v>
      </c>
      <c r="G1118" s="30" t="n">
        <v>0.204245311985886</v>
      </c>
      <c r="H1118" s="31" t="n">
        <f aca="false">MAX(D1118,F1118+0.015)</f>
        <v>0.0814232465669587</v>
      </c>
      <c r="I1118" s="25" t="n">
        <f aca="false">(C1118-'DCF Base Case'!$B$3)*(1-E1118)+'DCF Base Case'!$B$3-G1118</f>
        <v>0.113821672536306</v>
      </c>
      <c r="J1118" s="24" t="n">
        <f aca="false">'DCF Base Case'!$B$2*(1+B1118)^1*$I1118-'DCF Base Case'!$B$2*(1+B1118)^0*B1118*'DCF Base Case'!$B$4</f>
        <v>17.5243735496035</v>
      </c>
      <c r="K1118" s="24" t="n">
        <f aca="false">'DCF Base Case'!$B$2*(1+B1118)^2*$I1118-'DCF Base Case'!$B$2*(1+B1118)^1*B1118*'DCF Base Case'!$B$4</f>
        <v>18.9953872128638</v>
      </c>
      <c r="L1118" s="24" t="n">
        <f aca="false">'DCF Base Case'!$B$2*(1+B1118)^3*$I1118-'DCF Base Case'!$B$2*(1+B1118)^2*B1118*'DCF Base Case'!$B$4</f>
        <v>20.5898792527619</v>
      </c>
      <c r="M1118" s="24" t="n">
        <f aca="false">'DCF Base Case'!$B$2*(1+B1118)^4*$I1118-'DCF Base Case'!$B$2*(1+B1118)^3*B1118*'DCF Base Case'!$B$4</f>
        <v>22.3182145692833</v>
      </c>
      <c r="N1118" s="24" t="n">
        <f aca="false">'DCF Base Case'!$B$2*(1+B1118)^5*$I1118-'DCF Base Case'!$B$2*(1+B1118)^4*B1118*'DCF Base Case'!$B$4</f>
        <v>24.1916281026153</v>
      </c>
      <c r="O1118" s="24" t="n">
        <f aca="false">J1118/(1+H1118)^1+K1118/(1+H1118)^2+L1118/(1+H1118)^3+M1118/(1+H1118)^4+N1118/(1+H1118)^5</f>
        <v>81.4027449017404</v>
      </c>
      <c r="P1118" s="24" t="n">
        <f aca="false">N1118*(1+F1118)/(H1118-F1118)</f>
        <v>376.607110879482</v>
      </c>
      <c r="Q1118" s="24" t="n">
        <f aca="false">O1118+P1118/(1+H1118)^5</f>
        <v>336.033003202333</v>
      </c>
      <c r="R1118" s="24" t="n">
        <f aca="false">Q1118-'DCF Base Case'!$B$5</f>
        <v>151.033003202333</v>
      </c>
      <c r="S1118" s="32" t="n">
        <f aca="false">R1118/'DCF Base Case'!$B$6</f>
        <v>6.04132012809331</v>
      </c>
    </row>
    <row r="1119" customFormat="false" ht="15" hidden="false" customHeight="true" outlineLevel="0" collapsed="false">
      <c r="A1119" s="6" t="n">
        <v>1118</v>
      </c>
      <c r="B1119" s="30" t="n">
        <v>0.0615146097721788</v>
      </c>
      <c r="C1119" s="30" t="n">
        <v>0.435753107517334</v>
      </c>
      <c r="D1119" s="30" t="n">
        <v>0.0738183831590264</v>
      </c>
      <c r="E1119" s="30" t="n">
        <v>0.279615329863864</v>
      </c>
      <c r="F1119" s="30" t="n">
        <v>0.0173891524507884</v>
      </c>
      <c r="G1119" s="30" t="n">
        <v>0.158237425299761</v>
      </c>
      <c r="H1119" s="31" t="n">
        <f aca="false">MAX(D1119,F1119+0.015)</f>
        <v>0.0738183831590264</v>
      </c>
      <c r="I1119" s="25" t="n">
        <f aca="false">(C1119-'DCF Base Case'!$B$3)*(1-E1119)+'DCF Base Case'!$B$3-G1119</f>
        <v>0.192022426202212</v>
      </c>
      <c r="J1119" s="24" t="n">
        <f aca="false">'DCF Base Case'!$B$2*(1+B1119)^1*$I1119-'DCF Base Case'!$B$2*(1+B1119)^0*B1119*'DCF Base Case'!$B$4</f>
        <v>29.2884300160355</v>
      </c>
      <c r="K1119" s="24" t="n">
        <f aca="false">'DCF Base Case'!$B$2*(1+B1119)^2*$I1119-'DCF Base Case'!$B$2*(1+B1119)^1*B1119*'DCF Base Case'!$B$4</f>
        <v>31.0900963593117</v>
      </c>
      <c r="L1119" s="24" t="n">
        <f aca="false">'DCF Base Case'!$B$2*(1+B1119)^3*$I1119-'DCF Base Case'!$B$2*(1+B1119)^2*B1119*'DCF Base Case'!$B$4</f>
        <v>33.0025915046342</v>
      </c>
      <c r="M1119" s="24" t="n">
        <f aca="false">'DCF Base Case'!$B$2*(1+B1119)^4*$I1119-'DCF Base Case'!$B$2*(1+B1119)^3*B1119*'DCF Base Case'!$B$4</f>
        <v>35.0327330425124</v>
      </c>
      <c r="N1119" s="24" t="n">
        <f aca="false">'DCF Base Case'!$B$2*(1+B1119)^5*$I1119-'DCF Base Case'!$B$2*(1+B1119)^4*B1119*'DCF Base Case'!$B$4</f>
        <v>37.1877579448755</v>
      </c>
      <c r="O1119" s="24" t="n">
        <f aca="false">J1119/(1+H1119)^1+K1119/(1+H1119)^2+L1119/(1+H1119)^3+M1119/(1+H1119)^4+N1119/(1+H1119)^5</f>
        <v>133.285596338915</v>
      </c>
      <c r="P1119" s="24" t="n">
        <f aca="false">N1119*(1+F1119)/(H1119-F1119)</f>
        <v>670.475586185132</v>
      </c>
      <c r="Q1119" s="24" t="n">
        <f aca="false">O1119+P1119/(1+H1119)^5</f>
        <v>602.886361445575</v>
      </c>
      <c r="R1119" s="24" t="n">
        <f aca="false">Q1119-'DCF Base Case'!$B$5</f>
        <v>417.886361445575</v>
      </c>
      <c r="S1119" s="32" t="n">
        <f aca="false">R1119/'DCF Base Case'!$B$6</f>
        <v>16.715454457823</v>
      </c>
    </row>
    <row r="1120" customFormat="false" ht="15" hidden="false" customHeight="true" outlineLevel="0" collapsed="false">
      <c r="A1120" s="6" t="n">
        <v>1119</v>
      </c>
      <c r="B1120" s="30" t="n">
        <v>0.107483663169516</v>
      </c>
      <c r="C1120" s="30" t="n">
        <v>0.446442402456722</v>
      </c>
      <c r="D1120" s="30" t="n">
        <v>0.0980957717545121</v>
      </c>
      <c r="E1120" s="30" t="n">
        <v>0.269337967020075</v>
      </c>
      <c r="F1120" s="30" t="n">
        <v>0.0200145812501503</v>
      </c>
      <c r="G1120" s="30" t="n">
        <v>0.149467568929296</v>
      </c>
      <c r="H1120" s="31" t="n">
        <f aca="false">MAX(D1120,F1120+0.015)</f>
        <v>0.0980957717545121</v>
      </c>
      <c r="I1120" s="25" t="n">
        <f aca="false">(C1120-'DCF Base Case'!$B$3)*(1-E1120)+'DCF Base Case'!$B$3-G1120</f>
        <v>0.211744880170784</v>
      </c>
      <c r="J1120" s="24" t="n">
        <f aca="false">'DCF Base Case'!$B$2*(1+B1120)^1*$I1120-'DCF Base Case'!$B$2*(1+B1120)^0*B1120*'DCF Base Case'!$B$4</f>
        <v>33.5355254198075</v>
      </c>
      <c r="K1120" s="24" t="n">
        <f aca="false">'DCF Base Case'!$B$2*(1+B1120)^2*$I1120-'DCF Base Case'!$B$2*(1+B1120)^1*B1120*'DCF Base Case'!$B$4</f>
        <v>37.1400465382428</v>
      </c>
      <c r="L1120" s="24" t="n">
        <f aca="false">'DCF Base Case'!$B$2*(1+B1120)^3*$I1120-'DCF Base Case'!$B$2*(1+B1120)^2*B1120*'DCF Base Case'!$B$4</f>
        <v>41.1319947904594</v>
      </c>
      <c r="M1120" s="24" t="n">
        <f aca="false">'DCF Base Case'!$B$2*(1+B1120)^4*$I1120-'DCF Base Case'!$B$2*(1+B1120)^3*B1120*'DCF Base Case'!$B$4</f>
        <v>45.5530122640075</v>
      </c>
      <c r="N1120" s="24" t="n">
        <f aca="false">'DCF Base Case'!$B$2*(1+B1120)^5*$I1120-'DCF Base Case'!$B$2*(1+B1120)^4*B1120*'DCF Base Case'!$B$4</f>
        <v>50.4492168905489</v>
      </c>
      <c r="O1120" s="24" t="n">
        <f aca="false">J1120/(1+H1120)^1+K1120/(1+H1120)^2+L1120/(1+H1120)^3+M1120/(1+H1120)^4+N1120/(1+H1120)^5</f>
        <v>155.33187737811</v>
      </c>
      <c r="P1120" s="24" t="n">
        <f aca="false">N1120*(1+F1120)/(H1120-F1120)</f>
        <v>659.043958072548</v>
      </c>
      <c r="Q1120" s="24" t="n">
        <f aca="false">O1120+P1120/(1+H1120)^5</f>
        <v>568.106782707631</v>
      </c>
      <c r="R1120" s="24" t="n">
        <f aca="false">Q1120-'DCF Base Case'!$B$5</f>
        <v>383.106782707631</v>
      </c>
      <c r="S1120" s="32" t="n">
        <f aca="false">R1120/'DCF Base Case'!$B$6</f>
        <v>15.3242713083052</v>
      </c>
    </row>
    <row r="1121" customFormat="false" ht="15" hidden="false" customHeight="true" outlineLevel="0" collapsed="false">
      <c r="A1121" s="6" t="n">
        <v>1120</v>
      </c>
      <c r="B1121" s="30" t="n">
        <v>0.0683468224705161</v>
      </c>
      <c r="C1121" s="30" t="n">
        <v>0.381589121163191</v>
      </c>
      <c r="D1121" s="30" t="n">
        <v>0.0801866936231746</v>
      </c>
      <c r="E1121" s="30" t="n">
        <v>0.286957814915259</v>
      </c>
      <c r="F1121" s="30" t="n">
        <v>0.0122116152082841</v>
      </c>
      <c r="G1121" s="30" t="n">
        <v>0.164224423000914</v>
      </c>
      <c r="H1121" s="31" t="n">
        <f aca="false">MAX(D1121,F1121+0.015)</f>
        <v>0.0801866936231746</v>
      </c>
      <c r="I1121" s="25" t="n">
        <f aca="false">(C1121-'DCF Base Case'!$B$3)*(1-E1121)+'DCF Base Case'!$B$3-G1121</f>
        <v>0.145169233696837</v>
      </c>
      <c r="J1121" s="24" t="n">
        <f aca="false">'DCF Base Case'!$B$2*(1+B1121)^1*$I1121-'DCF Base Case'!$B$2*(1+B1121)^0*B1121*'DCF Base Case'!$B$4</f>
        <v>22.1908993056252</v>
      </c>
      <c r="K1121" s="24" t="n">
        <f aca="false">'DCF Base Case'!$B$2*(1+B1121)^2*$I1121-'DCF Base Case'!$B$2*(1+B1121)^1*B1121*'DCF Base Case'!$B$4</f>
        <v>23.7075767609278</v>
      </c>
      <c r="L1121" s="24" t="n">
        <f aca="false">'DCF Base Case'!$B$2*(1+B1121)^3*$I1121-'DCF Base Case'!$B$2*(1+B1121)^2*B1121*'DCF Base Case'!$B$4</f>
        <v>25.3279143010131</v>
      </c>
      <c r="M1121" s="24" t="n">
        <f aca="false">'DCF Base Case'!$B$2*(1+B1121)^4*$I1121-'DCF Base Case'!$B$2*(1+B1121)^3*B1121*'DCF Base Case'!$B$4</f>
        <v>27.0589967632929</v>
      </c>
      <c r="N1121" s="24" t="n">
        <f aca="false">'DCF Base Case'!$B$2*(1+B1121)^5*$I1121-'DCF Base Case'!$B$2*(1+B1121)^4*B1121*'DCF Base Case'!$B$4</f>
        <v>28.9083932113039</v>
      </c>
      <c r="O1121" s="24" t="n">
        <f aca="false">J1121/(1+H1121)^1+K1121/(1+H1121)^2+L1121/(1+H1121)^3+M1121/(1+H1121)^4+N1121/(1+H1121)^5</f>
        <v>100.490664180216</v>
      </c>
      <c r="P1121" s="24" t="n">
        <f aca="false">N1121*(1+F1121)/(H1121-F1121)</f>
        <v>430.472638911737</v>
      </c>
      <c r="Q1121" s="24" t="n">
        <f aca="false">O1121+P1121/(1+H1121)^5</f>
        <v>393.21001764696</v>
      </c>
      <c r="R1121" s="24" t="n">
        <f aca="false">Q1121-'DCF Base Case'!$B$5</f>
        <v>208.21001764696</v>
      </c>
      <c r="S1121" s="32" t="n">
        <f aca="false">R1121/'DCF Base Case'!$B$6</f>
        <v>8.32840070587841</v>
      </c>
    </row>
    <row r="1122" customFormat="false" ht="15" hidden="false" customHeight="true" outlineLevel="0" collapsed="false">
      <c r="A1122" s="6" t="n">
        <v>1121</v>
      </c>
      <c r="B1122" s="30" t="n">
        <v>0.122006042713315</v>
      </c>
      <c r="C1122" s="30" t="n">
        <v>0.444916873016267</v>
      </c>
      <c r="D1122" s="30" t="n">
        <v>0.0785629751582067</v>
      </c>
      <c r="E1122" s="30" t="n">
        <v>0.253367758664343</v>
      </c>
      <c r="F1122" s="30" t="n">
        <v>0.0209907761149201</v>
      </c>
      <c r="G1122" s="30" t="n">
        <v>0.126400064832704</v>
      </c>
      <c r="H1122" s="31" t="n">
        <f aca="false">MAX(D1122,F1122+0.015)</f>
        <v>0.0785629751582067</v>
      </c>
      <c r="I1122" s="25" t="n">
        <f aca="false">(C1122-'DCF Base Case'!$B$3)*(1-E1122)+'DCF Base Case'!$B$3-G1122</f>
        <v>0.238727025901848</v>
      </c>
      <c r="J1122" s="24" t="n">
        <f aca="false">'DCF Base Case'!$B$2*(1+B1122)^1*$I1122-'DCF Base Case'!$B$2*(1+B1122)^0*B1122*'DCF Base Case'!$B$4</f>
        <v>38.3079827292205</v>
      </c>
      <c r="K1122" s="24" t="n">
        <f aca="false">'DCF Base Case'!$B$2*(1+B1122)^2*$I1122-'DCF Base Case'!$B$2*(1+B1122)^1*B1122*'DCF Base Case'!$B$4</f>
        <v>42.9817881063427</v>
      </c>
      <c r="L1122" s="24" t="n">
        <f aca="false">'DCF Base Case'!$B$2*(1+B1122)^3*$I1122-'DCF Base Case'!$B$2*(1+B1122)^2*B1122*'DCF Base Case'!$B$4</f>
        <v>48.2258259819398</v>
      </c>
      <c r="M1122" s="24" t="n">
        <f aca="false">'DCF Base Case'!$B$2*(1+B1122)^4*$I1122-'DCF Base Case'!$B$2*(1+B1122)^3*B1122*'DCF Base Case'!$B$4</f>
        <v>54.1096681665773</v>
      </c>
      <c r="N1122" s="24" t="n">
        <f aca="false">'DCF Base Case'!$B$2*(1+B1122)^5*$I1122-'DCF Base Case'!$B$2*(1+B1122)^4*B1122*'DCF Base Case'!$B$4</f>
        <v>60.711374652112</v>
      </c>
      <c r="O1122" s="24" t="n">
        <f aca="false">J1122/(1+H1122)^1+K1122/(1+H1122)^2+L1122/(1+H1122)^3+M1122/(1+H1122)^4+N1122/(1+H1122)^5</f>
        <v>192.482009712786</v>
      </c>
      <c r="P1122" s="24" t="n">
        <f aca="false">N1122*(1+F1122)/(H1122-F1122)</f>
        <v>1076.66121070794</v>
      </c>
      <c r="Q1122" s="24" t="n">
        <f aca="false">O1122+P1122/(1+H1122)^5</f>
        <v>930.134016014369</v>
      </c>
      <c r="R1122" s="24" t="n">
        <f aca="false">Q1122-'DCF Base Case'!$B$5</f>
        <v>745.134016014369</v>
      </c>
      <c r="S1122" s="32" t="n">
        <f aca="false">R1122/'DCF Base Case'!$B$6</f>
        <v>29.8053606405748</v>
      </c>
    </row>
    <row r="1123" customFormat="false" ht="15" hidden="false" customHeight="true" outlineLevel="0" collapsed="false">
      <c r="A1123" s="6" t="n">
        <v>1122</v>
      </c>
      <c r="B1123" s="30" t="n">
        <v>0.114167238769525</v>
      </c>
      <c r="C1123" s="30" t="n">
        <v>0.418723839349401</v>
      </c>
      <c r="D1123" s="30" t="n">
        <v>0.105144303526351</v>
      </c>
      <c r="E1123" s="30" t="n">
        <v>0.249622434643936</v>
      </c>
      <c r="F1123" s="30" t="n">
        <v>0.0226492949417749</v>
      </c>
      <c r="G1123" s="30" t="n">
        <v>0.163077430686983</v>
      </c>
      <c r="H1123" s="31" t="n">
        <f aca="false">MAX(D1123,F1123+0.015)</f>
        <v>0.105144303526351</v>
      </c>
      <c r="I1123" s="25" t="n">
        <f aca="false">(C1123-'DCF Base Case'!$B$3)*(1-E1123)+'DCF Base Case'!$B$3-G1123</f>
        <v>0.183574460944276</v>
      </c>
      <c r="J1123" s="24" t="n">
        <f aca="false">'DCF Base Case'!$B$2*(1+B1123)^1*$I1123-'DCF Base Case'!$B$2*(1+B1123)^0*B1123*'DCF Base Case'!$B$4</f>
        <v>29.1606067988913</v>
      </c>
      <c r="K1123" s="24" t="n">
        <f aca="false">'DCF Base Case'!$B$2*(1+B1123)^2*$I1123-'DCF Base Case'!$B$2*(1+B1123)^1*B1123*'DCF Base Case'!$B$4</f>
        <v>32.4897927579646</v>
      </c>
      <c r="L1123" s="24" t="n">
        <f aca="false">'DCF Base Case'!$B$2*(1+B1123)^3*$I1123-'DCF Base Case'!$B$2*(1+B1123)^2*B1123*'DCF Base Case'!$B$4</f>
        <v>36.1990626853355</v>
      </c>
      <c r="M1123" s="24" t="n">
        <f aca="false">'DCF Base Case'!$B$2*(1+B1123)^4*$I1123-'DCF Base Case'!$B$2*(1+B1123)^3*B1123*'DCF Base Case'!$B$4</f>
        <v>40.3318097181652</v>
      </c>
      <c r="N1123" s="24" t="n">
        <f aca="false">'DCF Base Case'!$B$2*(1+B1123)^5*$I1123-'DCF Base Case'!$B$2*(1+B1123)^4*B1123*'DCF Base Case'!$B$4</f>
        <v>44.936381068266</v>
      </c>
      <c r="O1123" s="24" t="n">
        <f aca="false">J1123/(1+H1123)^1+K1123/(1+H1123)^2+L1123/(1+H1123)^3+M1123/(1+H1123)^4+N1123/(1+H1123)^5</f>
        <v>134.10317982441</v>
      </c>
      <c r="P1123" s="24" t="n">
        <f aca="false">N1123*(1+F1123)/(H1123-F1123)</f>
        <v>557.053804892737</v>
      </c>
      <c r="Q1123" s="24" t="n">
        <f aca="false">O1123+P1123/(1+H1123)^5</f>
        <v>472.014077222759</v>
      </c>
      <c r="R1123" s="24" t="n">
        <f aca="false">Q1123-'DCF Base Case'!$B$5</f>
        <v>287.014077222759</v>
      </c>
      <c r="S1123" s="32" t="n">
        <f aca="false">R1123/'DCF Base Case'!$B$6</f>
        <v>11.4805630889104</v>
      </c>
    </row>
    <row r="1124" customFormat="false" ht="15" hidden="false" customHeight="true" outlineLevel="0" collapsed="false">
      <c r="A1124" s="6" t="n">
        <v>1123</v>
      </c>
      <c r="B1124" s="30" t="n">
        <v>0.0830292434525503</v>
      </c>
      <c r="C1124" s="30" t="n">
        <v>0.382031288004047</v>
      </c>
      <c r="D1124" s="30" t="n">
        <v>0.0915532269738289</v>
      </c>
      <c r="E1124" s="30" t="n">
        <v>0.300302721978432</v>
      </c>
      <c r="F1124" s="30" t="n">
        <v>0.0252927304934618</v>
      </c>
      <c r="G1124" s="30" t="n">
        <v>0.189335835255864</v>
      </c>
      <c r="H1124" s="31" t="n">
        <f aca="false">MAX(D1124,F1124+0.015)</f>
        <v>0.0915532269738289</v>
      </c>
      <c r="I1124" s="25" t="n">
        <f aca="false">(C1124-'DCF Base Case'!$B$3)*(1-E1124)+'DCF Base Case'!$B$3-G1124</f>
        <v>0.117009770936838</v>
      </c>
      <c r="J1124" s="24" t="n">
        <f aca="false">'DCF Base Case'!$B$2*(1+B1124)^1*$I1124-'DCF Base Case'!$B$2*(1+B1124)^0*B1124*'DCF Base Case'!$B$4</f>
        <v>18.0139483266519</v>
      </c>
      <c r="K1124" s="24" t="n">
        <f aca="false">'DCF Base Case'!$B$2*(1+B1124)^2*$I1124-'DCF Base Case'!$B$2*(1+B1124)^1*B1124*'DCF Base Case'!$B$4</f>
        <v>19.5096328278072</v>
      </c>
      <c r="L1124" s="24" t="n">
        <f aca="false">'DCF Base Case'!$B$2*(1+B1124)^3*$I1124-'DCF Base Case'!$B$2*(1+B1124)^2*B1124*'DCF Base Case'!$B$4</f>
        <v>21.129502881537</v>
      </c>
      <c r="M1124" s="24" t="n">
        <f aca="false">'DCF Base Case'!$B$2*(1+B1124)^4*$I1124-'DCF Base Case'!$B$2*(1+B1124)^3*B1124*'DCF Base Case'!$B$4</f>
        <v>22.8838695203195</v>
      </c>
      <c r="N1124" s="24" t="n">
        <f aca="false">'DCF Base Case'!$B$2*(1+B1124)^5*$I1124-'DCF Base Case'!$B$2*(1+B1124)^4*B1124*'DCF Base Case'!$B$4</f>
        <v>24.7838998938585</v>
      </c>
      <c r="O1124" s="24" t="n">
        <f aca="false">J1124/(1+H1124)^1+K1124/(1+H1124)^2+L1124/(1+H1124)^3+M1124/(1+H1124)^4+N1124/(1+H1124)^5</f>
        <v>81.2365033390838</v>
      </c>
      <c r="P1124" s="24" t="n">
        <f aca="false">N1124*(1+F1124)/(H1124-F1124)</f>
        <v>383.497766304543</v>
      </c>
      <c r="Q1124" s="24" t="n">
        <f aca="false">O1124+P1124/(1+H1124)^5</f>
        <v>328.715444533389</v>
      </c>
      <c r="R1124" s="24" t="n">
        <f aca="false">Q1124-'DCF Base Case'!$B$5</f>
        <v>143.715444533389</v>
      </c>
      <c r="S1124" s="32" t="n">
        <f aca="false">R1124/'DCF Base Case'!$B$6</f>
        <v>5.74861778133557</v>
      </c>
    </row>
    <row r="1125" customFormat="false" ht="15" hidden="false" customHeight="true" outlineLevel="0" collapsed="false">
      <c r="A1125" s="6" t="n">
        <v>1124</v>
      </c>
      <c r="B1125" s="30" t="n">
        <v>0.0771679338747091</v>
      </c>
      <c r="C1125" s="30" t="n">
        <v>0.387433906492594</v>
      </c>
      <c r="D1125" s="30" t="n">
        <v>0.0699465942312538</v>
      </c>
      <c r="E1125" s="30" t="n">
        <v>0.323610262697107</v>
      </c>
      <c r="F1125" s="30" t="n">
        <v>0.0161798704711731</v>
      </c>
      <c r="G1125" s="30" t="n">
        <v>0.199593242896364</v>
      </c>
      <c r="H1125" s="31" t="n">
        <f aca="false">MAX(D1125,F1125+0.015)</f>
        <v>0.0699465942312538</v>
      </c>
      <c r="I1125" s="25" t="n">
        <f aca="false">(C1125-'DCF Base Case'!$B$3)*(1-E1125)+'DCF Base Case'!$B$3-G1125</f>
        <v>0.104532409489019</v>
      </c>
      <c r="J1125" s="24" t="n">
        <f aca="false">'DCF Base Case'!$B$2*(1+B1125)^1*$I1125-'DCF Base Case'!$B$2*(1+B1125)^0*B1125*'DCF Base Case'!$B$4</f>
        <v>15.9911686227186</v>
      </c>
      <c r="K1125" s="24" t="n">
        <f aca="false">'DCF Base Case'!$B$2*(1+B1125)^2*$I1125-'DCF Base Case'!$B$2*(1+B1125)^1*B1125*'DCF Base Case'!$B$4</f>
        <v>17.2251740655759</v>
      </c>
      <c r="L1125" s="24" t="n">
        <f aca="false">'DCF Base Case'!$B$2*(1+B1125)^3*$I1125-'DCF Base Case'!$B$2*(1+B1125)^2*B1125*'DCF Base Case'!$B$4</f>
        <v>18.5544051588486</v>
      </c>
      <c r="M1125" s="24" t="n">
        <f aca="false">'DCF Base Case'!$B$2*(1+B1125)^4*$I1125-'DCF Base Case'!$B$2*(1+B1125)^3*B1125*'DCF Base Case'!$B$4</f>
        <v>19.9862102692312</v>
      </c>
      <c r="N1125" s="24" t="n">
        <f aca="false">'DCF Base Case'!$B$2*(1+B1125)^5*$I1125-'DCF Base Case'!$B$2*(1+B1125)^4*B1125*'DCF Base Case'!$B$4</f>
        <v>21.5285048216933</v>
      </c>
      <c r="O1125" s="24" t="n">
        <f aca="false">J1125/(1+H1125)^1+K1125/(1+H1125)^2+L1125/(1+H1125)^3+M1125/(1+H1125)^4+N1125/(1+H1125)^5</f>
        <v>75.74437533972</v>
      </c>
      <c r="P1125" s="24" t="n">
        <f aca="false">N1125*(1+F1125)/(H1125-F1125)</f>
        <v>406.884253144486</v>
      </c>
      <c r="Q1125" s="24" t="n">
        <f aca="false">O1125+P1125/(1+H1125)^5</f>
        <v>365.919633293542</v>
      </c>
      <c r="R1125" s="24" t="n">
        <f aca="false">Q1125-'DCF Base Case'!$B$5</f>
        <v>180.919633293542</v>
      </c>
      <c r="S1125" s="32" t="n">
        <f aca="false">R1125/'DCF Base Case'!$B$6</f>
        <v>7.23678533174168</v>
      </c>
    </row>
    <row r="1126" customFormat="false" ht="15" hidden="false" customHeight="true" outlineLevel="0" collapsed="false">
      <c r="A1126" s="6" t="n">
        <v>1125</v>
      </c>
      <c r="B1126" s="30" t="n">
        <v>0.101285238232411</v>
      </c>
      <c r="C1126" s="30" t="n">
        <v>0.42472548552791</v>
      </c>
      <c r="D1126" s="30" t="n">
        <v>0.0816244485618367</v>
      </c>
      <c r="E1126" s="30" t="n">
        <v>0.299813653379727</v>
      </c>
      <c r="F1126" s="30" t="n">
        <v>0.0192962332876307</v>
      </c>
      <c r="G1126" s="30" t="n">
        <v>0.15773509638364</v>
      </c>
      <c r="H1126" s="31" t="n">
        <f aca="false">MAX(D1126,F1126+0.015)</f>
        <v>0.0816244485618367</v>
      </c>
      <c r="I1126" s="25" t="n">
        <f aca="false">(C1126-'DCF Base Case'!$B$3)*(1-E1126)+'DCF Base Case'!$B$3-G1126</f>
        <v>0.178627664584033</v>
      </c>
      <c r="J1126" s="24" t="n">
        <f aca="false">'DCF Base Case'!$B$2*(1+B1126)^1*$I1126-'DCF Base Case'!$B$2*(1+B1126)^0*B1126*'DCF Base Case'!$B$4</f>
        <v>28.0838106849064</v>
      </c>
      <c r="K1126" s="24" t="n">
        <f aca="false">'DCF Base Case'!$B$2*(1+B1126)^2*$I1126-'DCF Base Case'!$B$2*(1+B1126)^1*B1126*'DCF Base Case'!$B$4</f>
        <v>30.928286140601</v>
      </c>
      <c r="L1126" s="24" t="n">
        <f aca="false">'DCF Base Case'!$B$2*(1+B1126)^3*$I1126-'DCF Base Case'!$B$2*(1+B1126)^2*B1126*'DCF Base Case'!$B$4</f>
        <v>34.060864970472</v>
      </c>
      <c r="M1126" s="24" t="n">
        <f aca="false">'DCF Base Case'!$B$2*(1+B1126)^4*$I1126-'DCF Base Case'!$B$2*(1+B1126)^3*B1126*'DCF Base Case'!$B$4</f>
        <v>37.5107277934082</v>
      </c>
      <c r="N1126" s="24" t="n">
        <f aca="false">'DCF Base Case'!$B$2*(1+B1126)^5*$I1126-'DCF Base Case'!$B$2*(1+B1126)^4*B1126*'DCF Base Case'!$B$4</f>
        <v>41.3100107942347</v>
      </c>
      <c r="O1126" s="24" t="n">
        <f aca="false">J1126/(1+H1126)^1+K1126/(1+H1126)^2+L1126/(1+H1126)^3+M1126/(1+H1126)^4+N1126/(1+H1126)^5</f>
        <v>134.628531738919</v>
      </c>
      <c r="P1126" s="24" t="n">
        <f aca="false">N1126*(1+F1126)/(H1126-F1126)</f>
        <v>675.571059020207</v>
      </c>
      <c r="Q1126" s="24" t="n">
        <f aca="false">O1126+P1126/(1+H1126)^5</f>
        <v>590.968554668445</v>
      </c>
      <c r="R1126" s="24" t="n">
        <f aca="false">Q1126-'DCF Base Case'!$B$5</f>
        <v>405.968554668445</v>
      </c>
      <c r="S1126" s="32" t="n">
        <f aca="false">R1126/'DCF Base Case'!$B$6</f>
        <v>16.2387421867378</v>
      </c>
    </row>
    <row r="1127" customFormat="false" ht="15" hidden="false" customHeight="true" outlineLevel="0" collapsed="false">
      <c r="A1127" s="6" t="n">
        <v>1126</v>
      </c>
      <c r="B1127" s="30" t="n">
        <v>0.105127882481277</v>
      </c>
      <c r="C1127" s="30" t="n">
        <v>0.417094342714066</v>
      </c>
      <c r="D1127" s="30" t="n">
        <v>0.0762183174338729</v>
      </c>
      <c r="E1127" s="30" t="n">
        <v>0.297887838752011</v>
      </c>
      <c r="F1127" s="30" t="n">
        <v>0.0191124033190071</v>
      </c>
      <c r="G1127" s="30" t="n">
        <v>0.176702006720621</v>
      </c>
      <c r="H1127" s="31" t="n">
        <f aca="false">MAX(D1127,F1127+0.015)</f>
        <v>0.0762183174338729</v>
      </c>
      <c r="I1127" s="25" t="n">
        <f aca="false">(C1127-'DCF Base Case'!$B$3)*(1-E1127)+'DCF Base Case'!$B$3-G1127</f>
        <v>0.154870422724423</v>
      </c>
      <c r="J1127" s="24" t="n">
        <f aca="false">'DCF Base Case'!$B$2*(1+B1127)^1*$I1127-'DCF Base Case'!$B$2*(1+B1127)^0*B1127*'DCF Base Case'!$B$4</f>
        <v>24.3596789482476</v>
      </c>
      <c r="K1127" s="24" t="n">
        <f aca="false">'DCF Base Case'!$B$2*(1+B1127)^2*$I1127-'DCF Base Case'!$B$2*(1+B1127)^1*B1127*'DCF Base Case'!$B$4</f>
        <v>26.9205604140006</v>
      </c>
      <c r="L1127" s="24" t="n">
        <f aca="false">'DCF Base Case'!$B$2*(1+B1127)^3*$I1127-'DCF Base Case'!$B$2*(1+B1127)^2*B1127*'DCF Base Case'!$B$4</f>
        <v>29.7506619255337</v>
      </c>
      <c r="M1127" s="24" t="n">
        <f aca="false">'DCF Base Case'!$B$2*(1+B1127)^4*$I1127-'DCF Base Case'!$B$2*(1+B1127)^3*B1127*'DCF Base Case'!$B$4</f>
        <v>32.8782860161815</v>
      </c>
      <c r="N1127" s="24" t="n">
        <f aca="false">'DCF Base Case'!$B$2*(1+B1127)^5*$I1127-'DCF Base Case'!$B$2*(1+B1127)^4*B1127*'DCF Base Case'!$B$4</f>
        <v>36.3347106046764</v>
      </c>
      <c r="O1127" s="24" t="n">
        <f aca="false">J1127/(1+H1127)^1+K1127/(1+H1127)^2+L1127/(1+H1127)^3+M1127/(1+H1127)^4+N1127/(1+H1127)^5</f>
        <v>119.418225403147</v>
      </c>
      <c r="P1127" s="24" t="n">
        <f aca="false">N1127*(1+F1127)/(H1127-F1127)</f>
        <v>648.429410896917</v>
      </c>
      <c r="Q1127" s="24" t="n">
        <f aca="false">O1127+P1127/(1+H1127)^5</f>
        <v>568.536583152079</v>
      </c>
      <c r="R1127" s="24" t="n">
        <f aca="false">Q1127-'DCF Base Case'!$B$5</f>
        <v>383.536583152079</v>
      </c>
      <c r="S1127" s="32" t="n">
        <f aca="false">R1127/'DCF Base Case'!$B$6</f>
        <v>15.3414633260832</v>
      </c>
    </row>
    <row r="1128" customFormat="false" ht="15" hidden="false" customHeight="true" outlineLevel="0" collapsed="false">
      <c r="A1128" s="6" t="n">
        <v>1127</v>
      </c>
      <c r="B1128" s="30" t="n">
        <v>0.0803091086838285</v>
      </c>
      <c r="C1128" s="30" t="n">
        <v>0.384281604044763</v>
      </c>
      <c r="D1128" s="30" t="n">
        <v>0.104085813587657</v>
      </c>
      <c r="E1128" s="30" t="n">
        <v>0.325429956578295</v>
      </c>
      <c r="F1128" s="30" t="n">
        <v>0.0225272434618327</v>
      </c>
      <c r="G1128" s="30" t="n">
        <v>0.157367262073063</v>
      </c>
      <c r="H1128" s="31" t="n">
        <f aca="false">MAX(D1128,F1128+0.015)</f>
        <v>0.104085813587657</v>
      </c>
      <c r="I1128" s="25" t="n">
        <f aca="false">(C1128-'DCF Base Case'!$B$3)*(1-E1128)+'DCF Base Case'!$B$3-G1128</f>
        <v>0.144163490608754</v>
      </c>
      <c r="J1128" s="24" t="n">
        <f aca="false">'DCF Base Case'!$B$2*(1+B1128)^1*$I1128-'DCF Base Case'!$B$2*(1+B1128)^0*B1128*'DCF Base Case'!$B$4</f>
        <v>22.2331195236477</v>
      </c>
      <c r="K1128" s="24" t="n">
        <f aca="false">'DCF Base Case'!$B$2*(1+B1128)^2*$I1128-'DCF Base Case'!$B$2*(1+B1128)^1*B1128*'DCF Base Case'!$B$4</f>
        <v>24.0186415358529</v>
      </c>
      <c r="L1128" s="24" t="n">
        <f aca="false">'DCF Base Case'!$B$2*(1+B1128)^3*$I1128-'DCF Base Case'!$B$2*(1+B1128)^2*B1128*'DCF Base Case'!$B$4</f>
        <v>25.9475572293936</v>
      </c>
      <c r="M1128" s="24" t="n">
        <f aca="false">'DCF Base Case'!$B$2*(1+B1128)^4*$I1128-'DCF Base Case'!$B$2*(1+B1128)^3*B1128*'DCF Base Case'!$B$4</f>
        <v>28.0313824230088</v>
      </c>
      <c r="N1128" s="24" t="n">
        <f aca="false">'DCF Base Case'!$B$2*(1+B1128)^5*$I1128-'DCF Base Case'!$B$2*(1+B1128)^4*B1128*'DCF Base Case'!$B$4</f>
        <v>30.2825577605762</v>
      </c>
      <c r="O1128" s="24" t="n">
        <f aca="false">J1128/(1+H1128)^1+K1128/(1+H1128)^2+L1128/(1+H1128)^3+M1128/(1+H1128)^4+N1128/(1+H1128)^5</f>
        <v>96.4414669929677</v>
      </c>
      <c r="P1128" s="24" t="n">
        <f aca="false">N1128*(1+F1128)/(H1128-F1128)</f>
        <v>379.662618706102</v>
      </c>
      <c r="Q1128" s="24" t="n">
        <f aca="false">O1128+P1128/(1+H1128)^5</f>
        <v>327.852302648145</v>
      </c>
      <c r="R1128" s="24" t="n">
        <f aca="false">Q1128-'DCF Base Case'!$B$5</f>
        <v>142.852302648145</v>
      </c>
      <c r="S1128" s="32" t="n">
        <f aca="false">R1128/'DCF Base Case'!$B$6</f>
        <v>5.7140921059258</v>
      </c>
    </row>
    <row r="1129" customFormat="false" ht="15" hidden="false" customHeight="true" outlineLevel="0" collapsed="false">
      <c r="A1129" s="6" t="n">
        <v>1128</v>
      </c>
      <c r="B1129" s="30" t="n">
        <v>0.0837016768847474</v>
      </c>
      <c r="C1129" s="30" t="n">
        <v>0.438360615310861</v>
      </c>
      <c r="D1129" s="30" t="n">
        <v>0.0811078695867585</v>
      </c>
      <c r="E1129" s="30" t="n">
        <v>0.264611282015798</v>
      </c>
      <c r="F1129" s="30" t="n">
        <v>0.025496365007426</v>
      </c>
      <c r="G1129" s="30" t="n">
        <v>0.164196051789212</v>
      </c>
      <c r="H1129" s="31" t="n">
        <f aca="false">MAX(D1129,F1129+0.015)</f>
        <v>0.0811078695867585</v>
      </c>
      <c r="I1129" s="25" t="n">
        <f aca="false">(C1129-'DCF Base Case'!$B$3)*(1-E1129)+'DCF Base Case'!$B$3-G1129</f>
        <v>0.192568865781062</v>
      </c>
      <c r="J1129" s="24" t="n">
        <f aca="false">'DCF Base Case'!$B$2*(1+B1129)^1*$I1129-'DCF Base Case'!$B$2*(1+B1129)^0*B1129*'DCF Base Case'!$B$4</f>
        <v>29.8955421061473</v>
      </c>
      <c r="K1129" s="24" t="n">
        <f aca="false">'DCF Base Case'!$B$2*(1+B1129)^2*$I1129-'DCF Base Case'!$B$2*(1+B1129)^1*B1129*'DCF Base Case'!$B$4</f>
        <v>32.3978491118104</v>
      </c>
      <c r="L1129" s="24" t="n">
        <f aca="false">'DCF Base Case'!$B$2*(1+B1129)^3*$I1129-'DCF Base Case'!$B$2*(1+B1129)^2*B1129*'DCF Base Case'!$B$4</f>
        <v>35.1096034099279</v>
      </c>
      <c r="M1129" s="24" t="n">
        <f aca="false">'DCF Base Case'!$B$2*(1+B1129)^4*$I1129-'DCF Base Case'!$B$2*(1+B1129)^3*B1129*'DCF Base Case'!$B$4</f>
        <v>38.0483360900973</v>
      </c>
      <c r="N1129" s="24" t="n">
        <f aca="false">'DCF Base Case'!$B$2*(1+B1129)^5*$I1129-'DCF Base Case'!$B$2*(1+B1129)^4*B1129*'DCF Base Case'!$B$4</f>
        <v>41.2330456235129</v>
      </c>
      <c r="O1129" s="24" t="n">
        <f aca="false">J1129/(1+H1129)^1+K1129/(1+H1129)^2+L1129/(1+H1129)^3+M1129/(1+H1129)^4+N1129/(1+H1129)^5</f>
        <v>138.928496589171</v>
      </c>
      <c r="P1129" s="24" t="n">
        <f aca="false">N1129*(1+F1129)/(H1129-F1129)</f>
        <v>760.352353797175</v>
      </c>
      <c r="Q1129" s="24" t="n">
        <f aca="false">O1129+P1129/(1+H1129)^5</f>
        <v>653.765497049512</v>
      </c>
      <c r="R1129" s="24" t="n">
        <f aca="false">Q1129-'DCF Base Case'!$B$5</f>
        <v>468.765497049512</v>
      </c>
      <c r="S1129" s="32" t="n">
        <f aca="false">R1129/'DCF Base Case'!$B$6</f>
        <v>18.7506198819805</v>
      </c>
    </row>
    <row r="1130" customFormat="false" ht="15" hidden="false" customHeight="true" outlineLevel="0" collapsed="false">
      <c r="A1130" s="6" t="n">
        <v>1129</v>
      </c>
      <c r="B1130" s="30" t="n">
        <v>0.126126479778866</v>
      </c>
      <c r="C1130" s="30" t="n">
        <v>0.398323717181322</v>
      </c>
      <c r="D1130" s="30" t="n">
        <v>0.0907000337106295</v>
      </c>
      <c r="E1130" s="30" t="n">
        <v>0.336221834862328</v>
      </c>
      <c r="F1130" s="30" t="n">
        <v>0.0194644988707883</v>
      </c>
      <c r="G1130" s="30" t="n">
        <v>0.159793880363616</v>
      </c>
      <c r="H1130" s="31" t="n">
        <f aca="false">MAX(D1130,F1130+0.015)</f>
        <v>0.0907000337106295</v>
      </c>
      <c r="I1130" s="25" t="n">
        <f aca="false">(C1130-'DCF Base Case'!$B$3)*(1-E1130)+'DCF Base Case'!$B$3-G1130</f>
        <v>0.148313544289922</v>
      </c>
      <c r="J1130" s="24" t="n">
        <f aca="false">'DCF Base Case'!$B$2*(1+B1130)^1*$I1130-'DCF Base Case'!$B$2*(1+B1130)^0*B1130*'DCF Base Case'!$B$4</f>
        <v>23.6692221954987</v>
      </c>
      <c r="K1130" s="24" t="n">
        <f aca="false">'DCF Base Case'!$B$2*(1+B1130)^2*$I1130-'DCF Base Case'!$B$2*(1+B1130)^1*B1130*'DCF Base Case'!$B$4</f>
        <v>26.6545378701207</v>
      </c>
      <c r="L1130" s="24" t="n">
        <f aca="false">'DCF Base Case'!$B$2*(1+B1130)^3*$I1130-'DCF Base Case'!$B$2*(1+B1130)^2*B1130*'DCF Base Case'!$B$4</f>
        <v>30.0163809018115</v>
      </c>
      <c r="M1130" s="24" t="n">
        <f aca="false">'DCF Base Case'!$B$2*(1+B1130)^4*$I1130-'DCF Base Case'!$B$2*(1+B1130)^3*B1130*'DCF Base Case'!$B$4</f>
        <v>33.8022413606586</v>
      </c>
      <c r="N1130" s="24" t="n">
        <f aca="false">'DCF Base Case'!$B$2*(1+B1130)^5*$I1130-'DCF Base Case'!$B$2*(1+B1130)^4*B1130*'DCF Base Case'!$B$4</f>
        <v>38.0655990721141</v>
      </c>
      <c r="O1130" s="24" t="n">
        <f aca="false">J1130/(1+H1130)^1+K1130/(1+H1130)^2+L1130/(1+H1130)^3+M1130/(1+H1130)^4+N1130/(1+H1130)^5</f>
        <v>115.785979872941</v>
      </c>
      <c r="P1130" s="24" t="n">
        <f aca="false">N1130*(1+F1130)/(H1130-F1130)</f>
        <v>544.763606667905</v>
      </c>
      <c r="Q1130" s="24" t="n">
        <f aca="false">O1130+P1130/(1+H1130)^5</f>
        <v>468.710191885433</v>
      </c>
      <c r="R1130" s="24" t="n">
        <f aca="false">Q1130-'DCF Base Case'!$B$5</f>
        <v>283.710191885433</v>
      </c>
      <c r="S1130" s="32" t="n">
        <f aca="false">R1130/'DCF Base Case'!$B$6</f>
        <v>11.3484076754173</v>
      </c>
    </row>
    <row r="1131" customFormat="false" ht="15" hidden="false" customHeight="true" outlineLevel="0" collapsed="false">
      <c r="A1131" s="6" t="n">
        <v>1130</v>
      </c>
      <c r="B1131" s="30" t="n">
        <v>0.0646427904341942</v>
      </c>
      <c r="C1131" s="30" t="n">
        <v>0.426982878886744</v>
      </c>
      <c r="D1131" s="30" t="n">
        <v>0.0765285910909525</v>
      </c>
      <c r="E1131" s="30" t="n">
        <v>0.277035015905208</v>
      </c>
      <c r="F1131" s="30" t="n">
        <v>0.014357623469451</v>
      </c>
      <c r="G1131" s="30" t="n">
        <v>0.201066259345164</v>
      </c>
      <c r="H1131" s="31" t="n">
        <f aca="false">MAX(D1131,F1131+0.015)</f>
        <v>0.0765285910909525</v>
      </c>
      <c r="I1131" s="25" t="n">
        <f aca="false">(C1131-'DCF Base Case'!$B$3)*(1-E1131)+'DCF Base Case'!$B$3-G1131</f>
        <v>0.143641962965616</v>
      </c>
      <c r="J1131" s="24" t="n">
        <f aca="false">'DCF Base Case'!$B$2*(1+B1131)^1*$I1131-'DCF Base Case'!$B$2*(1+B1131)^0*B1131*'DCF Base Case'!$B$4</f>
        <v>21.8932740015093</v>
      </c>
      <c r="K1131" s="24" t="n">
        <f aca="false">'DCF Base Case'!$B$2*(1+B1131)^2*$I1131-'DCF Base Case'!$B$2*(1+B1131)^1*B1131*'DCF Base Case'!$B$4</f>
        <v>23.3085163247073</v>
      </c>
      <c r="L1131" s="24" t="n">
        <f aca="false">'DCF Base Case'!$B$2*(1+B1131)^3*$I1131-'DCF Base Case'!$B$2*(1+B1131)^2*B1131*'DCF Base Case'!$B$4</f>
        <v>24.8152438608173</v>
      </c>
      <c r="M1131" s="24" t="n">
        <f aca="false">'DCF Base Case'!$B$2*(1+B1131)^4*$I1131-'DCF Base Case'!$B$2*(1+B1131)^3*B1131*'DCF Base Case'!$B$4</f>
        <v>26.4193704692856</v>
      </c>
      <c r="N1131" s="24" t="n">
        <f aca="false">'DCF Base Case'!$B$2*(1+B1131)^5*$I1131-'DCF Base Case'!$B$2*(1+B1131)^4*B1131*'DCF Base Case'!$B$4</f>
        <v>28.1271922979349</v>
      </c>
      <c r="O1131" s="24" t="n">
        <f aca="false">J1131/(1+H1131)^1+K1131/(1+H1131)^2+L1131/(1+H1131)^3+M1131/(1+H1131)^4+N1131/(1+H1131)^5</f>
        <v>99.463875225962</v>
      </c>
      <c r="P1131" s="24" t="n">
        <f aca="false">N1131*(1+F1131)/(H1131-F1131)</f>
        <v>458.912463899536</v>
      </c>
      <c r="Q1131" s="24" t="n">
        <f aca="false">O1131+P1131/(1+H1131)^5</f>
        <v>416.860285278742</v>
      </c>
      <c r="R1131" s="24" t="n">
        <f aca="false">Q1131-'DCF Base Case'!$B$5</f>
        <v>231.860285278742</v>
      </c>
      <c r="S1131" s="32" t="n">
        <f aca="false">R1131/'DCF Base Case'!$B$6</f>
        <v>9.27441141114968</v>
      </c>
    </row>
    <row r="1132" customFormat="false" ht="15" hidden="false" customHeight="true" outlineLevel="0" collapsed="false">
      <c r="A1132" s="6" t="n">
        <v>1131</v>
      </c>
      <c r="B1132" s="30" t="n">
        <v>0.115093304338113</v>
      </c>
      <c r="C1132" s="30" t="n">
        <v>0.422371793199788</v>
      </c>
      <c r="D1132" s="30" t="n">
        <v>0.0723043617085438</v>
      </c>
      <c r="E1132" s="30" t="n">
        <v>0.325169014596774</v>
      </c>
      <c r="F1132" s="30" t="n">
        <v>0.0179064152335625</v>
      </c>
      <c r="G1132" s="30" t="n">
        <v>0.143197880928013</v>
      </c>
      <c r="H1132" s="31" t="n">
        <f aca="false">MAX(D1132,F1132+0.015)</f>
        <v>0.0723043617085438</v>
      </c>
      <c r="I1132" s="25" t="n">
        <f aca="false">(C1132-'DCF Base Case'!$B$3)*(1-E1132)+'DCF Base Case'!$B$3-G1132</f>
        <v>0.184103664381108</v>
      </c>
      <c r="J1132" s="24" t="n">
        <f aca="false">'DCF Base Case'!$B$2*(1+B1132)^1*$I1132-'DCF Base Case'!$B$2*(1+B1132)^0*B1132*'DCF Base Case'!$B$4</f>
        <v>29.2667948271745</v>
      </c>
      <c r="K1132" s="24" t="n">
        <f aca="false">'DCF Base Case'!$B$2*(1+B1132)^2*$I1132-'DCF Base Case'!$B$2*(1+B1132)^1*B1132*'DCF Base Case'!$B$4</f>
        <v>32.6352069512196</v>
      </c>
      <c r="L1132" s="24" t="n">
        <f aca="false">'DCF Base Case'!$B$2*(1+B1132)^3*$I1132-'DCF Base Case'!$B$2*(1+B1132)^2*B1132*'DCF Base Case'!$B$4</f>
        <v>36.3913007569936</v>
      </c>
      <c r="M1132" s="24" t="n">
        <f aca="false">'DCF Base Case'!$B$2*(1+B1132)^4*$I1132-'DCF Base Case'!$B$2*(1+B1132)^3*B1132*'DCF Base Case'!$B$4</f>
        <v>40.5796958102781</v>
      </c>
      <c r="N1132" s="24" t="n">
        <f aca="false">'DCF Base Case'!$B$2*(1+B1132)^5*$I1132-'DCF Base Case'!$B$2*(1+B1132)^4*B1132*'DCF Base Case'!$B$4</f>
        <v>45.2501470901185</v>
      </c>
      <c r="O1132" s="24" t="n">
        <f aca="false">J1132/(1+H1132)^1+K1132/(1+H1132)^2+L1132/(1+H1132)^3+M1132/(1+H1132)^4+N1132/(1+H1132)^5</f>
        <v>147.801232371811</v>
      </c>
      <c r="P1132" s="24" t="n">
        <f aca="false">N1132*(1+F1132)/(H1132-F1132)</f>
        <v>846.73076831086</v>
      </c>
      <c r="Q1132" s="24" t="n">
        <f aca="false">O1132+P1132/(1+H1132)^5</f>
        <v>745.049610003732</v>
      </c>
      <c r="R1132" s="24" t="n">
        <f aca="false">Q1132-'DCF Base Case'!$B$5</f>
        <v>560.049610003732</v>
      </c>
      <c r="S1132" s="32" t="n">
        <f aca="false">R1132/'DCF Base Case'!$B$6</f>
        <v>22.4019844001493</v>
      </c>
    </row>
    <row r="1133" customFormat="false" ht="15" hidden="false" customHeight="true" outlineLevel="0" collapsed="false">
      <c r="A1133" s="6" t="n">
        <v>1132</v>
      </c>
      <c r="B1133" s="30" t="n">
        <v>0.0539686578244809</v>
      </c>
      <c r="C1133" s="30" t="n">
        <v>0.385793298806902</v>
      </c>
      <c r="D1133" s="30" t="n">
        <v>0.0689989806521707</v>
      </c>
      <c r="E1133" s="30" t="n">
        <v>0.264796368666931</v>
      </c>
      <c r="F1133" s="30" t="n">
        <v>0.0220258522426628</v>
      </c>
      <c r="G1133" s="30" t="n">
        <v>0.157612840439558</v>
      </c>
      <c r="H1133" s="31" t="n">
        <f aca="false">MAX(D1133,F1133+0.015)</f>
        <v>0.0689989806521707</v>
      </c>
      <c r="I1133" s="25" t="n">
        <f aca="false">(C1133-'DCF Base Case'!$B$3)*(1-E1133)+'DCF Base Case'!$B$3-G1133</f>
        <v>0.160447321713941</v>
      </c>
      <c r="J1133" s="24" t="n">
        <f aca="false">'DCF Base Case'!$B$2*(1+B1133)^1*$I1133-'DCF Base Case'!$B$2*(1+B1133)^0*B1133*'DCF Base Case'!$B$4</f>
        <v>24.2856713446279</v>
      </c>
      <c r="K1133" s="24" t="n">
        <f aca="false">'DCF Base Case'!$B$2*(1+B1133)^2*$I1133-'DCF Base Case'!$B$2*(1+B1133)^1*B1133*'DCF Base Case'!$B$4</f>
        <v>25.5963364314639</v>
      </c>
      <c r="L1133" s="24" t="n">
        <f aca="false">'DCF Base Case'!$B$2*(1+B1133)^3*$I1133-'DCF Base Case'!$B$2*(1+B1133)^2*B1133*'DCF Base Case'!$B$4</f>
        <v>26.9777363538939</v>
      </c>
      <c r="M1133" s="24" t="n">
        <f aca="false">'DCF Base Case'!$B$2*(1+B1133)^4*$I1133-'DCF Base Case'!$B$2*(1+B1133)^3*B1133*'DCF Base Case'!$B$4</f>
        <v>28.4336885760563</v>
      </c>
      <c r="N1133" s="24" t="n">
        <f aca="false">'DCF Base Case'!$B$2*(1+B1133)^5*$I1133-'DCF Base Case'!$B$2*(1+B1133)^4*B1133*'DCF Base Case'!$B$4</f>
        <v>29.9682165855053</v>
      </c>
      <c r="O1133" s="24" t="n">
        <f aca="false">J1133/(1+H1133)^1+K1133/(1+H1133)^2+L1133/(1+H1133)^3+M1133/(1+H1133)^4+N1133/(1+H1133)^5</f>
        <v>110.441096914794</v>
      </c>
      <c r="P1133" s="24" t="n">
        <f aca="false">N1133*(1+F1133)/(H1133-F1133)</f>
        <v>652.038583186941</v>
      </c>
      <c r="Q1133" s="24" t="n">
        <f aca="false">O1133+P1133/(1+H1133)^5</f>
        <v>577.516330474851</v>
      </c>
      <c r="R1133" s="24" t="n">
        <f aca="false">Q1133-'DCF Base Case'!$B$5</f>
        <v>392.516330474851</v>
      </c>
      <c r="S1133" s="32" t="n">
        <f aca="false">R1133/'DCF Base Case'!$B$6</f>
        <v>15.700653218994</v>
      </c>
    </row>
    <row r="1134" customFormat="false" ht="15" hidden="false" customHeight="true" outlineLevel="0" collapsed="false">
      <c r="A1134" s="6" t="n">
        <v>1133</v>
      </c>
      <c r="B1134" s="30" t="n">
        <v>0.0975126430083229</v>
      </c>
      <c r="C1134" s="30" t="n">
        <v>0.401720541981036</v>
      </c>
      <c r="D1134" s="30" t="n">
        <v>0.0857168597300066</v>
      </c>
      <c r="E1134" s="30" t="n">
        <v>0.333538412896239</v>
      </c>
      <c r="F1134" s="30" t="n">
        <v>0.0179783505285017</v>
      </c>
      <c r="G1134" s="30" t="n">
        <v>0.174152638497205</v>
      </c>
      <c r="H1134" s="31" t="n">
        <f aca="false">MAX(D1134,F1134+0.015)</f>
        <v>0.0857168597300066</v>
      </c>
      <c r="I1134" s="25" t="n">
        <f aca="false">(C1134-'DCF Base Case'!$B$3)*(1-E1134)+'DCF Base Case'!$B$3-G1134</f>
        <v>0.13693866516017</v>
      </c>
      <c r="J1134" s="24" t="n">
        <f aca="false">'DCF Base Case'!$B$2*(1+B1134)^1*$I1134-'DCF Base Case'!$B$2*(1+B1134)^0*B1134*'DCF Base Case'!$B$4</f>
        <v>21.3681478707595</v>
      </c>
      <c r="K1134" s="24" t="n">
        <f aca="false">'DCF Base Case'!$B$2*(1+B1134)^2*$I1134-'DCF Base Case'!$B$2*(1+B1134)^1*B1134*'DCF Base Case'!$B$4</f>
        <v>23.4518124458299</v>
      </c>
      <c r="L1134" s="24" t="n">
        <f aca="false">'DCF Base Case'!$B$2*(1+B1134)^3*$I1134-'DCF Base Case'!$B$2*(1+B1134)^2*B1134*'DCF Base Case'!$B$4</f>
        <v>25.7386606607583</v>
      </c>
      <c r="M1134" s="24" t="n">
        <f aca="false">'DCF Base Case'!$B$2*(1+B1134)^4*$I1134-'DCF Base Case'!$B$2*(1+B1134)^3*B1134*'DCF Base Case'!$B$4</f>
        <v>28.2485054892832</v>
      </c>
      <c r="N1134" s="24" t="n">
        <f aca="false">'DCF Base Case'!$B$2*(1+B1134)^5*$I1134-'DCF Base Case'!$B$2*(1+B1134)^4*B1134*'DCF Base Case'!$B$4</f>
        <v>31.0030919205783</v>
      </c>
      <c r="O1134" s="24" t="n">
        <f aca="false">J1134/(1+H1134)^1+K1134/(1+H1134)^2+L1134/(1+H1134)^3+M1134/(1+H1134)^4+N1134/(1+H1134)^5</f>
        <v>100.567328411277</v>
      </c>
      <c r="P1134" s="24" t="n">
        <f aca="false">N1134*(1+F1134)/(H1134-F1134)</f>
        <v>465.916311808832</v>
      </c>
      <c r="Q1134" s="24" t="n">
        <f aca="false">O1134+P1134/(1+H1134)^5</f>
        <v>409.401256977201</v>
      </c>
      <c r="R1134" s="24" t="n">
        <f aca="false">Q1134-'DCF Base Case'!$B$5</f>
        <v>224.401256977201</v>
      </c>
      <c r="S1134" s="32" t="n">
        <f aca="false">R1134/'DCF Base Case'!$B$6</f>
        <v>8.97605027908803</v>
      </c>
    </row>
    <row r="1135" customFormat="false" ht="15" hidden="false" customHeight="true" outlineLevel="0" collapsed="false">
      <c r="A1135" s="6" t="n">
        <v>1134</v>
      </c>
      <c r="B1135" s="30" t="n">
        <v>0.0571361706879602</v>
      </c>
      <c r="C1135" s="30" t="n">
        <v>0.432395045512873</v>
      </c>
      <c r="D1135" s="30" t="n">
        <v>0.0797507270816065</v>
      </c>
      <c r="E1135" s="30" t="n">
        <v>0.311885822844954</v>
      </c>
      <c r="F1135" s="30" t="n">
        <v>0.018883798666006</v>
      </c>
      <c r="G1135" s="30" t="n">
        <v>0.179720373857941</v>
      </c>
      <c r="H1135" s="31" t="n">
        <f aca="false">MAX(D1135,F1135+0.015)</f>
        <v>0.0797507270816065</v>
      </c>
      <c r="I1135" s="25" t="n">
        <f aca="false">(C1135-'DCF Base Case'!$B$3)*(1-E1135)+'DCF Base Case'!$B$3-G1135</f>
        <v>0.158361944060912</v>
      </c>
      <c r="J1135" s="24" t="n">
        <f aca="false">'DCF Base Case'!$B$2*(1+B1135)^1*$I1135-'DCF Base Case'!$B$2*(1+B1135)^0*B1135*'DCF Base Case'!$B$4</f>
        <v>24.0259278309592</v>
      </c>
      <c r="K1135" s="24" t="n">
        <f aca="false">'DCF Base Case'!$B$2*(1+B1135)^2*$I1135-'DCF Base Case'!$B$2*(1+B1135)^1*B1135*'DCF Base Case'!$B$4</f>
        <v>25.3986773444455</v>
      </c>
      <c r="L1135" s="24" t="n">
        <f aca="false">'DCF Base Case'!$B$2*(1+B1135)^3*$I1135-'DCF Base Case'!$B$2*(1+B1135)^2*B1135*'DCF Base Case'!$B$4</f>
        <v>26.8498605084461</v>
      </c>
      <c r="M1135" s="24" t="n">
        <f aca="false">'DCF Base Case'!$B$2*(1+B1135)^4*$I1135-'DCF Base Case'!$B$2*(1+B1135)^3*B1135*'DCF Base Case'!$B$4</f>
        <v>28.3839587214047</v>
      </c>
      <c r="N1135" s="24" t="n">
        <f aca="false">'DCF Base Case'!$B$2*(1+B1135)^5*$I1135-'DCF Base Case'!$B$2*(1+B1135)^4*B1135*'DCF Base Case'!$B$4</f>
        <v>30.0057094317108</v>
      </c>
      <c r="O1135" s="24" t="n">
        <f aca="false">J1135/(1+H1135)^1+K1135/(1+H1135)^2+L1135/(1+H1135)^3+M1135/(1+H1135)^4+N1135/(1+H1135)^5</f>
        <v>106.693037625528</v>
      </c>
      <c r="P1135" s="24" t="n">
        <f aca="false">N1135*(1+F1135)/(H1135-F1135)</f>
        <v>502.281485254217</v>
      </c>
      <c r="Q1135" s="24" t="n">
        <f aca="false">O1135+P1135/(1+H1135)^5</f>
        <v>448.932152462798</v>
      </c>
      <c r="R1135" s="24" t="n">
        <f aca="false">Q1135-'DCF Base Case'!$B$5</f>
        <v>263.932152462798</v>
      </c>
      <c r="S1135" s="32" t="n">
        <f aca="false">R1135/'DCF Base Case'!$B$6</f>
        <v>10.5572860985119</v>
      </c>
    </row>
    <row r="1136" customFormat="false" ht="15" hidden="false" customHeight="true" outlineLevel="0" collapsed="false">
      <c r="A1136" s="6" t="n">
        <v>1135</v>
      </c>
      <c r="B1136" s="30" t="n">
        <v>0.104566519616271</v>
      </c>
      <c r="C1136" s="30" t="n">
        <v>0.410501003297146</v>
      </c>
      <c r="D1136" s="30" t="n">
        <v>0.0970109707933804</v>
      </c>
      <c r="E1136" s="30" t="n">
        <v>0.262346791133227</v>
      </c>
      <c r="F1136" s="30" t="n">
        <v>0.0221472076037512</v>
      </c>
      <c r="G1136" s="30" t="n">
        <v>0.157319827093184</v>
      </c>
      <c r="H1136" s="31" t="n">
        <f aca="false">MAX(D1136,F1136+0.015)</f>
        <v>0.0970109707933804</v>
      </c>
      <c r="I1136" s="25" t="n">
        <f aca="false">(C1136-'DCF Base Case'!$B$3)*(1-E1136)+'DCF Base Case'!$B$3-G1136</f>
        <v>0.179592638079305</v>
      </c>
      <c r="J1136" s="24" t="n">
        <f aca="false">'DCF Base Case'!$B$2*(1+B1136)^1*$I1136-'DCF Base Case'!$B$2*(1+B1136)^0*B1136*'DCF Base Case'!$B$4</f>
        <v>28.3090778425038</v>
      </c>
      <c r="K1136" s="24" t="n">
        <f aca="false">'DCF Base Case'!$B$2*(1+B1136)^2*$I1136-'DCF Base Case'!$B$2*(1+B1136)^1*B1136*'DCF Base Case'!$B$4</f>
        <v>31.2692595860405</v>
      </c>
      <c r="L1136" s="24" t="n">
        <f aca="false">'DCF Base Case'!$B$2*(1+B1136)^3*$I1136-'DCF Base Case'!$B$2*(1+B1136)^2*B1136*'DCF Base Case'!$B$4</f>
        <v>34.5389772319305</v>
      </c>
      <c r="M1136" s="24" t="n">
        <f aca="false">'DCF Base Case'!$B$2*(1+B1136)^4*$I1136-'DCF Base Case'!$B$2*(1+B1136)^3*B1136*'DCF Base Case'!$B$4</f>
        <v>38.1505978721791</v>
      </c>
      <c r="N1136" s="24" t="n">
        <f aca="false">'DCF Base Case'!$B$2*(1+B1136)^5*$I1136-'DCF Base Case'!$B$2*(1+B1136)^4*B1136*'DCF Base Case'!$B$4</f>
        <v>42.1398731129528</v>
      </c>
      <c r="O1136" s="24" t="n">
        <f aca="false">J1136/(1+H1136)^1+K1136/(1+H1136)^2+L1136/(1+H1136)^3+M1136/(1+H1136)^4+N1136/(1+H1136)^5</f>
        <v>130.817855386074</v>
      </c>
      <c r="P1136" s="24" t="n">
        <f aca="false">N1136*(1+F1136)/(H1136-F1136)</f>
        <v>575.35384004244</v>
      </c>
      <c r="Q1136" s="24" t="n">
        <f aca="false">O1136+P1136/(1+H1136)^5</f>
        <v>492.960911243194</v>
      </c>
      <c r="R1136" s="24" t="n">
        <f aca="false">Q1136-'DCF Base Case'!$B$5</f>
        <v>307.960911243194</v>
      </c>
      <c r="S1136" s="32" t="n">
        <f aca="false">R1136/'DCF Base Case'!$B$6</f>
        <v>12.3184364497278</v>
      </c>
    </row>
    <row r="1137" customFormat="false" ht="15" hidden="false" customHeight="true" outlineLevel="0" collapsed="false">
      <c r="A1137" s="6" t="n">
        <v>1136</v>
      </c>
      <c r="B1137" s="30" t="n">
        <v>0.0973775154900455</v>
      </c>
      <c r="C1137" s="30" t="n">
        <v>0.407630976044126</v>
      </c>
      <c r="D1137" s="30" t="n">
        <v>0.0855497357217726</v>
      </c>
      <c r="E1137" s="30" t="n">
        <v>0.257628473358721</v>
      </c>
      <c r="F1137" s="30" t="n">
        <v>0.0202340646856609</v>
      </c>
      <c r="G1137" s="30" t="n">
        <v>0.1662016353721</v>
      </c>
      <c r="H1137" s="31" t="n">
        <f aca="false">MAX(D1137,F1137+0.015)</f>
        <v>0.0855497357217726</v>
      </c>
      <c r="I1137" s="25" t="n">
        <f aca="false">(C1137-'DCF Base Case'!$B$3)*(1-E1137)+'DCF Base Case'!$B$3-G1137</f>
        <v>0.169903696156686</v>
      </c>
      <c r="J1137" s="24" t="n">
        <f aca="false">'DCF Base Case'!$B$2*(1+B1137)^1*$I1137-'DCF Base Case'!$B$2*(1+B1137)^0*B1137*'DCF Base Case'!$B$4</f>
        <v>26.6114397219633</v>
      </c>
      <c r="K1137" s="24" t="n">
        <f aca="false">'DCF Base Case'!$B$2*(1+B1137)^2*$I1137-'DCF Base Case'!$B$2*(1+B1137)^1*B1137*'DCF Base Case'!$B$4</f>
        <v>29.2027956057012</v>
      </c>
      <c r="L1137" s="24" t="n">
        <f aca="false">'DCF Base Case'!$B$2*(1+B1137)^3*$I1137-'DCF Base Case'!$B$2*(1+B1137)^2*B1137*'DCF Base Case'!$B$4</f>
        <v>32.046491287148</v>
      </c>
      <c r="M1137" s="24" t="n">
        <f aca="false">'DCF Base Case'!$B$2*(1+B1137)^4*$I1137-'DCF Base Case'!$B$2*(1+B1137)^3*B1137*'DCF Base Case'!$B$4</f>
        <v>35.1670989888639</v>
      </c>
      <c r="N1137" s="24" t="n">
        <f aca="false">'DCF Base Case'!$B$2*(1+B1137)^5*$I1137-'DCF Base Case'!$B$2*(1+B1137)^4*B1137*'DCF Base Case'!$B$4</f>
        <v>38.5915837153919</v>
      </c>
      <c r="O1137" s="24" t="n">
        <f aca="false">J1137/(1+H1137)^1+K1137/(1+H1137)^2+L1137/(1+H1137)^3+M1137/(1+H1137)^4+N1137/(1+H1137)^5</f>
        <v>125.271510113626</v>
      </c>
      <c r="P1137" s="24" t="n">
        <f aca="false">N1137*(1+F1137)/(H1137-F1137)</f>
        <v>602.802477445926</v>
      </c>
      <c r="Q1137" s="24" t="n">
        <f aca="false">O1137+P1137/(1+H1137)^5</f>
        <v>525.148485755252</v>
      </c>
      <c r="R1137" s="24" t="n">
        <f aca="false">Q1137-'DCF Base Case'!$B$5</f>
        <v>340.148485755252</v>
      </c>
      <c r="S1137" s="32" t="n">
        <f aca="false">R1137/'DCF Base Case'!$B$6</f>
        <v>13.6059394302101</v>
      </c>
    </row>
    <row r="1138" customFormat="false" ht="15" hidden="false" customHeight="true" outlineLevel="0" collapsed="false">
      <c r="A1138" s="6" t="n">
        <v>1137</v>
      </c>
      <c r="B1138" s="30" t="n">
        <v>0.0783761364784598</v>
      </c>
      <c r="C1138" s="30" t="n">
        <v>0.409290898941199</v>
      </c>
      <c r="D1138" s="30" t="n">
        <v>0.086474049237847</v>
      </c>
      <c r="E1138" s="30" t="n">
        <v>0.264920105270529</v>
      </c>
      <c r="F1138" s="30" t="n">
        <v>0.0188620262854182</v>
      </c>
      <c r="G1138" s="30" t="n">
        <v>0.145085101236397</v>
      </c>
      <c r="H1138" s="31" t="n">
        <f aca="false">MAX(D1138,F1138+0.015)</f>
        <v>0.086474049237847</v>
      </c>
      <c r="I1138" s="25" t="n">
        <f aca="false">(C1138-'DCF Base Case'!$B$3)*(1-E1138)+'DCF Base Case'!$B$3-G1138</f>
        <v>0.190216023356199</v>
      </c>
      <c r="J1138" s="24" t="n">
        <f aca="false">'DCF Base Case'!$B$2*(1+B1138)^1*$I1138-'DCF Base Case'!$B$2*(1+B1138)^0*B1138*'DCF Base Case'!$B$4</f>
        <v>29.4021047589761</v>
      </c>
      <c r="K1138" s="24" t="n">
        <f aca="false">'DCF Base Case'!$B$2*(1+B1138)^2*$I1138-'DCF Base Case'!$B$2*(1+B1138)^1*B1138*'DCF Base Case'!$B$4</f>
        <v>31.7065281343195</v>
      </c>
      <c r="L1138" s="24" t="n">
        <f aca="false">'DCF Base Case'!$B$2*(1+B1138)^3*$I1138-'DCF Base Case'!$B$2*(1+B1138)^2*B1138*'DCF Base Case'!$B$4</f>
        <v>34.1915633106331</v>
      </c>
      <c r="M1138" s="24" t="n">
        <f aca="false">'DCF Base Case'!$B$2*(1+B1138)^4*$I1138-'DCF Base Case'!$B$2*(1+B1138)^3*B1138*'DCF Base Case'!$B$4</f>
        <v>36.8713659430792</v>
      </c>
      <c r="N1138" s="24" t="n">
        <f aca="false">'DCF Base Case'!$B$2*(1+B1138)^5*$I1138-'DCF Base Case'!$B$2*(1+B1138)^4*B1138*'DCF Base Case'!$B$4</f>
        <v>39.7612011523812</v>
      </c>
      <c r="O1138" s="24" t="n">
        <f aca="false">J1138/(1+H1138)^1+K1138/(1+H1138)^2+L1138/(1+H1138)^3+M1138/(1+H1138)^4+N1138/(1+H1138)^5</f>
        <v>133.307688191906</v>
      </c>
      <c r="P1138" s="24" t="n">
        <f aca="false">N1138*(1+F1138)/(H1138-F1138)</f>
        <v>599.171215482792</v>
      </c>
      <c r="Q1138" s="24" t="n">
        <f aca="false">O1138+P1138/(1+H1138)^5</f>
        <v>529.087970383292</v>
      </c>
      <c r="R1138" s="24" t="n">
        <f aca="false">Q1138-'DCF Base Case'!$B$5</f>
        <v>344.087970383291</v>
      </c>
      <c r="S1138" s="32" t="n">
        <f aca="false">R1138/'DCF Base Case'!$B$6</f>
        <v>13.7635188153317</v>
      </c>
    </row>
    <row r="1139" customFormat="false" ht="15" hidden="false" customHeight="true" outlineLevel="0" collapsed="false">
      <c r="A1139" s="6" t="n">
        <v>1138</v>
      </c>
      <c r="B1139" s="30" t="n">
        <v>0.133109843371433</v>
      </c>
      <c r="C1139" s="30" t="n">
        <v>0.448183832958099</v>
      </c>
      <c r="D1139" s="30" t="n">
        <v>0.0880040351619471</v>
      </c>
      <c r="E1139" s="30" t="n">
        <v>0.315450021477505</v>
      </c>
      <c r="F1139" s="30" t="n">
        <v>0.0120448505782529</v>
      </c>
      <c r="G1139" s="30" t="n">
        <v>0.124590709911155</v>
      </c>
      <c r="H1139" s="31" t="n">
        <f aca="false">MAX(D1139,F1139+0.015)</f>
        <v>0.0880040351619471</v>
      </c>
      <c r="I1139" s="25" t="n">
        <f aca="false">(C1139-'DCF Base Case'!$B$3)*(1-E1139)+'DCF Base Case'!$B$3-G1139</f>
        <v>0.223222026106517</v>
      </c>
      <c r="J1139" s="24" t="n">
        <f aca="false">'DCF Base Case'!$B$2*(1+B1139)^1*$I1139-'DCF Base Case'!$B$2*(1+B1139)^0*B1139*'DCF Base Case'!$B$4</f>
        <v>36.0965580619326</v>
      </c>
      <c r="K1139" s="24" t="n">
        <f aca="false">'DCF Base Case'!$B$2*(1+B1139)^2*$I1139-'DCF Base Case'!$B$2*(1+B1139)^1*B1139*'DCF Base Case'!$B$4</f>
        <v>40.9013652518043</v>
      </c>
      <c r="L1139" s="24" t="n">
        <f aca="false">'DCF Base Case'!$B$2*(1+B1139)^3*$I1139-'DCF Base Case'!$B$2*(1+B1139)^2*B1139*'DCF Base Case'!$B$4</f>
        <v>46.3457395741497</v>
      </c>
      <c r="M1139" s="24" t="n">
        <f aca="false">'DCF Base Case'!$B$2*(1+B1139)^4*$I1139-'DCF Base Case'!$B$2*(1+B1139)^3*B1139*'DCF Base Case'!$B$4</f>
        <v>52.514813709798</v>
      </c>
      <c r="N1139" s="24" t="n">
        <f aca="false">'DCF Base Case'!$B$2*(1+B1139)^5*$I1139-'DCF Base Case'!$B$2*(1+B1139)^4*B1139*'DCF Base Case'!$B$4</f>
        <v>59.5050523373892</v>
      </c>
      <c r="O1139" s="24" t="n">
        <f aca="false">J1139/(1+H1139)^1+K1139/(1+H1139)^2+L1139/(1+H1139)^3+M1139/(1+H1139)^4+N1139/(1+H1139)^5</f>
        <v>180.220696537994</v>
      </c>
      <c r="P1139" s="24" t="n">
        <f aca="false">N1139*(1+F1139)/(H1139-F1139)</f>
        <v>792.817644521841</v>
      </c>
      <c r="Q1139" s="24" t="n">
        <f aca="false">O1139+P1139/(1+H1139)^5</f>
        <v>700.241570314073</v>
      </c>
      <c r="R1139" s="24" t="n">
        <f aca="false">Q1139-'DCF Base Case'!$B$5</f>
        <v>515.241570314073</v>
      </c>
      <c r="S1139" s="32" t="n">
        <f aca="false">R1139/'DCF Base Case'!$B$6</f>
        <v>20.6096628125629</v>
      </c>
    </row>
    <row r="1140" customFormat="false" ht="15" hidden="false" customHeight="true" outlineLevel="0" collapsed="false">
      <c r="A1140" s="6" t="n">
        <v>1139</v>
      </c>
      <c r="B1140" s="30" t="n">
        <v>0.0815234497710728</v>
      </c>
      <c r="C1140" s="30" t="n">
        <v>0.381381914288545</v>
      </c>
      <c r="D1140" s="30" t="n">
        <v>0.0823973392310684</v>
      </c>
      <c r="E1140" s="30" t="n">
        <v>0.285630421044634</v>
      </c>
      <c r="F1140" s="30" t="n">
        <v>0.022657325088305</v>
      </c>
      <c r="G1140" s="30" t="n">
        <v>0.142583634256265</v>
      </c>
      <c r="H1140" s="31" t="n">
        <f aca="false">MAX(D1140,F1140+0.015)</f>
        <v>0.0823973392310684</v>
      </c>
      <c r="I1140" s="25" t="n">
        <f aca="false">(C1140-'DCF Base Case'!$B$3)*(1-E1140)+'DCF Base Case'!$B$3-G1140</f>
        <v>0.166995958011037</v>
      </c>
      <c r="J1140" s="24" t="n">
        <f aca="false">'DCF Base Case'!$B$2*(1+B1140)^1*$I1140-'DCF Base Case'!$B$2*(1+B1140)^0*B1140*'DCF Base Case'!$B$4</f>
        <v>25.8338294613545</v>
      </c>
      <c r="K1140" s="24" t="n">
        <f aca="false">'DCF Base Case'!$B$2*(1+B1140)^2*$I1140-'DCF Base Case'!$B$2*(1+B1140)^1*B1140*'DCF Base Case'!$B$4</f>
        <v>27.9398923598417</v>
      </c>
      <c r="L1140" s="24" t="n">
        <f aca="false">'DCF Base Case'!$B$2*(1+B1140)^3*$I1140-'DCF Base Case'!$B$2*(1+B1140)^2*B1140*'DCF Base Case'!$B$4</f>
        <v>30.2176487712484</v>
      </c>
      <c r="M1140" s="24" t="n">
        <f aca="false">'DCF Base Case'!$B$2*(1+B1140)^4*$I1140-'DCF Base Case'!$B$2*(1+B1140)^3*B1140*'DCF Base Case'!$B$4</f>
        <v>32.6810957430512</v>
      </c>
      <c r="N1140" s="24" t="n">
        <f aca="false">'DCF Base Case'!$B$2*(1+B1140)^5*$I1140-'DCF Base Case'!$B$2*(1+B1140)^4*B1140*'DCF Base Case'!$B$4</f>
        <v>35.3453714103235</v>
      </c>
      <c r="O1140" s="24" t="n">
        <f aca="false">J1140/(1+H1140)^1+K1140/(1+H1140)^2+L1140/(1+H1140)^3+M1140/(1+H1140)^4+N1140/(1+H1140)^5</f>
        <v>119.143624735607</v>
      </c>
      <c r="P1140" s="24" t="n">
        <f aca="false">N1140*(1+F1140)/(H1140-F1140)</f>
        <v>605.058493865667</v>
      </c>
      <c r="Q1140" s="24" t="n">
        <f aca="false">O1140+P1140/(1+H1140)^5</f>
        <v>526.396146294782</v>
      </c>
      <c r="R1140" s="24" t="n">
        <f aca="false">Q1140-'DCF Base Case'!$B$5</f>
        <v>341.396146294782</v>
      </c>
      <c r="S1140" s="32" t="n">
        <f aca="false">R1140/'DCF Base Case'!$B$6</f>
        <v>13.6558458517913</v>
      </c>
    </row>
    <row r="1141" customFormat="false" ht="15" hidden="false" customHeight="true" outlineLevel="0" collapsed="false">
      <c r="A1141" s="6" t="n">
        <v>1140</v>
      </c>
      <c r="B1141" s="30" t="n">
        <v>0.0984840828300399</v>
      </c>
      <c r="C1141" s="30" t="n">
        <v>0.418014083174861</v>
      </c>
      <c r="D1141" s="30" t="n">
        <v>0.0888226024092639</v>
      </c>
      <c r="E1141" s="30" t="n">
        <v>0.266849242520374</v>
      </c>
      <c r="F1141" s="30" t="n">
        <v>0.0241932398371476</v>
      </c>
      <c r="G1141" s="30" t="n">
        <v>0.163014719950958</v>
      </c>
      <c r="H1141" s="31" t="n">
        <f aca="false">MAX(D1141,F1141+0.015)</f>
        <v>0.0888226024092639</v>
      </c>
      <c r="I1141" s="25" t="n">
        <f aca="false">(C1141-'DCF Base Case'!$B$3)*(1-E1141)+'DCF Base Case'!$B$3-G1141</f>
        <v>0.178143023293491</v>
      </c>
      <c r="J1141" s="24" t="n">
        <f aca="false">'DCF Base Case'!$B$2*(1+B1141)^1*$I1141-'DCF Base Case'!$B$2*(1+B1141)^0*B1141*'DCF Base Case'!$B$4</f>
        <v>27.9462491951819</v>
      </c>
      <c r="K1141" s="24" t="n">
        <f aca="false">'DCF Base Case'!$B$2*(1+B1141)^2*$I1141-'DCF Base Case'!$B$2*(1+B1141)^1*B1141*'DCF Base Case'!$B$4</f>
        <v>30.6985099157092</v>
      </c>
      <c r="L1141" s="24" t="n">
        <f aca="false">'DCF Base Case'!$B$2*(1+B1141)^3*$I1141-'DCF Base Case'!$B$2*(1+B1141)^2*B1141*'DCF Base Case'!$B$4</f>
        <v>33.7218245090067</v>
      </c>
      <c r="M1141" s="24" t="n">
        <f aca="false">'DCF Base Case'!$B$2*(1+B1141)^4*$I1141-'DCF Base Case'!$B$2*(1+B1141)^3*B1141*'DCF Base Case'!$B$4</f>
        <v>37.0428874671317</v>
      </c>
      <c r="N1141" s="24" t="n">
        <f aca="false">'DCF Base Case'!$B$2*(1+B1141)^5*$I1141-'DCF Base Case'!$B$2*(1+B1141)^4*B1141*'DCF Base Case'!$B$4</f>
        <v>40.6910222647086</v>
      </c>
      <c r="O1141" s="24" t="n">
        <f aca="false">J1141/(1+H1141)^1+K1141/(1+H1141)^2+L1141/(1+H1141)^3+M1141/(1+H1141)^4+N1141/(1+H1141)^5</f>
        <v>130.630195997864</v>
      </c>
      <c r="P1141" s="24" t="n">
        <f aca="false">N1141*(1+F1141)/(H1141-F1141)</f>
        <v>644.838015833346</v>
      </c>
      <c r="Q1141" s="24" t="n">
        <f aca="false">O1141+P1141/(1+H1141)^5</f>
        <v>552.001537515355</v>
      </c>
      <c r="R1141" s="24" t="n">
        <f aca="false">Q1141-'DCF Base Case'!$B$5</f>
        <v>367.001537515355</v>
      </c>
      <c r="S1141" s="32" t="n">
        <f aca="false">R1141/'DCF Base Case'!$B$6</f>
        <v>14.6800615006142</v>
      </c>
    </row>
    <row r="1142" customFormat="false" ht="15" hidden="false" customHeight="true" outlineLevel="0" collapsed="false">
      <c r="A1142" s="6" t="n">
        <v>1141</v>
      </c>
      <c r="B1142" s="30" t="n">
        <v>0.12621295774721</v>
      </c>
      <c r="C1142" s="30" t="n">
        <v>0.412103723573481</v>
      </c>
      <c r="D1142" s="30" t="n">
        <v>0.0931711007395111</v>
      </c>
      <c r="E1142" s="30" t="n">
        <v>0.277989427133906</v>
      </c>
      <c r="F1142" s="30" t="n">
        <v>0.0180636103924592</v>
      </c>
      <c r="G1142" s="30" t="n">
        <v>0.180231387699559</v>
      </c>
      <c r="H1142" s="31" t="n">
        <f aca="false">MAX(D1142,F1142+0.015)</f>
        <v>0.0931711007395111</v>
      </c>
      <c r="I1142" s="25" t="n">
        <f aca="false">(C1142-'DCF Base Case'!$B$3)*(1-E1142)+'DCF Base Case'!$B$3-G1142</f>
        <v>0.153450483365388</v>
      </c>
      <c r="J1142" s="24" t="n">
        <f aca="false">'DCF Base Case'!$B$2*(1+B1142)^1*$I1142-'DCF Base Case'!$B$2*(1+B1142)^0*B1142*'DCF Base Case'!$B$4</f>
        <v>24.5095724309072</v>
      </c>
      <c r="K1142" s="24" t="n">
        <f aca="false">'DCF Base Case'!$B$2*(1+B1142)^2*$I1142-'DCF Base Case'!$B$2*(1+B1142)^1*B1142*'DCF Base Case'!$B$4</f>
        <v>27.6029980605315</v>
      </c>
      <c r="L1142" s="24" t="n">
        <f aca="false">'DCF Base Case'!$B$2*(1+B1142)^3*$I1142-'DCF Base Case'!$B$2*(1+B1142)^2*B1142*'DCF Base Case'!$B$4</f>
        <v>31.0868540884417</v>
      </c>
      <c r="M1142" s="24" t="n">
        <f aca="false">'DCF Base Case'!$B$2*(1+B1142)^4*$I1142-'DCF Base Case'!$B$2*(1+B1142)^3*B1142*'DCF Base Case'!$B$4</f>
        <v>35.0104178899998</v>
      </c>
      <c r="N1142" s="24" t="n">
        <f aca="false">'DCF Base Case'!$B$2*(1+B1142)^5*$I1142-'DCF Base Case'!$B$2*(1+B1142)^4*B1142*'DCF Base Case'!$B$4</f>
        <v>39.4291862838626</v>
      </c>
      <c r="O1142" s="24" t="n">
        <f aca="false">J1142/(1+H1142)^1+K1142/(1+H1142)^2+L1142/(1+H1142)^3+M1142/(1+H1142)^4+N1142/(1+H1142)^5</f>
        <v>119.087828968033</v>
      </c>
      <c r="P1142" s="24" t="n">
        <f aca="false">N1142*(1+F1142)/(H1142-F1142)</f>
        <v>534.452949466199</v>
      </c>
      <c r="Q1142" s="24" t="n">
        <f aca="false">O1142+P1142/(1+H1142)^5</f>
        <v>461.436595685765</v>
      </c>
      <c r="R1142" s="24" t="n">
        <f aca="false">Q1142-'DCF Base Case'!$B$5</f>
        <v>276.436595685765</v>
      </c>
      <c r="S1142" s="32" t="n">
        <f aca="false">R1142/'DCF Base Case'!$B$6</f>
        <v>11.0574638274306</v>
      </c>
    </row>
    <row r="1143" customFormat="false" ht="15" hidden="false" customHeight="true" outlineLevel="0" collapsed="false">
      <c r="A1143" s="6" t="n">
        <v>1142</v>
      </c>
      <c r="B1143" s="30" t="n">
        <v>0.0837266418688707</v>
      </c>
      <c r="C1143" s="30" t="n">
        <v>0.365301461506311</v>
      </c>
      <c r="D1143" s="30" t="n">
        <v>0.055</v>
      </c>
      <c r="E1143" s="30" t="n">
        <v>0.318283211627658</v>
      </c>
      <c r="F1143" s="30" t="n">
        <v>0.0237124352145688</v>
      </c>
      <c r="G1143" s="30" t="n">
        <v>0.206682964020085</v>
      </c>
      <c r="H1143" s="31" t="n">
        <f aca="false">MAX(D1143,F1143+0.015)</f>
        <v>0.055</v>
      </c>
      <c r="I1143" s="25" t="n">
        <f aca="false">(C1143-'DCF Base Case'!$B$3)*(1-E1143)+'DCF Base Case'!$B$3-G1143</f>
        <v>0.0837259926173156</v>
      </c>
      <c r="J1143" s="24" t="n">
        <f aca="false">'DCF Base Case'!$B$2*(1+B1143)^1*$I1143-'DCF Base Case'!$B$2*(1+B1143)^0*B1143*'DCF Base Case'!$B$4</f>
        <v>12.7925219862341</v>
      </c>
      <c r="K1143" s="24" t="n">
        <f aca="false">'DCF Base Case'!$B$2*(1+B1143)^2*$I1143-'DCF Base Case'!$B$2*(1+B1143)^1*B1143*'DCF Base Case'!$B$4</f>
        <v>13.8635968931752</v>
      </c>
      <c r="L1143" s="24" t="n">
        <f aca="false">'DCF Base Case'!$B$2*(1+B1143)^3*$I1143-'DCF Base Case'!$B$2*(1+B1143)^2*B1143*'DCF Base Case'!$B$4</f>
        <v>15.0243493052644</v>
      </c>
      <c r="M1143" s="24" t="n">
        <f aca="false">'DCF Base Case'!$B$2*(1+B1143)^4*$I1143-'DCF Base Case'!$B$2*(1+B1143)^3*B1143*'DCF Base Case'!$B$4</f>
        <v>16.2822876188591</v>
      </c>
      <c r="N1143" s="24" t="n">
        <f aca="false">'DCF Base Case'!$B$2*(1+B1143)^5*$I1143-'DCF Base Case'!$B$2*(1+B1143)^4*B1143*'DCF Base Case'!$B$4</f>
        <v>17.6455488831293</v>
      </c>
      <c r="O1143" s="24" t="n">
        <f aca="false">J1143/(1+H1143)^1+K1143/(1+H1143)^2+L1143/(1+H1143)^3+M1143/(1+H1143)^4+N1143/(1+H1143)^5</f>
        <v>64.0208873681525</v>
      </c>
      <c r="P1143" s="24" t="n">
        <f aca="false">N1143*(1+F1143)/(H1143-F1143)</f>
        <v>577.352949701517</v>
      </c>
      <c r="Q1143" s="24" t="n">
        <f aca="false">O1143+P1143/(1+H1143)^5</f>
        <v>505.773463476189</v>
      </c>
      <c r="R1143" s="24" t="n">
        <f aca="false">Q1143-'DCF Base Case'!$B$5</f>
        <v>320.773463476189</v>
      </c>
      <c r="S1143" s="32" t="n">
        <f aca="false">R1143/'DCF Base Case'!$B$6</f>
        <v>12.8309385390476</v>
      </c>
    </row>
    <row r="1144" customFormat="false" ht="15" hidden="false" customHeight="true" outlineLevel="0" collapsed="false">
      <c r="A1144" s="6" t="n">
        <v>1143</v>
      </c>
      <c r="B1144" s="30" t="n">
        <v>0.0896491489714408</v>
      </c>
      <c r="C1144" s="30" t="n">
        <v>0.385899827464448</v>
      </c>
      <c r="D1144" s="30" t="n">
        <v>0.080384577730839</v>
      </c>
      <c r="E1144" s="30" t="n">
        <v>0.279965154875354</v>
      </c>
      <c r="F1144" s="30" t="n">
        <v>0.0152409622684974</v>
      </c>
      <c r="G1144" s="30" t="n">
        <v>0.20274588825461</v>
      </c>
      <c r="H1144" s="31" t="n">
        <f aca="false">MAX(D1144,F1144+0.015)</f>
        <v>0.080384577730839</v>
      </c>
      <c r="I1144" s="25" t="n">
        <f aca="false">(C1144-'DCF Base Case'!$B$3)*(1-E1144)+'DCF Base Case'!$B$3-G1144</f>
        <v>0.111510904381177</v>
      </c>
      <c r="J1144" s="24" t="n">
        <f aca="false">'DCF Base Case'!$B$2*(1+B1144)^1*$I1144-'DCF Base Case'!$B$2*(1+B1144)^0*B1144*'DCF Base Case'!$B$4</f>
        <v>17.2286517006722</v>
      </c>
      <c r="K1144" s="24" t="n">
        <f aca="false">'DCF Base Case'!$B$2*(1+B1144)^2*$I1144-'DCF Base Case'!$B$2*(1+B1144)^1*B1144*'DCF Base Case'!$B$4</f>
        <v>18.7731856635628</v>
      </c>
      <c r="L1144" s="24" t="n">
        <f aca="false">'DCF Base Case'!$B$2*(1+B1144)^3*$I1144-'DCF Base Case'!$B$2*(1+B1144)^2*B1144*'DCF Base Case'!$B$4</f>
        <v>20.456185781784</v>
      </c>
      <c r="M1144" s="24" t="n">
        <f aca="false">'DCF Base Case'!$B$2*(1+B1144)^4*$I1144-'DCF Base Case'!$B$2*(1+B1144)^3*B1144*'DCF Base Case'!$B$4</f>
        <v>22.2900654283227</v>
      </c>
      <c r="N1144" s="24" t="n">
        <f aca="false">'DCF Base Case'!$B$2*(1+B1144)^5*$I1144-'DCF Base Case'!$B$2*(1+B1144)^4*B1144*'DCF Base Case'!$B$4</f>
        <v>24.2883508244895</v>
      </c>
      <c r="O1144" s="24" t="n">
        <f aca="false">J1144/(1+H1144)^1+K1144/(1+H1144)^2+L1144/(1+H1144)^3+M1144/(1+H1144)^4+N1144/(1+H1144)^5</f>
        <v>81.1131372124358</v>
      </c>
      <c r="P1144" s="24" t="n">
        <f aca="false">N1144*(1+F1144)/(H1144-F1144)</f>
        <v>378.525638897403</v>
      </c>
      <c r="Q1144" s="24" t="n">
        <f aca="false">O1144+P1144/(1+H1144)^5</f>
        <v>338.273139338552</v>
      </c>
      <c r="R1144" s="24" t="n">
        <f aca="false">Q1144-'DCF Base Case'!$B$5</f>
        <v>153.273139338552</v>
      </c>
      <c r="S1144" s="32" t="n">
        <f aca="false">R1144/'DCF Base Case'!$B$6</f>
        <v>6.13092557354207</v>
      </c>
    </row>
    <row r="1145" customFormat="false" ht="15" hidden="false" customHeight="true" outlineLevel="0" collapsed="false">
      <c r="A1145" s="6" t="n">
        <v>1144</v>
      </c>
      <c r="B1145" s="30" t="n">
        <v>0.132074847925143</v>
      </c>
      <c r="C1145" s="30" t="n">
        <v>0.439119236717271</v>
      </c>
      <c r="D1145" s="30" t="n">
        <v>0.0848804987863199</v>
      </c>
      <c r="E1145" s="30" t="n">
        <v>0.2546582667189</v>
      </c>
      <c r="F1145" s="30" t="n">
        <v>0.0246704704025798</v>
      </c>
      <c r="G1145" s="30" t="n">
        <v>0.166919636190836</v>
      </c>
      <c r="H1145" s="31" t="n">
        <f aca="false">MAX(D1145,F1145+0.015)</f>
        <v>0.0848804987863199</v>
      </c>
      <c r="I1145" s="25" t="n">
        <f aca="false">(C1145-'DCF Base Case'!$B$3)*(1-E1145)+'DCF Base Case'!$B$3-G1145</f>
        <v>0.193479831494545</v>
      </c>
      <c r="J1145" s="24" t="n">
        <f aca="false">'DCF Base Case'!$B$2*(1+B1145)^1*$I1145-'DCF Base Case'!$B$2*(1+B1145)^0*B1145*'DCF Base Case'!$B$4</f>
        <v>31.1853537798122</v>
      </c>
      <c r="K1145" s="24" t="n">
        <f aca="false">'DCF Base Case'!$B$2*(1+B1145)^2*$I1145-'DCF Base Case'!$B$2*(1+B1145)^1*B1145*'DCF Base Case'!$B$4</f>
        <v>35.3041546377727</v>
      </c>
      <c r="L1145" s="24" t="n">
        <f aca="false">'DCF Base Case'!$B$2*(1+B1145)^3*$I1145-'DCF Base Case'!$B$2*(1+B1145)^2*B1145*'DCF Base Case'!$B$4</f>
        <v>39.9669454926823</v>
      </c>
      <c r="M1145" s="24" t="n">
        <f aca="false">'DCF Base Case'!$B$2*(1+B1145)^4*$I1145-'DCF Base Case'!$B$2*(1+B1145)^3*B1145*'DCF Base Case'!$B$4</f>
        <v>45.2455737406608</v>
      </c>
      <c r="N1145" s="24" t="n">
        <f aca="false">'DCF Base Case'!$B$2*(1+B1145)^5*$I1145-'DCF Base Case'!$B$2*(1+B1145)^4*B1145*'DCF Base Case'!$B$4</f>
        <v>51.2213760117444</v>
      </c>
      <c r="O1145" s="24" t="n">
        <f aca="false">J1145/(1+H1145)^1+K1145/(1+H1145)^2+L1145/(1+H1145)^3+M1145/(1+H1145)^4+N1145/(1+H1145)^5</f>
        <v>156.78785886935</v>
      </c>
      <c r="P1145" s="24" t="n">
        <f aca="false">N1145*(1+F1145)/(H1145-F1145)</f>
        <v>871.699164765637</v>
      </c>
      <c r="Q1145" s="24" t="n">
        <f aca="false">O1145+P1145/(1+H1145)^5</f>
        <v>736.826754111258</v>
      </c>
      <c r="R1145" s="24" t="n">
        <f aca="false">Q1145-'DCF Base Case'!$B$5</f>
        <v>551.826754111258</v>
      </c>
      <c r="S1145" s="32" t="n">
        <f aca="false">R1145/'DCF Base Case'!$B$6</f>
        <v>22.0730701644503</v>
      </c>
    </row>
    <row r="1146" customFormat="false" ht="15" hidden="false" customHeight="true" outlineLevel="0" collapsed="false">
      <c r="A1146" s="6" t="n">
        <v>1145</v>
      </c>
      <c r="B1146" s="30" t="n">
        <v>0.0839447259223058</v>
      </c>
      <c r="C1146" s="30" t="n">
        <v>0.421876782834076</v>
      </c>
      <c r="D1146" s="30" t="n">
        <v>0.078557173181119</v>
      </c>
      <c r="E1146" s="30" t="n">
        <v>0.283878965416766</v>
      </c>
      <c r="F1146" s="30" t="n">
        <v>0.0136128157586469</v>
      </c>
      <c r="G1146" s="30" t="n">
        <v>0.19117301894591</v>
      </c>
      <c r="H1146" s="31" t="n">
        <f aca="false">MAX(D1146,F1146+0.015)</f>
        <v>0.078557173181119</v>
      </c>
      <c r="I1146" s="25" t="n">
        <f aca="false">(C1146-'DCF Base Case'!$B$3)*(1-E1146)+'DCF Base Case'!$B$3-G1146</f>
        <v>0.147846084748054</v>
      </c>
      <c r="J1146" s="24" t="n">
        <f aca="false">'DCF Base Case'!$B$2*(1+B1146)^1*$I1146-'DCF Base Case'!$B$2*(1+B1146)^0*B1146*'DCF Base Case'!$B$4</f>
        <v>22.8721030948208</v>
      </c>
      <c r="K1146" s="24" t="n">
        <f aca="false">'DCF Base Case'!$B$2*(1+B1146)^2*$I1146-'DCF Base Case'!$B$2*(1+B1146)^1*B1146*'DCF Base Case'!$B$4</f>
        <v>24.7920955203822</v>
      </c>
      <c r="L1146" s="24" t="n">
        <f aca="false">'DCF Base Case'!$B$2*(1+B1146)^3*$I1146-'DCF Base Case'!$B$2*(1+B1146)^2*B1146*'DCF Base Case'!$B$4</f>
        <v>26.8732611838803</v>
      </c>
      <c r="M1146" s="24" t="n">
        <f aca="false">'DCF Base Case'!$B$2*(1+B1146)^4*$I1146-'DCF Base Case'!$B$2*(1+B1146)^3*B1146*'DCF Base Case'!$B$4</f>
        <v>29.1291297285997</v>
      </c>
      <c r="N1146" s="24" t="n">
        <f aca="false">'DCF Base Case'!$B$2*(1+B1146)^5*$I1146-'DCF Base Case'!$B$2*(1+B1146)^4*B1146*'DCF Base Case'!$B$4</f>
        <v>31.5743665400223</v>
      </c>
      <c r="O1146" s="24" t="n">
        <f aca="false">J1146/(1+H1146)^1+K1146/(1+H1146)^2+L1146/(1+H1146)^3+M1146/(1+H1146)^4+N1146/(1+H1146)^5</f>
        <v>107.095604160223</v>
      </c>
      <c r="P1146" s="24" t="n">
        <f aca="false">N1146*(1+F1146)/(H1146-F1146)</f>
        <v>492.793890718418</v>
      </c>
      <c r="Q1146" s="24" t="n">
        <f aca="false">O1146+P1146/(1+H1146)^5</f>
        <v>444.732156854944</v>
      </c>
      <c r="R1146" s="24" t="n">
        <f aca="false">Q1146-'DCF Base Case'!$B$5</f>
        <v>259.732156854944</v>
      </c>
      <c r="S1146" s="32" t="n">
        <f aca="false">R1146/'DCF Base Case'!$B$6</f>
        <v>10.3892862741978</v>
      </c>
    </row>
    <row r="1147" customFormat="false" ht="15" hidden="false" customHeight="true" outlineLevel="0" collapsed="false">
      <c r="A1147" s="6" t="n">
        <v>1146</v>
      </c>
      <c r="B1147" s="30" t="n">
        <v>0.0878759637243779</v>
      </c>
      <c r="C1147" s="30" t="n">
        <v>0.435743232662332</v>
      </c>
      <c r="D1147" s="30" t="n">
        <v>0.0827875020437422</v>
      </c>
      <c r="E1147" s="30" t="n">
        <v>0.275930666646915</v>
      </c>
      <c r="F1147" s="30" t="n">
        <v>0.0144409124412012</v>
      </c>
      <c r="G1147" s="30" t="n">
        <v>0.183363957647928</v>
      </c>
      <c r="H1147" s="31" t="n">
        <f aca="false">MAX(D1147,F1147+0.015)</f>
        <v>0.0827875020437422</v>
      </c>
      <c r="I1147" s="25" t="n">
        <f aca="false">(C1147-'DCF Base Case'!$B$3)*(1-E1147)+'DCF Base Case'!$B$3-G1147</f>
        <v>0.168015341003104</v>
      </c>
      <c r="J1147" s="24" t="n">
        <f aca="false">'DCF Base Case'!$B$2*(1+B1147)^1*$I1147-'DCF Base Case'!$B$2*(1+B1147)^0*B1147*'DCF Base Case'!$B$4</f>
        <v>26.1208179548625</v>
      </c>
      <c r="K1147" s="24" t="n">
        <f aca="false">'DCF Base Case'!$B$2*(1+B1147)^2*$I1147-'DCF Base Case'!$B$2*(1+B1147)^1*B1147*'DCF Base Case'!$B$4</f>
        <v>28.4162100059151</v>
      </c>
      <c r="L1147" s="24" t="n">
        <f aca="false">'DCF Base Case'!$B$2*(1+B1147)^3*$I1147-'DCF Base Case'!$B$2*(1+B1147)^2*B1147*'DCF Base Case'!$B$4</f>
        <v>30.9133118455792</v>
      </c>
      <c r="M1147" s="24" t="n">
        <f aca="false">'DCF Base Case'!$B$2*(1+B1147)^4*$I1147-'DCF Base Case'!$B$2*(1+B1147)^3*B1147*'DCF Base Case'!$B$4</f>
        <v>33.6298489159217</v>
      </c>
      <c r="N1147" s="24" t="n">
        <f aca="false">'DCF Base Case'!$B$2*(1+B1147)^5*$I1147-'DCF Base Case'!$B$2*(1+B1147)^4*B1147*'DCF Base Case'!$B$4</f>
        <v>36.5851042993136</v>
      </c>
      <c r="O1147" s="24" t="n">
        <f aca="false">J1147/(1+H1147)^1+K1147/(1+H1147)^2+L1147/(1+H1147)^3+M1147/(1+H1147)^4+N1147/(1+H1147)^5</f>
        <v>121.75740474023</v>
      </c>
      <c r="P1147" s="24" t="n">
        <f aca="false">N1147*(1+F1147)/(H1147-F1147)</f>
        <v>543.017973581119</v>
      </c>
      <c r="Q1147" s="24" t="n">
        <f aca="false">O1147+P1147/(1+H1147)^5</f>
        <v>486.593696679147</v>
      </c>
      <c r="R1147" s="24" t="n">
        <f aca="false">Q1147-'DCF Base Case'!$B$5</f>
        <v>301.593696679147</v>
      </c>
      <c r="S1147" s="32" t="n">
        <f aca="false">R1147/'DCF Base Case'!$B$6</f>
        <v>12.0637478671659</v>
      </c>
    </row>
    <row r="1148" customFormat="false" ht="15" hidden="false" customHeight="true" outlineLevel="0" collapsed="false">
      <c r="A1148" s="6" t="n">
        <v>1147</v>
      </c>
      <c r="B1148" s="30" t="n">
        <v>0.070867338980109</v>
      </c>
      <c r="C1148" s="30" t="n">
        <v>0.396576248380085</v>
      </c>
      <c r="D1148" s="30" t="n">
        <v>0.0850115190469079</v>
      </c>
      <c r="E1148" s="30" t="n">
        <v>0.283124057581924</v>
      </c>
      <c r="F1148" s="30" t="n">
        <v>0.0127747302239204</v>
      </c>
      <c r="G1148" s="30" t="n">
        <v>0.160438241066703</v>
      </c>
      <c r="H1148" s="31" t="n">
        <f aca="false">MAX(D1148,F1148+0.015)</f>
        <v>0.0850115190469079</v>
      </c>
      <c r="I1148" s="25" t="n">
        <f aca="false">(C1148-'DCF Base Case'!$B$3)*(1-E1148)+'DCF Base Case'!$B$3-G1148</f>
        <v>0.160663858217046</v>
      </c>
      <c r="J1148" s="24" t="n">
        <f aca="false">'DCF Base Case'!$B$2*(1+B1148)^1*$I1148-'DCF Base Case'!$B$2*(1+B1148)^0*B1148*'DCF Base Case'!$B$4</f>
        <v>24.6389304317155</v>
      </c>
      <c r="K1148" s="24" t="n">
        <f aca="false">'DCF Base Case'!$B$2*(1+B1148)^2*$I1148-'DCF Base Case'!$B$2*(1+B1148)^1*B1148*'DCF Base Case'!$B$4</f>
        <v>26.3850258667272</v>
      </c>
      <c r="L1148" s="24" t="n">
        <f aca="false">'DCF Base Case'!$B$2*(1+B1148)^3*$I1148-'DCF Base Case'!$B$2*(1+B1148)^2*B1148*'DCF Base Case'!$B$4</f>
        <v>28.2548624388235</v>
      </c>
      <c r="M1148" s="24" t="n">
        <f aca="false">'DCF Base Case'!$B$2*(1+B1148)^4*$I1148-'DCF Base Case'!$B$2*(1+B1148)^3*B1148*'DCF Base Case'!$B$4</f>
        <v>30.2572093531119</v>
      </c>
      <c r="N1148" s="24" t="n">
        <f aca="false">'DCF Base Case'!$B$2*(1+B1148)^5*$I1148-'DCF Base Case'!$B$2*(1+B1148)^4*B1148*'DCF Base Case'!$B$4</f>
        <v>32.401457264931</v>
      </c>
      <c r="O1148" s="24" t="n">
        <f aca="false">J1148/(1+H1148)^1+K1148/(1+H1148)^2+L1148/(1+H1148)^3+M1148/(1+H1148)^4+N1148/(1+H1148)^5</f>
        <v>110.620324548215</v>
      </c>
      <c r="P1148" s="24" t="n">
        <f aca="false">N1148*(1+F1148)/(H1148-F1148)</f>
        <v>454.275137018684</v>
      </c>
      <c r="Q1148" s="24" t="n">
        <f aca="false">O1148+P1148/(1+H1148)^5</f>
        <v>412.717888700725</v>
      </c>
      <c r="R1148" s="24" t="n">
        <f aca="false">Q1148-'DCF Base Case'!$B$5</f>
        <v>227.717888700725</v>
      </c>
      <c r="S1148" s="32" t="n">
        <f aca="false">R1148/'DCF Base Case'!$B$6</f>
        <v>9.108715548029</v>
      </c>
    </row>
    <row r="1149" customFormat="false" ht="15" hidden="false" customHeight="true" outlineLevel="0" collapsed="false">
      <c r="A1149" s="6" t="n">
        <v>1148</v>
      </c>
      <c r="B1149" s="30" t="n">
        <v>0.107347297329292</v>
      </c>
      <c r="C1149" s="30" t="n">
        <v>0.413085519763323</v>
      </c>
      <c r="D1149" s="30" t="n">
        <v>0.0825279507036535</v>
      </c>
      <c r="E1149" s="30" t="n">
        <v>0.284338891071216</v>
      </c>
      <c r="F1149" s="30" t="n">
        <v>0.0188729523814687</v>
      </c>
      <c r="G1149" s="30" t="n">
        <v>0.144607644292346</v>
      </c>
      <c r="H1149" s="31" t="n">
        <f aca="false">MAX(D1149,F1149+0.015)</f>
        <v>0.0825279507036535</v>
      </c>
      <c r="I1149" s="25" t="n">
        <f aca="false">(C1149-'DCF Base Case'!$B$3)*(1-E1149)+'DCF Base Case'!$B$3-G1149</f>
        <v>0.187985652703155</v>
      </c>
      <c r="J1149" s="24" t="n">
        <f aca="false">'DCF Base Case'!$B$2*(1+B1149)^1*$I1149-'DCF Base Case'!$B$2*(1+B1149)^0*B1149*'DCF Base Case'!$B$4</f>
        <v>29.7170229029582</v>
      </c>
      <c r="K1149" s="24" t="n">
        <f aca="false">'DCF Base Case'!$B$2*(1+B1149)^2*$I1149-'DCF Base Case'!$B$2*(1+B1149)^1*B1149*'DCF Base Case'!$B$4</f>
        <v>32.9070649962634</v>
      </c>
      <c r="L1149" s="24" t="n">
        <f aca="false">'DCF Base Case'!$B$2*(1+B1149)^3*$I1149-'DCF Base Case'!$B$2*(1+B1149)^2*B1149*'DCF Base Case'!$B$4</f>
        <v>36.4395494866517</v>
      </c>
      <c r="M1149" s="24" t="n">
        <f aca="false">'DCF Base Case'!$B$2*(1+B1149)^4*$I1149-'DCF Base Case'!$B$2*(1+B1149)^3*B1149*'DCF Base Case'!$B$4</f>
        <v>40.3512366399407</v>
      </c>
      <c r="N1149" s="24" t="n">
        <f aca="false">'DCF Base Case'!$B$2*(1+B1149)^5*$I1149-'DCF Base Case'!$B$2*(1+B1149)^4*B1149*'DCF Base Case'!$B$4</f>
        <v>44.682832837133</v>
      </c>
      <c r="O1149" s="24" t="n">
        <f aca="false">J1149/(1+H1149)^1+K1149/(1+H1149)^2+L1149/(1+H1149)^3+M1149/(1+H1149)^4+N1149/(1+H1149)^5</f>
        <v>143.697359014069</v>
      </c>
      <c r="P1149" s="24" t="n">
        <f aca="false">N1149*(1+F1149)/(H1149-F1149)</f>
        <v>715.201178438658</v>
      </c>
      <c r="Q1149" s="24" t="n">
        <f aca="false">O1149+P1149/(1+H1149)^5</f>
        <v>624.79433651016</v>
      </c>
      <c r="R1149" s="24" t="n">
        <f aca="false">Q1149-'DCF Base Case'!$B$5</f>
        <v>439.79433651016</v>
      </c>
      <c r="S1149" s="32" t="n">
        <f aca="false">R1149/'DCF Base Case'!$B$6</f>
        <v>17.5917734604064</v>
      </c>
    </row>
    <row r="1150" customFormat="false" ht="15" hidden="false" customHeight="true" outlineLevel="0" collapsed="false">
      <c r="A1150" s="6" t="n">
        <v>1149</v>
      </c>
      <c r="B1150" s="30" t="n">
        <v>0.089269827806899</v>
      </c>
      <c r="C1150" s="30" t="n">
        <v>0.433228021962597</v>
      </c>
      <c r="D1150" s="30" t="n">
        <v>0.073437064580062</v>
      </c>
      <c r="E1150" s="30" t="n">
        <v>0.270030173498334</v>
      </c>
      <c r="F1150" s="30" t="n">
        <v>0.0138236018958798</v>
      </c>
      <c r="G1150" s="30" t="n">
        <v>0.187758295957328</v>
      </c>
      <c r="H1150" s="31" t="n">
        <f aca="false">MAX(D1150,F1150+0.015)</f>
        <v>0.073437064580062</v>
      </c>
      <c r="I1150" s="25" t="n">
        <f aca="false">(C1150-'DCF Base Case'!$B$3)*(1-E1150)+'DCF Base Case'!$B$3-G1150</f>
        <v>0.163589010625152</v>
      </c>
      <c r="J1150" s="24" t="n">
        <f aca="false">'DCF Base Case'!$B$2*(1+B1150)^1*$I1150-'DCF Base Case'!$B$2*(1+B1150)^0*B1150*'DCF Base Case'!$B$4</f>
        <v>25.4495993970803</v>
      </c>
      <c r="K1150" s="24" t="n">
        <f aca="false">'DCF Base Case'!$B$2*(1+B1150)^2*$I1150-'DCF Base Case'!$B$2*(1+B1150)^1*B1150*'DCF Base Case'!$B$4</f>
        <v>27.7214807530122</v>
      </c>
      <c r="L1150" s="24" t="n">
        <f aca="false">'DCF Base Case'!$B$2*(1+B1150)^3*$I1150-'DCF Base Case'!$B$2*(1+B1150)^2*B1150*'DCF Base Case'!$B$4</f>
        <v>30.1961725663859</v>
      </c>
      <c r="M1150" s="24" t="n">
        <f aca="false">'DCF Base Case'!$B$2*(1+B1150)^4*$I1150-'DCF Base Case'!$B$2*(1+B1150)^3*B1150*'DCF Base Case'!$B$4</f>
        <v>32.8917796918146</v>
      </c>
      <c r="N1150" s="24" t="n">
        <f aca="false">'DCF Base Case'!$B$2*(1+B1150)^5*$I1150-'DCF Base Case'!$B$2*(1+B1150)^4*B1150*'DCF Base Case'!$B$4</f>
        <v>35.8280232011653</v>
      </c>
      <c r="O1150" s="24" t="n">
        <f aca="false">J1150/(1+H1150)^1+K1150/(1+H1150)^2+L1150/(1+H1150)^3+M1150/(1+H1150)^4+N1150/(1+H1150)^5</f>
        <v>122.091447853828</v>
      </c>
      <c r="P1150" s="24" t="n">
        <f aca="false">N1150*(1+F1150)/(H1150-F1150)</f>
        <v>609.313633114162</v>
      </c>
      <c r="Q1150" s="24" t="n">
        <f aca="false">O1150+P1150/(1+H1150)^5</f>
        <v>549.612948431923</v>
      </c>
      <c r="R1150" s="24" t="n">
        <f aca="false">Q1150-'DCF Base Case'!$B$5</f>
        <v>364.612948431923</v>
      </c>
      <c r="S1150" s="32" t="n">
        <f aca="false">R1150/'DCF Base Case'!$B$6</f>
        <v>14.5845179372769</v>
      </c>
    </row>
    <row r="1151" customFormat="false" ht="15" hidden="false" customHeight="true" outlineLevel="0" collapsed="false">
      <c r="A1151" s="6" t="n">
        <v>1150</v>
      </c>
      <c r="B1151" s="30" t="n">
        <v>0.0881251868454909</v>
      </c>
      <c r="C1151" s="30" t="n">
        <v>0.394953373196934</v>
      </c>
      <c r="D1151" s="30" t="n">
        <v>0.086014921601575</v>
      </c>
      <c r="E1151" s="30" t="n">
        <v>0.255862488771808</v>
      </c>
      <c r="F1151" s="30" t="n">
        <v>0.015135178215426</v>
      </c>
      <c r="G1151" s="30" t="n">
        <v>0.136985486692389</v>
      </c>
      <c r="H1151" s="31" t="n">
        <f aca="false">MAX(D1151,F1151+0.015)</f>
        <v>0.086014921601575</v>
      </c>
      <c r="I1151" s="25" t="n">
        <f aca="false">(C1151-'DCF Base Case'!$B$3)*(1-E1151)+'DCF Base Case'!$B$3-G1151</f>
        <v>0.190176257029892</v>
      </c>
      <c r="J1151" s="24" t="n">
        <f aca="false">'DCF Base Case'!$B$2*(1+B1151)^1*$I1151-'DCF Base Case'!$B$2*(1+B1151)^0*B1151*'DCF Base Case'!$B$4</f>
        <v>29.6223138432851</v>
      </c>
      <c r="K1151" s="24" t="n">
        <f aca="false">'DCF Base Case'!$B$2*(1+B1151)^2*$I1151-'DCF Base Case'!$B$2*(1+B1151)^1*B1151*'DCF Base Case'!$B$4</f>
        <v>32.2327857855203</v>
      </c>
      <c r="L1151" s="24" t="n">
        <f aca="false">'DCF Base Case'!$B$2*(1+B1151)^3*$I1151-'DCF Base Case'!$B$2*(1+B1151)^2*B1151*'DCF Base Case'!$B$4</f>
        <v>35.07330605542</v>
      </c>
      <c r="M1151" s="24" t="n">
        <f aca="false">'DCF Base Case'!$B$2*(1+B1151)^4*$I1151-'DCF Base Case'!$B$2*(1+B1151)^3*B1151*'DCF Base Case'!$B$4</f>
        <v>38.164147704843</v>
      </c>
      <c r="N1151" s="24" t="n">
        <f aca="false">'DCF Base Case'!$B$2*(1+B1151)^5*$I1151-'DCF Base Case'!$B$2*(1+B1151)^4*B1151*'DCF Base Case'!$B$4</f>
        <v>41.5273703521312</v>
      </c>
      <c r="O1151" s="24" t="n">
        <f aca="false">J1151/(1+H1151)^1+K1151/(1+H1151)^2+L1151/(1+H1151)^3+M1151/(1+H1151)^4+N1151/(1+H1151)^5</f>
        <v>136.911827891355</v>
      </c>
      <c r="P1151" s="24" t="n">
        <f aca="false">N1151*(1+F1151)/(H1151-F1151)</f>
        <v>594.752357857246</v>
      </c>
      <c r="Q1151" s="24" t="n">
        <f aca="false">O1151+P1151/(1+H1151)^5</f>
        <v>530.604390483054</v>
      </c>
      <c r="R1151" s="24" t="n">
        <f aca="false">Q1151-'DCF Base Case'!$B$5</f>
        <v>345.604390483054</v>
      </c>
      <c r="S1151" s="32" t="n">
        <f aca="false">R1151/'DCF Base Case'!$B$6</f>
        <v>13.8241756193222</v>
      </c>
    </row>
    <row r="1152" customFormat="false" ht="15" hidden="false" customHeight="true" outlineLevel="0" collapsed="false">
      <c r="A1152" s="6" t="n">
        <v>1151</v>
      </c>
      <c r="B1152" s="30" t="n">
        <v>0.0667428278368543</v>
      </c>
      <c r="C1152" s="30" t="n">
        <v>0.432829229171087</v>
      </c>
      <c r="D1152" s="30" t="n">
        <v>0.0769356983558915</v>
      </c>
      <c r="E1152" s="30" t="n">
        <v>0.293668666582266</v>
      </c>
      <c r="F1152" s="30" t="n">
        <v>0.015938115738344</v>
      </c>
      <c r="G1152" s="30" t="n">
        <v>0.183358493400197</v>
      </c>
      <c r="H1152" s="31" t="n">
        <f aca="false">MAX(D1152,F1152+0.015)</f>
        <v>0.0769356983558915</v>
      </c>
      <c r="I1152" s="25" t="n">
        <f aca="false">(C1152-'DCF Base Case'!$B$3)*(1-E1152)+'DCF Base Case'!$B$3-G1152</f>
        <v>0.160539279838081</v>
      </c>
      <c r="J1152" s="24" t="n">
        <f aca="false">'DCF Base Case'!$B$2*(1+B1152)^1*$I1152-'DCF Base Case'!$B$2*(1+B1152)^0*B1152*'DCF Base Case'!$B$4</f>
        <v>24.5415168751479</v>
      </c>
      <c r="K1152" s="24" t="n">
        <f aca="false">'DCF Base Case'!$B$2*(1+B1152)^2*$I1152-'DCF Base Case'!$B$2*(1+B1152)^1*B1152*'DCF Base Case'!$B$4</f>
        <v>26.1794871108012</v>
      </c>
      <c r="L1152" s="24" t="n">
        <f aca="false">'DCF Base Case'!$B$2*(1+B1152)^3*$I1152-'DCF Base Case'!$B$2*(1+B1152)^2*B1152*'DCF Base Case'!$B$4</f>
        <v>27.9267801118945</v>
      </c>
      <c r="M1152" s="24" t="n">
        <f aca="false">'DCF Base Case'!$B$2*(1+B1152)^4*$I1152-'DCF Base Case'!$B$2*(1+B1152)^3*B1152*'DCF Base Case'!$B$4</f>
        <v>29.7906923889404</v>
      </c>
      <c r="N1152" s="24" t="n">
        <f aca="false">'DCF Base Case'!$B$2*(1+B1152)^5*$I1152-'DCF Base Case'!$B$2*(1+B1152)^4*B1152*'DCF Base Case'!$B$4</f>
        <v>31.7790074421961</v>
      </c>
      <c r="O1152" s="24" t="n">
        <f aca="false">J1152/(1+H1152)^1+K1152/(1+H1152)^2+L1152/(1+H1152)^3+M1152/(1+H1152)^4+N1152/(1+H1152)^5</f>
        <v>111.804896818283</v>
      </c>
      <c r="P1152" s="24" t="n">
        <f aca="false">N1152*(1+F1152)/(H1152-F1152)</f>
        <v>529.291548212466</v>
      </c>
      <c r="Q1152" s="24" t="n">
        <f aca="false">O1152+P1152/(1+H1152)^5</f>
        <v>477.186008684014</v>
      </c>
      <c r="R1152" s="24" t="n">
        <f aca="false">Q1152-'DCF Base Case'!$B$5</f>
        <v>292.186008684014</v>
      </c>
      <c r="S1152" s="32" t="n">
        <f aca="false">R1152/'DCF Base Case'!$B$6</f>
        <v>11.6874403473605</v>
      </c>
    </row>
    <row r="1153" customFormat="false" ht="15" hidden="false" customHeight="true" outlineLevel="0" collapsed="false">
      <c r="A1153" s="6" t="n">
        <v>1152</v>
      </c>
      <c r="B1153" s="30" t="n">
        <v>0.0676067443564967</v>
      </c>
      <c r="C1153" s="30" t="n">
        <v>0.407344377368471</v>
      </c>
      <c r="D1153" s="30" t="n">
        <v>0.0855813644085584</v>
      </c>
      <c r="E1153" s="30" t="n">
        <v>0.340069436529579</v>
      </c>
      <c r="F1153" s="30" t="n">
        <v>0.02161125443871</v>
      </c>
      <c r="G1153" s="30" t="n">
        <v>0.153263956208509</v>
      </c>
      <c r="H1153" s="31" t="n">
        <f aca="false">MAX(D1153,F1153+0.015)</f>
        <v>0.0855813644085584</v>
      </c>
      <c r="I1153" s="25" t="n">
        <f aca="false">(C1153-'DCF Base Case'!$B$3)*(1-E1153)+'DCF Base Case'!$B$3-G1153</f>
        <v>0.159764075023619</v>
      </c>
      <c r="J1153" s="24" t="n">
        <f aca="false">'DCF Base Case'!$B$2*(1+B1153)^1*$I1153-'DCF Base Case'!$B$2*(1+B1153)^0*B1153*'DCF Base Case'!$B$4</f>
        <v>24.4378652422078</v>
      </c>
      <c r="K1153" s="24" t="n">
        <f aca="false">'DCF Base Case'!$B$2*(1+B1153)^2*$I1153-'DCF Base Case'!$B$2*(1+B1153)^1*B1153*'DCF Base Case'!$B$4</f>
        <v>26.0900297502562</v>
      </c>
      <c r="L1153" s="24" t="n">
        <f aca="false">'DCF Base Case'!$B$2*(1+B1153)^3*$I1153-'DCF Base Case'!$B$2*(1+B1153)^2*B1153*'DCF Base Case'!$B$4</f>
        <v>27.8538917218352</v>
      </c>
      <c r="M1153" s="24" t="n">
        <f aca="false">'DCF Base Case'!$B$2*(1+B1153)^4*$I1153-'DCF Base Case'!$B$2*(1+B1153)^3*B1153*'DCF Base Case'!$B$4</f>
        <v>29.7370026588068</v>
      </c>
      <c r="N1153" s="24" t="n">
        <f aca="false">'DCF Base Case'!$B$2*(1+B1153)^5*$I1153-'DCF Base Case'!$B$2*(1+B1153)^4*B1153*'DCF Base Case'!$B$4</f>
        <v>31.7474245954892</v>
      </c>
      <c r="O1153" s="24" t="n">
        <f aca="false">J1153/(1+H1153)^1+K1153/(1+H1153)^2+L1153/(1+H1153)^3+M1153/(1+H1153)^4+N1153/(1+H1153)^5</f>
        <v>108.890453657099</v>
      </c>
      <c r="P1153" s="24" t="n">
        <f aca="false">N1153*(1+F1153)/(H1153-F1153)</f>
        <v>507.010637960186</v>
      </c>
      <c r="Q1153" s="24" t="n">
        <f aca="false">O1153+P1153/(1+H1153)^5</f>
        <v>445.173656119101</v>
      </c>
      <c r="R1153" s="24" t="n">
        <f aca="false">Q1153-'DCF Base Case'!$B$5</f>
        <v>260.173656119101</v>
      </c>
      <c r="S1153" s="32" t="n">
        <f aca="false">R1153/'DCF Base Case'!$B$6</f>
        <v>10.406946244764</v>
      </c>
    </row>
    <row r="1154" customFormat="false" ht="15" hidden="false" customHeight="true" outlineLevel="0" collapsed="false">
      <c r="A1154" s="6" t="n">
        <v>1153</v>
      </c>
      <c r="B1154" s="30" t="n">
        <v>0.10488187704263</v>
      </c>
      <c r="C1154" s="30" t="n">
        <v>0.452940811047333</v>
      </c>
      <c r="D1154" s="30" t="n">
        <v>0.0670740030046728</v>
      </c>
      <c r="E1154" s="30" t="n">
        <v>0.260992219588983</v>
      </c>
      <c r="F1154" s="30" t="n">
        <v>0.0184329367997656</v>
      </c>
      <c r="G1154" s="30" t="n">
        <v>0.156786244053126</v>
      </c>
      <c r="H1154" s="31" t="n">
        <f aca="false">MAX(D1154,F1154+0.015)</f>
        <v>0.0670740030046728</v>
      </c>
      <c r="I1154" s="25" t="n">
        <f aca="false">(C1154-'DCF Base Case'!$B$3)*(1-E1154)+'DCF Base Case'!$B$3-G1154</f>
        <v>0.211869527923097</v>
      </c>
      <c r="J1154" s="24" t="n">
        <f aca="false">'DCF Base Case'!$B$2*(1+B1154)^1*$I1154-'DCF Base Case'!$B$2*(1+B1154)^0*B1154*'DCF Base Case'!$B$4</f>
        <v>33.4869300813367</v>
      </c>
      <c r="K1154" s="24" t="n">
        <f aca="false">'DCF Base Case'!$B$2*(1+B1154)^2*$I1154-'DCF Base Case'!$B$2*(1+B1154)^1*B1154*'DCF Base Case'!$B$4</f>
        <v>36.9991021646626</v>
      </c>
      <c r="L1154" s="24" t="n">
        <f aca="false">'DCF Base Case'!$B$2*(1+B1154)^3*$I1154-'DCF Base Case'!$B$2*(1+B1154)^2*B1154*'DCF Base Case'!$B$4</f>
        <v>40.8796374485844</v>
      </c>
      <c r="M1154" s="24" t="n">
        <f aca="false">'DCF Base Case'!$B$2*(1+B1154)^4*$I1154-'DCF Base Case'!$B$2*(1+B1154)^3*B1154*'DCF Base Case'!$B$4</f>
        <v>45.1671705570141</v>
      </c>
      <c r="N1154" s="24" t="n">
        <f aca="false">'DCF Base Case'!$B$2*(1+B1154)^5*$I1154-'DCF Base Case'!$B$2*(1+B1154)^4*B1154*'DCF Base Case'!$B$4</f>
        <v>49.9043881857384</v>
      </c>
      <c r="O1154" s="24" t="n">
        <f aca="false">J1154/(1+H1154)^1+K1154/(1+H1154)^2+L1154/(1+H1154)^3+M1154/(1+H1154)^4+N1154/(1+H1154)^5</f>
        <v>168.430128068193</v>
      </c>
      <c r="P1154" s="24" t="n">
        <f aca="false">N1154*(1+F1154)/(H1154-F1154)</f>
        <v>1044.88401642129</v>
      </c>
      <c r="Q1154" s="24" t="n">
        <f aca="false">O1154+P1154/(1+H1154)^5</f>
        <v>923.688223344398</v>
      </c>
      <c r="R1154" s="24" t="n">
        <f aca="false">Q1154-'DCF Base Case'!$B$5</f>
        <v>738.688223344398</v>
      </c>
      <c r="S1154" s="32" t="n">
        <f aca="false">R1154/'DCF Base Case'!$B$6</f>
        <v>29.5475289337759</v>
      </c>
    </row>
    <row r="1155" customFormat="false" ht="15" hidden="false" customHeight="true" outlineLevel="0" collapsed="false">
      <c r="A1155" s="6" t="n">
        <v>1154</v>
      </c>
      <c r="B1155" s="30" t="n">
        <v>0.0829918000009111</v>
      </c>
      <c r="C1155" s="30" t="n">
        <v>0.383291410641</v>
      </c>
      <c r="D1155" s="30" t="n">
        <v>0.10044351658905</v>
      </c>
      <c r="E1155" s="30" t="n">
        <v>0.253051230401668</v>
      </c>
      <c r="F1155" s="30" t="n">
        <v>0.0185799177192887</v>
      </c>
      <c r="G1155" s="30" t="n">
        <v>0.190218835430662</v>
      </c>
      <c r="H1155" s="31" t="n">
        <f aca="false">MAX(D1155,F1155+0.015)</f>
        <v>0.10044351658905</v>
      </c>
      <c r="I1155" s="25" t="n">
        <f aca="false">(C1155-'DCF Base Case'!$B$3)*(1-E1155)+'DCF Base Case'!$B$3-G1155</f>
        <v>0.128976872097459</v>
      </c>
      <c r="J1155" s="24" t="n">
        <f aca="false">'DCF Base Case'!$B$2*(1+B1155)^1*$I1155-'DCF Base Case'!$B$2*(1+B1155)^0*B1155*'DCF Base Case'!$B$4</f>
        <v>19.8927154263366</v>
      </c>
      <c r="K1155" s="24" t="n">
        <f aca="false">'DCF Base Case'!$B$2*(1+B1155)^2*$I1155-'DCF Base Case'!$B$2*(1+B1155)^1*B1155*'DCF Base Case'!$B$4</f>
        <v>21.5436476864742</v>
      </c>
      <c r="L1155" s="24" t="n">
        <f aca="false">'DCF Base Case'!$B$2*(1+B1155)^3*$I1155-'DCF Base Case'!$B$2*(1+B1155)^2*B1155*'DCF Base Case'!$B$4</f>
        <v>23.3315937865601</v>
      </c>
      <c r="M1155" s="24" t="n">
        <f aca="false">'DCF Base Case'!$B$2*(1+B1155)^4*$I1155-'DCF Base Case'!$B$2*(1+B1155)^3*B1155*'DCF Base Case'!$B$4</f>
        <v>25.2679247517968</v>
      </c>
      <c r="N1155" s="24" t="n">
        <f aca="false">'DCF Base Case'!$B$2*(1+B1155)^5*$I1155-'DCF Base Case'!$B$2*(1+B1155)^4*B1155*'DCF Base Case'!$B$4</f>
        <v>27.364955309236</v>
      </c>
      <c r="O1155" s="24" t="n">
        <f aca="false">J1155/(1+H1155)^1+K1155/(1+H1155)^2+L1155/(1+H1155)^3+M1155/(1+H1155)^4+N1155/(1+H1155)^5</f>
        <v>87.5632999246787</v>
      </c>
      <c r="P1155" s="24" t="n">
        <f aca="false">N1155*(1+F1155)/(H1155-F1155)</f>
        <v>340.48581191279</v>
      </c>
      <c r="Q1155" s="24" t="n">
        <f aca="false">O1155+P1155/(1+H1155)^5</f>
        <v>298.552506632252</v>
      </c>
      <c r="R1155" s="24" t="n">
        <f aca="false">Q1155-'DCF Base Case'!$B$5</f>
        <v>113.552506632252</v>
      </c>
      <c r="S1155" s="32" t="n">
        <f aca="false">R1155/'DCF Base Case'!$B$6</f>
        <v>4.54210026529006</v>
      </c>
    </row>
    <row r="1156" customFormat="false" ht="15" hidden="false" customHeight="true" outlineLevel="0" collapsed="false">
      <c r="A1156" s="6" t="n">
        <v>1155</v>
      </c>
      <c r="B1156" s="30" t="n">
        <v>0.089394322175642</v>
      </c>
      <c r="C1156" s="30" t="n">
        <v>0.392560777068178</v>
      </c>
      <c r="D1156" s="30" t="n">
        <v>0.0701645677798865</v>
      </c>
      <c r="E1156" s="30" t="n">
        <v>0.273511813673742</v>
      </c>
      <c r="F1156" s="30" t="n">
        <v>0.0162681985519463</v>
      </c>
      <c r="G1156" s="30" t="n">
        <v>0.169878400501606</v>
      </c>
      <c r="H1156" s="31" t="n">
        <f aca="false">MAX(D1156,F1156+0.015)</f>
        <v>0.0701645677798865</v>
      </c>
      <c r="I1156" s="25" t="n">
        <f aca="false">(C1156-'DCF Base Case'!$B$3)*(1-E1156)+'DCF Base Case'!$B$3-G1156</f>
        <v>0.150868902231068</v>
      </c>
      <c r="J1156" s="24" t="n">
        <f aca="false">'DCF Base Case'!$B$2*(1+B1156)^1*$I1156-'DCF Base Case'!$B$2*(1+B1156)^0*B1156*'DCF Base Case'!$B$4</f>
        <v>23.4427148936285</v>
      </c>
      <c r="K1156" s="24" t="n">
        <f aca="false">'DCF Base Case'!$B$2*(1+B1156)^2*$I1156-'DCF Base Case'!$B$2*(1+B1156)^1*B1156*'DCF Base Case'!$B$4</f>
        <v>25.5383605015013</v>
      </c>
      <c r="L1156" s="24" t="n">
        <f aca="false">'DCF Base Case'!$B$2*(1+B1156)^3*$I1156-'DCF Base Case'!$B$2*(1+B1156)^2*B1156*'DCF Base Case'!$B$4</f>
        <v>27.8213449280102</v>
      </c>
      <c r="M1156" s="24" t="n">
        <f aca="false">'DCF Base Case'!$B$2*(1+B1156)^4*$I1156-'DCF Base Case'!$B$2*(1+B1156)^3*B1156*'DCF Base Case'!$B$4</f>
        <v>30.3084151998644</v>
      </c>
      <c r="N1156" s="24" t="n">
        <f aca="false">'DCF Base Case'!$B$2*(1+B1156)^5*$I1156-'DCF Base Case'!$B$2*(1+B1156)^4*B1156*'DCF Base Case'!$B$4</f>
        <v>33.0178154328742</v>
      </c>
      <c r="O1156" s="24" t="n">
        <f aca="false">J1156/(1+H1156)^1+K1156/(1+H1156)^2+L1156/(1+H1156)^3+M1156/(1+H1156)^4+N1156/(1+H1156)^5</f>
        <v>113.536149153985</v>
      </c>
      <c r="P1156" s="24" t="n">
        <f aca="false">N1156*(1+F1156)/(H1156-F1156)</f>
        <v>622.582862088094</v>
      </c>
      <c r="Q1156" s="24" t="n">
        <f aca="false">O1156+P1156/(1+H1156)^5</f>
        <v>557.087925462984</v>
      </c>
      <c r="R1156" s="24" t="n">
        <f aca="false">Q1156-'DCF Base Case'!$B$5</f>
        <v>372.087925462984</v>
      </c>
      <c r="S1156" s="32" t="n">
        <f aca="false">R1156/'DCF Base Case'!$B$6</f>
        <v>14.8835170185194</v>
      </c>
    </row>
    <row r="1157" customFormat="false" ht="15" hidden="false" customHeight="true" outlineLevel="0" collapsed="false">
      <c r="A1157" s="6" t="n">
        <v>1156</v>
      </c>
      <c r="B1157" s="30" t="n">
        <v>0.0600673370430535</v>
      </c>
      <c r="C1157" s="30" t="n">
        <v>0.420343682667023</v>
      </c>
      <c r="D1157" s="30" t="n">
        <v>0.0862710447548091</v>
      </c>
      <c r="E1157" s="30" t="n">
        <v>0.285156227650487</v>
      </c>
      <c r="F1157" s="30" t="n">
        <v>0.02436709856102</v>
      </c>
      <c r="G1157" s="30" t="n">
        <v>0.156374016399483</v>
      </c>
      <c r="H1157" s="31" t="n">
        <f aca="false">MAX(D1157,F1157+0.015)</f>
        <v>0.0862710447548091</v>
      </c>
      <c r="I1157" s="25" t="n">
        <f aca="false">(C1157-'DCF Base Case'!$B$3)*(1-E1157)+'DCF Base Case'!$B$3-G1157</f>
        <v>0.181176356996062</v>
      </c>
      <c r="J1157" s="24" t="n">
        <f aca="false">'DCF Base Case'!$B$2*(1+B1157)^1*$I1157-'DCF Base Case'!$B$2*(1+B1157)^0*B1157*'DCF Base Case'!$B$4</f>
        <v>27.5872821367793</v>
      </c>
      <c r="K1157" s="24" t="n">
        <f aca="false">'DCF Base Case'!$B$2*(1+B1157)^2*$I1157-'DCF Base Case'!$B$2*(1+B1157)^1*B1157*'DCF Base Case'!$B$4</f>
        <v>29.2443767109911</v>
      </c>
      <c r="L1157" s="24" t="n">
        <f aca="false">'DCF Base Case'!$B$2*(1+B1157)^3*$I1157-'DCF Base Case'!$B$2*(1+B1157)^2*B1157*'DCF Base Case'!$B$4</f>
        <v>31.0010085435042</v>
      </c>
      <c r="M1157" s="24" t="n">
        <f aca="false">'DCF Base Case'!$B$2*(1+B1157)^4*$I1157-'DCF Base Case'!$B$2*(1+B1157)^3*B1157*'DCF Base Case'!$B$4</f>
        <v>32.8631565723614</v>
      </c>
      <c r="N1157" s="24" t="n">
        <f aca="false">'DCF Base Case'!$B$2*(1+B1157)^5*$I1157-'DCF Base Case'!$B$2*(1+B1157)^4*B1157*'DCF Base Case'!$B$4</f>
        <v>34.8371588744921</v>
      </c>
      <c r="O1157" s="24" t="n">
        <f aca="false">J1157/(1+H1157)^1+K1157/(1+H1157)^2+L1157/(1+H1157)^3+M1157/(1+H1157)^4+N1157/(1+H1157)^5</f>
        <v>121.00132728276</v>
      </c>
      <c r="P1157" s="24" t="n">
        <f aca="false">N1157*(1+F1157)/(H1157-F1157)</f>
        <v>576.474385763039</v>
      </c>
      <c r="Q1157" s="24" t="n">
        <f aca="false">O1157+P1157/(1+H1157)^5</f>
        <v>502.145249440424</v>
      </c>
      <c r="R1157" s="24" t="n">
        <f aca="false">Q1157-'DCF Base Case'!$B$5</f>
        <v>317.145249440424</v>
      </c>
      <c r="S1157" s="32" t="n">
        <f aca="false">R1157/'DCF Base Case'!$B$6</f>
        <v>12.685809977617</v>
      </c>
    </row>
    <row r="1158" customFormat="false" ht="15" hidden="false" customHeight="true" outlineLevel="0" collapsed="false">
      <c r="A1158" s="6" t="n">
        <v>1157</v>
      </c>
      <c r="B1158" s="30" t="n">
        <v>0.0742034775648583</v>
      </c>
      <c r="C1158" s="30" t="n">
        <v>0.396455057273637</v>
      </c>
      <c r="D1158" s="30" t="n">
        <v>0.0828822077352442</v>
      </c>
      <c r="E1158" s="30" t="n">
        <v>0.27713866870617</v>
      </c>
      <c r="F1158" s="30" t="n">
        <v>0.0159613451053935</v>
      </c>
      <c r="G1158" s="30" t="n">
        <v>0.129280555876438</v>
      </c>
      <c r="H1158" s="31" t="n">
        <f aca="false">MAX(D1158,F1158+0.015)</f>
        <v>0.0828822077352442</v>
      </c>
      <c r="I1158" s="25" t="n">
        <f aca="false">(C1158-'DCF Base Case'!$B$3)*(1-E1158)+'DCF Base Case'!$B$3-G1158</f>
        <v>0.193329501554357</v>
      </c>
      <c r="J1158" s="24" t="n">
        <f aca="false">'DCF Base Case'!$B$2*(1+B1158)^1*$I1158-'DCF Base Case'!$B$2*(1+B1158)^0*B1158*'DCF Base Case'!$B$4</f>
        <v>29.7901221910007</v>
      </c>
      <c r="K1158" s="24" t="n">
        <f aca="false">'DCF Base Case'!$B$2*(1+B1158)^2*$I1158-'DCF Base Case'!$B$2*(1+B1158)^1*B1158*'DCF Base Case'!$B$4</f>
        <v>32.000652854655</v>
      </c>
      <c r="L1158" s="24" t="n">
        <f aca="false">'DCF Base Case'!$B$2*(1+B1158)^3*$I1158-'DCF Base Case'!$B$2*(1+B1158)^2*B1158*'DCF Base Case'!$B$4</f>
        <v>34.3752125808162</v>
      </c>
      <c r="M1158" s="24" t="n">
        <f aca="false">'DCF Base Case'!$B$2*(1+B1158)^4*$I1158-'DCF Base Case'!$B$2*(1+B1158)^3*B1158*'DCF Base Case'!$B$4</f>
        <v>36.925972896344</v>
      </c>
      <c r="N1158" s="24" t="n">
        <f aca="false">'DCF Base Case'!$B$2*(1+B1158)^5*$I1158-'DCF Base Case'!$B$2*(1+B1158)^4*B1158*'DCF Base Case'!$B$4</f>
        <v>39.6660084977184</v>
      </c>
      <c r="O1158" s="24" t="n">
        <f aca="false">J1158/(1+H1158)^1+K1158/(1+H1158)^2+L1158/(1+H1158)^3+M1158/(1+H1158)^4+N1158/(1+H1158)^5</f>
        <v>135.362966342204</v>
      </c>
      <c r="P1158" s="24" t="n">
        <f aca="false">N1158*(1+F1158)/(H1158-F1158)</f>
        <v>602.190852966204</v>
      </c>
      <c r="Q1158" s="24" t="n">
        <f aca="false">O1158+P1158/(1+H1158)^5</f>
        <v>539.778719178838</v>
      </c>
      <c r="R1158" s="24" t="n">
        <f aca="false">Q1158-'DCF Base Case'!$B$5</f>
        <v>354.778719178838</v>
      </c>
      <c r="S1158" s="32" t="n">
        <f aca="false">R1158/'DCF Base Case'!$B$6</f>
        <v>14.1911487671535</v>
      </c>
    </row>
    <row r="1159" customFormat="false" ht="15" hidden="false" customHeight="true" outlineLevel="0" collapsed="false">
      <c r="A1159" s="6" t="n">
        <v>1158</v>
      </c>
      <c r="B1159" s="30" t="n">
        <v>0.0779092976364136</v>
      </c>
      <c r="C1159" s="30" t="n">
        <v>0.417756188997632</v>
      </c>
      <c r="D1159" s="30" t="n">
        <v>0.0864988413687884</v>
      </c>
      <c r="E1159" s="30" t="n">
        <v>0.316235425812529</v>
      </c>
      <c r="F1159" s="30" t="n">
        <v>0.0256790806996808</v>
      </c>
      <c r="G1159" s="30" t="n">
        <v>0.183353598252902</v>
      </c>
      <c r="H1159" s="31" t="n">
        <f aca="false">MAX(D1159,F1159+0.015)</f>
        <v>0.0864988413687884</v>
      </c>
      <c r="I1159" s="25" t="n">
        <f aca="false">(C1159-'DCF Base Case'!$B$3)*(1-E1159)+'DCF Base Case'!$B$3-G1159</f>
        <v>0.143403889786873</v>
      </c>
      <c r="J1159" s="24" t="n">
        <f aca="false">'DCF Base Case'!$B$2*(1+B1159)^1*$I1159-'DCF Base Case'!$B$2*(1+B1159)^0*B1159*'DCF Base Case'!$B$4</f>
        <v>22.0746705424638</v>
      </c>
      <c r="K1159" s="24" t="n">
        <f aca="false">'DCF Base Case'!$B$2*(1+B1159)^2*$I1159-'DCF Base Case'!$B$2*(1+B1159)^1*B1159*'DCF Base Case'!$B$4</f>
        <v>23.7944926199824</v>
      </c>
      <c r="L1159" s="24" t="n">
        <f aca="false">'DCF Base Case'!$B$2*(1+B1159)^3*$I1159-'DCF Base Case'!$B$2*(1+B1159)^2*B1159*'DCF Base Case'!$B$4</f>
        <v>25.6483048276201</v>
      </c>
      <c r="M1159" s="24" t="n">
        <f aca="false">'DCF Base Case'!$B$2*(1+B1159)^4*$I1159-'DCF Base Case'!$B$2*(1+B1159)^3*B1159*'DCF Base Case'!$B$4</f>
        <v>27.6465462423046</v>
      </c>
      <c r="N1159" s="24" t="n">
        <f aca="false">'DCF Base Case'!$B$2*(1+B1159)^5*$I1159-'DCF Base Case'!$B$2*(1+B1159)^4*B1159*'DCF Base Case'!$B$4</f>
        <v>29.8004692421152</v>
      </c>
      <c r="O1159" s="24" t="n">
        <f aca="false">J1159/(1+H1159)^1+K1159/(1+H1159)^2+L1159/(1+H1159)^3+M1159/(1+H1159)^4+N1159/(1+H1159)^5</f>
        <v>99.9926844078718</v>
      </c>
      <c r="P1159" s="24" t="n">
        <f aca="false">N1159*(1+F1159)/(H1159-F1159)</f>
        <v>502.562285027162</v>
      </c>
      <c r="Q1159" s="24" t="n">
        <f aca="false">O1159+P1159/(1+H1159)^5</f>
        <v>431.920429819682</v>
      </c>
      <c r="R1159" s="24" t="n">
        <f aca="false">Q1159-'DCF Base Case'!$B$5</f>
        <v>246.920429819682</v>
      </c>
      <c r="S1159" s="32" t="n">
        <f aca="false">R1159/'DCF Base Case'!$B$6</f>
        <v>9.87681719278729</v>
      </c>
    </row>
    <row r="1160" customFormat="false" ht="15" hidden="false" customHeight="true" outlineLevel="0" collapsed="false">
      <c r="A1160" s="6" t="n">
        <v>1159</v>
      </c>
      <c r="B1160" s="30" t="n">
        <v>0.119578693923554</v>
      </c>
      <c r="C1160" s="30" t="n">
        <v>0.438584940308324</v>
      </c>
      <c r="D1160" s="30" t="n">
        <v>0.103808891815201</v>
      </c>
      <c r="E1160" s="30" t="n">
        <v>0.332174637944455</v>
      </c>
      <c r="F1160" s="30" t="n">
        <v>0.0227658384934655</v>
      </c>
      <c r="G1160" s="30" t="n">
        <v>0.182054574820869</v>
      </c>
      <c r="H1160" s="31" t="n">
        <f aca="false">MAX(D1160,F1160+0.015)</f>
        <v>0.103808891815201</v>
      </c>
      <c r="I1160" s="25" t="n">
        <f aca="false">(C1160-'DCF Base Case'!$B$3)*(1-E1160)+'DCF Base Case'!$B$3-G1160</f>
        <v>0.154026274665426</v>
      </c>
      <c r="J1160" s="24" t="n">
        <f aca="false">'DCF Base Case'!$B$2*(1+B1160)^1*$I1160-'DCF Base Case'!$B$2*(1+B1160)^0*B1160*'DCF Base Case'!$B$4</f>
        <v>24.4842903173077</v>
      </c>
      <c r="K1160" s="24" t="n">
        <f aca="false">'DCF Base Case'!$B$2*(1+B1160)^2*$I1160-'DCF Base Case'!$B$2*(1+B1160)^1*B1160*'DCF Base Case'!$B$4</f>
        <v>27.4120897750964</v>
      </c>
      <c r="L1160" s="24" t="n">
        <f aca="false">'DCF Base Case'!$B$2*(1+B1160)^3*$I1160-'DCF Base Case'!$B$2*(1+B1160)^2*B1160*'DCF Base Case'!$B$4</f>
        <v>30.6899916681177</v>
      </c>
      <c r="M1160" s="24" t="n">
        <f aca="false">'DCF Base Case'!$B$2*(1+B1160)^4*$I1160-'DCF Base Case'!$B$2*(1+B1160)^3*B1160*'DCF Base Case'!$B$4</f>
        <v>34.3598607883159</v>
      </c>
      <c r="N1160" s="24" t="n">
        <f aca="false">'DCF Base Case'!$B$2*(1+B1160)^5*$I1160-'DCF Base Case'!$B$2*(1+B1160)^4*B1160*'DCF Base Case'!$B$4</f>
        <v>38.4685680647779</v>
      </c>
      <c r="O1160" s="24" t="n">
        <f aca="false">J1160/(1+H1160)^1+K1160/(1+H1160)^2+L1160/(1+H1160)^3+M1160/(1+H1160)^4+N1160/(1+H1160)^5</f>
        <v>114.12282147007</v>
      </c>
      <c r="P1160" s="24" t="n">
        <f aca="false">N1160*(1+F1160)/(H1160-F1160)</f>
        <v>485.474518293642</v>
      </c>
      <c r="Q1160" s="24" t="n">
        <f aca="false">O1160+P1160/(1+H1160)^5</f>
        <v>410.399180082027</v>
      </c>
      <c r="R1160" s="24" t="n">
        <f aca="false">Q1160-'DCF Base Case'!$B$5</f>
        <v>225.399180082027</v>
      </c>
      <c r="S1160" s="32" t="n">
        <f aca="false">R1160/'DCF Base Case'!$B$6</f>
        <v>9.01596720328106</v>
      </c>
    </row>
    <row r="1161" customFormat="false" ht="15" hidden="false" customHeight="true" outlineLevel="0" collapsed="false">
      <c r="A1161" s="6" t="n">
        <v>1160</v>
      </c>
      <c r="B1161" s="30" t="n">
        <v>0.0857545280496554</v>
      </c>
      <c r="C1161" s="30" t="n">
        <v>0.412305929000292</v>
      </c>
      <c r="D1161" s="30" t="n">
        <v>0.0812837893551471</v>
      </c>
      <c r="E1161" s="30" t="n">
        <v>0.298566074160001</v>
      </c>
      <c r="F1161" s="30" t="n">
        <v>0.0164218135527562</v>
      </c>
      <c r="G1161" s="30" t="n">
        <v>0.161223534878386</v>
      </c>
      <c r="H1161" s="31" t="n">
        <f aca="false">MAX(D1161,F1161+0.015)</f>
        <v>0.0812837893551471</v>
      </c>
      <c r="I1161" s="25" t="n">
        <f aca="false">(C1161-'DCF Base Case'!$B$3)*(1-E1161)+'DCF Base Case'!$B$3-G1161</f>
        <v>0.166795421188197</v>
      </c>
      <c r="J1161" s="24" t="n">
        <f aca="false">'DCF Base Case'!$B$2*(1+B1161)^1*$I1161-'DCF Base Case'!$B$2*(1+B1161)^0*B1161*'DCF Base Case'!$B$4</f>
        <v>25.8863059558739</v>
      </c>
      <c r="K1161" s="24" t="n">
        <f aca="false">'DCF Base Case'!$B$2*(1+B1161)^2*$I1161-'DCF Base Case'!$B$2*(1+B1161)^1*B1161*'DCF Base Case'!$B$4</f>
        <v>28.1061739060689</v>
      </c>
      <c r="L1161" s="24" t="n">
        <f aca="false">'DCF Base Case'!$B$2*(1+B1161)^3*$I1161-'DCF Base Case'!$B$2*(1+B1161)^2*B1161*'DCF Base Case'!$B$4</f>
        <v>30.5164055846654</v>
      </c>
      <c r="M1161" s="24" t="n">
        <f aca="false">'DCF Base Case'!$B$2*(1+B1161)^4*$I1161-'DCF Base Case'!$B$2*(1+B1161)^3*B1161*'DCF Base Case'!$B$4</f>
        <v>33.1333255433502</v>
      </c>
      <c r="N1161" s="24" t="n">
        <f aca="false">'DCF Base Case'!$B$2*(1+B1161)^5*$I1161-'DCF Base Case'!$B$2*(1+B1161)^4*B1161*'DCF Base Case'!$B$4</f>
        <v>35.9746582380358</v>
      </c>
      <c r="O1161" s="24" t="n">
        <f aca="false">J1161/(1+H1161)^1+K1161/(1+H1161)^2+L1161/(1+H1161)^3+M1161/(1+H1161)^4+N1161/(1+H1161)^5</f>
        <v>120.695672878081</v>
      </c>
      <c r="P1161" s="24" t="n">
        <f aca="false">N1161*(1+F1161)/(H1161-F1161)</f>
        <v>563.742114172494</v>
      </c>
      <c r="Q1161" s="24" t="n">
        <f aca="false">O1161+P1161/(1+H1161)^5</f>
        <v>502.096841549351</v>
      </c>
      <c r="R1161" s="24" t="n">
        <f aca="false">Q1161-'DCF Base Case'!$B$5</f>
        <v>317.096841549351</v>
      </c>
      <c r="S1161" s="32" t="n">
        <f aca="false">R1161/'DCF Base Case'!$B$6</f>
        <v>12.683873661974</v>
      </c>
    </row>
    <row r="1162" customFormat="false" ht="15" hidden="false" customHeight="true" outlineLevel="0" collapsed="false">
      <c r="A1162" s="6" t="n">
        <v>1161</v>
      </c>
      <c r="B1162" s="30" t="n">
        <v>0.0468033519647138</v>
      </c>
      <c r="C1162" s="30" t="n">
        <v>0.430686255705983</v>
      </c>
      <c r="D1162" s="30" t="n">
        <v>0.0825747795915505</v>
      </c>
      <c r="E1162" s="30" t="n">
        <v>0.293334102138501</v>
      </c>
      <c r="F1162" s="30" t="n">
        <v>0.0244163301676216</v>
      </c>
      <c r="G1162" s="30" t="n">
        <v>0.172126625190585</v>
      </c>
      <c r="H1162" s="31" t="n">
        <f aca="false">MAX(D1162,F1162+0.015)</f>
        <v>0.0825747795915505</v>
      </c>
      <c r="I1162" s="25" t="n">
        <f aca="false">(C1162-'DCF Base Case'!$B$3)*(1-E1162)+'DCF Base Case'!$B$3-G1162</f>
        <v>0.170358097672496</v>
      </c>
      <c r="J1162" s="24" t="n">
        <f aca="false">'DCF Base Case'!$B$2*(1+B1162)^1*$I1162-'DCF Base Case'!$B$2*(1+B1162)^0*B1162*'DCF Base Case'!$B$4</f>
        <v>25.6544624322491</v>
      </c>
      <c r="K1162" s="24" t="n">
        <f aca="false">'DCF Base Case'!$B$2*(1+B1162)^2*$I1162-'DCF Base Case'!$B$2*(1+B1162)^1*B1162*'DCF Base Case'!$B$4</f>
        <v>26.8551772669312</v>
      </c>
      <c r="L1162" s="24" t="n">
        <f aca="false">'DCF Base Case'!$B$2*(1+B1162)^3*$I1162-'DCF Base Case'!$B$2*(1+B1162)^2*B1162*'DCF Base Case'!$B$4</f>
        <v>28.1120895806301</v>
      </c>
      <c r="M1162" s="24" t="n">
        <f aca="false">'DCF Base Case'!$B$2*(1+B1162)^4*$I1162-'DCF Base Case'!$B$2*(1+B1162)^3*B1162*'DCF Base Case'!$B$4</f>
        <v>29.4278296037359</v>
      </c>
      <c r="N1162" s="24" t="n">
        <f aca="false">'DCF Base Case'!$B$2*(1+B1162)^5*$I1162-'DCF Base Case'!$B$2*(1+B1162)^4*B1162*'DCF Base Case'!$B$4</f>
        <v>30.8051506702372</v>
      </c>
      <c r="O1162" s="24" t="n">
        <f aca="false">J1162/(1+H1162)^1+K1162/(1+H1162)^2+L1162/(1+H1162)^3+M1162/(1+H1162)^4+N1162/(1+H1162)^5</f>
        <v>110.912279685982</v>
      </c>
      <c r="P1162" s="24" t="n">
        <f aca="false">N1162*(1+F1162)/(H1162-F1162)</f>
        <v>542.609022634654</v>
      </c>
      <c r="Q1162" s="24" t="n">
        <f aca="false">O1162+P1162/(1+H1162)^5</f>
        <v>475.832127264585</v>
      </c>
      <c r="R1162" s="24" t="n">
        <f aca="false">Q1162-'DCF Base Case'!$B$5</f>
        <v>290.832127264585</v>
      </c>
      <c r="S1162" s="32" t="n">
        <f aca="false">R1162/'DCF Base Case'!$B$6</f>
        <v>11.6332850905834</v>
      </c>
    </row>
    <row r="1163" customFormat="false" ht="15" hidden="false" customHeight="true" outlineLevel="0" collapsed="false">
      <c r="A1163" s="6" t="n">
        <v>1162</v>
      </c>
      <c r="B1163" s="30" t="n">
        <v>0.120722920447811</v>
      </c>
      <c r="C1163" s="30" t="n">
        <v>0.399143794861336</v>
      </c>
      <c r="D1163" s="30" t="n">
        <v>0.111371142485575</v>
      </c>
      <c r="E1163" s="30" t="n">
        <v>0.31297175199119</v>
      </c>
      <c r="F1163" s="30" t="n">
        <v>0.0201006559619675</v>
      </c>
      <c r="G1163" s="30" t="n">
        <v>0.198496446564457</v>
      </c>
      <c r="H1163" s="31" t="n">
        <f aca="false">MAX(D1163,F1163+0.015)</f>
        <v>0.111371142485575</v>
      </c>
      <c r="I1163" s="25" t="n">
        <f aca="false">(C1163-'DCF Base Case'!$B$3)*(1-E1163)+'DCF Base Case'!$B$3-G1163</f>
        <v>0.116412943281569</v>
      </c>
      <c r="J1163" s="24" t="n">
        <f aca="false">'DCF Base Case'!$B$2*(1+B1163)^1*$I1163-'DCF Base Case'!$B$2*(1+B1163)^0*B1163*'DCF Base Case'!$B$4</f>
        <v>18.3925200930566</v>
      </c>
      <c r="K1163" s="24" t="n">
        <f aca="false">'DCF Base Case'!$B$2*(1+B1163)^2*$I1163-'DCF Base Case'!$B$2*(1+B1163)^1*B1163*'DCF Base Case'!$B$4</f>
        <v>20.6129188330855</v>
      </c>
      <c r="L1163" s="24" t="n">
        <f aca="false">'DCF Base Case'!$B$2*(1+B1163)^3*$I1163-'DCF Base Case'!$B$2*(1+B1163)^2*B1163*'DCF Base Case'!$B$4</f>
        <v>23.1013705935693</v>
      </c>
      <c r="M1163" s="24" t="n">
        <f aca="false">'DCF Base Case'!$B$2*(1+B1163)^4*$I1163-'DCF Base Case'!$B$2*(1+B1163)^3*B1163*'DCF Base Case'!$B$4</f>
        <v>25.8902355179721</v>
      </c>
      <c r="N1163" s="24" t="n">
        <f aca="false">'DCF Base Case'!$B$2*(1+B1163)^5*$I1163-'DCF Base Case'!$B$2*(1+B1163)^4*B1163*'DCF Base Case'!$B$4</f>
        <v>29.0157803607834</v>
      </c>
      <c r="O1163" s="24" t="n">
        <f aca="false">J1163/(1+H1163)^1+K1163/(1+H1163)^2+L1163/(1+H1163)^3+M1163/(1+H1163)^4+N1163/(1+H1163)^5</f>
        <v>84.1513131521266</v>
      </c>
      <c r="P1163" s="24" t="n">
        <f aca="false">N1163*(1+F1163)/(H1163-F1163)</f>
        <v>324.29997589229</v>
      </c>
      <c r="Q1163" s="24" t="n">
        <f aca="false">O1163+P1163/(1+H1163)^5</f>
        <v>275.423285921196</v>
      </c>
      <c r="R1163" s="24" t="n">
        <f aca="false">Q1163-'DCF Base Case'!$B$5</f>
        <v>90.4232859211961</v>
      </c>
      <c r="S1163" s="32" t="n">
        <f aca="false">R1163/'DCF Base Case'!$B$6</f>
        <v>3.61693143684784</v>
      </c>
    </row>
    <row r="1164" customFormat="false" ht="15" hidden="false" customHeight="true" outlineLevel="0" collapsed="false">
      <c r="A1164" s="6" t="n">
        <v>1163</v>
      </c>
      <c r="B1164" s="30" t="n">
        <v>0.0646247216466968</v>
      </c>
      <c r="C1164" s="30" t="n">
        <v>0.398609420413447</v>
      </c>
      <c r="D1164" s="30" t="n">
        <v>0.100886754360426</v>
      </c>
      <c r="E1164" s="30" t="n">
        <v>0.248251212192856</v>
      </c>
      <c r="F1164" s="30" t="n">
        <v>0.0213562755852586</v>
      </c>
      <c r="G1164" s="30" t="n">
        <v>0.177764801657894</v>
      </c>
      <c r="H1164" s="31" t="n">
        <f aca="false">MAX(D1164,F1164+0.015)</f>
        <v>0.100886754360426</v>
      </c>
      <c r="I1164" s="25" t="n">
        <f aca="false">(C1164-'DCF Base Case'!$B$3)*(1-E1164)+'DCF Base Case'!$B$3-G1164</f>
        <v>0.154162004531494</v>
      </c>
      <c r="J1164" s="24" t="n">
        <f aca="false">'DCF Base Case'!$B$2*(1+B1164)^1*$I1164-'DCF Base Case'!$B$2*(1+B1164)^0*B1164*'DCF Base Case'!$B$4</f>
        <v>23.5169612294485</v>
      </c>
      <c r="K1164" s="24" t="n">
        <f aca="false">'DCF Base Case'!$B$2*(1+B1164)^2*$I1164-'DCF Base Case'!$B$2*(1+B1164)^1*B1164*'DCF Base Case'!$B$4</f>
        <v>25.0367383028778</v>
      </c>
      <c r="L1164" s="24" t="n">
        <f aca="false">'DCF Base Case'!$B$2*(1+B1164)^3*$I1164-'DCF Base Case'!$B$2*(1+B1164)^2*B1164*'DCF Base Case'!$B$4</f>
        <v>26.6547305466425</v>
      </c>
      <c r="M1164" s="24" t="n">
        <f aca="false">'DCF Base Case'!$B$2*(1+B1164)^4*$I1164-'DCF Base Case'!$B$2*(1+B1164)^3*B1164*'DCF Base Case'!$B$4</f>
        <v>28.3772850887869</v>
      </c>
      <c r="N1164" s="24" t="n">
        <f aca="false">'DCF Base Case'!$B$2*(1+B1164)^5*$I1164-'DCF Base Case'!$B$2*(1+B1164)^4*B1164*'DCF Base Case'!$B$4</f>
        <v>30.2111592387388</v>
      </c>
      <c r="O1164" s="24" t="n">
        <f aca="false">J1164/(1+H1164)^1+K1164/(1+H1164)^2+L1164/(1+H1164)^3+M1164/(1+H1164)^4+N1164/(1+H1164)^5</f>
        <v>100.000793250872</v>
      </c>
      <c r="P1164" s="24" t="n">
        <f aca="false">N1164*(1+F1164)/(H1164-F1164)</f>
        <v>387.981533072651</v>
      </c>
      <c r="Q1164" s="24" t="n">
        <f aca="false">O1164+P1164/(1+H1164)^5</f>
        <v>339.938123778044</v>
      </c>
      <c r="R1164" s="24" t="n">
        <f aca="false">Q1164-'DCF Base Case'!$B$5</f>
        <v>154.938123778044</v>
      </c>
      <c r="S1164" s="32" t="n">
        <f aca="false">R1164/'DCF Base Case'!$B$6</f>
        <v>6.19752495112177</v>
      </c>
    </row>
    <row r="1165" customFormat="false" ht="15" hidden="false" customHeight="true" outlineLevel="0" collapsed="false">
      <c r="A1165" s="6" t="n">
        <v>1164</v>
      </c>
      <c r="B1165" s="30" t="n">
        <v>0.1289402570661</v>
      </c>
      <c r="C1165" s="30" t="n">
        <v>0.395808910165317</v>
      </c>
      <c r="D1165" s="30" t="n">
        <v>0.102705941627348</v>
      </c>
      <c r="E1165" s="30" t="n">
        <v>0.26603816604838</v>
      </c>
      <c r="F1165" s="30" t="n">
        <v>0.0175697404243191</v>
      </c>
      <c r="G1165" s="30" t="n">
        <v>0.14105734874151</v>
      </c>
      <c r="H1165" s="31" t="n">
        <f aca="false">MAX(D1165,F1165+0.015)</f>
        <v>0.102705941627348</v>
      </c>
      <c r="I1165" s="25" t="n">
        <f aca="false">(C1165-'DCF Base Case'!$B$3)*(1-E1165)+'DCF Base Case'!$B$3-G1165</f>
        <v>0.184036246444108</v>
      </c>
      <c r="J1165" s="24" t="n">
        <f aca="false">'DCF Base Case'!$B$2*(1+B1165)^1*$I1165-'DCF Base Case'!$B$2*(1+B1165)^0*B1165*'DCF Base Case'!$B$4</f>
        <v>29.5651693504256</v>
      </c>
      <c r="K1165" s="24" t="n">
        <f aca="false">'DCF Base Case'!$B$2*(1+B1165)^2*$I1165-'DCF Base Case'!$B$2*(1+B1165)^1*B1165*'DCF Base Case'!$B$4</f>
        <v>33.3773098866723</v>
      </c>
      <c r="L1165" s="24" t="n">
        <f aca="false">'DCF Base Case'!$B$2*(1+B1165)^3*$I1165-'DCF Base Case'!$B$2*(1+B1165)^2*B1165*'DCF Base Case'!$B$4</f>
        <v>37.6809888036347</v>
      </c>
      <c r="M1165" s="24" t="n">
        <f aca="false">'DCF Base Case'!$B$2*(1+B1165)^4*$I1165-'DCF Base Case'!$B$2*(1+B1165)^3*B1165*'DCF Base Case'!$B$4</f>
        <v>42.5395851864802</v>
      </c>
      <c r="N1165" s="24" t="n">
        <f aca="false">'DCF Base Case'!$B$2*(1+B1165)^5*$I1165-'DCF Base Case'!$B$2*(1+B1165)^4*B1165*'DCF Base Case'!$B$4</f>
        <v>48.0246502359102</v>
      </c>
      <c r="O1165" s="24" t="n">
        <f aca="false">J1165/(1+H1165)^1+K1165/(1+H1165)^2+L1165/(1+H1165)^3+M1165/(1+H1165)^4+N1165/(1+H1165)^5</f>
        <v>140.589605363529</v>
      </c>
      <c r="P1165" s="24" t="n">
        <f aca="false">N1165*(1+F1165)/(H1165-F1165)</f>
        <v>574.002952727298</v>
      </c>
      <c r="Q1165" s="24" t="n">
        <f aca="false">O1165+P1165/(1+H1165)^5</f>
        <v>492.64868814434</v>
      </c>
      <c r="R1165" s="24" t="n">
        <f aca="false">Q1165-'DCF Base Case'!$B$5</f>
        <v>307.64868814434</v>
      </c>
      <c r="S1165" s="32" t="n">
        <f aca="false">R1165/'DCF Base Case'!$B$6</f>
        <v>12.3059475257736</v>
      </c>
    </row>
    <row r="1166" customFormat="false" ht="15" hidden="false" customHeight="true" outlineLevel="0" collapsed="false">
      <c r="A1166" s="6" t="n">
        <v>1165</v>
      </c>
      <c r="B1166" s="30" t="n">
        <v>0.0662992600954034</v>
      </c>
      <c r="C1166" s="30" t="n">
        <v>0.414712159454655</v>
      </c>
      <c r="D1166" s="30" t="n">
        <v>0.0727643489374051</v>
      </c>
      <c r="E1166" s="30" t="n">
        <v>0.302327355324811</v>
      </c>
      <c r="F1166" s="30" t="n">
        <v>0.0166628316972364</v>
      </c>
      <c r="G1166" s="30" t="n">
        <v>0.141218713243192</v>
      </c>
      <c r="H1166" s="31" t="n">
        <f aca="false">MAX(D1166,F1166+0.015)</f>
        <v>0.0727643489374051</v>
      </c>
      <c r="I1166" s="25" t="n">
        <f aca="false">(C1166-'DCF Base Case'!$B$3)*(1-E1166)+'DCF Base Case'!$B$3-G1166</f>
        <v>0.187417172014721</v>
      </c>
      <c r="J1166" s="24" t="n">
        <f aca="false">'DCF Base Case'!$B$2*(1+B1166)^1*$I1166-'DCF Base Case'!$B$2*(1+B1166)^0*B1166*'DCF Base Case'!$B$4</f>
        <v>28.6888030366132</v>
      </c>
      <c r="K1166" s="24" t="n">
        <f aca="false">'DCF Base Case'!$B$2*(1+B1166)^2*$I1166-'DCF Base Case'!$B$2*(1+B1166)^1*B1166*'DCF Base Case'!$B$4</f>
        <v>30.5908494509634</v>
      </c>
      <c r="L1166" s="24" t="n">
        <f aca="false">'DCF Base Case'!$B$2*(1+B1166)^3*$I1166-'DCF Base Case'!$B$2*(1+B1166)^2*B1166*'DCF Base Case'!$B$4</f>
        <v>32.6190001352522</v>
      </c>
      <c r="M1166" s="24" t="n">
        <f aca="false">'DCF Base Case'!$B$2*(1+B1166)^4*$I1166-'DCF Base Case'!$B$2*(1+B1166)^3*B1166*'DCF Base Case'!$B$4</f>
        <v>34.7816157092712</v>
      </c>
      <c r="N1166" s="24" t="n">
        <f aca="false">'DCF Base Case'!$B$2*(1+B1166)^5*$I1166-'DCF Base Case'!$B$2*(1+B1166)^4*B1166*'DCF Base Case'!$B$4</f>
        <v>37.0876110957186</v>
      </c>
      <c r="O1166" s="24" t="n">
        <f aca="false">J1166/(1+H1166)^1+K1166/(1+H1166)^2+L1166/(1+H1166)^3+M1166/(1+H1166)^4+N1166/(1+H1166)^5</f>
        <v>132.112381408285</v>
      </c>
      <c r="P1166" s="24" t="n">
        <f aca="false">N1166*(1+F1166)/(H1166-F1166)</f>
        <v>672.095828639406</v>
      </c>
      <c r="Q1166" s="24" t="n">
        <f aca="false">O1166+P1166/(1+H1166)^5</f>
        <v>605.165095835739</v>
      </c>
      <c r="R1166" s="24" t="n">
        <f aca="false">Q1166-'DCF Base Case'!$B$5</f>
        <v>420.165095835739</v>
      </c>
      <c r="S1166" s="32" t="n">
        <f aca="false">R1166/'DCF Base Case'!$B$6</f>
        <v>16.8066038334296</v>
      </c>
    </row>
    <row r="1167" customFormat="false" ht="15" hidden="false" customHeight="true" outlineLevel="0" collapsed="false">
      <c r="A1167" s="6" t="n">
        <v>1166</v>
      </c>
      <c r="B1167" s="30" t="n">
        <v>0.0786533248339193</v>
      </c>
      <c r="C1167" s="30" t="n">
        <v>0.417549178063263</v>
      </c>
      <c r="D1167" s="30" t="n">
        <v>0.0819491141187588</v>
      </c>
      <c r="E1167" s="30" t="n">
        <v>0.280610429385168</v>
      </c>
      <c r="F1167" s="30" t="n">
        <v>0.0218508083481704</v>
      </c>
      <c r="G1167" s="30" t="n">
        <v>0.191065662236425</v>
      </c>
      <c r="H1167" s="31" t="n">
        <f aca="false">MAX(D1167,F1167+0.015)</f>
        <v>0.0819491141187588</v>
      </c>
      <c r="I1167" s="25" t="n">
        <f aca="false">(C1167-'DCF Base Case'!$B$3)*(1-E1167)+'DCF Base Case'!$B$3-G1167</f>
        <v>0.145794217501154</v>
      </c>
      <c r="J1167" s="24" t="n">
        <f aca="false">'DCF Base Case'!$B$2*(1+B1167)^1*$I1167-'DCF Base Case'!$B$2*(1+B1167)^0*B1167*'DCF Base Case'!$B$4</f>
        <v>22.4607635671034</v>
      </c>
      <c r="K1167" s="24" t="n">
        <f aca="false">'DCF Base Case'!$B$2*(1+B1167)^2*$I1167-'DCF Base Case'!$B$2*(1+B1167)^1*B1167*'DCF Base Case'!$B$4</f>
        <v>24.2273772999647</v>
      </c>
      <c r="L1167" s="24" t="n">
        <f aca="false">'DCF Base Case'!$B$2*(1+B1167)^3*$I1167-'DCF Base Case'!$B$2*(1+B1167)^2*B1167*'DCF Base Case'!$B$4</f>
        <v>26.1329410766127</v>
      </c>
      <c r="M1167" s="24" t="n">
        <f aca="false">'DCF Base Case'!$B$2*(1+B1167)^4*$I1167-'DCF Base Case'!$B$2*(1+B1167)^3*B1167*'DCF Base Case'!$B$4</f>
        <v>28.1883837799772</v>
      </c>
      <c r="N1167" s="24" t="n">
        <f aca="false">'DCF Base Case'!$B$2*(1+B1167)^5*$I1167-'DCF Base Case'!$B$2*(1+B1167)^4*B1167*'DCF Base Case'!$B$4</f>
        <v>30.4054938859669</v>
      </c>
      <c r="O1167" s="24" t="n">
        <f aca="false">J1167/(1+H1167)^1+K1167/(1+H1167)^2+L1167/(1+H1167)^3+M1167/(1+H1167)^4+N1167/(1+H1167)^5</f>
        <v>103.167243945814</v>
      </c>
      <c r="P1167" s="24" t="n">
        <f aca="false">N1167*(1+F1167)/(H1167-F1167)</f>
        <v>516.984266148914</v>
      </c>
      <c r="Q1167" s="24" t="n">
        <f aca="false">O1167+P1167/(1+H1167)^5</f>
        <v>451.860178698641</v>
      </c>
      <c r="R1167" s="24" t="n">
        <f aca="false">Q1167-'DCF Base Case'!$B$5</f>
        <v>266.860178698641</v>
      </c>
      <c r="S1167" s="32" t="n">
        <f aca="false">R1167/'DCF Base Case'!$B$6</f>
        <v>10.6744071479456</v>
      </c>
    </row>
    <row r="1168" customFormat="false" ht="15" hidden="false" customHeight="true" outlineLevel="0" collapsed="false">
      <c r="A1168" s="6" t="n">
        <v>1167</v>
      </c>
      <c r="B1168" s="30" t="n">
        <v>0.0834881730977426</v>
      </c>
      <c r="C1168" s="30" t="n">
        <v>0.388835700246399</v>
      </c>
      <c r="D1168" s="30" t="n">
        <v>0.0858370392681477</v>
      </c>
      <c r="E1168" s="30" t="n">
        <v>0.293807826109437</v>
      </c>
      <c r="F1168" s="30" t="n">
        <v>0.013550767328482</v>
      </c>
      <c r="G1168" s="30" t="n">
        <v>0.147318101928719</v>
      </c>
      <c r="H1168" s="31" t="n">
        <f aca="false">MAX(D1168,F1168+0.015)</f>
        <v>0.0858370392681477</v>
      </c>
      <c r="I1168" s="25" t="n">
        <f aca="false">(C1168-'DCF Base Case'!$B$3)*(1-E1168)+'DCF Base Case'!$B$3-G1168</f>
        <v>0.165469643908772</v>
      </c>
      <c r="J1168" s="24" t="n">
        <f aca="false">'DCF Base Case'!$B$2*(1+B1168)^1*$I1168-'DCF Base Case'!$B$2*(1+B1168)^0*B1168*'DCF Base Case'!$B$4</f>
        <v>25.6330647633929</v>
      </c>
      <c r="K1168" s="24" t="n">
        <f aca="false">'DCF Base Case'!$B$2*(1+B1168)^2*$I1168-'DCF Base Case'!$B$2*(1+B1168)^1*B1168*'DCF Base Case'!$B$4</f>
        <v>27.7731225113847</v>
      </c>
      <c r="L1168" s="24" t="n">
        <f aca="false">'DCF Base Case'!$B$2*(1+B1168)^3*$I1168-'DCF Base Case'!$B$2*(1+B1168)^2*B1168*'DCF Base Case'!$B$4</f>
        <v>30.09184977108</v>
      </c>
      <c r="M1168" s="24" t="n">
        <f aca="false">'DCF Base Case'!$B$2*(1+B1168)^4*$I1168-'DCF Base Case'!$B$2*(1+B1168)^3*B1168*'DCF Base Case'!$B$4</f>
        <v>32.6041633335992</v>
      </c>
      <c r="N1168" s="24" t="n">
        <f aca="false">'DCF Base Case'!$B$2*(1+B1168)^5*$I1168-'DCF Base Case'!$B$2*(1+B1168)^4*B1168*'DCF Base Case'!$B$4</f>
        <v>35.3262253657018</v>
      </c>
      <c r="O1168" s="24" t="n">
        <f aca="false">J1168/(1+H1168)^1+K1168/(1+H1168)^2+L1168/(1+H1168)^3+M1168/(1+H1168)^4+N1168/(1+H1168)^5</f>
        <v>117.524109799157</v>
      </c>
      <c r="P1168" s="24" t="n">
        <f aca="false">N1168*(1+F1168)/(H1168-F1168)</f>
        <v>495.321198139957</v>
      </c>
      <c r="Q1168" s="24" t="n">
        <f aca="false">O1168+P1168/(1+H1168)^5</f>
        <v>445.667495903031</v>
      </c>
      <c r="R1168" s="24" t="n">
        <f aca="false">Q1168-'DCF Base Case'!$B$5</f>
        <v>260.667495903031</v>
      </c>
      <c r="S1168" s="32" t="n">
        <f aca="false">R1168/'DCF Base Case'!$B$6</f>
        <v>10.4266998361212</v>
      </c>
    </row>
    <row r="1169" customFormat="false" ht="15" hidden="false" customHeight="true" outlineLevel="0" collapsed="false">
      <c r="A1169" s="6" t="n">
        <v>1168</v>
      </c>
      <c r="B1169" s="30" t="n">
        <v>0.0743520658869491</v>
      </c>
      <c r="C1169" s="30" t="n">
        <v>0.404338929032047</v>
      </c>
      <c r="D1169" s="30" t="n">
        <v>0.0766286270601054</v>
      </c>
      <c r="E1169" s="30" t="n">
        <v>0.301279072348435</v>
      </c>
      <c r="F1169" s="30" t="n">
        <v>0.0130806887580982</v>
      </c>
      <c r="G1169" s="30" t="n">
        <v>0.135111009353193</v>
      </c>
      <c r="H1169" s="31" t="n">
        <f aca="false">MAX(D1169,F1169+0.015)</f>
        <v>0.0766286270601054</v>
      </c>
      <c r="I1169" s="25" t="n">
        <f aca="false">(C1169-'DCF Base Case'!$B$3)*(1-E1169)+'DCF Base Case'!$B$3-G1169</f>
        <v>0.186575341631016</v>
      </c>
      <c r="J1169" s="24" t="n">
        <f aca="false">'DCF Base Case'!$B$2*(1+B1169)^1*$I1169-'DCF Base Case'!$B$2*(1+B1169)^0*B1169*'DCF Base Case'!$B$4</f>
        <v>28.7414710534943</v>
      </c>
      <c r="K1169" s="24" t="n">
        <f aca="false">'DCF Base Case'!$B$2*(1+B1169)^2*$I1169-'DCF Base Case'!$B$2*(1+B1169)^1*B1169*'DCF Base Case'!$B$4</f>
        <v>30.8784588029516</v>
      </c>
      <c r="L1169" s="24" t="n">
        <f aca="false">'DCF Base Case'!$B$2*(1+B1169)^3*$I1169-'DCF Base Case'!$B$2*(1+B1169)^2*B1169*'DCF Base Case'!$B$4</f>
        <v>33.1743360063561</v>
      </c>
      <c r="M1169" s="24" t="n">
        <f aca="false">'DCF Base Case'!$B$2*(1+B1169)^4*$I1169-'DCF Base Case'!$B$2*(1+B1169)^3*B1169*'DCF Base Case'!$B$4</f>
        <v>35.6409164228564</v>
      </c>
      <c r="N1169" s="24" t="n">
        <f aca="false">'DCF Base Case'!$B$2*(1+B1169)^5*$I1169-'DCF Base Case'!$B$2*(1+B1169)^4*B1169*'DCF Base Case'!$B$4</f>
        <v>38.2908921889999</v>
      </c>
      <c r="O1169" s="24" t="n">
        <f aca="false">J1169/(1+H1169)^1+K1169/(1+H1169)^2+L1169/(1+H1169)^3+M1169/(1+H1169)^4+N1169/(1+H1169)^5</f>
        <v>132.91574179882</v>
      </c>
      <c r="P1169" s="24" t="n">
        <f aca="false">N1169*(1+F1169)/(H1169-F1169)</f>
        <v>610.433075698521</v>
      </c>
      <c r="Q1169" s="24" t="n">
        <f aca="false">O1169+P1169/(1+H1169)^5</f>
        <v>554.911845152566</v>
      </c>
      <c r="R1169" s="24" t="n">
        <f aca="false">Q1169-'DCF Base Case'!$B$5</f>
        <v>369.911845152566</v>
      </c>
      <c r="S1169" s="32" t="n">
        <f aca="false">R1169/'DCF Base Case'!$B$6</f>
        <v>14.7964738061027</v>
      </c>
    </row>
    <row r="1170" customFormat="false" ht="15" hidden="false" customHeight="true" outlineLevel="0" collapsed="false">
      <c r="A1170" s="6" t="n">
        <v>1169</v>
      </c>
      <c r="B1170" s="30" t="n">
        <v>0.0829669484284653</v>
      </c>
      <c r="C1170" s="30" t="n">
        <v>0.408323929080348</v>
      </c>
      <c r="D1170" s="30" t="n">
        <v>0.0689989173985609</v>
      </c>
      <c r="E1170" s="30" t="n">
        <v>0.265105283639487</v>
      </c>
      <c r="F1170" s="30" t="n">
        <v>0.0177610526402304</v>
      </c>
      <c r="G1170" s="30" t="n">
        <v>0.157258540882862</v>
      </c>
      <c r="H1170" s="31" t="n">
        <f aca="false">MAX(D1170,F1170+0.015)</f>
        <v>0.0689989173985609</v>
      </c>
      <c r="I1170" s="25" t="n">
        <f aca="false">(C1170-'DCF Base Case'!$B$3)*(1-E1170)+'DCF Base Case'!$B$3-G1170</f>
        <v>0.177280244034984</v>
      </c>
      <c r="J1170" s="24" t="n">
        <f aca="false">'DCF Base Case'!$B$2*(1+B1170)^1*$I1170-'DCF Base Case'!$B$2*(1+B1170)^0*B1170*'DCF Base Case'!$B$4</f>
        <v>27.4774472847231</v>
      </c>
      <c r="K1170" s="24" t="n">
        <f aca="false">'DCF Base Case'!$B$2*(1+B1170)^2*$I1170-'DCF Base Case'!$B$2*(1+B1170)^1*B1170*'DCF Base Case'!$B$4</f>
        <v>29.7571672365406</v>
      </c>
      <c r="L1170" s="24" t="n">
        <f aca="false">'DCF Base Case'!$B$2*(1+B1170)^3*$I1170-'DCF Base Case'!$B$2*(1+B1170)^2*B1170*'DCF Base Case'!$B$4</f>
        <v>32.2260285960319</v>
      </c>
      <c r="M1170" s="24" t="n">
        <f aca="false">'DCF Base Case'!$B$2*(1+B1170)^4*$I1170-'DCF Base Case'!$B$2*(1+B1170)^3*B1170*'DCF Base Case'!$B$4</f>
        <v>34.8997238486131</v>
      </c>
      <c r="N1170" s="24" t="n">
        <f aca="false">'DCF Base Case'!$B$2*(1+B1170)^5*$I1170-'DCF Base Case'!$B$2*(1+B1170)^4*B1170*'DCF Base Case'!$B$4</f>
        <v>37.7952474373287</v>
      </c>
      <c r="O1170" s="24" t="n">
        <f aca="false">J1170/(1+H1170)^1+K1170/(1+H1170)^2+L1170/(1+H1170)^3+M1170/(1+H1170)^4+N1170/(1+H1170)^5</f>
        <v>131.922290874703</v>
      </c>
      <c r="P1170" s="24" t="n">
        <f aca="false">N1170*(1+F1170)/(H1170-F1170)</f>
        <v>750.744220081098</v>
      </c>
      <c r="Q1170" s="24" t="n">
        <f aca="false">O1170+P1170/(1+H1170)^5</f>
        <v>669.70355830664</v>
      </c>
      <c r="R1170" s="24" t="n">
        <f aca="false">Q1170-'DCF Base Case'!$B$5</f>
        <v>484.70355830664</v>
      </c>
      <c r="S1170" s="32" t="n">
        <f aca="false">R1170/'DCF Base Case'!$B$6</f>
        <v>19.3881423322656</v>
      </c>
    </row>
    <row r="1171" customFormat="false" ht="15" hidden="false" customHeight="true" outlineLevel="0" collapsed="false">
      <c r="A1171" s="6" t="n">
        <v>1170</v>
      </c>
      <c r="B1171" s="30" t="n">
        <v>0.0931150233804959</v>
      </c>
      <c r="C1171" s="30" t="n">
        <v>0.401388504155379</v>
      </c>
      <c r="D1171" s="30" t="n">
        <v>0.101256199300091</v>
      </c>
      <c r="E1171" s="30" t="n">
        <v>0.294360497418878</v>
      </c>
      <c r="F1171" s="30" t="n">
        <v>0.0160592982078264</v>
      </c>
      <c r="G1171" s="30" t="n">
        <v>0.167330193100984</v>
      </c>
      <c r="H1171" s="31" t="n">
        <f aca="false">MAX(D1171,F1171+0.015)</f>
        <v>0.101256199300091</v>
      </c>
      <c r="I1171" s="25" t="n">
        <f aca="false">(C1171-'DCF Base Case'!$B$3)*(1-E1171)+'DCF Base Case'!$B$3-G1171</f>
        <v>0.154172255977452</v>
      </c>
      <c r="J1171" s="24" t="n">
        <f aca="false">'DCF Base Case'!$B$2*(1+B1171)^1*$I1171-'DCF Base Case'!$B$2*(1+B1171)^0*B1171*'DCF Base Case'!$B$4</f>
        <v>24.0315109819203</v>
      </c>
      <c r="K1171" s="24" t="n">
        <f aca="false">'DCF Base Case'!$B$2*(1+B1171)^2*$I1171-'DCF Base Case'!$B$2*(1+B1171)^1*B1171*'DCF Base Case'!$B$4</f>
        <v>26.2692056888704</v>
      </c>
      <c r="L1171" s="24" t="n">
        <f aca="false">'DCF Base Case'!$B$2*(1+B1171)^3*$I1171-'DCF Base Case'!$B$2*(1+B1171)^2*B1171*'DCF Base Case'!$B$4</f>
        <v>28.7152633907766</v>
      </c>
      <c r="M1171" s="24" t="n">
        <f aca="false">'DCF Base Case'!$B$2*(1+B1171)^4*$I1171-'DCF Base Case'!$B$2*(1+B1171)^3*B1171*'DCF Base Case'!$B$4</f>
        <v>31.3890858127859</v>
      </c>
      <c r="N1171" s="24" t="n">
        <f aca="false">'DCF Base Case'!$B$2*(1+B1171)^5*$I1171-'DCF Base Case'!$B$2*(1+B1171)^4*B1171*'DCF Base Case'!$B$4</f>
        <v>34.3118812721358</v>
      </c>
      <c r="O1171" s="24" t="n">
        <f aca="false">J1171/(1+H1171)^1+K1171/(1+H1171)^2+L1171/(1+H1171)^3+M1171/(1+H1171)^4+N1171/(1+H1171)^5</f>
        <v>107.508207510376</v>
      </c>
      <c r="P1171" s="24" t="n">
        <f aca="false">N1171*(1+F1171)/(H1171-F1171)</f>
        <v>409.203921252976</v>
      </c>
      <c r="Q1171" s="24" t="n">
        <f aca="false">O1171+P1171/(1+H1171)^5</f>
        <v>360.145789337741</v>
      </c>
      <c r="R1171" s="24" t="n">
        <f aca="false">Q1171-'DCF Base Case'!$B$5</f>
        <v>175.145789337741</v>
      </c>
      <c r="S1171" s="32" t="n">
        <f aca="false">R1171/'DCF Base Case'!$B$6</f>
        <v>7.00583157350964</v>
      </c>
    </row>
    <row r="1172" customFormat="false" ht="15" hidden="false" customHeight="true" outlineLevel="0" collapsed="false">
      <c r="A1172" s="6" t="n">
        <v>1171</v>
      </c>
      <c r="B1172" s="30" t="n">
        <v>0.0925315066016882</v>
      </c>
      <c r="C1172" s="30" t="n">
        <v>0.438206174330283</v>
      </c>
      <c r="D1172" s="30" t="n">
        <v>0.0783957932819202</v>
      </c>
      <c r="E1172" s="30" t="n">
        <v>0.303178457716932</v>
      </c>
      <c r="F1172" s="30" t="n">
        <v>0.0195090069451046</v>
      </c>
      <c r="G1172" s="30" t="n">
        <v>0.199814894982985</v>
      </c>
      <c r="H1172" s="31" t="n">
        <f aca="false">MAX(D1172,F1172+0.015)</f>
        <v>0.0783957932819202</v>
      </c>
      <c r="I1172" s="25" t="n">
        <f aca="false">(C1172-'DCF Base Case'!$B$3)*(1-E1172)+'DCF Base Case'!$B$3-G1172</f>
        <v>0.144949806755007</v>
      </c>
      <c r="J1172" s="24" t="n">
        <f aca="false">'DCF Base Case'!$B$2*(1+B1172)^1*$I1172-'DCF Base Case'!$B$2*(1+B1172)^0*B1172*'DCF Base Case'!$B$4</f>
        <v>22.560011405855</v>
      </c>
      <c r="K1172" s="24" t="n">
        <f aca="false">'DCF Base Case'!$B$2*(1+B1172)^2*$I1172-'DCF Base Case'!$B$2*(1+B1172)^1*B1172*'DCF Base Case'!$B$4</f>
        <v>24.64752325019</v>
      </c>
      <c r="L1172" s="24" t="n">
        <f aca="false">'DCF Base Case'!$B$2*(1+B1172)^3*$I1172-'DCF Base Case'!$B$2*(1+B1172)^2*B1172*'DCF Base Case'!$B$4</f>
        <v>26.9281957105303</v>
      </c>
      <c r="M1172" s="24" t="n">
        <f aca="false">'DCF Base Case'!$B$2*(1+B1172)^4*$I1172-'DCF Base Case'!$B$2*(1+B1172)^3*B1172*'DCF Base Case'!$B$4</f>
        <v>29.4199022296907</v>
      </c>
      <c r="N1172" s="24" t="n">
        <f aca="false">'DCF Base Case'!$B$2*(1+B1172)^5*$I1172-'DCF Base Case'!$B$2*(1+B1172)^4*B1172*'DCF Base Case'!$B$4</f>
        <v>32.1421701070784</v>
      </c>
      <c r="O1172" s="24" t="n">
        <f aca="false">J1172/(1+H1172)^1+K1172/(1+H1172)^2+L1172/(1+H1172)^3+M1172/(1+H1172)^4+N1172/(1+H1172)^5</f>
        <v>107.378258559523</v>
      </c>
      <c r="P1172" s="24" t="n">
        <f aca="false">N1172*(1+F1172)/(H1172-F1172)</f>
        <v>556.47852371324</v>
      </c>
      <c r="Q1172" s="24" t="n">
        <f aca="false">O1172+P1172/(1+H1172)^5</f>
        <v>488.933551887338</v>
      </c>
      <c r="R1172" s="24" t="n">
        <f aca="false">Q1172-'DCF Base Case'!$B$5</f>
        <v>303.933551887338</v>
      </c>
      <c r="S1172" s="32" t="n">
        <f aca="false">R1172/'DCF Base Case'!$B$6</f>
        <v>12.1573420754935</v>
      </c>
    </row>
    <row r="1173" customFormat="false" ht="15" hidden="false" customHeight="true" outlineLevel="0" collapsed="false">
      <c r="A1173" s="6" t="n">
        <v>1172</v>
      </c>
      <c r="B1173" s="30" t="n">
        <v>0.117822234125283</v>
      </c>
      <c r="C1173" s="30" t="n">
        <v>0.427609882737782</v>
      </c>
      <c r="D1173" s="30" t="n">
        <v>0.0821148911688233</v>
      </c>
      <c r="E1173" s="30" t="n">
        <v>0.294940620809944</v>
      </c>
      <c r="F1173" s="30" t="n">
        <v>0.018658518190354</v>
      </c>
      <c r="G1173" s="30" t="n">
        <v>0.203305907103989</v>
      </c>
      <c r="H1173" s="31" t="n">
        <f aca="false">MAX(D1173,F1173+0.015)</f>
        <v>0.0821148911688233</v>
      </c>
      <c r="I1173" s="25" t="n">
        <f aca="false">(C1173-'DCF Base Case'!$B$3)*(1-E1173)+'DCF Base Case'!$B$3-G1173</f>
        <v>0.136526732059937</v>
      </c>
      <c r="J1173" s="24" t="n">
        <f aca="false">'DCF Base Case'!$B$2*(1+B1173)^1*$I1173-'DCF Base Case'!$B$2*(1+B1173)^0*B1173*'DCF Base Case'!$B$4</f>
        <v>21.6163026956691</v>
      </c>
      <c r="K1173" s="24" t="n">
        <f aca="false">'DCF Base Case'!$B$2*(1+B1173)^2*$I1173-'DCF Base Case'!$B$2*(1+B1173)^1*B1173*'DCF Base Case'!$B$4</f>
        <v>24.1631837728012</v>
      </c>
      <c r="L1173" s="24" t="n">
        <f aca="false">'DCF Base Case'!$B$2*(1+B1173)^3*$I1173-'DCF Base Case'!$B$2*(1+B1173)^2*B1173*'DCF Base Case'!$B$4</f>
        <v>27.0101440684924</v>
      </c>
      <c r="M1173" s="24" t="n">
        <f aca="false">'DCF Base Case'!$B$2*(1+B1173)^4*$I1173-'DCF Base Case'!$B$2*(1+B1173)^3*B1173*'DCF Base Case'!$B$4</f>
        <v>30.192539586688</v>
      </c>
      <c r="N1173" s="24" t="n">
        <f aca="false">'DCF Base Case'!$B$2*(1+B1173)^5*$I1173-'DCF Base Case'!$B$2*(1+B1173)^4*B1173*'DCF Base Case'!$B$4</f>
        <v>33.7498920547076</v>
      </c>
      <c r="O1173" s="24" t="n">
        <f aca="false">J1173/(1+H1173)^1+K1173/(1+H1173)^2+L1173/(1+H1173)^3+M1173/(1+H1173)^4+N1173/(1+H1173)^5</f>
        <v>106.692628868952</v>
      </c>
      <c r="P1173" s="24" t="n">
        <f aca="false">N1173*(1+F1173)/(H1173-F1173)</f>
        <v>541.783487076985</v>
      </c>
      <c r="Q1173" s="24" t="n">
        <f aca="false">O1173+P1173/(1+H1173)^5</f>
        <v>471.832196287045</v>
      </c>
      <c r="R1173" s="24" t="n">
        <f aca="false">Q1173-'DCF Base Case'!$B$5</f>
        <v>286.832196287045</v>
      </c>
      <c r="S1173" s="32" t="n">
        <f aca="false">R1173/'DCF Base Case'!$B$6</f>
        <v>11.4732878514818</v>
      </c>
    </row>
    <row r="1174" customFormat="false" ht="15" hidden="false" customHeight="true" outlineLevel="0" collapsed="false">
      <c r="A1174" s="6" t="n">
        <v>1173</v>
      </c>
      <c r="B1174" s="30" t="n">
        <v>0.0915888925202421</v>
      </c>
      <c r="C1174" s="30" t="n">
        <v>0.40661912184303</v>
      </c>
      <c r="D1174" s="30" t="n">
        <v>0.0799442340531868</v>
      </c>
      <c r="E1174" s="30" t="n">
        <v>0.255736195129047</v>
      </c>
      <c r="F1174" s="30" t="n">
        <v>0.0213420776650861</v>
      </c>
      <c r="G1174" s="30" t="n">
        <v>0.148712705232417</v>
      </c>
      <c r="H1174" s="31" t="n">
        <f aca="false">MAX(D1174,F1174+0.015)</f>
        <v>0.0799442340531868</v>
      </c>
      <c r="I1174" s="25" t="n">
        <f aca="false">(C1174-'DCF Base Case'!$B$3)*(1-E1174)+'DCF Base Case'!$B$3-G1174</f>
        <v>0.187164894890538</v>
      </c>
      <c r="J1174" s="24" t="n">
        <f aca="false">'DCF Base Case'!$B$2*(1+B1174)^1*$I1174-'DCF Base Case'!$B$2*(1+B1174)^0*B1174*'DCF Base Case'!$B$4</f>
        <v>29.2261207657103</v>
      </c>
      <c r="K1174" s="24" t="n">
        <f aca="false">'DCF Base Case'!$B$2*(1+B1174)^2*$I1174-'DCF Base Case'!$B$2*(1+B1174)^1*B1174*'DCF Base Case'!$B$4</f>
        <v>31.9029087993046</v>
      </c>
      <c r="L1174" s="24" t="n">
        <f aca="false">'DCF Base Case'!$B$2*(1+B1174)^3*$I1174-'DCF Base Case'!$B$2*(1+B1174)^2*B1174*'DCF Base Case'!$B$4</f>
        <v>34.8248608844072</v>
      </c>
      <c r="M1174" s="24" t="n">
        <f aca="false">'DCF Base Case'!$B$2*(1+B1174)^4*$I1174-'DCF Base Case'!$B$2*(1+B1174)^3*B1174*'DCF Base Case'!$B$4</f>
        <v>38.0144313249815</v>
      </c>
      <c r="N1174" s="24" t="n">
        <f aca="false">'DCF Base Case'!$B$2*(1+B1174)^5*$I1174-'DCF Base Case'!$B$2*(1+B1174)^4*B1174*'DCF Base Case'!$B$4</f>
        <v>41.4961309898234</v>
      </c>
      <c r="O1174" s="24" t="n">
        <f aca="false">J1174/(1+H1174)^1+K1174/(1+H1174)^2+L1174/(1+H1174)^3+M1174/(1+H1174)^4+N1174/(1+H1174)^5</f>
        <v>138.262803128248</v>
      </c>
      <c r="P1174" s="24" t="n">
        <f aca="false">N1174*(1+F1174)/(H1174-F1174)</f>
        <v>723.211350099985</v>
      </c>
      <c r="Q1174" s="24" t="n">
        <f aca="false">O1174+P1174/(1+H1174)^5</f>
        <v>630.595391085091</v>
      </c>
      <c r="R1174" s="24" t="n">
        <f aca="false">Q1174-'DCF Base Case'!$B$5</f>
        <v>445.595391085091</v>
      </c>
      <c r="S1174" s="32" t="n">
        <f aca="false">R1174/'DCF Base Case'!$B$6</f>
        <v>17.8238156434037</v>
      </c>
    </row>
    <row r="1175" customFormat="false" ht="15" hidden="false" customHeight="true" outlineLevel="0" collapsed="false">
      <c r="A1175" s="6" t="n">
        <v>1174</v>
      </c>
      <c r="B1175" s="30" t="n">
        <v>0.113916491882656</v>
      </c>
      <c r="C1175" s="30" t="n">
        <v>0.395000620093468</v>
      </c>
      <c r="D1175" s="30" t="n">
        <v>0.0863996559387058</v>
      </c>
      <c r="E1175" s="30" t="n">
        <v>0.314818242943265</v>
      </c>
      <c r="F1175" s="30" t="n">
        <v>0.0116569750457495</v>
      </c>
      <c r="G1175" s="30" t="n">
        <v>0.20856799057228</v>
      </c>
      <c r="H1175" s="31" t="n">
        <f aca="false">MAX(D1175,F1175+0.015)</f>
        <v>0.0863996559387058</v>
      </c>
      <c r="I1175" s="25" t="n">
        <f aca="false">(C1175-'DCF Base Case'!$B$3)*(1-E1175)+'DCF Base Case'!$B$3-G1175</f>
        <v>0.103005599924487</v>
      </c>
      <c r="J1175" s="24" t="n">
        <f aca="false">'DCF Base Case'!$B$2*(1+B1175)^1*$I1175-'DCF Base Case'!$B$2*(1+B1175)^0*B1175*'DCF Base Case'!$B$4</f>
        <v>16.1417105545726</v>
      </c>
      <c r="K1175" s="24" t="n">
        <f aca="false">'DCF Base Case'!$B$2*(1+B1175)^2*$I1175-'DCF Base Case'!$B$2*(1+B1175)^1*B1175*'DCF Base Case'!$B$4</f>
        <v>17.9805175939347</v>
      </c>
      <c r="L1175" s="24" t="n">
        <f aca="false">'DCF Base Case'!$B$2*(1+B1175)^3*$I1175-'DCF Base Case'!$B$2*(1+B1175)^2*B1175*'DCF Base Case'!$B$4</f>
        <v>20.0287950804701</v>
      </c>
      <c r="M1175" s="24" t="n">
        <f aca="false">'DCF Base Case'!$B$2*(1+B1175)^4*$I1175-'DCF Base Case'!$B$2*(1+B1175)^3*B1175*'DCF Base Case'!$B$4</f>
        <v>22.3104051526739</v>
      </c>
      <c r="N1175" s="24" t="n">
        <f aca="false">'DCF Base Case'!$B$2*(1+B1175)^5*$I1175-'DCF Base Case'!$B$2*(1+B1175)^4*B1175*'DCF Base Case'!$B$4</f>
        <v>24.8519282401472</v>
      </c>
      <c r="O1175" s="24" t="n">
        <f aca="false">J1175/(1+H1175)^1+K1175/(1+H1175)^2+L1175/(1+H1175)^3+M1175/(1+H1175)^4+N1175/(1+H1175)^5</f>
        <v>78.1497601156615</v>
      </c>
      <c r="P1175" s="24" t="n">
        <f aca="false">N1175*(1+F1175)/(H1175-F1175)</f>
        <v>336.375766123352</v>
      </c>
      <c r="Q1175" s="24" t="n">
        <f aca="false">O1175+P1175/(1+H1175)^5</f>
        <v>300.417586751635</v>
      </c>
      <c r="R1175" s="24" t="n">
        <f aca="false">Q1175-'DCF Base Case'!$B$5</f>
        <v>115.417586751635</v>
      </c>
      <c r="S1175" s="32" t="n">
        <f aca="false">R1175/'DCF Base Case'!$B$6</f>
        <v>4.61670347006541</v>
      </c>
    </row>
    <row r="1176" customFormat="false" ht="15" hidden="false" customHeight="true" outlineLevel="0" collapsed="false">
      <c r="A1176" s="6" t="n">
        <v>1175</v>
      </c>
      <c r="B1176" s="30" t="n">
        <v>0.0809459638799304</v>
      </c>
      <c r="C1176" s="30" t="n">
        <v>0.414406605026264</v>
      </c>
      <c r="D1176" s="30" t="n">
        <v>0.0912859414806798</v>
      </c>
      <c r="E1176" s="30" t="n">
        <v>0.301881289426303</v>
      </c>
      <c r="F1176" s="30" t="n">
        <v>0.0203263393846897</v>
      </c>
      <c r="G1176" s="30" t="n">
        <v>0.189085058399418</v>
      </c>
      <c r="H1176" s="31" t="n">
        <f aca="false">MAX(D1176,F1176+0.015)</f>
        <v>0.0912859414806798</v>
      </c>
      <c r="I1176" s="25" t="n">
        <f aca="false">(C1176-'DCF Base Case'!$B$3)*(1-E1176)+'DCF Base Case'!$B$3-G1176</f>
        <v>0.13946451398016</v>
      </c>
      <c r="J1176" s="24" t="n">
        <f aca="false">'DCF Base Case'!$B$2*(1+B1176)^1*$I1176-'DCF Base Case'!$B$2*(1+B1176)^0*B1176*'DCF Base Case'!$B$4</f>
        <v>21.5071575633652</v>
      </c>
      <c r="K1176" s="24" t="n">
        <f aca="false">'DCF Base Case'!$B$2*(1+B1176)^2*$I1176-'DCF Base Case'!$B$2*(1+B1176)^1*B1176*'DCF Base Case'!$B$4</f>
        <v>23.2480751626493</v>
      </c>
      <c r="L1176" s="24" t="n">
        <f aca="false">'DCF Base Case'!$B$2*(1+B1176)^3*$I1176-'DCF Base Case'!$B$2*(1+B1176)^2*B1176*'DCF Base Case'!$B$4</f>
        <v>25.129913015043</v>
      </c>
      <c r="M1176" s="24" t="n">
        <f aca="false">'DCF Base Case'!$B$2*(1+B1176)^4*$I1176-'DCF Base Case'!$B$2*(1+B1176)^3*B1176*'DCF Base Case'!$B$4</f>
        <v>27.1640780462645</v>
      </c>
      <c r="N1176" s="24" t="n">
        <f aca="false">'DCF Base Case'!$B$2*(1+B1176)^5*$I1176-'DCF Base Case'!$B$2*(1+B1176)^4*B1176*'DCF Base Case'!$B$4</f>
        <v>29.362900526629</v>
      </c>
      <c r="O1176" s="24" t="n">
        <f aca="false">J1176/(1+H1176)^1+K1176/(1+H1176)^2+L1176/(1+H1176)^3+M1176/(1+H1176)^4+N1176/(1+H1176)^5</f>
        <v>96.690692273026</v>
      </c>
      <c r="P1176" s="24" t="n">
        <f aca="false">N1176*(1+F1176)/(H1176-F1176)</f>
        <v>422.208410463243</v>
      </c>
      <c r="Q1176" s="24" t="n">
        <f aca="false">O1176+P1176/(1+H1176)^5</f>
        <v>369.484230083893</v>
      </c>
      <c r="R1176" s="24" t="n">
        <f aca="false">Q1176-'DCF Base Case'!$B$5</f>
        <v>184.484230083893</v>
      </c>
      <c r="S1176" s="32" t="n">
        <f aca="false">R1176/'DCF Base Case'!$B$6</f>
        <v>7.37936920335572</v>
      </c>
    </row>
    <row r="1177" customFormat="false" ht="15" hidden="false" customHeight="true" outlineLevel="0" collapsed="false">
      <c r="A1177" s="6" t="n">
        <v>1176</v>
      </c>
      <c r="B1177" s="30" t="n">
        <v>0.101150565296989</v>
      </c>
      <c r="C1177" s="30" t="n">
        <v>0.448417795005462</v>
      </c>
      <c r="D1177" s="30" t="n">
        <v>0.0907456029714006</v>
      </c>
      <c r="E1177" s="30" t="n">
        <v>0.334353614886913</v>
      </c>
      <c r="F1177" s="30" t="n">
        <v>0.022588764649953</v>
      </c>
      <c r="G1177" s="30" t="n">
        <v>0.131912798081807</v>
      </c>
      <c r="H1177" s="31" t="n">
        <f aca="false">MAX(D1177,F1177+0.015)</f>
        <v>0.0907456029714006</v>
      </c>
      <c r="I1177" s="25" t="n">
        <f aca="false">(C1177-'DCF Base Case'!$B$3)*(1-E1177)+'DCF Base Case'!$B$3-G1177</f>
        <v>0.210040856119259</v>
      </c>
      <c r="J1177" s="24" t="n">
        <f aca="false">'DCF Base Case'!$B$2*(1+B1177)^1*$I1177-'DCF Base Case'!$B$2*(1+B1177)^0*B1177*'DCF Base Case'!$B$4</f>
        <v>33.09655312138</v>
      </c>
      <c r="K1177" s="24" t="n">
        <f aca="false">'DCF Base Case'!$B$2*(1+B1177)^2*$I1177-'DCF Base Case'!$B$2*(1+B1177)^1*B1177*'DCF Base Case'!$B$4</f>
        <v>36.4442881789894</v>
      </c>
      <c r="L1177" s="24" t="n">
        <f aca="false">'DCF Base Case'!$B$2*(1+B1177)^3*$I1177-'DCF Base Case'!$B$2*(1+B1177)^2*B1177*'DCF Base Case'!$B$4</f>
        <v>40.1306485301405</v>
      </c>
      <c r="M1177" s="24" t="n">
        <f aca="false">'DCF Base Case'!$B$2*(1+B1177)^4*$I1177-'DCF Base Case'!$B$2*(1+B1177)^3*B1177*'DCF Base Case'!$B$4</f>
        <v>44.189886314699</v>
      </c>
      <c r="N1177" s="24" t="n">
        <f aca="false">'DCF Base Case'!$B$2*(1+B1177)^5*$I1177-'DCF Base Case'!$B$2*(1+B1177)^4*B1177*'DCF Base Case'!$B$4</f>
        <v>48.6597182958405</v>
      </c>
      <c r="O1177" s="24" t="n">
        <f aca="false">J1177/(1+H1177)^1+K1177/(1+H1177)^2+L1177/(1+H1177)^3+M1177/(1+H1177)^4+N1177/(1+H1177)^5</f>
        <v>154.637533996606</v>
      </c>
      <c r="P1177" s="24" t="n">
        <f aca="false">N1177*(1+F1177)/(H1177-F1177)</f>
        <v>730.064399197639</v>
      </c>
      <c r="Q1177" s="24" t="n">
        <f aca="false">O1177+P1177/(1+H1177)^5</f>
        <v>627.509770663669</v>
      </c>
      <c r="R1177" s="24" t="n">
        <f aca="false">Q1177-'DCF Base Case'!$B$5</f>
        <v>442.509770663669</v>
      </c>
      <c r="S1177" s="32" t="n">
        <f aca="false">R1177/'DCF Base Case'!$B$6</f>
        <v>17.7003908265467</v>
      </c>
    </row>
    <row r="1178" customFormat="false" ht="15" hidden="false" customHeight="true" outlineLevel="0" collapsed="false">
      <c r="A1178" s="6" t="n">
        <v>1177</v>
      </c>
      <c r="B1178" s="30" t="n">
        <v>0.135249979159342</v>
      </c>
      <c r="C1178" s="30" t="n">
        <v>0.422396433947859</v>
      </c>
      <c r="D1178" s="30" t="n">
        <v>0.101450984167219</v>
      </c>
      <c r="E1178" s="30" t="n">
        <v>0.280399775929058</v>
      </c>
      <c r="F1178" s="30" t="n">
        <v>0.0231476922129076</v>
      </c>
      <c r="G1178" s="30" t="n">
        <v>0.151341705323324</v>
      </c>
      <c r="H1178" s="31" t="n">
        <f aca="false">MAX(D1178,F1178+0.015)</f>
        <v>0.101450984167219</v>
      </c>
      <c r="I1178" s="25" t="n">
        <f aca="false">(C1178-'DCF Base Case'!$B$3)*(1-E1178)+'DCF Base Case'!$B$3-G1178</f>
        <v>0.1890668340631</v>
      </c>
      <c r="J1178" s="24" t="n">
        <f aca="false">'DCF Base Case'!$B$2*(1+B1178)^1*$I1178-'DCF Base Case'!$B$2*(1+B1178)^0*B1178*'DCF Base Case'!$B$4</f>
        <v>30.5341899079861</v>
      </c>
      <c r="K1178" s="24" t="n">
        <f aca="false">'DCF Base Case'!$B$2*(1+B1178)^2*$I1178-'DCF Base Case'!$B$2*(1+B1178)^1*B1178*'DCF Base Case'!$B$4</f>
        <v>34.6639384566886</v>
      </c>
      <c r="L1178" s="24" t="n">
        <f aca="false">'DCF Base Case'!$B$2*(1+B1178)^3*$I1178-'DCF Base Case'!$B$2*(1+B1178)^2*B1178*'DCF Base Case'!$B$4</f>
        <v>39.3522354105365</v>
      </c>
      <c r="M1178" s="24" t="n">
        <f aca="false">'DCF Base Case'!$B$2*(1+B1178)^4*$I1178-'DCF Base Case'!$B$2*(1+B1178)^3*B1178*'DCF Base Case'!$B$4</f>
        <v>44.674624429685</v>
      </c>
      <c r="N1178" s="24" t="n">
        <f aca="false">'DCF Base Case'!$B$2*(1+B1178)^5*$I1178-'DCF Base Case'!$B$2*(1+B1178)^4*B1178*'DCF Base Case'!$B$4</f>
        <v>50.7168664527514</v>
      </c>
      <c r="O1178" s="24" t="n">
        <f aca="false">J1178/(1+H1178)^1+K1178/(1+H1178)^2+L1178/(1+H1178)^3+M1178/(1+H1178)^4+N1178/(1+H1178)^5</f>
        <v>147.380675918031</v>
      </c>
      <c r="P1178" s="24" t="n">
        <f aca="false">N1178*(1+F1178)/(H1178-F1178)</f>
        <v>662.690463865557</v>
      </c>
      <c r="Q1178" s="24" t="n">
        <f aca="false">O1178+P1178/(1+H1178)^5</f>
        <v>556.156162865278</v>
      </c>
      <c r="R1178" s="24" t="n">
        <f aca="false">Q1178-'DCF Base Case'!$B$5</f>
        <v>371.156162865278</v>
      </c>
      <c r="S1178" s="32" t="n">
        <f aca="false">R1178/'DCF Base Case'!$B$6</f>
        <v>14.8462465146111</v>
      </c>
    </row>
    <row r="1179" customFormat="false" ht="15" hidden="false" customHeight="true" outlineLevel="0" collapsed="false">
      <c r="A1179" s="6" t="n">
        <v>1178</v>
      </c>
      <c r="B1179" s="30" t="n">
        <v>0.103548576438688</v>
      </c>
      <c r="C1179" s="30" t="n">
        <v>0.414373893462922</v>
      </c>
      <c r="D1179" s="30" t="n">
        <v>0.102369034227489</v>
      </c>
      <c r="E1179" s="30" t="n">
        <v>0.292803279122075</v>
      </c>
      <c r="F1179" s="30" t="n">
        <v>0.0227122039460731</v>
      </c>
      <c r="G1179" s="30" t="n">
        <v>0.127804927959933</v>
      </c>
      <c r="H1179" s="31" t="n">
        <f aca="false">MAX(D1179,F1179+0.015)</f>
        <v>0.102369034227489</v>
      </c>
      <c r="I1179" s="25" t="n">
        <f aca="false">(C1179-'DCF Base Case'!$B$3)*(1-E1179)+'DCF Base Case'!$B$3-G1179</f>
        <v>0.203303357000334</v>
      </c>
      <c r="J1179" s="24" t="n">
        <f aca="false">'DCF Base Case'!$B$2*(1+B1179)^1*$I1179-'DCF Base Case'!$B$2*(1+B1179)^0*B1179*'DCF Base Case'!$B$4</f>
        <v>32.0810575719158</v>
      </c>
      <c r="K1179" s="24" t="n">
        <f aca="false">'DCF Base Case'!$B$2*(1+B1179)^2*$I1179-'DCF Base Case'!$B$2*(1+B1179)^1*B1179*'DCF Base Case'!$B$4</f>
        <v>35.4030054141353</v>
      </c>
      <c r="L1179" s="24" t="n">
        <f aca="false">'DCF Base Case'!$B$2*(1+B1179)^3*$I1179-'DCF Base Case'!$B$2*(1+B1179)^2*B1179*'DCF Base Case'!$B$4</f>
        <v>39.0689362264202</v>
      </c>
      <c r="M1179" s="24" t="n">
        <f aca="false">'DCF Base Case'!$B$2*(1+B1179)^4*$I1179-'DCF Base Case'!$B$2*(1+B1179)^3*B1179*'DCF Base Case'!$B$4</f>
        <v>43.1144689556399</v>
      </c>
      <c r="N1179" s="24" t="n">
        <f aca="false">'DCF Base Case'!$B$2*(1+B1179)^5*$I1179-'DCF Base Case'!$B$2*(1+B1179)^4*B1179*'DCF Base Case'!$B$4</f>
        <v>47.5789108399064</v>
      </c>
      <c r="O1179" s="24" t="n">
        <f aca="false">J1179/(1+H1179)^1+K1179/(1+H1179)^2+L1179/(1+H1179)^3+M1179/(1+H1179)^4+N1179/(1+H1179)^5</f>
        <v>145.821335522919</v>
      </c>
      <c r="P1179" s="24" t="n">
        <f aca="false">N1179*(1+F1179)/(H1179-F1179)</f>
        <v>610.864537222074</v>
      </c>
      <c r="Q1179" s="24" t="n">
        <f aca="false">O1179+P1179/(1+H1179)^5</f>
        <v>521.061991940885</v>
      </c>
      <c r="R1179" s="24" t="n">
        <f aca="false">Q1179-'DCF Base Case'!$B$5</f>
        <v>336.061991940885</v>
      </c>
      <c r="S1179" s="32" t="n">
        <f aca="false">R1179/'DCF Base Case'!$B$6</f>
        <v>13.4424796776354</v>
      </c>
    </row>
    <row r="1180" customFormat="false" ht="15" hidden="false" customHeight="true" outlineLevel="0" collapsed="false">
      <c r="A1180" s="6" t="n">
        <v>1179</v>
      </c>
      <c r="B1180" s="30" t="n">
        <v>0.0882650525003643</v>
      </c>
      <c r="C1180" s="30" t="n">
        <v>0.421977268934613</v>
      </c>
      <c r="D1180" s="30" t="n">
        <v>0.0874597639708368</v>
      </c>
      <c r="E1180" s="30" t="n">
        <v>0.309188947904627</v>
      </c>
      <c r="F1180" s="30" t="n">
        <v>0.0179065287103808</v>
      </c>
      <c r="G1180" s="30" t="n">
        <v>0.166303939847617</v>
      </c>
      <c r="H1180" s="31" t="n">
        <f aca="false">MAX(D1180,F1180+0.015)</f>
        <v>0.0874597639708368</v>
      </c>
      <c r="I1180" s="25" t="n">
        <f aca="false">(C1180-'DCF Base Case'!$B$3)*(1-E1180)+'DCF Base Case'!$B$3-G1180</f>
        <v>0.165397184493037</v>
      </c>
      <c r="J1180" s="24" t="n">
        <f aca="false">'DCF Base Case'!$B$2*(1+B1180)^1*$I1180-'DCF Base Case'!$B$2*(1+B1180)^0*B1180*'DCF Base Case'!$B$4</f>
        <v>25.7154634931538</v>
      </c>
      <c r="K1180" s="24" t="n">
        <f aca="false">'DCF Base Case'!$B$2*(1+B1180)^2*$I1180-'DCF Base Case'!$B$2*(1+B1180)^1*B1180*'DCF Base Case'!$B$4</f>
        <v>27.9852402284483</v>
      </c>
      <c r="L1180" s="24" t="n">
        <f aca="false">'DCF Base Case'!$B$2*(1+B1180)^3*$I1180-'DCF Base Case'!$B$2*(1+B1180)^2*B1180*'DCF Base Case'!$B$4</f>
        <v>30.4553589264476</v>
      </c>
      <c r="M1180" s="24" t="n">
        <f aca="false">'DCF Base Case'!$B$2*(1+B1180)^4*$I1180-'DCF Base Case'!$B$2*(1+B1180)^3*B1180*'DCF Base Case'!$B$4</f>
        <v>33.1435027810079</v>
      </c>
      <c r="N1180" s="24" t="n">
        <f aca="false">'DCF Base Case'!$B$2*(1+B1180)^5*$I1180-'DCF Base Case'!$B$2*(1+B1180)^4*B1180*'DCF Base Case'!$B$4</f>
        <v>36.0689157940195</v>
      </c>
      <c r="O1180" s="24" t="n">
        <f aca="false">J1180/(1+H1180)^1+K1180/(1+H1180)^2+L1180/(1+H1180)^3+M1180/(1+H1180)^4+N1180/(1+H1180)^5</f>
        <v>118.411633808833</v>
      </c>
      <c r="P1180" s="24" t="n">
        <f aca="false">N1180*(1+F1180)/(H1180-F1180)</f>
        <v>527.865953794264</v>
      </c>
      <c r="Q1180" s="24" t="n">
        <f aca="false">O1180+P1180/(1+H1180)^5</f>
        <v>465.514073921182</v>
      </c>
      <c r="R1180" s="24" t="n">
        <f aca="false">Q1180-'DCF Base Case'!$B$5</f>
        <v>280.514073921182</v>
      </c>
      <c r="S1180" s="32" t="n">
        <f aca="false">R1180/'DCF Base Case'!$B$6</f>
        <v>11.2205629568473</v>
      </c>
    </row>
    <row r="1181" customFormat="false" ht="15" hidden="false" customHeight="true" outlineLevel="0" collapsed="false">
      <c r="A1181" s="6" t="n">
        <v>1180</v>
      </c>
      <c r="B1181" s="30" t="n">
        <v>0.115632365132457</v>
      </c>
      <c r="C1181" s="30" t="n">
        <v>0.375990018467797</v>
      </c>
      <c r="D1181" s="30" t="n">
        <v>0.0914828555180218</v>
      </c>
      <c r="E1181" s="30" t="n">
        <v>0.270977275603051</v>
      </c>
      <c r="F1181" s="30" t="n">
        <v>0.0156249543684958</v>
      </c>
      <c r="G1181" s="30" t="n">
        <v>0.17299594140276</v>
      </c>
      <c r="H1181" s="31" t="n">
        <f aca="false">MAX(D1181,F1181+0.015)</f>
        <v>0.0914828555180218</v>
      </c>
      <c r="I1181" s="25" t="n">
        <f aca="false">(C1181-'DCF Base Case'!$B$3)*(1-E1181)+'DCF Base Case'!$B$3-G1181</f>
        <v>0.136336372035089</v>
      </c>
      <c r="J1181" s="24" t="n">
        <f aca="false">'DCF Base Case'!$B$2*(1+B1181)^1*$I1181-'DCF Base Case'!$B$2*(1+B1181)^0*B1181*'DCF Base Case'!$B$4</f>
        <v>21.5516832438012</v>
      </c>
      <c r="K1181" s="24" t="n">
        <f aca="false">'DCF Base Case'!$B$2*(1+B1181)^2*$I1181-'DCF Base Case'!$B$2*(1+B1181)^1*B1181*'DCF Base Case'!$B$4</f>
        <v>24.0437553498674</v>
      </c>
      <c r="L1181" s="24" t="n">
        <f aca="false">'DCF Base Case'!$B$2*(1+B1181)^3*$I1181-'DCF Base Case'!$B$2*(1+B1181)^2*B1181*'DCF Base Case'!$B$4</f>
        <v>26.8239916476388</v>
      </c>
      <c r="M1181" s="24" t="n">
        <f aca="false">'DCF Base Case'!$B$2*(1+B1181)^4*$I1181-'DCF Base Case'!$B$2*(1+B1181)^3*B1181*'DCF Base Case'!$B$4</f>
        <v>29.9257132441485</v>
      </c>
      <c r="N1181" s="24" t="n">
        <f aca="false">'DCF Base Case'!$B$2*(1+B1181)^5*$I1181-'DCF Base Case'!$B$2*(1+B1181)^4*B1181*'DCF Base Case'!$B$4</f>
        <v>33.3860942448451</v>
      </c>
      <c r="O1181" s="24" t="n">
        <f aca="false">J1181/(1+H1181)^1+K1181/(1+H1181)^2+L1181/(1+H1181)^3+M1181/(1+H1181)^4+N1181/(1+H1181)^5</f>
        <v>103.193091689326</v>
      </c>
      <c r="P1181" s="24" t="n">
        <f aca="false">N1181*(1+F1181)/(H1181-F1181)</f>
        <v>446.990358685596</v>
      </c>
      <c r="Q1181" s="24" t="n">
        <f aca="false">O1181+P1181/(1+H1181)^5</f>
        <v>391.738098721227</v>
      </c>
      <c r="R1181" s="24" t="n">
        <f aca="false">Q1181-'DCF Base Case'!$B$5</f>
        <v>206.738098721227</v>
      </c>
      <c r="S1181" s="32" t="n">
        <f aca="false">R1181/'DCF Base Case'!$B$6</f>
        <v>8.26952394884906</v>
      </c>
    </row>
    <row r="1182" customFormat="false" ht="15" hidden="false" customHeight="true" outlineLevel="0" collapsed="false">
      <c r="A1182" s="6" t="n">
        <v>1181</v>
      </c>
      <c r="B1182" s="30" t="n">
        <v>0.116566422787164</v>
      </c>
      <c r="C1182" s="30" t="n">
        <v>0.442077433362544</v>
      </c>
      <c r="D1182" s="30" t="n">
        <v>0.0835137566600271</v>
      </c>
      <c r="E1182" s="30" t="n">
        <v>0.306562737084802</v>
      </c>
      <c r="F1182" s="30" t="n">
        <v>0.0224711766931692</v>
      </c>
      <c r="G1182" s="30" t="n">
        <v>0.163353104361878</v>
      </c>
      <c r="H1182" s="31" t="n">
        <f aca="false">MAX(D1182,F1182+0.015)</f>
        <v>0.0835137566600271</v>
      </c>
      <c r="I1182" s="25" t="n">
        <f aca="false">(C1182-'DCF Base Case'!$B$3)*(1-E1182)+'DCF Base Case'!$B$3-G1182</f>
        <v>0.183053016846645</v>
      </c>
      <c r="J1182" s="24" t="n">
        <f aca="false">'DCF Base Case'!$B$2*(1+B1182)^1*$I1182-'DCF Base Case'!$B$2*(1+B1182)^0*B1182*'DCF Base Case'!$B$4</f>
        <v>29.12960963</v>
      </c>
      <c r="K1182" s="24" t="n">
        <f aca="false">'DCF Base Case'!$B$2*(1+B1182)^2*$I1182-'DCF Base Case'!$B$2*(1+B1182)^1*B1182*'DCF Base Case'!$B$4</f>
        <v>32.5251440217557</v>
      </c>
      <c r="L1182" s="24" t="n">
        <f aca="false">'DCF Base Case'!$B$2*(1+B1182)^3*$I1182-'DCF Base Case'!$B$2*(1+B1182)^2*B1182*'DCF Base Case'!$B$4</f>
        <v>36.316483711009</v>
      </c>
      <c r="M1182" s="24" t="n">
        <f aca="false">'DCF Base Case'!$B$2*(1+B1182)^4*$I1182-'DCF Base Case'!$B$2*(1+B1182)^3*B1182*'DCF Base Case'!$B$4</f>
        <v>40.5497663054097</v>
      </c>
      <c r="N1182" s="24" t="n">
        <f aca="false">'DCF Base Case'!$B$2*(1+B1182)^5*$I1182-'DCF Base Case'!$B$2*(1+B1182)^4*B1182*'DCF Base Case'!$B$4</f>
        <v>45.2765075084868</v>
      </c>
      <c r="O1182" s="24" t="n">
        <f aca="false">J1182/(1+H1182)^1+K1182/(1+H1182)^2+L1182/(1+H1182)^3+M1182/(1+H1182)^4+N1182/(1+H1182)^5</f>
        <v>142.877082912261</v>
      </c>
      <c r="P1182" s="24" t="n">
        <f aca="false">N1182*(1+F1182)/(H1182-F1182)</f>
        <v>758.387406526626</v>
      </c>
      <c r="Q1182" s="24" t="n">
        <f aca="false">O1182+P1182/(1+H1182)^5</f>
        <v>650.707797684987</v>
      </c>
      <c r="R1182" s="24" t="n">
        <f aca="false">Q1182-'DCF Base Case'!$B$5</f>
        <v>465.707797684987</v>
      </c>
      <c r="S1182" s="32" t="n">
        <f aca="false">R1182/'DCF Base Case'!$B$6</f>
        <v>18.6283119073995</v>
      </c>
    </row>
    <row r="1183" customFormat="false" ht="15" hidden="false" customHeight="true" outlineLevel="0" collapsed="false">
      <c r="A1183" s="6" t="n">
        <v>1182</v>
      </c>
      <c r="B1183" s="30" t="n">
        <v>0.0749377661601305</v>
      </c>
      <c r="C1183" s="30" t="n">
        <v>0.394737728027076</v>
      </c>
      <c r="D1183" s="30" t="n">
        <v>0.0942163868375495</v>
      </c>
      <c r="E1183" s="30" t="n">
        <v>0.278470909580219</v>
      </c>
      <c r="F1183" s="30" t="n">
        <v>0.0150847054639928</v>
      </c>
      <c r="G1183" s="30" t="n">
        <v>0.133565768562054</v>
      </c>
      <c r="H1183" s="31" t="n">
        <f aca="false">MAX(D1183,F1183+0.015)</f>
        <v>0.0942163868375495</v>
      </c>
      <c r="I1183" s="25" t="n">
        <f aca="false">(C1183-'DCF Base Case'!$B$3)*(1-E1183)+'DCF Base Case'!$B$3-G1183</f>
        <v>0.187450203541122</v>
      </c>
      <c r="J1183" s="24" t="n">
        <f aca="false">'DCF Base Case'!$B$2*(1+B1183)^1*$I1183-'DCF Base Case'!$B$2*(1+B1183)^0*B1183*'DCF Base Case'!$B$4</f>
        <v>28.8911296610129</v>
      </c>
      <c r="K1183" s="24" t="n">
        <f aca="false">'DCF Base Case'!$B$2*(1+B1183)^2*$I1183-'DCF Base Case'!$B$2*(1+B1183)^1*B1183*'DCF Base Case'!$B$4</f>
        <v>31.0561663796519</v>
      </c>
      <c r="L1183" s="24" t="n">
        <f aca="false">'DCF Base Case'!$B$2*(1+B1183)^3*$I1183-'DCF Base Case'!$B$2*(1+B1183)^2*B1183*'DCF Base Case'!$B$4</f>
        <v>33.3834461136404</v>
      </c>
      <c r="M1183" s="24" t="n">
        <f aca="false">'DCF Base Case'!$B$2*(1+B1183)^4*$I1183-'DCF Base Case'!$B$2*(1+B1183)^3*B1183*'DCF Base Case'!$B$4</f>
        <v>35.8851269921237</v>
      </c>
      <c r="N1183" s="24" t="n">
        <f aca="false">'DCF Base Case'!$B$2*(1+B1183)^5*$I1183-'DCF Base Case'!$B$2*(1+B1183)^4*B1183*'DCF Base Case'!$B$4</f>
        <v>38.574278247286</v>
      </c>
      <c r="O1183" s="24" t="n">
        <f aca="false">J1183/(1+H1183)^1+K1183/(1+H1183)^2+L1183/(1+H1183)^3+M1183/(1+H1183)^4+N1183/(1+H1183)^5</f>
        <v>127.446743920434</v>
      </c>
      <c r="P1183" s="24" t="n">
        <f aca="false">N1183*(1+F1183)/(H1183-F1183)</f>
        <v>494.822796552092</v>
      </c>
      <c r="Q1183" s="24" t="n">
        <f aca="false">O1183+P1183/(1+H1183)^5</f>
        <v>442.898992383245</v>
      </c>
      <c r="R1183" s="24" t="n">
        <f aca="false">Q1183-'DCF Base Case'!$B$5</f>
        <v>257.898992383245</v>
      </c>
      <c r="S1183" s="32" t="n">
        <f aca="false">R1183/'DCF Base Case'!$B$6</f>
        <v>10.3159596953298</v>
      </c>
    </row>
    <row r="1184" customFormat="false" ht="15" hidden="false" customHeight="true" outlineLevel="0" collapsed="false">
      <c r="A1184" s="6" t="n">
        <v>1183</v>
      </c>
      <c r="B1184" s="30" t="n">
        <v>0.108160398555669</v>
      </c>
      <c r="C1184" s="30" t="n">
        <v>0.409750902447978</v>
      </c>
      <c r="D1184" s="30" t="n">
        <v>0.0886342653122158</v>
      </c>
      <c r="E1184" s="30" t="n">
        <v>0.317370796573138</v>
      </c>
      <c r="F1184" s="30" t="n">
        <v>0.0140833802499933</v>
      </c>
      <c r="G1184" s="30" t="n">
        <v>0.164250501520611</v>
      </c>
      <c r="H1184" s="31" t="n">
        <f aca="false">MAX(D1184,F1184+0.015)</f>
        <v>0.0886342653122158</v>
      </c>
      <c r="I1184" s="25" t="n">
        <f aca="false">(C1184-'DCF Base Case'!$B$3)*(1-E1184)+'DCF Base Case'!$B$3-G1184</f>
        <v>0.156715634175398</v>
      </c>
      <c r="J1184" s="24" t="n">
        <f aca="false">'DCF Base Case'!$B$2*(1+B1184)^1*$I1184-'DCF Base Case'!$B$2*(1+B1184)^0*B1184*'DCF Base Case'!$B$4</f>
        <v>24.7110809123013</v>
      </c>
      <c r="K1184" s="24" t="n">
        <f aca="false">'DCF Base Case'!$B$2*(1+B1184)^2*$I1184-'DCF Base Case'!$B$2*(1+B1184)^1*B1184*'DCF Base Case'!$B$4</f>
        <v>27.3838412725172</v>
      </c>
      <c r="L1184" s="24" t="n">
        <f aca="false">'DCF Base Case'!$B$2*(1+B1184)^3*$I1184-'DCF Base Case'!$B$2*(1+B1184)^2*B1184*'DCF Base Case'!$B$4</f>
        <v>30.3456884585378</v>
      </c>
      <c r="M1184" s="24" t="n">
        <f aca="false">'DCF Base Case'!$B$2*(1+B1184)^4*$I1184-'DCF Base Case'!$B$2*(1+B1184)^3*B1184*'DCF Base Case'!$B$4</f>
        <v>33.6278902166594</v>
      </c>
      <c r="N1184" s="24" t="n">
        <f aca="false">'DCF Base Case'!$B$2*(1+B1184)^5*$I1184-'DCF Base Case'!$B$2*(1+B1184)^4*B1184*'DCF Base Case'!$B$4</f>
        <v>37.2650962250796</v>
      </c>
      <c r="O1184" s="24" t="n">
        <f aca="false">J1184/(1+H1184)^1+K1184/(1+H1184)^2+L1184/(1+H1184)^3+M1184/(1+H1184)^4+N1184/(1+H1184)^5</f>
        <v>117.640874151836</v>
      </c>
      <c r="P1184" s="24" t="n">
        <f aca="false">N1184*(1+F1184)/(H1184-F1184)</f>
        <v>506.900953807984</v>
      </c>
      <c r="Q1184" s="24" t="n">
        <f aca="false">O1184+P1184/(1+H1184)^5</f>
        <v>449.163450870499</v>
      </c>
      <c r="R1184" s="24" t="n">
        <f aca="false">Q1184-'DCF Base Case'!$B$5</f>
        <v>264.163450870499</v>
      </c>
      <c r="S1184" s="32" t="n">
        <f aca="false">R1184/'DCF Base Case'!$B$6</f>
        <v>10.56653803482</v>
      </c>
    </row>
    <row r="1185" customFormat="false" ht="15" hidden="false" customHeight="true" outlineLevel="0" collapsed="false">
      <c r="A1185" s="6" t="n">
        <v>1184</v>
      </c>
      <c r="B1185" s="30" t="n">
        <v>0.0864882852425669</v>
      </c>
      <c r="C1185" s="30" t="n">
        <v>0.420827444931755</v>
      </c>
      <c r="D1185" s="30" t="n">
        <v>0.0986307599826248</v>
      </c>
      <c r="E1185" s="30" t="n">
        <v>0.254215092269733</v>
      </c>
      <c r="F1185" s="30" t="n">
        <v>0.0213902972435945</v>
      </c>
      <c r="G1185" s="30" t="n">
        <v>0.189885455426303</v>
      </c>
      <c r="H1185" s="31" t="n">
        <f aca="false">MAX(D1185,F1185+0.015)</f>
        <v>0.0986307599826248</v>
      </c>
      <c r="I1185" s="25" t="n">
        <f aca="false">(C1185-'DCF Base Case'!$B$3)*(1-E1185)+'DCF Base Case'!$B$3-G1185</f>
        <v>0.157009263757555</v>
      </c>
      <c r="J1185" s="24" t="n">
        <f aca="false">'DCF Base Case'!$B$2*(1+B1185)^1*$I1185-'DCF Base Case'!$B$2*(1+B1185)^0*B1185*'DCF Base Case'!$B$4</f>
        <v>24.3591411925307</v>
      </c>
      <c r="K1185" s="24" t="n">
        <f aca="false">'DCF Base Case'!$B$2*(1+B1185)^2*$I1185-'DCF Base Case'!$B$2*(1+B1185)^1*B1185*'DCF Base Case'!$B$4</f>
        <v>26.4659215442543</v>
      </c>
      <c r="L1185" s="24" t="n">
        <f aca="false">'DCF Base Case'!$B$2*(1+B1185)^3*$I1185-'DCF Base Case'!$B$2*(1+B1185)^2*B1185*'DCF Base Case'!$B$4</f>
        <v>28.7549137159811</v>
      </c>
      <c r="M1185" s="24" t="n">
        <f aca="false">'DCF Base Case'!$B$2*(1+B1185)^4*$I1185-'DCF Base Case'!$B$2*(1+B1185)^3*B1185*'DCF Base Case'!$B$4</f>
        <v>31.2418768955743</v>
      </c>
      <c r="N1185" s="24" t="n">
        <f aca="false">'DCF Base Case'!$B$2*(1+B1185)^5*$I1185-'DCF Base Case'!$B$2*(1+B1185)^4*B1185*'DCF Base Case'!$B$4</f>
        <v>33.9439332560319</v>
      </c>
      <c r="O1185" s="24" t="n">
        <f aca="false">J1185/(1+H1185)^1+K1185/(1+H1185)^2+L1185/(1+H1185)^3+M1185/(1+H1185)^4+N1185/(1+H1185)^5</f>
        <v>108.437738556151</v>
      </c>
      <c r="P1185" s="24" t="n">
        <f aca="false">N1185*(1+F1185)/(H1185-F1185)</f>
        <v>448.858057662517</v>
      </c>
      <c r="Q1185" s="24" t="n">
        <f aca="false">O1185+P1185/(1+H1185)^5</f>
        <v>388.8843866178</v>
      </c>
      <c r="R1185" s="24" t="n">
        <f aca="false">Q1185-'DCF Base Case'!$B$5</f>
        <v>203.8843866178</v>
      </c>
      <c r="S1185" s="32" t="n">
        <f aca="false">R1185/'DCF Base Case'!$B$6</f>
        <v>8.15537546471201</v>
      </c>
    </row>
    <row r="1186" customFormat="false" ht="15" hidden="false" customHeight="true" outlineLevel="0" collapsed="false">
      <c r="A1186" s="6" t="n">
        <v>1185</v>
      </c>
      <c r="B1186" s="30" t="n">
        <v>0.0861559605469991</v>
      </c>
      <c r="C1186" s="30" t="n">
        <v>0.410384143712025</v>
      </c>
      <c r="D1186" s="30" t="n">
        <v>0.0896029430588342</v>
      </c>
      <c r="E1186" s="30" t="n">
        <v>0.289878058315631</v>
      </c>
      <c r="F1186" s="30" t="n">
        <v>0.0214360406035651</v>
      </c>
      <c r="G1186" s="30" t="n">
        <v>0.178481101360079</v>
      </c>
      <c r="H1186" s="31" t="n">
        <f aca="false">MAX(D1186,F1186+0.015)</f>
        <v>0.0896029430588342</v>
      </c>
      <c r="I1186" s="25" t="n">
        <f aca="false">(C1186-'DCF Base Case'!$B$3)*(1-E1186)+'DCF Base Case'!$B$3-G1186</f>
        <v>0.150625831190213</v>
      </c>
      <c r="J1186" s="24" t="n">
        <f aca="false">'DCF Base Case'!$B$2*(1+B1186)^1*$I1186-'DCF Base Case'!$B$2*(1+B1186)^0*B1186*'DCF Base Case'!$B$4</f>
        <v>23.347677503762</v>
      </c>
      <c r="K1186" s="24" t="n">
        <f aca="false">'DCF Base Case'!$B$2*(1+B1186)^2*$I1186-'DCF Base Case'!$B$2*(1+B1186)^1*B1186*'DCF Base Case'!$B$4</f>
        <v>25.3592190856402</v>
      </c>
      <c r="L1186" s="24" t="n">
        <f aca="false">'DCF Base Case'!$B$2*(1+B1186)^3*$I1186-'DCF Base Case'!$B$2*(1+B1186)^2*B1186*'DCF Base Case'!$B$4</f>
        <v>27.5440669646853</v>
      </c>
      <c r="M1186" s="24" t="n">
        <f aca="false">'DCF Base Case'!$B$2*(1+B1186)^4*$I1186-'DCF Base Case'!$B$2*(1+B1186)^3*B1186*'DCF Base Case'!$B$4</f>
        <v>29.9171525113986</v>
      </c>
      <c r="N1186" s="24" t="n">
        <f aca="false">'DCF Base Case'!$B$2*(1+B1186)^5*$I1186-'DCF Base Case'!$B$2*(1+B1186)^4*B1186*'DCF Base Case'!$B$4</f>
        <v>32.4946935228493</v>
      </c>
      <c r="O1186" s="24" t="n">
        <f aca="false">J1186/(1+H1186)^1+K1186/(1+H1186)^2+L1186/(1+H1186)^3+M1186/(1+H1186)^4+N1186/(1+H1186)^5</f>
        <v>106.462737031081</v>
      </c>
      <c r="P1186" s="24" t="n">
        <f aca="false">N1186*(1+F1186)/(H1186-F1186)</f>
        <v>486.911534734697</v>
      </c>
      <c r="Q1186" s="24" t="n">
        <f aca="false">O1186+P1186/(1+H1186)^5</f>
        <v>423.498842822237</v>
      </c>
      <c r="R1186" s="24" t="n">
        <f aca="false">Q1186-'DCF Base Case'!$B$5</f>
        <v>238.498842822237</v>
      </c>
      <c r="S1186" s="32" t="n">
        <f aca="false">R1186/'DCF Base Case'!$B$6</f>
        <v>9.53995371288948</v>
      </c>
    </row>
    <row r="1187" customFormat="false" ht="15" hidden="false" customHeight="true" outlineLevel="0" collapsed="false">
      <c r="A1187" s="6" t="n">
        <v>1186</v>
      </c>
      <c r="B1187" s="30" t="n">
        <v>0.0685531737323481</v>
      </c>
      <c r="C1187" s="30" t="n">
        <v>0.426555728567058</v>
      </c>
      <c r="D1187" s="30" t="n">
        <v>0.0978346147840926</v>
      </c>
      <c r="E1187" s="30" t="n">
        <v>0.285044016483712</v>
      </c>
      <c r="F1187" s="30" t="n">
        <v>0.0134386502040439</v>
      </c>
      <c r="G1187" s="30" t="n">
        <v>0.162780598177205</v>
      </c>
      <c r="H1187" s="31" t="n">
        <f aca="false">MAX(D1187,F1187+0.015)</f>
        <v>0.0978346147840926</v>
      </c>
      <c r="I1187" s="25" t="n">
        <f aca="false">(C1187-'DCF Base Case'!$B$3)*(1-E1187)+'DCF Base Case'!$B$3-G1187</f>
        <v>0.179243694407845</v>
      </c>
      <c r="J1187" s="24" t="n">
        <f aca="false">'DCF Base Case'!$B$2*(1+B1187)^1*$I1187-'DCF Base Case'!$B$2*(1+B1187)^0*B1187*'DCF Base Case'!$B$4</f>
        <v>27.4738493812614</v>
      </c>
      <c r="K1187" s="24" t="n">
        <f aca="false">'DCF Base Case'!$B$2*(1+B1187)^2*$I1187-'DCF Base Case'!$B$2*(1+B1187)^1*B1187*'DCF Base Case'!$B$4</f>
        <v>29.3572689509913</v>
      </c>
      <c r="L1187" s="24" t="n">
        <f aca="false">'DCF Base Case'!$B$2*(1+B1187)^3*$I1187-'DCF Base Case'!$B$2*(1+B1187)^2*B1187*'DCF Base Case'!$B$4</f>
        <v>31.3698029096959</v>
      </c>
      <c r="M1187" s="24" t="n">
        <f aca="false">'DCF Base Case'!$B$2*(1+B1187)^4*$I1187-'DCF Base Case'!$B$2*(1+B1187)^3*B1187*'DCF Base Case'!$B$4</f>
        <v>33.5203024585138</v>
      </c>
      <c r="N1187" s="24" t="n">
        <f aca="false">'DCF Base Case'!$B$2*(1+B1187)^5*$I1187-'DCF Base Case'!$B$2*(1+B1187)^4*B1187*'DCF Base Case'!$B$4</f>
        <v>35.8182255765132</v>
      </c>
      <c r="O1187" s="24" t="n">
        <f aca="false">J1187/(1+H1187)^1+K1187/(1+H1187)^2+L1187/(1+H1187)^3+M1187/(1+H1187)^4+N1187/(1+H1187)^5</f>
        <v>118.628321706572</v>
      </c>
      <c r="P1187" s="24" t="n">
        <f aca="false">N1187*(1+F1187)/(H1187-F1187)</f>
        <v>430.110306358732</v>
      </c>
      <c r="Q1187" s="24" t="n">
        <f aca="false">O1187+P1187/(1+H1187)^5</f>
        <v>388.337204055366</v>
      </c>
      <c r="R1187" s="24" t="n">
        <f aca="false">Q1187-'DCF Base Case'!$B$5</f>
        <v>203.337204055366</v>
      </c>
      <c r="S1187" s="32" t="n">
        <f aca="false">R1187/'DCF Base Case'!$B$6</f>
        <v>8.13348816221462</v>
      </c>
    </row>
    <row r="1188" customFormat="false" ht="15" hidden="false" customHeight="true" outlineLevel="0" collapsed="false">
      <c r="A1188" s="6" t="n">
        <v>1187</v>
      </c>
      <c r="B1188" s="30" t="n">
        <v>0.0940147282117829</v>
      </c>
      <c r="C1188" s="30" t="n">
        <v>0.390755516413688</v>
      </c>
      <c r="D1188" s="30" t="n">
        <v>0.0810384813006529</v>
      </c>
      <c r="E1188" s="30" t="n">
        <v>0.253213575146917</v>
      </c>
      <c r="F1188" s="30" t="n">
        <v>0.0215269362599006</v>
      </c>
      <c r="G1188" s="30" t="n">
        <v>0.168964949809379</v>
      </c>
      <c r="H1188" s="31" t="n">
        <f aca="false">MAX(D1188,F1188+0.015)</f>
        <v>0.0810384813006529</v>
      </c>
      <c r="I1188" s="25" t="n">
        <f aca="false">(C1188-'DCF Base Case'!$B$3)*(1-E1188)+'DCF Base Case'!$B$3-G1188</f>
        <v>0.155763730053918</v>
      </c>
      <c r="J1188" s="24" t="n">
        <f aca="false">'DCF Base Case'!$B$2*(1+B1188)^1*$I1188-'DCF Base Case'!$B$2*(1+B1188)^0*B1188*'DCF Base Case'!$B$4</f>
        <v>24.3001690783065</v>
      </c>
      <c r="K1188" s="24" t="n">
        <f aca="false">'DCF Base Case'!$B$2*(1+B1188)^2*$I1188-'DCF Base Case'!$B$2*(1+B1188)^1*B1188*'DCF Base Case'!$B$4</f>
        <v>26.5847428697038</v>
      </c>
      <c r="L1188" s="24" t="n">
        <f aca="false">'DCF Base Case'!$B$2*(1+B1188)^3*$I1188-'DCF Base Case'!$B$2*(1+B1188)^2*B1188*'DCF Base Case'!$B$4</f>
        <v>29.0841002451792</v>
      </c>
      <c r="M1188" s="24" t="n">
        <f aca="false">'DCF Base Case'!$B$2*(1+B1188)^4*$I1188-'DCF Base Case'!$B$2*(1+B1188)^3*B1188*'DCF Base Case'!$B$4</f>
        <v>31.8184340250139</v>
      </c>
      <c r="N1188" s="24" t="n">
        <f aca="false">'DCF Base Case'!$B$2*(1+B1188)^5*$I1188-'DCF Base Case'!$B$2*(1+B1188)^4*B1188*'DCF Base Case'!$B$4</f>
        <v>34.8098354520001</v>
      </c>
      <c r="O1188" s="24" t="n">
        <f aca="false">J1188/(1+H1188)^1+K1188/(1+H1188)^2+L1188/(1+H1188)^3+M1188/(1+H1188)^4+N1188/(1+H1188)^5</f>
        <v>115.123505763589</v>
      </c>
      <c r="P1188" s="24" t="n">
        <f aca="false">N1188*(1+F1188)/(H1188-F1188)</f>
        <v>597.517415093874</v>
      </c>
      <c r="Q1188" s="24" t="n">
        <f aca="false">O1188+P1188/(1+H1188)^5</f>
        <v>519.834310838366</v>
      </c>
      <c r="R1188" s="24" t="n">
        <f aca="false">Q1188-'DCF Base Case'!$B$5</f>
        <v>334.834310838366</v>
      </c>
      <c r="S1188" s="32" t="n">
        <f aca="false">R1188/'DCF Base Case'!$B$6</f>
        <v>13.3933724335346</v>
      </c>
    </row>
    <row r="1189" customFormat="false" ht="15" hidden="false" customHeight="true" outlineLevel="0" collapsed="false">
      <c r="A1189" s="6" t="n">
        <v>1188</v>
      </c>
      <c r="B1189" s="30" t="n">
        <v>0.0557962344853068</v>
      </c>
      <c r="C1189" s="30" t="n">
        <v>0.409144820697544</v>
      </c>
      <c r="D1189" s="30" t="n">
        <v>0.0843784015787068</v>
      </c>
      <c r="E1189" s="30" t="n">
        <v>0.295250139660261</v>
      </c>
      <c r="F1189" s="30" t="n">
        <v>0.0178005016159898</v>
      </c>
      <c r="G1189" s="30" t="n">
        <v>0.149081064791497</v>
      </c>
      <c r="H1189" s="31" t="n">
        <f aca="false">MAX(D1189,F1189+0.015)</f>
        <v>0.0843784015787068</v>
      </c>
      <c r="I1189" s="25" t="n">
        <f aca="false">(C1189-'DCF Base Case'!$B$3)*(1-E1189)+'DCF Base Case'!$B$3-G1189</f>
        <v>0.177646208609659</v>
      </c>
      <c r="J1189" s="24" t="n">
        <f aca="false">'DCF Base Case'!$B$2*(1+B1189)^1*$I1189-'DCF Base Case'!$B$2*(1+B1189)^0*B1189*'DCF Base Case'!$B$4</f>
        <v>26.9532251074859</v>
      </c>
      <c r="K1189" s="24" t="n">
        <f aca="false">'DCF Base Case'!$B$2*(1+B1189)^2*$I1189-'DCF Base Case'!$B$2*(1+B1189)^1*B1189*'DCF Base Case'!$B$4</f>
        <v>28.4571135757184</v>
      </c>
      <c r="L1189" s="24" t="n">
        <f aca="false">'DCF Base Case'!$B$2*(1+B1189)^3*$I1189-'DCF Base Case'!$B$2*(1+B1189)^2*B1189*'DCF Base Case'!$B$4</f>
        <v>30.0449133575642</v>
      </c>
      <c r="M1189" s="24" t="n">
        <f aca="false">'DCF Base Case'!$B$2*(1+B1189)^4*$I1189-'DCF Base Case'!$B$2*(1+B1189)^3*B1189*'DCF Base Case'!$B$4</f>
        <v>31.7213063883536</v>
      </c>
      <c r="N1189" s="24" t="n">
        <f aca="false">'DCF Base Case'!$B$2*(1+B1189)^5*$I1189-'DCF Base Case'!$B$2*(1+B1189)^4*B1189*'DCF Base Case'!$B$4</f>
        <v>33.4912358377785</v>
      </c>
      <c r="O1189" s="24" t="n">
        <f aca="false">J1189/(1+H1189)^1+K1189/(1+H1189)^2+L1189/(1+H1189)^3+M1189/(1+H1189)^4+N1189/(1+H1189)^5</f>
        <v>117.898481594904</v>
      </c>
      <c r="P1189" s="24" t="n">
        <f aca="false">N1189*(1+F1189)/(H1189-F1189)</f>
        <v>511.9926680553</v>
      </c>
      <c r="Q1189" s="24" t="n">
        <f aca="false">O1189+P1189/(1+H1189)^5</f>
        <v>459.373901469381</v>
      </c>
      <c r="R1189" s="24" t="n">
        <f aca="false">Q1189-'DCF Base Case'!$B$5</f>
        <v>274.373901469381</v>
      </c>
      <c r="S1189" s="32" t="n">
        <f aca="false">R1189/'DCF Base Case'!$B$6</f>
        <v>10.9749560587752</v>
      </c>
    </row>
    <row r="1190" customFormat="false" ht="15" hidden="false" customHeight="true" outlineLevel="0" collapsed="false">
      <c r="A1190" s="6" t="n">
        <v>1189</v>
      </c>
      <c r="B1190" s="30" t="n">
        <v>0.0731963488985736</v>
      </c>
      <c r="C1190" s="30" t="n">
        <v>0.396289432837304</v>
      </c>
      <c r="D1190" s="30" t="n">
        <v>0.0852070760623915</v>
      </c>
      <c r="E1190" s="30" t="n">
        <v>0.2839109770196</v>
      </c>
      <c r="F1190" s="30" t="n">
        <v>0.018617725519356</v>
      </c>
      <c r="G1190" s="30" t="n">
        <v>0.156662300341741</v>
      </c>
      <c r="H1190" s="31" t="n">
        <f aca="false">MAX(D1190,F1190+0.015)</f>
        <v>0.0852070760623915</v>
      </c>
      <c r="I1190" s="25" t="n">
        <f aca="false">(C1190-'DCF Base Case'!$B$3)*(1-E1190)+'DCF Base Case'!$B$3-G1190</f>
        <v>0.164024639448729</v>
      </c>
      <c r="J1190" s="24" t="n">
        <f aca="false">'DCF Base Case'!$B$2*(1+B1190)^1*$I1190-'DCF Base Case'!$B$2*(1+B1190)^0*B1190*'DCF Base Case'!$B$4</f>
        <v>25.2060392892294</v>
      </c>
      <c r="K1190" s="24" t="n">
        <f aca="false">'DCF Base Case'!$B$2*(1+B1190)^2*$I1190-'DCF Base Case'!$B$2*(1+B1190)^1*B1190*'DCF Base Case'!$B$4</f>
        <v>27.051029335395</v>
      </c>
      <c r="L1190" s="24" t="n">
        <f aca="false">'DCF Base Case'!$B$2*(1+B1190)^3*$I1190-'DCF Base Case'!$B$2*(1+B1190)^2*B1190*'DCF Base Case'!$B$4</f>
        <v>29.0310659166941</v>
      </c>
      <c r="M1190" s="24" t="n">
        <f aca="false">'DCF Base Case'!$B$2*(1+B1190)^4*$I1190-'DCF Base Case'!$B$2*(1+B1190)^3*B1190*'DCF Base Case'!$B$4</f>
        <v>31.15603394643</v>
      </c>
      <c r="N1190" s="24" t="n">
        <f aca="false">'DCF Base Case'!$B$2*(1+B1190)^5*$I1190-'DCF Base Case'!$B$2*(1+B1190)^4*B1190*'DCF Base Case'!$B$4</f>
        <v>33.4365418774687</v>
      </c>
      <c r="O1190" s="24" t="n">
        <f aca="false">J1190/(1+H1190)^1+K1190/(1+H1190)^2+L1190/(1+H1190)^3+M1190/(1+H1190)^4+N1190/(1+H1190)^5</f>
        <v>113.592308889215</v>
      </c>
      <c r="P1190" s="24" t="n">
        <f aca="false">N1190*(1+F1190)/(H1190-F1190)</f>
        <v>511.47899714757</v>
      </c>
      <c r="Q1190" s="24" t="n">
        <f aca="false">O1190+P1190/(1+H1190)^5</f>
        <v>453.424660250914</v>
      </c>
      <c r="R1190" s="24" t="n">
        <f aca="false">Q1190-'DCF Base Case'!$B$5</f>
        <v>268.424660250914</v>
      </c>
      <c r="S1190" s="32" t="n">
        <f aca="false">R1190/'DCF Base Case'!$B$6</f>
        <v>10.7369864100366</v>
      </c>
    </row>
    <row r="1191" customFormat="false" ht="15" hidden="false" customHeight="true" outlineLevel="0" collapsed="false">
      <c r="A1191" s="6" t="n">
        <v>1190</v>
      </c>
      <c r="B1191" s="30" t="n">
        <v>0.0825818573756354</v>
      </c>
      <c r="C1191" s="30" t="n">
        <v>0.452788038856</v>
      </c>
      <c r="D1191" s="30" t="n">
        <v>0.0765220233335197</v>
      </c>
      <c r="E1191" s="30" t="n">
        <v>0.266068327296183</v>
      </c>
      <c r="F1191" s="30" t="n">
        <v>0.0272453372751608</v>
      </c>
      <c r="G1191" s="30" t="n">
        <v>0.175041840511764</v>
      </c>
      <c r="H1191" s="31" t="n">
        <f aca="false">MAX(D1191,F1191+0.015)</f>
        <v>0.0765220233335197</v>
      </c>
      <c r="I1191" s="25" t="n">
        <f aca="false">(C1191-'DCF Base Case'!$B$3)*(1-E1191)+'DCF Base Case'!$B$3-G1191</f>
        <v>0.191862524774605</v>
      </c>
      <c r="J1191" s="24" t="n">
        <f aca="false">'DCF Base Case'!$B$2*(1+B1191)^1*$I1191-'DCF Base Case'!$B$2*(1+B1191)^0*B1191*'DCF Base Case'!$B$4</f>
        <v>29.7582677429502</v>
      </c>
      <c r="K1191" s="24" t="n">
        <f aca="false">'DCF Base Case'!$B$2*(1+B1191)^2*$I1191-'DCF Base Case'!$B$2*(1+B1191)^1*B1191*'DCF Base Case'!$B$4</f>
        <v>32.2157607654445</v>
      </c>
      <c r="L1191" s="24" t="n">
        <f aca="false">'DCF Base Case'!$B$2*(1+B1191)^3*$I1191-'DCF Base Case'!$B$2*(1+B1191)^2*B1191*'DCF Base Case'!$B$4</f>
        <v>34.876198126224</v>
      </c>
      <c r="M1191" s="24" t="n">
        <f aca="false">'DCF Base Case'!$B$2*(1+B1191)^4*$I1191-'DCF Base Case'!$B$2*(1+B1191)^3*B1191*'DCF Base Case'!$B$4</f>
        <v>37.7563393456883</v>
      </c>
      <c r="N1191" s="24" t="n">
        <f aca="false">'DCF Base Case'!$B$2*(1+B1191)^5*$I1191-'DCF Base Case'!$B$2*(1+B1191)^4*B1191*'DCF Base Case'!$B$4</f>
        <v>40.87432797656</v>
      </c>
      <c r="O1191" s="24" t="n">
        <f aca="false">J1191/(1+H1191)^1+K1191/(1+H1191)^2+L1191/(1+H1191)^3+M1191/(1+H1191)^4+N1191/(1+H1191)^5</f>
        <v>139.779688301798</v>
      </c>
      <c r="P1191" s="24" t="n">
        <f aca="false">N1191*(1+F1191)/(H1191-F1191)</f>
        <v>852.085766856361</v>
      </c>
      <c r="Q1191" s="24" t="n">
        <f aca="false">O1191+P1191/(1+H1191)^5</f>
        <v>729.123484230728</v>
      </c>
      <c r="R1191" s="24" t="n">
        <f aca="false">Q1191-'DCF Base Case'!$B$5</f>
        <v>544.123484230728</v>
      </c>
      <c r="S1191" s="32" t="n">
        <f aca="false">R1191/'DCF Base Case'!$B$6</f>
        <v>21.7649393692291</v>
      </c>
    </row>
    <row r="1192" customFormat="false" ht="15" hidden="false" customHeight="true" outlineLevel="0" collapsed="false">
      <c r="A1192" s="6" t="n">
        <v>1191</v>
      </c>
      <c r="B1192" s="30" t="n">
        <v>0.0604690374597493</v>
      </c>
      <c r="C1192" s="30" t="n">
        <v>0.421030656542494</v>
      </c>
      <c r="D1192" s="30" t="n">
        <v>0.0749895722187874</v>
      </c>
      <c r="E1192" s="30" t="n">
        <v>0.307592189229995</v>
      </c>
      <c r="F1192" s="30" t="n">
        <v>0.0185369907895718</v>
      </c>
      <c r="G1192" s="30" t="n">
        <v>0.156334143006366</v>
      </c>
      <c r="H1192" s="31" t="n">
        <f aca="false">MAX(D1192,F1192+0.015)</f>
        <v>0.0749895722187874</v>
      </c>
      <c r="I1192" s="25" t="n">
        <f aca="false">(C1192-'DCF Base Case'!$B$3)*(1-E1192)+'DCF Base Case'!$B$3-G1192</f>
        <v>0.17517775675718</v>
      </c>
      <c r="J1192" s="24" t="n">
        <f aca="false">'DCF Base Case'!$B$2*(1+B1192)^1*$I1192-'DCF Base Case'!$B$2*(1+B1192)^0*B1192*'DCF Base Case'!$B$4</f>
        <v>26.6736948154835</v>
      </c>
      <c r="K1192" s="24" t="n">
        <f aca="false">'DCF Base Case'!$B$2*(1+B1192)^2*$I1192-'DCF Base Case'!$B$2*(1+B1192)^1*B1192*'DCF Base Case'!$B$4</f>
        <v>28.2866274664709</v>
      </c>
      <c r="L1192" s="24" t="n">
        <f aca="false">'DCF Base Case'!$B$2*(1+B1192)^3*$I1192-'DCF Base Case'!$B$2*(1+B1192)^2*B1192*'DCF Base Case'!$B$4</f>
        <v>29.9970926023509</v>
      </c>
      <c r="M1192" s="24" t="n">
        <f aca="false">'DCF Base Case'!$B$2*(1+B1192)^4*$I1192-'DCF Base Case'!$B$2*(1+B1192)^3*B1192*'DCF Base Case'!$B$4</f>
        <v>31.810987918606</v>
      </c>
      <c r="N1192" s="24" t="n">
        <f aca="false">'DCF Base Case'!$B$2*(1+B1192)^5*$I1192-'DCF Base Case'!$B$2*(1+B1192)^4*B1192*'DCF Base Case'!$B$4</f>
        <v>33.7345677386879</v>
      </c>
      <c r="O1192" s="24" t="n">
        <f aca="false">J1192/(1+H1192)^1+K1192/(1+H1192)^2+L1192/(1+H1192)^3+M1192/(1+H1192)^4+N1192/(1+H1192)^5</f>
        <v>120.758228573914</v>
      </c>
      <c r="P1192" s="24" t="n">
        <f aca="false">N1192*(1+F1192)/(H1192-F1192)</f>
        <v>608.650733770839</v>
      </c>
      <c r="Q1192" s="24" t="n">
        <f aca="false">O1192+P1192/(1+H1192)^5</f>
        <v>544.739714525905</v>
      </c>
      <c r="R1192" s="24" t="n">
        <f aca="false">Q1192-'DCF Base Case'!$B$5</f>
        <v>359.739714525905</v>
      </c>
      <c r="S1192" s="32" t="n">
        <f aca="false">R1192/'DCF Base Case'!$B$6</f>
        <v>14.3895885810362</v>
      </c>
    </row>
    <row r="1193" customFormat="false" ht="15" hidden="false" customHeight="true" outlineLevel="0" collapsed="false">
      <c r="A1193" s="6" t="n">
        <v>1192</v>
      </c>
      <c r="B1193" s="30" t="n">
        <v>0.123600283986213</v>
      </c>
      <c r="C1193" s="30" t="n">
        <v>0.436588476889317</v>
      </c>
      <c r="D1193" s="30" t="n">
        <v>0.0957028838119413</v>
      </c>
      <c r="E1193" s="30" t="n">
        <v>0.292685755599045</v>
      </c>
      <c r="F1193" s="30" t="n">
        <v>0.0175804424379843</v>
      </c>
      <c r="G1193" s="30" t="n">
        <v>0.179714830124685</v>
      </c>
      <c r="H1193" s="31" t="n">
        <f aca="false">MAX(D1193,F1193+0.015)</f>
        <v>0.0957028838119413</v>
      </c>
      <c r="I1193" s="25" t="n">
        <f aca="false">(C1193-'DCF Base Case'!$B$3)*(1-E1193)+'DCF Base Case'!$B$3-G1193</f>
        <v>0.167139566748322</v>
      </c>
      <c r="J1193" s="24" t="n">
        <f aca="false">'DCF Base Case'!$B$2*(1+B1193)^1*$I1193-'DCF Base Case'!$B$2*(1+B1193)^0*B1193*'DCF Base Case'!$B$4</f>
        <v>26.6930581409033</v>
      </c>
      <c r="K1193" s="24" t="n">
        <f aca="false">'DCF Base Case'!$B$2*(1+B1193)^2*$I1193-'DCF Base Case'!$B$2*(1+B1193)^1*B1193*'DCF Base Case'!$B$4</f>
        <v>29.9923277075794</v>
      </c>
      <c r="L1193" s="24" t="n">
        <f aca="false">'DCF Base Case'!$B$2*(1+B1193)^3*$I1193-'DCF Base Case'!$B$2*(1+B1193)^2*B1193*'DCF Base Case'!$B$4</f>
        <v>33.6993879296438</v>
      </c>
      <c r="M1193" s="24" t="n">
        <f aca="false">'DCF Base Case'!$B$2*(1+B1193)^4*$I1193-'DCF Base Case'!$B$2*(1+B1193)^3*B1193*'DCF Base Case'!$B$4</f>
        <v>37.8646418479094</v>
      </c>
      <c r="N1193" s="24" t="n">
        <f aca="false">'DCF Base Case'!$B$2*(1+B1193)^5*$I1193-'DCF Base Case'!$B$2*(1+B1193)^4*B1193*'DCF Base Case'!$B$4</f>
        <v>42.5447223333472</v>
      </c>
      <c r="O1193" s="24" t="n">
        <f aca="false">J1193/(1+H1193)^1+K1193/(1+H1193)^2+L1193/(1+H1193)^3+M1193/(1+H1193)^4+N1193/(1+H1193)^5</f>
        <v>128.170504032242</v>
      </c>
      <c r="P1193" s="24" t="n">
        <f aca="false">N1193*(1+F1193)/(H1193-F1193)</f>
        <v>554.164419518522</v>
      </c>
      <c r="Q1193" s="24" t="n">
        <f aca="false">O1193+P1193/(1+H1193)^5</f>
        <v>479.063431522119</v>
      </c>
      <c r="R1193" s="24" t="n">
        <f aca="false">Q1193-'DCF Base Case'!$B$5</f>
        <v>294.063431522119</v>
      </c>
      <c r="S1193" s="32" t="n">
        <f aca="false">R1193/'DCF Base Case'!$B$6</f>
        <v>11.7625372608848</v>
      </c>
    </row>
    <row r="1194" customFormat="false" ht="15" hidden="false" customHeight="true" outlineLevel="0" collapsed="false">
      <c r="A1194" s="6" t="n">
        <v>1193</v>
      </c>
      <c r="B1194" s="30" t="n">
        <v>0.116199784371869</v>
      </c>
      <c r="C1194" s="30" t="n">
        <v>0.425861965488157</v>
      </c>
      <c r="D1194" s="30" t="n">
        <v>0.104818068647812</v>
      </c>
      <c r="E1194" s="30" t="n">
        <v>0.305778753445821</v>
      </c>
      <c r="F1194" s="30" t="n">
        <v>0.0201102829865067</v>
      </c>
      <c r="G1194" s="30" t="n">
        <v>0.17096619611906</v>
      </c>
      <c r="H1194" s="31" t="n">
        <f aca="false">MAX(D1194,F1194+0.015)</f>
        <v>0.104818068647812</v>
      </c>
      <c r="I1194" s="25" t="n">
        <f aca="false">(C1194-'DCF Base Case'!$B$3)*(1-E1194)+'DCF Base Case'!$B$3-G1194</f>
        <v>0.164427466370098</v>
      </c>
      <c r="J1194" s="24" t="n">
        <f aca="false">'DCF Base Case'!$B$2*(1+B1194)^1*$I1194-'DCF Base Case'!$B$2*(1+B1194)^0*B1194*'DCF Base Case'!$B$4</f>
        <v>26.1069468015142</v>
      </c>
      <c r="K1194" s="24" t="n">
        <f aca="false">'DCF Base Case'!$B$2*(1+B1194)^2*$I1194-'DCF Base Case'!$B$2*(1+B1194)^1*B1194*'DCF Base Case'!$B$4</f>
        <v>29.140568390458</v>
      </c>
      <c r="L1194" s="24" t="n">
        <f aca="false">'DCF Base Case'!$B$2*(1+B1194)^3*$I1194-'DCF Base Case'!$B$2*(1+B1194)^2*B1194*'DCF Base Case'!$B$4</f>
        <v>32.5266961539029</v>
      </c>
      <c r="M1194" s="24" t="n">
        <f aca="false">'DCF Base Case'!$B$2*(1+B1194)^4*$I1194-'DCF Base Case'!$B$2*(1+B1194)^3*B1194*'DCF Base Case'!$B$4</f>
        <v>36.3062912333157</v>
      </c>
      <c r="N1194" s="24" t="n">
        <f aca="false">'DCF Base Case'!$B$2*(1+B1194)^5*$I1194-'DCF Base Case'!$B$2*(1+B1194)^4*B1194*'DCF Base Case'!$B$4</f>
        <v>40.5250744459693</v>
      </c>
      <c r="O1194" s="24" t="n">
        <f aca="false">J1194/(1+H1194)^1+K1194/(1+H1194)^2+L1194/(1+H1194)^3+M1194/(1+H1194)^4+N1194/(1+H1194)^5</f>
        <v>120.609987410526</v>
      </c>
      <c r="P1194" s="24" t="n">
        <f aca="false">N1194*(1+F1194)/(H1194-F1194)</f>
        <v>488.031233946081</v>
      </c>
      <c r="Q1194" s="24" t="n">
        <f aca="false">O1194+P1194/(1+H1194)^5</f>
        <v>417.088877679589</v>
      </c>
      <c r="R1194" s="24" t="n">
        <f aca="false">Q1194-'DCF Base Case'!$B$5</f>
        <v>232.088877679589</v>
      </c>
      <c r="S1194" s="32" t="n">
        <f aca="false">R1194/'DCF Base Case'!$B$6</f>
        <v>9.28355510718357</v>
      </c>
    </row>
    <row r="1195" customFormat="false" ht="15" hidden="false" customHeight="true" outlineLevel="0" collapsed="false">
      <c r="A1195" s="6" t="n">
        <v>1194</v>
      </c>
      <c r="B1195" s="30" t="n">
        <v>0.0928077505337982</v>
      </c>
      <c r="C1195" s="30" t="n">
        <v>0.387981367262993</v>
      </c>
      <c r="D1195" s="30" t="n">
        <v>0.0840092058461054</v>
      </c>
      <c r="E1195" s="30" t="n">
        <v>0.2860978185236</v>
      </c>
      <c r="F1195" s="30" t="n">
        <v>0.0176985664405217</v>
      </c>
      <c r="G1195" s="30" t="n">
        <v>0.173023199504078</v>
      </c>
      <c r="H1195" s="31" t="n">
        <f aca="false">MAX(D1195,F1195+0.015)</f>
        <v>0.0840092058461054</v>
      </c>
      <c r="I1195" s="25" t="n">
        <f aca="false">(C1195-'DCF Base Case'!$B$3)*(1-E1195)+'DCF Base Case'!$B$3-G1195</f>
        <v>0.141150261365237</v>
      </c>
      <c r="J1195" s="24" t="n">
        <f aca="false">'DCF Base Case'!$B$2*(1+B1195)^1*$I1195-'DCF Base Case'!$B$2*(1+B1195)^0*B1195*'DCF Base Case'!$B$4</f>
        <v>21.9625507285993</v>
      </c>
      <c r="K1195" s="24" t="n">
        <f aca="false">'DCF Base Case'!$B$2*(1+B1195)^2*$I1195-'DCF Base Case'!$B$2*(1+B1195)^1*B1195*'DCF Base Case'!$B$4</f>
        <v>24.0008456577051</v>
      </c>
      <c r="L1195" s="24" t="n">
        <f aca="false">'DCF Base Case'!$B$2*(1+B1195)^3*$I1195-'DCF Base Case'!$B$2*(1+B1195)^2*B1195*'DCF Base Case'!$B$4</f>
        <v>26.2283101541055</v>
      </c>
      <c r="M1195" s="24" t="n">
        <f aca="false">'DCF Base Case'!$B$2*(1+B1195)^4*$I1195-'DCF Base Case'!$B$2*(1+B1195)^3*B1195*'DCF Base Case'!$B$4</f>
        <v>28.6625006198109</v>
      </c>
      <c r="N1195" s="24" t="n">
        <f aca="false">'DCF Base Case'!$B$2*(1+B1195)^5*$I1195-'DCF Base Case'!$B$2*(1+B1195)^4*B1195*'DCF Base Case'!$B$4</f>
        <v>31.3226028270091</v>
      </c>
      <c r="O1195" s="24" t="n">
        <f aca="false">J1195/(1+H1195)^1+K1195/(1+H1195)^2+L1195/(1+H1195)^3+M1195/(1+H1195)^4+N1195/(1+H1195)^5</f>
        <v>102.960296425081</v>
      </c>
      <c r="P1195" s="24" t="n">
        <f aca="false">N1195*(1+F1195)/(H1195-F1195)</f>
        <v>480.72177074421</v>
      </c>
      <c r="Q1195" s="24" t="n">
        <f aca="false">O1195+P1195/(1+H1195)^5</f>
        <v>424.125834854812</v>
      </c>
      <c r="R1195" s="24" t="n">
        <f aca="false">Q1195-'DCF Base Case'!$B$5</f>
        <v>239.125834854812</v>
      </c>
      <c r="S1195" s="32" t="n">
        <f aca="false">R1195/'DCF Base Case'!$B$6</f>
        <v>9.56503339419247</v>
      </c>
    </row>
    <row r="1196" customFormat="false" ht="15" hidden="false" customHeight="true" outlineLevel="0" collapsed="false">
      <c r="A1196" s="6" t="n">
        <v>1195</v>
      </c>
      <c r="B1196" s="30" t="n">
        <v>0.0904268124699129</v>
      </c>
      <c r="C1196" s="30" t="n">
        <v>0.42953564682792</v>
      </c>
      <c r="D1196" s="30" t="n">
        <v>0.092294236191723</v>
      </c>
      <c r="E1196" s="30" t="n">
        <v>0.284479890722559</v>
      </c>
      <c r="F1196" s="30" t="n">
        <v>0.013874451736424</v>
      </c>
      <c r="G1196" s="30" t="n">
        <v>0.205167151429692</v>
      </c>
      <c r="H1196" s="31" t="n">
        <f aca="false">MAX(D1196,F1196+0.015)</f>
        <v>0.092294236191723</v>
      </c>
      <c r="I1196" s="25" t="n">
        <f aca="false">(C1196-'DCF Base Case'!$B$3)*(1-E1196)+'DCF Base Case'!$B$3-G1196</f>
        <v>0.13915662732111</v>
      </c>
      <c r="J1196" s="24" t="n">
        <f aca="false">'DCF Base Case'!$B$2*(1+B1196)^1*$I1196-'DCF Base Case'!$B$2*(1+B1196)^0*B1196*'DCF Base Case'!$B$4</f>
        <v>21.6089604125101</v>
      </c>
      <c r="K1196" s="24" t="n">
        <f aca="false">'DCF Base Case'!$B$2*(1+B1196)^2*$I1196-'DCF Base Case'!$B$2*(1+B1196)^1*B1196*'DCF Base Case'!$B$4</f>
        <v>23.5629898234019</v>
      </c>
      <c r="L1196" s="24" t="n">
        <f aca="false">'DCF Base Case'!$B$2*(1+B1196)^3*$I1196-'DCF Base Case'!$B$2*(1+B1196)^2*B1196*'DCF Base Case'!$B$4</f>
        <v>25.6937158853931</v>
      </c>
      <c r="M1196" s="24" t="n">
        <f aca="false">'DCF Base Case'!$B$2*(1+B1196)^4*$I1196-'DCF Base Case'!$B$2*(1+B1196)^3*B1196*'DCF Base Case'!$B$4</f>
        <v>28.0171167134168</v>
      </c>
      <c r="N1196" s="24" t="n">
        <f aca="false">'DCF Base Case'!$B$2*(1+B1196)^5*$I1196-'DCF Base Case'!$B$2*(1+B1196)^4*B1196*'DCF Base Case'!$B$4</f>
        <v>30.5506152724086</v>
      </c>
      <c r="O1196" s="24" t="n">
        <f aca="false">J1196/(1+H1196)^1+K1196/(1+H1196)^2+L1196/(1+H1196)^3+M1196/(1+H1196)^4+N1196/(1+H1196)^5</f>
        <v>98.5778331035044</v>
      </c>
      <c r="P1196" s="24" t="n">
        <f aca="false">N1196*(1+F1196)/(H1196-F1196)</f>
        <v>394.983083984116</v>
      </c>
      <c r="Q1196" s="24" t="n">
        <f aca="false">O1196+P1196/(1+H1196)^5</f>
        <v>352.60507127773</v>
      </c>
      <c r="R1196" s="24" t="n">
        <f aca="false">Q1196-'DCF Base Case'!$B$5</f>
        <v>167.60507127773</v>
      </c>
      <c r="S1196" s="32" t="n">
        <f aca="false">R1196/'DCF Base Case'!$B$6</f>
        <v>6.70420285110919</v>
      </c>
    </row>
    <row r="1197" customFormat="false" ht="15" hidden="false" customHeight="true" outlineLevel="0" collapsed="false">
      <c r="A1197" s="6" t="n">
        <v>1196</v>
      </c>
      <c r="B1197" s="30" t="n">
        <v>0.0870947477028472</v>
      </c>
      <c r="C1197" s="30" t="n">
        <v>0.411966760213098</v>
      </c>
      <c r="D1197" s="30" t="n">
        <v>0.0812322706643067</v>
      </c>
      <c r="E1197" s="30" t="n">
        <v>0.267507748983517</v>
      </c>
      <c r="F1197" s="30" t="n">
        <v>0.0246638165576316</v>
      </c>
      <c r="G1197" s="30" t="n">
        <v>0.197702015523089</v>
      </c>
      <c r="H1197" s="31" t="n">
        <f aca="false">MAX(D1197,F1197+0.015)</f>
        <v>0.0812322706643067</v>
      </c>
      <c r="I1197" s="25" t="n">
        <f aca="false">(C1197-'DCF Base Case'!$B$3)*(1-E1197)+'DCF Base Case'!$B$3-G1197</f>
        <v>0.138836451377228</v>
      </c>
      <c r="J1197" s="24" t="n">
        <f aca="false">'DCF Base Case'!$B$2*(1+B1197)^1*$I1197-'DCF Base Case'!$B$2*(1+B1197)^0*B1197*'DCF Base Case'!$B$4</f>
        <v>21.5057525243661</v>
      </c>
      <c r="K1197" s="24" t="n">
        <f aca="false">'DCF Base Case'!$B$2*(1+B1197)^2*$I1197-'DCF Base Case'!$B$2*(1+B1197)^1*B1197*'DCF Base Case'!$B$4</f>
        <v>23.3787906146357</v>
      </c>
      <c r="L1197" s="24" t="n">
        <f aca="false">'DCF Base Case'!$B$2*(1+B1197)^3*$I1197-'DCF Base Case'!$B$2*(1+B1197)^2*B1197*'DCF Base Case'!$B$4</f>
        <v>25.4149604848151</v>
      </c>
      <c r="M1197" s="24" t="n">
        <f aca="false">'DCF Base Case'!$B$2*(1+B1197)^4*$I1197-'DCF Base Case'!$B$2*(1+B1197)^3*B1197*'DCF Base Case'!$B$4</f>
        <v>27.6284700561179</v>
      </c>
      <c r="N1197" s="24" t="n">
        <f aca="false">'DCF Base Case'!$B$2*(1+B1197)^5*$I1197-'DCF Base Case'!$B$2*(1+B1197)^4*B1197*'DCF Base Case'!$B$4</f>
        <v>30.0347646850711</v>
      </c>
      <c r="O1197" s="24" t="n">
        <f aca="false">J1197/(1+H1197)^1+K1197/(1+H1197)^2+L1197/(1+H1197)^3+M1197/(1+H1197)^4+N1197/(1+H1197)^5</f>
        <v>100.534505010488</v>
      </c>
      <c r="P1197" s="24" t="n">
        <f aca="false">N1197*(1+F1197)/(H1197-F1197)</f>
        <v>544.040615880713</v>
      </c>
      <c r="Q1197" s="24" t="n">
        <f aca="false">O1197+P1197/(1+H1197)^5</f>
        <v>468.694272718925</v>
      </c>
      <c r="R1197" s="24" t="n">
        <f aca="false">Q1197-'DCF Base Case'!$B$5</f>
        <v>283.694272718925</v>
      </c>
      <c r="S1197" s="32" t="n">
        <f aca="false">R1197/'DCF Base Case'!$B$6</f>
        <v>11.347770908757</v>
      </c>
    </row>
    <row r="1198" customFormat="false" ht="15" hidden="false" customHeight="true" outlineLevel="0" collapsed="false">
      <c r="A1198" s="6" t="n">
        <v>1197</v>
      </c>
      <c r="B1198" s="30" t="n">
        <v>0.0994796908404769</v>
      </c>
      <c r="C1198" s="30" t="n">
        <v>0.41595708105983</v>
      </c>
      <c r="D1198" s="30" t="n">
        <v>0.0918102978351513</v>
      </c>
      <c r="E1198" s="30" t="n">
        <v>0.281744589614049</v>
      </c>
      <c r="F1198" s="30" t="n">
        <v>0.0186197021188354</v>
      </c>
      <c r="G1198" s="30" t="n">
        <v>0.173033521475227</v>
      </c>
      <c r="H1198" s="31" t="n">
        <f aca="false">MAX(D1198,F1198+0.015)</f>
        <v>0.0918102978351513</v>
      </c>
      <c r="I1198" s="25" t="n">
        <f aca="false">(C1198-'DCF Base Case'!$B$3)*(1-E1198)+'DCF Base Case'!$B$3-G1198</f>
        <v>0.16235669913417</v>
      </c>
      <c r="J1198" s="24" t="n">
        <f aca="false">'DCF Base Case'!$B$2*(1+B1198)^1*$I1198-'DCF Base Case'!$B$2*(1+B1198)^0*B1198*'DCF Base Case'!$B$4</f>
        <v>25.4509078834819</v>
      </c>
      <c r="K1198" s="24" t="n">
        <f aca="false">'DCF Base Case'!$B$2*(1+B1198)^2*$I1198-'DCF Base Case'!$B$2*(1+B1198)^1*B1198*'DCF Base Case'!$B$4</f>
        <v>27.9827563313402</v>
      </c>
      <c r="L1198" s="24" t="n">
        <f aca="false">'DCF Base Case'!$B$2*(1+B1198)^3*$I1198-'DCF Base Case'!$B$2*(1+B1198)^2*B1198*'DCF Base Case'!$B$4</f>
        <v>30.7664722800463</v>
      </c>
      <c r="M1198" s="24" t="n">
        <f aca="false">'DCF Base Case'!$B$2*(1+B1198)^4*$I1198-'DCF Base Case'!$B$2*(1+B1198)^3*B1198*'DCF Base Case'!$B$4</f>
        <v>33.8271114307174</v>
      </c>
      <c r="N1198" s="24" t="n">
        <f aca="false">'DCF Base Case'!$B$2*(1+B1198)^5*$I1198-'DCF Base Case'!$B$2*(1+B1198)^4*B1198*'DCF Base Case'!$B$4</f>
        <v>37.1922220178715</v>
      </c>
      <c r="O1198" s="24" t="n">
        <f aca="false">J1198/(1+H1198)^1+K1198/(1+H1198)^2+L1198/(1+H1198)^3+M1198/(1+H1198)^4+N1198/(1+H1198)^5</f>
        <v>118.202708419896</v>
      </c>
      <c r="P1198" s="24" t="n">
        <f aca="false">N1198*(1+F1198)/(H1198-F1198)</f>
        <v>517.61745812019</v>
      </c>
      <c r="Q1198" s="24" t="n">
        <f aca="false">O1198+P1198/(1+H1198)^5</f>
        <v>451.838769063038</v>
      </c>
      <c r="R1198" s="24" t="n">
        <f aca="false">Q1198-'DCF Base Case'!$B$5</f>
        <v>266.838769063038</v>
      </c>
      <c r="S1198" s="32" t="n">
        <f aca="false">R1198/'DCF Base Case'!$B$6</f>
        <v>10.6735507625215</v>
      </c>
    </row>
    <row r="1199" customFormat="false" ht="15" hidden="false" customHeight="true" outlineLevel="0" collapsed="false">
      <c r="A1199" s="6" t="n">
        <v>1198</v>
      </c>
      <c r="B1199" s="30" t="n">
        <v>0.0805924500350504</v>
      </c>
      <c r="C1199" s="30" t="n">
        <v>0.416531664392203</v>
      </c>
      <c r="D1199" s="30" t="n">
        <v>0.087246430181838</v>
      </c>
      <c r="E1199" s="30" t="n">
        <v>0.297986264351379</v>
      </c>
      <c r="F1199" s="30" t="n">
        <v>0.0168472466811284</v>
      </c>
      <c r="G1199" s="30" t="n">
        <v>0.182146879188782</v>
      </c>
      <c r="H1199" s="31" t="n">
        <f aca="false">MAX(D1199,F1199+0.015)</f>
        <v>0.087246430181838</v>
      </c>
      <c r="I1199" s="25" t="n">
        <f aca="false">(C1199-'DCF Base Case'!$B$3)*(1-E1199)+'DCF Base Case'!$B$3-G1199</f>
        <v>0.149002284912805</v>
      </c>
      <c r="J1199" s="24" t="n">
        <f aca="false">'DCF Base Case'!$B$2*(1+B1199)^1*$I1199-'DCF Base Case'!$B$2*(1+B1199)^0*B1199*'DCF Base Case'!$B$4</f>
        <v>22.9959807389861</v>
      </c>
      <c r="K1199" s="24" t="n">
        <f aca="false">'DCF Base Case'!$B$2*(1+B1199)^2*$I1199-'DCF Base Case'!$B$2*(1+B1199)^1*B1199*'DCF Base Case'!$B$4</f>
        <v>24.8492831676999</v>
      </c>
      <c r="L1199" s="24" t="n">
        <f aca="false">'DCF Base Case'!$B$2*(1+B1199)^3*$I1199-'DCF Base Case'!$B$2*(1+B1199)^2*B1199*'DCF Base Case'!$B$4</f>
        <v>26.8519477797995</v>
      </c>
      <c r="M1199" s="24" t="n">
        <f aca="false">'DCF Base Case'!$B$2*(1+B1199)^4*$I1199-'DCF Base Case'!$B$2*(1+B1199)^3*B1199*'DCF Base Case'!$B$4</f>
        <v>29.0160120395868</v>
      </c>
      <c r="N1199" s="24" t="n">
        <f aca="false">'DCF Base Case'!$B$2*(1+B1199)^5*$I1199-'DCF Base Case'!$B$2*(1+B1199)^4*B1199*'DCF Base Case'!$B$4</f>
        <v>31.3544835401036</v>
      </c>
      <c r="O1199" s="24" t="n">
        <f aca="false">J1199/(1+H1199)^1+K1199/(1+H1199)^2+L1199/(1+H1199)^3+M1199/(1+H1199)^4+N1199/(1+H1199)^5</f>
        <v>104.466776362069</v>
      </c>
      <c r="P1199" s="24" t="n">
        <f aca="false">N1199*(1+F1199)/(H1199-F1199)</f>
        <v>452.88480169009</v>
      </c>
      <c r="Q1199" s="24" t="n">
        <f aca="false">O1199+P1199/(1+H1199)^5</f>
        <v>402.557042314142</v>
      </c>
      <c r="R1199" s="24" t="n">
        <f aca="false">Q1199-'DCF Base Case'!$B$5</f>
        <v>217.557042314142</v>
      </c>
      <c r="S1199" s="32" t="n">
        <f aca="false">R1199/'DCF Base Case'!$B$6</f>
        <v>8.7022816925657</v>
      </c>
    </row>
    <row r="1200" customFormat="false" ht="15" hidden="false" customHeight="true" outlineLevel="0" collapsed="false">
      <c r="A1200" s="6" t="n">
        <v>1199</v>
      </c>
      <c r="B1200" s="30" t="n">
        <v>0.0701981375272112</v>
      </c>
      <c r="C1200" s="30" t="n">
        <v>0.394351788728109</v>
      </c>
      <c r="D1200" s="30" t="n">
        <v>0.0791818243493968</v>
      </c>
      <c r="E1200" s="30" t="n">
        <v>0.257665402819113</v>
      </c>
      <c r="F1200" s="30" t="n">
        <v>0.0229911216320459</v>
      </c>
      <c r="G1200" s="30" t="n">
        <v>0.145788330982708</v>
      </c>
      <c r="H1200" s="31" t="n">
        <f aca="false">MAX(D1200,F1200+0.015)</f>
        <v>0.0791818243493968</v>
      </c>
      <c r="I1200" s="25" t="n">
        <f aca="false">(C1200-'DCF Base Case'!$B$3)*(1-E1200)+'DCF Base Case'!$B$3-G1200</f>
        <v>0.18044914761682</v>
      </c>
      <c r="J1200" s="24" t="n">
        <f aca="false">'DCF Base Case'!$B$2*(1+B1200)^1*$I1200-'DCF Base Case'!$B$2*(1+B1200)^0*B1200*'DCF Base Case'!$B$4</f>
        <v>27.6965076479512</v>
      </c>
      <c r="K1200" s="24" t="n">
        <f aca="false">'DCF Base Case'!$B$2*(1+B1200)^2*$I1200-'DCF Base Case'!$B$2*(1+B1200)^1*B1200*'DCF Base Case'!$B$4</f>
        <v>29.6407509008455</v>
      </c>
      <c r="L1200" s="24" t="n">
        <f aca="false">'DCF Base Case'!$B$2*(1+B1200)^3*$I1200-'DCF Base Case'!$B$2*(1+B1200)^2*B1200*'DCF Base Case'!$B$4</f>
        <v>31.7214764089929</v>
      </c>
      <c r="M1200" s="24" t="n">
        <f aca="false">'DCF Base Case'!$B$2*(1+B1200)^4*$I1200-'DCF Base Case'!$B$2*(1+B1200)^3*B1200*'DCF Base Case'!$B$4</f>
        <v>33.9482649725175</v>
      </c>
      <c r="N1200" s="24" t="n">
        <f aca="false">'DCF Base Case'!$B$2*(1+B1200)^5*$I1200-'DCF Base Case'!$B$2*(1+B1200)^4*B1200*'DCF Base Case'!$B$4</f>
        <v>36.3313699458685</v>
      </c>
      <c r="O1200" s="24" t="n">
        <f aca="false">J1200/(1+H1200)^1+K1200/(1+H1200)^2+L1200/(1+H1200)^3+M1200/(1+H1200)^4+N1200/(1+H1200)^5</f>
        <v>126.203057765736</v>
      </c>
      <c r="P1200" s="24" t="n">
        <f aca="false">N1200*(1+F1200)/(H1200-F1200)</f>
        <v>661.438051029682</v>
      </c>
      <c r="Q1200" s="24" t="n">
        <f aca="false">O1200+P1200/(1+H1200)^5</f>
        <v>578.075715739454</v>
      </c>
      <c r="R1200" s="24" t="n">
        <f aca="false">Q1200-'DCF Base Case'!$B$5</f>
        <v>393.075715739454</v>
      </c>
      <c r="S1200" s="32" t="n">
        <f aca="false">R1200/'DCF Base Case'!$B$6</f>
        <v>15.7230286295782</v>
      </c>
    </row>
    <row r="1201" customFormat="false" ht="15" hidden="false" customHeight="true" outlineLevel="0" collapsed="false">
      <c r="A1201" s="6" t="n">
        <v>1200</v>
      </c>
      <c r="B1201" s="30" t="n">
        <v>0.0748067635982644</v>
      </c>
      <c r="C1201" s="30" t="n">
        <v>0.433479971406486</v>
      </c>
      <c r="D1201" s="30" t="n">
        <v>0.0787235902796099</v>
      </c>
      <c r="E1201" s="30" t="n">
        <v>0.274576434472516</v>
      </c>
      <c r="F1201" s="30" t="n">
        <v>0.0152209545475893</v>
      </c>
      <c r="G1201" s="30" t="n">
        <v>0.185148647897916</v>
      </c>
      <c r="H1201" s="31" t="n">
        <f aca="false">MAX(D1201,F1201+0.015)</f>
        <v>0.0787235902796099</v>
      </c>
      <c r="I1201" s="25" t="n">
        <f aca="false">(C1201-'DCF Base Case'!$B$3)*(1-E1201)+'DCF Base Case'!$B$3-G1201</f>
        <v>0.165002875025956</v>
      </c>
      <c r="J1201" s="24" t="n">
        <f aca="false">'DCF Base Case'!$B$2*(1+B1201)^1*$I1201-'DCF Base Case'!$B$2*(1+B1201)^0*B1201*'DCF Base Case'!$B$4</f>
        <v>25.3897904615508</v>
      </c>
      <c r="K1201" s="24" t="n">
        <f aca="false">'DCF Base Case'!$B$2*(1+B1201)^2*$I1201-'DCF Base Case'!$B$2*(1+B1201)^1*B1201*'DCF Base Case'!$B$4</f>
        <v>27.2891185144175</v>
      </c>
      <c r="L1201" s="24" t="n">
        <f aca="false">'DCF Base Case'!$B$2*(1+B1201)^3*$I1201-'DCF Base Case'!$B$2*(1+B1201)^2*B1201*'DCF Base Case'!$B$4</f>
        <v>29.3305291519305</v>
      </c>
      <c r="M1201" s="24" t="n">
        <f aca="false">'DCF Base Case'!$B$2*(1+B1201)^4*$I1201-'DCF Base Case'!$B$2*(1+B1201)^3*B1201*'DCF Base Case'!$B$4</f>
        <v>31.524651112411</v>
      </c>
      <c r="N1201" s="24" t="n">
        <f aca="false">'DCF Base Case'!$B$2*(1+B1201)^5*$I1201-'DCF Base Case'!$B$2*(1+B1201)^4*B1201*'DCF Base Case'!$B$4</f>
        <v>33.8829082356949</v>
      </c>
      <c r="O1201" s="24" t="n">
        <f aca="false">J1201/(1+H1201)^1+K1201/(1+H1201)^2+L1201/(1+H1201)^3+M1201/(1+H1201)^4+N1201/(1+H1201)^5</f>
        <v>116.832890161512</v>
      </c>
      <c r="P1201" s="24" t="n">
        <f aca="false">N1201*(1+F1201)/(H1201-F1201)</f>
        <v>541.688357425853</v>
      </c>
      <c r="Q1201" s="24" t="n">
        <f aca="false">O1201+P1201/(1+H1201)^5</f>
        <v>487.683177537669</v>
      </c>
      <c r="R1201" s="24" t="n">
        <f aca="false">Q1201-'DCF Base Case'!$B$5</f>
        <v>302.683177537669</v>
      </c>
      <c r="S1201" s="32" t="n">
        <f aca="false">R1201/'DCF Base Case'!$B$6</f>
        <v>12.1073271015067</v>
      </c>
    </row>
    <row r="1202" customFormat="false" ht="15" hidden="false" customHeight="true" outlineLevel="0" collapsed="false">
      <c r="A1202" s="6" t="n">
        <v>1201</v>
      </c>
      <c r="B1202" s="30" t="n">
        <v>0.108490392263827</v>
      </c>
      <c r="C1202" s="30" t="n">
        <v>0.434588349195185</v>
      </c>
      <c r="D1202" s="30" t="n">
        <v>0.0909128281101334</v>
      </c>
      <c r="E1202" s="30" t="n">
        <v>0.28173859207298</v>
      </c>
      <c r="F1202" s="30" t="n">
        <v>0.0172457884963435</v>
      </c>
      <c r="G1202" s="30" t="n">
        <v>0.148812840172463</v>
      </c>
      <c r="H1202" s="31" t="n">
        <f aca="false">MAX(D1202,F1202+0.015)</f>
        <v>0.0909128281101334</v>
      </c>
      <c r="I1202" s="25" t="n">
        <f aca="false">(C1202-'DCF Base Case'!$B$3)*(1-E1202)+'DCF Base Case'!$B$3-G1202</f>
        <v>0.199961216358637</v>
      </c>
      <c r="J1202" s="24" t="n">
        <f aca="false">'DCF Base Case'!$B$2*(1+B1202)^1*$I1202-'DCF Base Case'!$B$2*(1+B1202)^0*B1202*'DCF Base Case'!$B$4</f>
        <v>31.6680544316984</v>
      </c>
      <c r="K1202" s="24" t="n">
        <f aca="false">'DCF Base Case'!$B$2*(1+B1202)^2*$I1202-'DCF Base Case'!$B$2*(1+B1202)^1*B1202*'DCF Base Case'!$B$4</f>
        <v>35.1037340792255</v>
      </c>
      <c r="L1202" s="24" t="n">
        <f aca="false">'DCF Base Case'!$B$2*(1+B1202)^3*$I1202-'DCF Base Case'!$B$2*(1+B1202)^2*B1202*'DCF Base Case'!$B$4</f>
        <v>38.9121519594058</v>
      </c>
      <c r="M1202" s="24" t="n">
        <f aca="false">'DCF Base Case'!$B$2*(1+B1202)^4*$I1202-'DCF Base Case'!$B$2*(1+B1202)^3*B1202*'DCF Base Case'!$B$4</f>
        <v>43.1337465893114</v>
      </c>
      <c r="N1202" s="24" t="n">
        <f aca="false">'DCF Base Case'!$B$2*(1+B1202)^5*$I1202-'DCF Base Case'!$B$2*(1+B1202)^4*B1202*'DCF Base Case'!$B$4</f>
        <v>47.8133436765943</v>
      </c>
      <c r="O1202" s="24" t="n">
        <f aca="false">J1202/(1+H1202)^1+K1202/(1+H1202)^2+L1202/(1+H1202)^3+M1202/(1+H1202)^4+N1202/(1+H1202)^5</f>
        <v>149.898077346602</v>
      </c>
      <c r="P1202" s="24" t="n">
        <f aca="false">N1202*(1+F1202)/(H1202-F1202)</f>
        <v>660.239949154128</v>
      </c>
      <c r="Q1202" s="24" t="n">
        <f aca="false">O1202+P1202/(1+H1202)^5</f>
        <v>577.216439619612</v>
      </c>
      <c r="R1202" s="24" t="n">
        <f aca="false">Q1202-'DCF Base Case'!$B$5</f>
        <v>392.216439619612</v>
      </c>
      <c r="S1202" s="32" t="n">
        <f aca="false">R1202/'DCF Base Case'!$B$6</f>
        <v>15.6886575847845</v>
      </c>
    </row>
    <row r="1203" customFormat="false" ht="15" hidden="false" customHeight="true" outlineLevel="0" collapsed="false">
      <c r="A1203" s="6" t="n">
        <v>1202</v>
      </c>
      <c r="B1203" s="30" t="n">
        <v>0.117802958438611</v>
      </c>
      <c r="C1203" s="30" t="n">
        <v>0.437961475932976</v>
      </c>
      <c r="D1203" s="30" t="n">
        <v>0.0773736535007953</v>
      </c>
      <c r="E1203" s="30" t="n">
        <v>0.280770491246425</v>
      </c>
      <c r="F1203" s="30" t="n">
        <v>0.0181766631099545</v>
      </c>
      <c r="G1203" s="30" t="n">
        <v>0.142769758176845</v>
      </c>
      <c r="H1203" s="31" t="n">
        <f aca="false">MAX(D1203,F1203+0.015)</f>
        <v>0.0773736535007953</v>
      </c>
      <c r="I1203" s="25" t="n">
        <f aca="false">(C1203-'DCF Base Case'!$B$3)*(1-E1203)+'DCF Base Case'!$B$3-G1203</f>
        <v>0.208725222873455</v>
      </c>
      <c r="J1203" s="24" t="n">
        <f aca="false">'DCF Base Case'!$B$2*(1+B1203)^1*$I1203-'DCF Base Case'!$B$2*(1+B1203)^0*B1203*'DCF Base Case'!$B$4</f>
        <v>33.3180395169545</v>
      </c>
      <c r="K1203" s="24" t="n">
        <f aca="false">'DCF Base Case'!$B$2*(1+B1203)^2*$I1203-'DCF Base Case'!$B$2*(1+B1203)^1*B1203*'DCF Base Case'!$B$4</f>
        <v>37.2430031414263</v>
      </c>
      <c r="L1203" s="24" t="n">
        <f aca="false">'DCF Base Case'!$B$2*(1+B1203)^3*$I1203-'DCF Base Case'!$B$2*(1+B1203)^2*B1203*'DCF Base Case'!$B$4</f>
        <v>41.6303390926248</v>
      </c>
      <c r="M1203" s="24" t="n">
        <f aca="false">'DCF Base Case'!$B$2*(1+B1203)^4*$I1203-'DCF Base Case'!$B$2*(1+B1203)^3*B1203*'DCF Base Case'!$B$4</f>
        <v>46.5345161985386</v>
      </c>
      <c r="N1203" s="24" t="n">
        <f aca="false">'DCF Base Case'!$B$2*(1+B1203)^5*$I1203-'DCF Base Case'!$B$2*(1+B1203)^4*B1203*'DCF Base Case'!$B$4</f>
        <v>52.0164198762359</v>
      </c>
      <c r="O1203" s="24" t="n">
        <f aca="false">J1203/(1+H1203)^1+K1203/(1+H1203)^2+L1203/(1+H1203)^3+M1203/(1+H1203)^4+N1203/(1+H1203)^5</f>
        <v>166.67486333329</v>
      </c>
      <c r="P1203" s="24" t="n">
        <f aca="false">N1203*(1+F1203)/(H1203-F1203)</f>
        <v>894.672253890573</v>
      </c>
      <c r="Q1203" s="24" t="n">
        <f aca="false">O1203+P1203/(1+H1203)^5</f>
        <v>783.031695301798</v>
      </c>
      <c r="R1203" s="24" t="n">
        <f aca="false">Q1203-'DCF Base Case'!$B$5</f>
        <v>598.031695301798</v>
      </c>
      <c r="S1203" s="32" t="n">
        <f aca="false">R1203/'DCF Base Case'!$B$6</f>
        <v>23.9212678120719</v>
      </c>
    </row>
    <row r="1204" customFormat="false" ht="15" hidden="false" customHeight="true" outlineLevel="0" collapsed="false">
      <c r="A1204" s="6" t="n">
        <v>1203</v>
      </c>
      <c r="B1204" s="30" t="n">
        <v>0.0936589605874916</v>
      </c>
      <c r="C1204" s="30" t="n">
        <v>0.407232669218007</v>
      </c>
      <c r="D1204" s="30" t="n">
        <v>0.0745220966707475</v>
      </c>
      <c r="E1204" s="30" t="n">
        <v>0.252369938569556</v>
      </c>
      <c r="F1204" s="30" t="n">
        <v>0.0132113977766122</v>
      </c>
      <c r="G1204" s="30" t="n">
        <v>0.157691382784621</v>
      </c>
      <c r="H1204" s="31" t="n">
        <f aca="false">MAX(D1204,F1204+0.015)</f>
        <v>0.0745220966707475</v>
      </c>
      <c r="I1204" s="25" t="n">
        <f aca="false">(C1204-'DCF Base Case'!$B$3)*(1-E1204)+'DCF Base Case'!$B$3-G1204</f>
        <v>0.179576094733364</v>
      </c>
      <c r="J1204" s="24" t="n">
        <f aca="false">'DCF Base Case'!$B$2*(1+B1204)^1*$I1204-'DCF Base Case'!$B$2*(1+B1204)^0*B1204*'DCF Base Case'!$B$4</f>
        <v>28.0698592627499</v>
      </c>
      <c r="K1204" s="24" t="n">
        <f aca="false">'DCF Base Case'!$B$2*(1+B1204)^2*$I1204-'DCF Base Case'!$B$2*(1+B1204)^1*B1204*'DCF Base Case'!$B$4</f>
        <v>30.6988531051362</v>
      </c>
      <c r="L1204" s="24" t="n">
        <f aca="false">'DCF Base Case'!$B$2*(1+B1204)^3*$I1204-'DCF Base Case'!$B$2*(1+B1204)^2*B1204*'DCF Base Case'!$B$4</f>
        <v>33.5740757781913</v>
      </c>
      <c r="M1204" s="24" t="n">
        <f aca="false">'DCF Base Case'!$B$2*(1+B1204)^4*$I1204-'DCF Base Case'!$B$2*(1+B1204)^3*B1204*'DCF Base Case'!$B$4</f>
        <v>36.7185888182624</v>
      </c>
      <c r="N1204" s="24" t="n">
        <f aca="false">'DCF Base Case'!$B$2*(1+B1204)^5*$I1204-'DCF Base Case'!$B$2*(1+B1204)^4*B1204*'DCF Base Case'!$B$4</f>
        <v>40.1576136812204</v>
      </c>
      <c r="O1204" s="24" t="n">
        <f aca="false">J1204/(1+H1204)^1+K1204/(1+H1204)^2+L1204/(1+H1204)^3+M1204/(1+H1204)^4+N1204/(1+H1204)^5</f>
        <v>135.351585133336</v>
      </c>
      <c r="P1204" s="24" t="n">
        <f aca="false">N1204*(1+F1204)/(H1204-F1204)</f>
        <v>663.638689873335</v>
      </c>
      <c r="Q1204" s="24" t="n">
        <f aca="false">O1204+P1204/(1+H1204)^5</f>
        <v>598.643736766054</v>
      </c>
      <c r="R1204" s="24" t="n">
        <f aca="false">Q1204-'DCF Base Case'!$B$5</f>
        <v>413.643736766054</v>
      </c>
      <c r="S1204" s="32" t="n">
        <f aca="false">R1204/'DCF Base Case'!$B$6</f>
        <v>16.5457494706422</v>
      </c>
    </row>
    <row r="1205" customFormat="false" ht="15" hidden="false" customHeight="true" outlineLevel="0" collapsed="false">
      <c r="A1205" s="6" t="n">
        <v>1204</v>
      </c>
      <c r="B1205" s="30" t="n">
        <v>0.0882748870745635</v>
      </c>
      <c r="C1205" s="30" t="n">
        <v>0.394444747678688</v>
      </c>
      <c r="D1205" s="30" t="n">
        <v>0.0921581337042295</v>
      </c>
      <c r="E1205" s="30" t="n">
        <v>0.277828726715117</v>
      </c>
      <c r="F1205" s="30" t="n">
        <v>0.0214161187291807</v>
      </c>
      <c r="G1205" s="30" t="n">
        <v>0.161387749140252</v>
      </c>
      <c r="H1205" s="31" t="n">
        <f aca="false">MAX(D1205,F1205+0.015)</f>
        <v>0.0921581337042295</v>
      </c>
      <c r="I1205" s="25" t="n">
        <f aca="false">(C1205-'DCF Base Case'!$B$3)*(1-E1205)+'DCF Base Case'!$B$3-G1205</f>
        <v>0.159586651004366</v>
      </c>
      <c r="J1205" s="24" t="n">
        <f aca="false">'DCF Base Case'!$B$2*(1+B1205)^1*$I1205-'DCF Base Case'!$B$2*(1+B1205)^0*B1205*'DCF Base Case'!$B$4</f>
        <v>24.7987552082813</v>
      </c>
      <c r="K1205" s="24" t="n">
        <f aca="false">'DCF Base Case'!$B$2*(1+B1205)^2*$I1205-'DCF Base Case'!$B$2*(1+B1205)^1*B1205*'DCF Base Case'!$B$4</f>
        <v>26.9878625238821</v>
      </c>
      <c r="L1205" s="24" t="n">
        <f aca="false">'DCF Base Case'!$B$2*(1+B1205)^3*$I1205-'DCF Base Case'!$B$2*(1+B1205)^2*B1205*'DCF Base Case'!$B$4</f>
        <v>29.3702130405616</v>
      </c>
      <c r="M1205" s="24" t="n">
        <f aca="false">'DCF Base Case'!$B$2*(1+B1205)^4*$I1205-'DCF Base Case'!$B$2*(1+B1205)^3*B1205*'DCF Base Case'!$B$4</f>
        <v>31.9628652800731</v>
      </c>
      <c r="N1205" s="24" t="n">
        <f aca="false">'DCF Base Case'!$B$2*(1+B1205)^5*$I1205-'DCF Base Case'!$B$2*(1+B1205)^4*B1205*'DCF Base Case'!$B$4</f>
        <v>34.784383603251</v>
      </c>
      <c r="O1205" s="24" t="n">
        <f aca="false">J1205/(1+H1205)^1+K1205/(1+H1205)^2+L1205/(1+H1205)^3+M1205/(1+H1205)^4+N1205/(1+H1205)^5</f>
        <v>112.726503803678</v>
      </c>
      <c r="P1205" s="24" t="n">
        <f aca="false">N1205*(1+F1205)/(H1205-F1205)</f>
        <v>502.238027923732</v>
      </c>
      <c r="Q1205" s="24" t="n">
        <f aca="false">O1205+P1205/(1+H1205)^5</f>
        <v>435.934406225015</v>
      </c>
      <c r="R1205" s="24" t="n">
        <f aca="false">Q1205-'DCF Base Case'!$B$5</f>
        <v>250.934406225015</v>
      </c>
      <c r="S1205" s="32" t="n">
        <f aca="false">R1205/'DCF Base Case'!$B$6</f>
        <v>10.0373762490006</v>
      </c>
    </row>
    <row r="1206" customFormat="false" ht="15" hidden="false" customHeight="true" outlineLevel="0" collapsed="false">
      <c r="A1206" s="6" t="n">
        <v>1205</v>
      </c>
      <c r="B1206" s="30" t="n">
        <v>0.0728334055039756</v>
      </c>
      <c r="C1206" s="30" t="n">
        <v>0.410974049585406</v>
      </c>
      <c r="D1206" s="30" t="n">
        <v>0.0711105803677985</v>
      </c>
      <c r="E1206" s="30" t="n">
        <v>0.295977390639308</v>
      </c>
      <c r="F1206" s="30" t="n">
        <v>0.0155235548922984</v>
      </c>
      <c r="G1206" s="30" t="n">
        <v>0.187205313998495</v>
      </c>
      <c r="H1206" s="31" t="n">
        <f aca="false">MAX(D1206,F1206+0.015)</f>
        <v>0.0711105803677985</v>
      </c>
      <c r="I1206" s="25" t="n">
        <f aca="false">(C1206-'DCF Base Case'!$B$3)*(1-E1206)+'DCF Base Case'!$B$3-G1206</f>
        <v>0.140606769553263</v>
      </c>
      <c r="J1206" s="24" t="n">
        <f aca="false">'DCF Base Case'!$B$2*(1+B1206)^1*$I1206-'DCF Base Case'!$B$2*(1+B1206)^0*B1206*'DCF Base Case'!$B$4</f>
        <v>21.556082401485</v>
      </c>
      <c r="K1206" s="24" t="n">
        <f aca="false">'DCF Base Case'!$B$2*(1+B1206)^2*$I1206-'DCF Base Case'!$B$2*(1+B1206)^1*B1206*'DCF Base Case'!$B$4</f>
        <v>23.1260852921095</v>
      </c>
      <c r="L1206" s="24" t="n">
        <f aca="false">'DCF Base Case'!$B$2*(1+B1206)^3*$I1206-'DCF Base Case'!$B$2*(1+B1206)^2*B1206*'DCF Base Case'!$B$4</f>
        <v>24.8104368399092</v>
      </c>
      <c r="M1206" s="24" t="n">
        <f aca="false">'DCF Base Case'!$B$2*(1+B1206)^4*$I1206-'DCF Base Case'!$B$2*(1+B1206)^3*B1206*'DCF Base Case'!$B$4</f>
        <v>26.6174654470011</v>
      </c>
      <c r="N1206" s="24" t="n">
        <f aca="false">'DCF Base Case'!$B$2*(1+B1206)^5*$I1206-'DCF Base Case'!$B$2*(1+B1206)^4*B1206*'DCF Base Case'!$B$4</f>
        <v>28.5561061013906</v>
      </c>
      <c r="O1206" s="24" t="n">
        <f aca="false">J1206/(1+H1206)^1+K1206/(1+H1206)^2+L1206/(1+H1206)^3+M1206/(1+H1206)^4+N1206/(1+H1206)^5</f>
        <v>100.949136704213</v>
      </c>
      <c r="P1206" s="24" t="n">
        <f aca="false">N1206*(1+F1206)/(H1206-F1206)</f>
        <v>521.693653040443</v>
      </c>
      <c r="Q1206" s="24" t="n">
        <f aca="false">O1206+P1206/(1+H1206)^5</f>
        <v>470.985161474142</v>
      </c>
      <c r="R1206" s="24" t="n">
        <f aca="false">Q1206-'DCF Base Case'!$B$5</f>
        <v>285.985161474142</v>
      </c>
      <c r="S1206" s="32" t="n">
        <f aca="false">R1206/'DCF Base Case'!$B$6</f>
        <v>11.4394064589657</v>
      </c>
    </row>
    <row r="1207" customFormat="false" ht="15" hidden="false" customHeight="true" outlineLevel="0" collapsed="false">
      <c r="A1207" s="6" t="n">
        <v>1206</v>
      </c>
      <c r="B1207" s="30" t="n">
        <v>0.082866647019318</v>
      </c>
      <c r="C1207" s="30" t="n">
        <v>0.432411665532356</v>
      </c>
      <c r="D1207" s="30" t="n">
        <v>0.0726511449255285</v>
      </c>
      <c r="E1207" s="30" t="n">
        <v>0.263771772248244</v>
      </c>
      <c r="F1207" s="30" t="n">
        <v>0.0207065560269707</v>
      </c>
      <c r="G1207" s="30" t="n">
        <v>0.193066694420138</v>
      </c>
      <c r="H1207" s="31" t="n">
        <f aca="false">MAX(D1207,F1207+0.015)</f>
        <v>0.0726511449255285</v>
      </c>
      <c r="I1207" s="25" t="n">
        <f aca="false">(C1207-'DCF Base Case'!$B$3)*(1-E1207)+'DCF Base Case'!$B$3-G1207</f>
        <v>0.159577310146205</v>
      </c>
      <c r="J1207" s="24" t="n">
        <f aca="false">'DCF Base Case'!$B$2*(1+B1207)^1*$I1207-'DCF Base Case'!$B$2*(1+B1207)^0*B1207*'DCF Base Case'!$B$4</f>
        <v>24.6956673683315</v>
      </c>
      <c r="K1207" s="24" t="n">
        <f aca="false">'DCF Base Case'!$B$2*(1+B1207)^2*$I1207-'DCF Base Case'!$B$2*(1+B1207)^1*B1207*'DCF Base Case'!$B$4</f>
        <v>26.7421145190495</v>
      </c>
      <c r="L1207" s="24" t="n">
        <f aca="false">'DCF Base Case'!$B$2*(1+B1207)^3*$I1207-'DCF Base Case'!$B$2*(1+B1207)^2*B1207*'DCF Base Case'!$B$4</f>
        <v>28.9581438834498</v>
      </c>
      <c r="M1207" s="24" t="n">
        <f aca="false">'DCF Base Case'!$B$2*(1+B1207)^4*$I1207-'DCF Base Case'!$B$2*(1+B1207)^3*B1207*'DCF Base Case'!$B$4</f>
        <v>31.3578081709742</v>
      </c>
      <c r="N1207" s="24" t="n">
        <f aca="false">'DCF Base Case'!$B$2*(1+B1207)^5*$I1207-'DCF Base Case'!$B$2*(1+B1207)^4*B1207*'DCF Base Case'!$B$4</f>
        <v>33.9563245919779</v>
      </c>
      <c r="O1207" s="24" t="n">
        <f aca="false">J1207/(1+H1207)^1+K1207/(1+H1207)^2+L1207/(1+H1207)^3+M1207/(1+H1207)^4+N1207/(1+H1207)^5</f>
        <v>117.328695331891</v>
      </c>
      <c r="P1207" s="24" t="n">
        <f aca="false">N1207*(1+F1207)/(H1207-F1207)</f>
        <v>667.238760851449</v>
      </c>
      <c r="Q1207" s="24" t="n">
        <f aca="false">O1207+P1207/(1+H1207)^5</f>
        <v>587.210646936464</v>
      </c>
      <c r="R1207" s="24" t="n">
        <f aca="false">Q1207-'DCF Base Case'!$B$5</f>
        <v>402.210646936464</v>
      </c>
      <c r="S1207" s="32" t="n">
        <f aca="false">R1207/'DCF Base Case'!$B$6</f>
        <v>16.0884258774586</v>
      </c>
    </row>
    <row r="1208" customFormat="false" ht="15" hidden="false" customHeight="true" outlineLevel="0" collapsed="false">
      <c r="A1208" s="6" t="n">
        <v>1207</v>
      </c>
      <c r="B1208" s="30" t="n">
        <v>0.124541006147724</v>
      </c>
      <c r="C1208" s="30" t="n">
        <v>0.427322774425368</v>
      </c>
      <c r="D1208" s="30" t="n">
        <v>0.105215201938654</v>
      </c>
      <c r="E1208" s="30" t="n">
        <v>0.272036936644555</v>
      </c>
      <c r="F1208" s="30" t="n">
        <v>0.0232760880832853</v>
      </c>
      <c r="G1208" s="30" t="n">
        <v>0.146309693321057</v>
      </c>
      <c r="H1208" s="31" t="n">
        <f aca="false">MAX(D1208,F1208+0.015)</f>
        <v>0.105215201938654</v>
      </c>
      <c r="I1208" s="25" t="n">
        <f aca="false">(C1208-'DCF Base Case'!$B$3)*(1-E1208)+'DCF Base Case'!$B$3-G1208</f>
        <v>0.200130304354974</v>
      </c>
      <c r="J1208" s="24" t="n">
        <f aca="false">'DCF Base Case'!$B$2*(1+B1208)^1*$I1208-'DCF Base Case'!$B$2*(1+B1208)^0*B1208*'DCF Base Case'!$B$4</f>
        <v>32.0911830271563</v>
      </c>
      <c r="K1208" s="24" t="n">
        <f aca="false">'DCF Base Case'!$B$2*(1+B1208)^2*$I1208-'DCF Base Case'!$B$2*(1+B1208)^1*B1208*'DCF Base Case'!$B$4</f>
        <v>36.0878512498291</v>
      </c>
      <c r="L1208" s="24" t="n">
        <f aca="false">'DCF Base Case'!$B$2*(1+B1208)^3*$I1208-'DCF Base Case'!$B$2*(1+B1208)^2*B1208*'DCF Base Case'!$B$4</f>
        <v>40.5822685541922</v>
      </c>
      <c r="M1208" s="24" t="n">
        <f aca="false">'DCF Base Case'!$B$2*(1+B1208)^4*$I1208-'DCF Base Case'!$B$2*(1+B1208)^3*B1208*'DCF Base Case'!$B$4</f>
        <v>45.6364251116885</v>
      </c>
      <c r="N1208" s="24" t="n">
        <f aca="false">'DCF Base Case'!$B$2*(1+B1208)^5*$I1208-'DCF Base Case'!$B$2*(1+B1208)^4*B1208*'DCF Base Case'!$B$4</f>
        <v>51.3200314120834</v>
      </c>
      <c r="O1208" s="24" t="n">
        <f aca="false">J1208/(1+H1208)^1+K1208/(1+H1208)^2+L1208/(1+H1208)^3+M1208/(1+H1208)^4+N1208/(1+H1208)^5</f>
        <v>150.347520933127</v>
      </c>
      <c r="P1208" s="24" t="n">
        <f aca="false">N1208*(1+F1208)/(H1208-F1208)</f>
        <v>640.89735063967</v>
      </c>
      <c r="Q1208" s="24" t="n">
        <f aca="false">O1208+P1208/(1+H1208)^5</f>
        <v>538.993542944129</v>
      </c>
      <c r="R1208" s="24" t="n">
        <f aca="false">Q1208-'DCF Base Case'!$B$5</f>
        <v>353.993542944129</v>
      </c>
      <c r="S1208" s="32" t="n">
        <f aca="false">R1208/'DCF Base Case'!$B$6</f>
        <v>14.1597417177652</v>
      </c>
    </row>
    <row r="1209" customFormat="false" ht="15" hidden="false" customHeight="true" outlineLevel="0" collapsed="false">
      <c r="A1209" s="6" t="n">
        <v>1208</v>
      </c>
      <c r="B1209" s="30" t="n">
        <v>0.0989409271743942</v>
      </c>
      <c r="C1209" s="30" t="n">
        <v>0.371050730137313</v>
      </c>
      <c r="D1209" s="30" t="n">
        <v>0.0726624988718156</v>
      </c>
      <c r="E1209" s="30" t="n">
        <v>0.293682870243843</v>
      </c>
      <c r="F1209" s="30" t="n">
        <v>0.0140706337582833</v>
      </c>
      <c r="G1209" s="30" t="n">
        <v>0.175186518890382</v>
      </c>
      <c r="H1209" s="31" t="n">
        <f aca="false">MAX(D1209,F1209+0.015)</f>
        <v>0.0726624988718156</v>
      </c>
      <c r="I1209" s="25" t="n">
        <f aca="false">(C1209-'DCF Base Case'!$B$3)*(1-E1209)+'DCF Base Case'!$B$3-G1209</f>
        <v>0.125071740945831</v>
      </c>
      <c r="J1209" s="24" t="n">
        <f aca="false">'DCF Base Case'!$B$2*(1+B1209)^1*$I1209-'DCF Base Case'!$B$2*(1+B1209)^0*B1209*'DCF Base Case'!$B$4</f>
        <v>19.4993429357488</v>
      </c>
      <c r="K1209" s="24" t="n">
        <f aca="false">'DCF Base Case'!$B$2*(1+B1209)^2*$I1209-'DCF Base Case'!$B$2*(1+B1209)^1*B1209*'DCF Base Case'!$B$4</f>
        <v>21.4286260051033</v>
      </c>
      <c r="L1209" s="24" t="n">
        <f aca="false">'DCF Base Case'!$B$2*(1+B1209)^3*$I1209-'DCF Base Case'!$B$2*(1+B1209)^2*B1209*'DCF Base Case'!$B$4</f>
        <v>23.5487941301215</v>
      </c>
      <c r="M1209" s="24" t="n">
        <f aca="false">'DCF Base Case'!$B$2*(1+B1209)^4*$I1209-'DCF Base Case'!$B$2*(1+B1209)^3*B1209*'DCF Base Case'!$B$4</f>
        <v>25.8787336551947</v>
      </c>
      <c r="N1209" s="24" t="n">
        <f aca="false">'DCF Base Case'!$B$2*(1+B1209)^5*$I1209-'DCF Base Case'!$B$2*(1+B1209)^4*B1209*'DCF Base Case'!$B$4</f>
        <v>28.4391995571388</v>
      </c>
      <c r="O1209" s="24" t="n">
        <f aca="false">J1209/(1+H1209)^1+K1209/(1+H1209)^2+L1209/(1+H1209)^3+M1209/(1+H1209)^4+N1209/(1+H1209)^5</f>
        <v>95.4561153553991</v>
      </c>
      <c r="P1209" s="24" t="n">
        <f aca="false">N1209*(1+F1209)/(H1209-F1209)</f>
        <v>492.207528512783</v>
      </c>
      <c r="Q1209" s="24" t="n">
        <f aca="false">O1209+P1209/(1+H1209)^5</f>
        <v>442.059471840278</v>
      </c>
      <c r="R1209" s="24" t="n">
        <f aca="false">Q1209-'DCF Base Case'!$B$5</f>
        <v>257.059471840278</v>
      </c>
      <c r="S1209" s="32" t="n">
        <f aca="false">R1209/'DCF Base Case'!$B$6</f>
        <v>10.2823788736111</v>
      </c>
    </row>
    <row r="1210" customFormat="false" ht="15" hidden="false" customHeight="true" outlineLevel="0" collapsed="false">
      <c r="A1210" s="6" t="n">
        <v>1209</v>
      </c>
      <c r="B1210" s="30" t="n">
        <v>0.109805074030987</v>
      </c>
      <c r="C1210" s="30" t="n">
        <v>0.411349097739684</v>
      </c>
      <c r="D1210" s="30" t="n">
        <v>0.0743415174875838</v>
      </c>
      <c r="E1210" s="30" t="n">
        <v>0.267811593530788</v>
      </c>
      <c r="F1210" s="30" t="n">
        <v>0.0154071326976908</v>
      </c>
      <c r="G1210" s="30" t="n">
        <v>0.163062690639133</v>
      </c>
      <c r="H1210" s="31" t="n">
        <f aca="false">MAX(D1210,F1210+0.015)</f>
        <v>0.0743415174875838</v>
      </c>
      <c r="I1210" s="25" t="n">
        <f aca="false">(C1210-'DCF Base Case'!$B$3)*(1-E1210)+'DCF Base Case'!$B$3-G1210</f>
        <v>0.172937856896437</v>
      </c>
      <c r="J1210" s="24" t="n">
        <f aca="false">'DCF Base Case'!$B$2*(1+B1210)^1*$I1210-'DCF Base Case'!$B$2*(1+B1210)^0*B1210*'DCF Base Case'!$B$4</f>
        <v>27.3518080339432</v>
      </c>
      <c r="K1210" s="24" t="n">
        <f aca="false">'DCF Base Case'!$B$2*(1+B1210)^2*$I1210-'DCF Base Case'!$B$2*(1+B1210)^1*B1210*'DCF Base Case'!$B$4</f>
        <v>30.3551753399917</v>
      </c>
      <c r="L1210" s="24" t="n">
        <f aca="false">'DCF Base Case'!$B$2*(1+B1210)^3*$I1210-'DCF Base Case'!$B$2*(1+B1210)^2*B1210*'DCF Base Case'!$B$4</f>
        <v>33.6883276154231</v>
      </c>
      <c r="M1210" s="24" t="n">
        <f aca="false">'DCF Base Case'!$B$2*(1+B1210)^4*$I1210-'DCF Base Case'!$B$2*(1+B1210)^3*B1210*'DCF Base Case'!$B$4</f>
        <v>37.3874769232147</v>
      </c>
      <c r="N1210" s="24" t="n">
        <f aca="false">'DCF Base Case'!$B$2*(1+B1210)^5*$I1210-'DCF Base Case'!$B$2*(1+B1210)^4*B1210*'DCF Base Case'!$B$4</f>
        <v>41.4928115946001</v>
      </c>
      <c r="O1210" s="24" t="n">
        <f aca="false">J1210/(1+H1210)^1+K1210/(1+H1210)^2+L1210/(1+H1210)^3+M1210/(1+H1210)^4+N1210/(1+H1210)^5</f>
        <v>135.981658355711</v>
      </c>
      <c r="P1210" s="24" t="n">
        <f aca="false">N1210*(1+F1210)/(H1210-F1210)</f>
        <v>714.898390795859</v>
      </c>
      <c r="Q1210" s="24" t="n">
        <f aca="false">O1210+P1210/(1+H1210)^5</f>
        <v>635.478243583444</v>
      </c>
      <c r="R1210" s="24" t="n">
        <f aca="false">Q1210-'DCF Base Case'!$B$5</f>
        <v>450.478243583444</v>
      </c>
      <c r="S1210" s="32" t="n">
        <f aca="false">R1210/'DCF Base Case'!$B$6</f>
        <v>18.0191297433377</v>
      </c>
    </row>
    <row r="1211" customFormat="false" ht="15" hidden="false" customHeight="true" outlineLevel="0" collapsed="false">
      <c r="A1211" s="6" t="n">
        <v>1210</v>
      </c>
      <c r="B1211" s="30" t="n">
        <v>0.0920759782992659</v>
      </c>
      <c r="C1211" s="30" t="n">
        <v>0.409047125560517</v>
      </c>
      <c r="D1211" s="30" t="n">
        <v>0.103417951642055</v>
      </c>
      <c r="E1211" s="30" t="n">
        <v>0.263027970663307</v>
      </c>
      <c r="F1211" s="30" t="n">
        <v>0.0242184339232633</v>
      </c>
      <c r="G1211" s="30" t="n">
        <v>0.144403464093958</v>
      </c>
      <c r="H1211" s="31" t="n">
        <f aca="false">MAX(D1211,F1211+0.015)</f>
        <v>0.103417951642055</v>
      </c>
      <c r="I1211" s="25" t="n">
        <f aca="false">(C1211-'DCF Base Case'!$B$3)*(1-E1211)+'DCF Base Case'!$B$3-G1211</f>
        <v>0.191246462310947</v>
      </c>
      <c r="J1211" s="24" t="n">
        <f aca="false">'DCF Base Case'!$B$2*(1+B1211)^1*$I1211-'DCF Base Case'!$B$2*(1+B1211)^0*B1211*'DCF Base Case'!$B$4</f>
        <v>29.8835412709509</v>
      </c>
      <c r="K1211" s="24" t="n">
        <f aca="false">'DCF Base Case'!$B$2*(1+B1211)^2*$I1211-'DCF Base Case'!$B$2*(1+B1211)^1*B1211*'DCF Base Case'!$B$4</f>
        <v>32.6350975685202</v>
      </c>
      <c r="L1211" s="24" t="n">
        <f aca="false">'DCF Base Case'!$B$2*(1+B1211)^3*$I1211-'DCF Base Case'!$B$2*(1+B1211)^2*B1211*'DCF Base Case'!$B$4</f>
        <v>35.6400061040337</v>
      </c>
      <c r="M1211" s="24" t="n">
        <f aca="false">'DCF Base Case'!$B$2*(1+B1211)^4*$I1211-'DCF Base Case'!$B$2*(1+B1211)^3*B1211*'DCF Base Case'!$B$4</f>
        <v>38.9215945326544</v>
      </c>
      <c r="N1211" s="24" t="n">
        <f aca="false">'DCF Base Case'!$B$2*(1+B1211)^5*$I1211-'DCF Base Case'!$B$2*(1+B1211)^4*B1211*'DCF Base Case'!$B$4</f>
        <v>42.5053384262159</v>
      </c>
      <c r="O1211" s="24" t="n">
        <f aca="false">J1211/(1+H1211)^1+K1211/(1+H1211)^2+L1211/(1+H1211)^3+M1211/(1+H1211)^4+N1211/(1+H1211)^5</f>
        <v>132.658169238596</v>
      </c>
      <c r="P1211" s="24" t="n">
        <f aca="false">N1211*(1+F1211)/(H1211-F1211)</f>
        <v>549.684548722292</v>
      </c>
      <c r="Q1211" s="24" t="n">
        <f aca="false">O1211+P1211/(1+H1211)^5</f>
        <v>468.715445450196</v>
      </c>
      <c r="R1211" s="24" t="n">
        <f aca="false">Q1211-'DCF Base Case'!$B$5</f>
        <v>283.715445450196</v>
      </c>
      <c r="S1211" s="32" t="n">
        <f aca="false">R1211/'DCF Base Case'!$B$6</f>
        <v>11.3486178180079</v>
      </c>
    </row>
    <row r="1212" customFormat="false" ht="15" hidden="false" customHeight="true" outlineLevel="0" collapsed="false">
      <c r="A1212" s="6" t="n">
        <v>1211</v>
      </c>
      <c r="B1212" s="30" t="n">
        <v>0.0914720925598344</v>
      </c>
      <c r="C1212" s="30" t="n">
        <v>0.437332790291124</v>
      </c>
      <c r="D1212" s="30" t="n">
        <v>0.0974449286747865</v>
      </c>
      <c r="E1212" s="30" t="n">
        <v>0.268992410616791</v>
      </c>
      <c r="F1212" s="30" t="n">
        <v>0.0213366541056946</v>
      </c>
      <c r="G1212" s="30" t="n">
        <v>0.175045879500201</v>
      </c>
      <c r="H1212" s="31" t="n">
        <f aca="false">MAX(D1212,F1212+0.015)</f>
        <v>0.0974449286747865</v>
      </c>
      <c r="I1212" s="25" t="n">
        <f aca="false">(C1212-'DCF Base Case'!$B$3)*(1-E1212)+'DCF Base Case'!$B$3-G1212</f>
        <v>0.179616722668929</v>
      </c>
      <c r="J1212" s="24" t="n">
        <f aca="false">'DCF Base Case'!$B$2*(1+B1212)^1*$I1212-'DCF Base Case'!$B$2*(1+B1212)^0*B1212*'DCF Base Case'!$B$4</f>
        <v>28.028859219143</v>
      </c>
      <c r="K1212" s="24" t="n">
        <f aca="false">'DCF Base Case'!$B$2*(1+B1212)^2*$I1212-'DCF Base Case'!$B$2*(1+B1212)^1*B1212*'DCF Base Case'!$B$4</f>
        <v>30.592717623983</v>
      </c>
      <c r="L1212" s="24" t="n">
        <f aca="false">'DCF Base Case'!$B$2*(1+B1212)^3*$I1212-'DCF Base Case'!$B$2*(1+B1212)^2*B1212*'DCF Base Case'!$B$4</f>
        <v>33.3910975221409</v>
      </c>
      <c r="M1212" s="24" t="n">
        <f aca="false">'DCF Base Case'!$B$2*(1+B1212)^4*$I1212-'DCF Base Case'!$B$2*(1+B1212)^3*B1212*'DCF Base Case'!$B$4</f>
        <v>36.4454510853606</v>
      </c>
      <c r="N1212" s="24" t="n">
        <f aca="false">'DCF Base Case'!$B$2*(1+B1212)^5*$I1212-'DCF Base Case'!$B$2*(1+B1212)^4*B1212*'DCF Base Case'!$B$4</f>
        <v>39.7791927604257</v>
      </c>
      <c r="O1212" s="24" t="n">
        <f aca="false">J1212/(1+H1212)^1+K1212/(1+H1212)^2+L1212/(1+H1212)^3+M1212/(1+H1212)^4+N1212/(1+H1212)^5</f>
        <v>126.31805352102</v>
      </c>
      <c r="P1212" s="24" t="n">
        <f aca="false">N1212*(1+F1212)/(H1212-F1212)</f>
        <v>533.817746716569</v>
      </c>
      <c r="Q1212" s="24" t="n">
        <f aca="false">O1212+P1212/(1+H1212)^5</f>
        <v>461.653395945889</v>
      </c>
      <c r="R1212" s="24" t="n">
        <f aca="false">Q1212-'DCF Base Case'!$B$5</f>
        <v>276.653395945889</v>
      </c>
      <c r="S1212" s="32" t="n">
        <f aca="false">R1212/'DCF Base Case'!$B$6</f>
        <v>11.0661358378356</v>
      </c>
    </row>
    <row r="1213" customFormat="false" ht="15" hidden="false" customHeight="true" outlineLevel="0" collapsed="false">
      <c r="A1213" s="6" t="n">
        <v>1212</v>
      </c>
      <c r="B1213" s="30" t="n">
        <v>0.0783809515825356</v>
      </c>
      <c r="C1213" s="30" t="n">
        <v>0.422636729247239</v>
      </c>
      <c r="D1213" s="30" t="n">
        <v>0.105487413892576</v>
      </c>
      <c r="E1213" s="30" t="n">
        <v>0.293840893092207</v>
      </c>
      <c r="F1213" s="30" t="n">
        <v>0.0213777602208315</v>
      </c>
      <c r="G1213" s="30" t="n">
        <v>0.181212693854763</v>
      </c>
      <c r="H1213" s="31" t="n">
        <f aca="false">MAX(D1213,F1213+0.015)</f>
        <v>0.105487413892576</v>
      </c>
      <c r="I1213" s="25" t="n">
        <f aca="false">(C1213-'DCF Base Case'!$B$3)*(1-E1213)+'DCF Base Case'!$B$3-G1213</f>
        <v>0.155435397518885</v>
      </c>
      <c r="J1213" s="24" t="n">
        <f aca="false">'DCF Base Case'!$B$2*(1+B1213)^1*$I1213-'DCF Base Case'!$B$2*(1+B1213)^0*B1213*'DCF Base Case'!$B$4</f>
        <v>23.9637357840896</v>
      </c>
      <c r="K1213" s="24" t="n">
        <f aca="false">'DCF Base Case'!$B$2*(1+B1213)^2*$I1213-'DCF Base Case'!$B$2*(1+B1213)^1*B1213*'DCF Base Case'!$B$4</f>
        <v>25.842036198319</v>
      </c>
      <c r="L1213" s="24" t="n">
        <f aca="false">'DCF Base Case'!$B$2*(1+B1213)^3*$I1213-'DCF Base Case'!$B$2*(1+B1213)^2*B1213*'DCF Base Case'!$B$4</f>
        <v>27.8675595863735</v>
      </c>
      <c r="M1213" s="24" t="n">
        <f aca="false">'DCF Base Case'!$B$2*(1+B1213)^4*$I1213-'DCF Base Case'!$B$2*(1+B1213)^3*B1213*'DCF Base Case'!$B$4</f>
        <v>30.0518454250365</v>
      </c>
      <c r="N1213" s="24" t="n">
        <f aca="false">'DCF Base Case'!$B$2*(1+B1213)^5*$I1213-'DCF Base Case'!$B$2*(1+B1213)^4*B1213*'DCF Base Case'!$B$4</f>
        <v>32.4073376662621</v>
      </c>
      <c r="O1213" s="24" t="n">
        <f aca="false">J1213/(1+H1213)^1+K1213/(1+H1213)^2+L1213/(1+H1213)^3+M1213/(1+H1213)^4+N1213/(1+H1213)^5</f>
        <v>103.19892148214</v>
      </c>
      <c r="P1213" s="24" t="n">
        <f aca="false">N1213*(1+F1213)/(H1213-F1213)</f>
        <v>393.535492245245</v>
      </c>
      <c r="Q1213" s="24" t="n">
        <f aca="false">O1213+P1213/(1+H1213)^5</f>
        <v>341.548777791425</v>
      </c>
      <c r="R1213" s="24" t="n">
        <f aca="false">Q1213-'DCF Base Case'!$B$5</f>
        <v>156.548777791425</v>
      </c>
      <c r="S1213" s="32" t="n">
        <f aca="false">R1213/'DCF Base Case'!$B$6</f>
        <v>6.26195111165702</v>
      </c>
    </row>
    <row r="1214" customFormat="false" ht="15" hidden="false" customHeight="true" outlineLevel="0" collapsed="false">
      <c r="A1214" s="6" t="n">
        <v>1213</v>
      </c>
      <c r="B1214" s="30" t="n">
        <v>0.0589751061412723</v>
      </c>
      <c r="C1214" s="30" t="n">
        <v>0.412992182166197</v>
      </c>
      <c r="D1214" s="30" t="n">
        <v>0.0738156446767762</v>
      </c>
      <c r="E1214" s="30" t="n">
        <v>0.265433865687143</v>
      </c>
      <c r="F1214" s="30" t="n">
        <v>0.026082392041793</v>
      </c>
      <c r="G1214" s="30" t="n">
        <v>0.160001651528938</v>
      </c>
      <c r="H1214" s="31" t="n">
        <f aca="false">MAX(D1214,F1214+0.015)</f>
        <v>0.0738156446767762</v>
      </c>
      <c r="I1214" s="25" t="n">
        <f aca="false">(C1214-'DCF Base Case'!$B$3)*(1-E1214)+'DCF Base Case'!$B$3-G1214</f>
        <v>0.177874821765645</v>
      </c>
      <c r="J1214" s="24" t="n">
        <f aca="false">'DCF Base Case'!$B$2*(1+B1214)^1*$I1214-'DCF Base Case'!$B$2*(1+B1214)^0*B1214*'DCF Base Case'!$B$4</f>
        <v>27.0563844858599</v>
      </c>
      <c r="K1214" s="24" t="n">
        <f aca="false">'DCF Base Case'!$B$2*(1+B1214)^2*$I1214-'DCF Base Case'!$B$2*(1+B1214)^1*B1214*'DCF Base Case'!$B$4</f>
        <v>28.6520376327125</v>
      </c>
      <c r="L1214" s="24" t="n">
        <f aca="false">'DCF Base Case'!$B$2*(1+B1214)^3*$I1214-'DCF Base Case'!$B$2*(1+B1214)^2*B1214*'DCF Base Case'!$B$4</f>
        <v>30.3417945932655</v>
      </c>
      <c r="M1214" s="24" t="n">
        <f aca="false">'DCF Base Case'!$B$2*(1+B1214)^4*$I1214-'DCF Base Case'!$B$2*(1+B1214)^3*B1214*'DCF Base Case'!$B$4</f>
        <v>32.13120514992</v>
      </c>
      <c r="N1214" s="24" t="n">
        <f aca="false">'DCF Base Case'!$B$2*(1+B1214)^5*$I1214-'DCF Base Case'!$B$2*(1+B1214)^4*B1214*'DCF Base Case'!$B$4</f>
        <v>34.0261463840835</v>
      </c>
      <c r="O1214" s="24" t="n">
        <f aca="false">J1214/(1+H1214)^1+K1214/(1+H1214)^2+L1214/(1+H1214)^3+M1214/(1+H1214)^4+N1214/(1+H1214)^5</f>
        <v>122.547991093987</v>
      </c>
      <c r="P1214" s="24" t="n">
        <f aca="false">N1214*(1+F1214)/(H1214-F1214)</f>
        <v>731.432025819183</v>
      </c>
      <c r="Q1214" s="24" t="n">
        <f aca="false">O1214+P1214/(1+H1214)^5</f>
        <v>634.849148413905</v>
      </c>
      <c r="R1214" s="24" t="n">
        <f aca="false">Q1214-'DCF Base Case'!$B$5</f>
        <v>449.849148413905</v>
      </c>
      <c r="S1214" s="32" t="n">
        <f aca="false">R1214/'DCF Base Case'!$B$6</f>
        <v>17.9939659365562</v>
      </c>
    </row>
    <row r="1215" customFormat="false" ht="15" hidden="false" customHeight="true" outlineLevel="0" collapsed="false">
      <c r="A1215" s="6" t="n">
        <v>1214</v>
      </c>
      <c r="B1215" s="30" t="n">
        <v>0.0738819405576529</v>
      </c>
      <c r="C1215" s="30" t="n">
        <v>0.431299390370732</v>
      </c>
      <c r="D1215" s="30" t="n">
        <v>0.0745755529687339</v>
      </c>
      <c r="E1215" s="30" t="n">
        <v>0.268391995834122</v>
      </c>
      <c r="F1215" s="30" t="n">
        <v>0.0237731691289373</v>
      </c>
      <c r="G1215" s="30" t="n">
        <v>0.166170078410147</v>
      </c>
      <c r="H1215" s="31" t="n">
        <f aca="false">MAX(D1215,F1215+0.015)</f>
        <v>0.0745755529687339</v>
      </c>
      <c r="I1215" s="25" t="n">
        <f aca="false">(C1215-'DCF Base Case'!$B$3)*(1-E1215)+'DCF Base Case'!$B$3-G1215</f>
        <v>0.18426296723538</v>
      </c>
      <c r="J1215" s="24" t="n">
        <f aca="false">'DCF Base Case'!$B$2*(1+B1215)^1*$I1215-'DCF Base Case'!$B$2*(1+B1215)^0*B1215*'DCF Base Case'!$B$4</f>
        <v>28.3707311185822</v>
      </c>
      <c r="K1215" s="24" t="n">
        <f aca="false">'DCF Base Case'!$B$2*(1+B1215)^2*$I1215-'DCF Base Case'!$B$2*(1+B1215)^1*B1215*'DCF Base Case'!$B$4</f>
        <v>30.4668157886624</v>
      </c>
      <c r="L1215" s="24" t="n">
        <f aca="false">'DCF Base Case'!$B$2*(1+B1215)^3*$I1215-'DCF Base Case'!$B$2*(1+B1215)^2*B1215*'DCF Base Case'!$B$4</f>
        <v>32.7177632617413</v>
      </c>
      <c r="M1215" s="24" t="n">
        <f aca="false">'DCF Base Case'!$B$2*(1+B1215)^4*$I1215-'DCF Base Case'!$B$2*(1+B1215)^3*B1215*'DCF Base Case'!$B$4</f>
        <v>35.1350151022247</v>
      </c>
      <c r="N1215" s="24" t="n">
        <f aca="false">'DCF Base Case'!$B$2*(1+B1215)^5*$I1215-'DCF Base Case'!$B$2*(1+B1215)^4*B1215*'DCF Base Case'!$B$4</f>
        <v>37.7308581994995</v>
      </c>
      <c r="O1215" s="24" t="n">
        <f aca="false">J1215/(1+H1215)^1+K1215/(1+H1215)^2+L1215/(1+H1215)^3+M1215/(1+H1215)^4+N1215/(1+H1215)^5</f>
        <v>131.838703375093</v>
      </c>
      <c r="P1215" s="24" t="n">
        <f aca="false">N1215*(1+F1215)/(H1215-F1215)</f>
        <v>760.354876154386</v>
      </c>
      <c r="Q1215" s="24" t="n">
        <f aca="false">O1215+P1215/(1+H1215)^5</f>
        <v>662.517279952594</v>
      </c>
      <c r="R1215" s="24" t="n">
        <f aca="false">Q1215-'DCF Base Case'!$B$5</f>
        <v>477.517279952594</v>
      </c>
      <c r="S1215" s="32" t="n">
        <f aca="false">R1215/'DCF Base Case'!$B$6</f>
        <v>19.1006911981037</v>
      </c>
    </row>
    <row r="1216" customFormat="false" ht="15" hidden="false" customHeight="true" outlineLevel="0" collapsed="false">
      <c r="A1216" s="6" t="n">
        <v>1215</v>
      </c>
      <c r="B1216" s="30" t="n">
        <v>0.0572034114368876</v>
      </c>
      <c r="C1216" s="30" t="n">
        <v>0.413958413370902</v>
      </c>
      <c r="D1216" s="30" t="n">
        <v>0.0806388752974884</v>
      </c>
      <c r="E1216" s="30" t="n">
        <v>0.325265348911836</v>
      </c>
      <c r="F1216" s="30" t="n">
        <v>0.0169017518914655</v>
      </c>
      <c r="G1216" s="30" t="n">
        <v>0.190344234122209</v>
      </c>
      <c r="H1216" s="31" t="n">
        <f aca="false">MAX(D1216,F1216+0.015)</f>
        <v>0.0806388752974884</v>
      </c>
      <c r="I1216" s="25" t="n">
        <f aca="false">(C1216-'DCF Base Case'!$B$3)*(1-E1216)+'DCF Base Case'!$B$3-G1216</f>
        <v>0.131252346847155</v>
      </c>
      <c r="J1216" s="24" t="n">
        <f aca="false">'DCF Base Case'!$B$2*(1+B1216)^1*$I1216-'DCF Base Case'!$B$2*(1+B1216)^0*B1216*'DCF Base Case'!$B$4</f>
        <v>19.8714273429065</v>
      </c>
      <c r="K1216" s="24" t="n">
        <f aca="false">'DCF Base Case'!$B$2*(1+B1216)^2*$I1216-'DCF Base Case'!$B$2*(1+B1216)^1*B1216*'DCF Base Case'!$B$4</f>
        <v>21.008140777041</v>
      </c>
      <c r="L1216" s="24" t="n">
        <f aca="false">'DCF Base Case'!$B$2*(1+B1216)^3*$I1216-'DCF Base Case'!$B$2*(1+B1216)^2*B1216*'DCF Base Case'!$B$4</f>
        <v>22.2098780974341</v>
      </c>
      <c r="M1216" s="24" t="n">
        <f aca="false">'DCF Base Case'!$B$2*(1+B1216)^4*$I1216-'DCF Base Case'!$B$2*(1+B1216)^3*B1216*'DCF Base Case'!$B$4</f>
        <v>23.4803588922048</v>
      </c>
      <c r="N1216" s="24" t="n">
        <f aca="false">'DCF Base Case'!$B$2*(1+B1216)^5*$I1216-'DCF Base Case'!$B$2*(1+B1216)^4*B1216*'DCF Base Case'!$B$4</f>
        <v>24.8235155226013</v>
      </c>
      <c r="O1216" s="24" t="n">
        <f aca="false">J1216/(1+H1216)^1+K1216/(1+H1216)^2+L1216/(1+H1216)^3+M1216/(1+H1216)^4+N1216/(1+H1216)^5</f>
        <v>88.0406357264264</v>
      </c>
      <c r="P1216" s="24" t="n">
        <f aca="false">N1216*(1+F1216)/(H1216-F1216)</f>
        <v>396.04982267921</v>
      </c>
      <c r="Q1216" s="24" t="n">
        <f aca="false">O1216+P1216/(1+H1216)^5</f>
        <v>356.789655205866</v>
      </c>
      <c r="R1216" s="24" t="n">
        <f aca="false">Q1216-'DCF Base Case'!$B$5</f>
        <v>171.789655205866</v>
      </c>
      <c r="S1216" s="32" t="n">
        <f aca="false">R1216/'DCF Base Case'!$B$6</f>
        <v>6.87158620823465</v>
      </c>
    </row>
    <row r="1217" customFormat="false" ht="15" hidden="false" customHeight="true" outlineLevel="0" collapsed="false">
      <c r="A1217" s="6" t="n">
        <v>1216</v>
      </c>
      <c r="B1217" s="30" t="n">
        <v>0.126235670930642</v>
      </c>
      <c r="C1217" s="30" t="n">
        <v>0.410811043586528</v>
      </c>
      <c r="D1217" s="30" t="n">
        <v>0.0828746567716599</v>
      </c>
      <c r="E1217" s="30" t="n">
        <v>0.291238710280404</v>
      </c>
      <c r="F1217" s="30" t="n">
        <v>0.015851043507406</v>
      </c>
      <c r="G1217" s="30" t="n">
        <v>0.171411935025023</v>
      </c>
      <c r="H1217" s="31" t="n">
        <f aca="false">MAX(D1217,F1217+0.015)</f>
        <v>0.0828746567716599</v>
      </c>
      <c r="I1217" s="25" t="n">
        <f aca="false">(C1217-'DCF Base Case'!$B$3)*(1-E1217)+'DCF Base Case'!$B$3-G1217</f>
        <v>0.15761606239487</v>
      </c>
      <c r="J1217" s="24" t="n">
        <f aca="false">'DCF Base Case'!$B$2*(1+B1217)^1*$I1217-'DCF Base Case'!$B$2*(1+B1217)^0*B1217*'DCF Base Case'!$B$4</f>
        <v>25.1902354396579</v>
      </c>
      <c r="K1217" s="24" t="n">
        <f aca="false">'DCF Base Case'!$B$2*(1+B1217)^2*$I1217-'DCF Base Case'!$B$2*(1+B1217)^1*B1217*'DCF Base Case'!$B$4</f>
        <v>28.370141711284</v>
      </c>
      <c r="L1217" s="24" t="n">
        <f aca="false">'DCF Base Case'!$B$2*(1+B1217)^3*$I1217-'DCF Base Case'!$B$2*(1+B1217)^2*B1217*'DCF Base Case'!$B$4</f>
        <v>31.9514655846053</v>
      </c>
      <c r="M1217" s="24" t="n">
        <f aca="false">'DCF Base Case'!$B$2*(1+B1217)^4*$I1217-'DCF Base Case'!$B$2*(1+B1217)^3*B1217*'DCF Base Case'!$B$4</f>
        <v>35.9848802798953</v>
      </c>
      <c r="N1217" s="24" t="n">
        <f aca="false">'DCF Base Case'!$B$2*(1+B1217)^5*$I1217-'DCF Base Case'!$B$2*(1+B1217)^4*B1217*'DCF Base Case'!$B$4</f>
        <v>40.5274557853867</v>
      </c>
      <c r="O1217" s="24" t="n">
        <f aca="false">J1217/(1+H1217)^1+K1217/(1+H1217)^2+L1217/(1+H1217)^3+M1217/(1+H1217)^4+N1217/(1+H1217)^5</f>
        <v>126.007225174558</v>
      </c>
      <c r="P1217" s="24" t="n">
        <f aca="false">N1217*(1+F1217)/(H1217-F1217)</f>
        <v>614.259008805822</v>
      </c>
      <c r="Q1217" s="24" t="n">
        <f aca="false">O1217+P1217/(1+H1217)^5</f>
        <v>538.542021235801</v>
      </c>
      <c r="R1217" s="24" t="n">
        <f aca="false">Q1217-'DCF Base Case'!$B$5</f>
        <v>353.542021235801</v>
      </c>
      <c r="S1217" s="32" t="n">
        <f aca="false">R1217/'DCF Base Case'!$B$6</f>
        <v>14.1416808494321</v>
      </c>
    </row>
    <row r="1218" customFormat="false" ht="15" hidden="false" customHeight="true" outlineLevel="0" collapsed="false">
      <c r="A1218" s="6" t="n">
        <v>1217</v>
      </c>
      <c r="B1218" s="30" t="n">
        <v>0.0853332462570738</v>
      </c>
      <c r="C1218" s="30" t="n">
        <v>0.407682146928502</v>
      </c>
      <c r="D1218" s="30" t="n">
        <v>0.0855383223197892</v>
      </c>
      <c r="E1218" s="30" t="n">
        <v>0.281671557681841</v>
      </c>
      <c r="F1218" s="30" t="n">
        <v>0.0199443608107524</v>
      </c>
      <c r="G1218" s="30" t="n">
        <v>0.153144794219499</v>
      </c>
      <c r="H1218" s="31" t="n">
        <f aca="false">MAX(D1218,F1218+0.015)</f>
        <v>0.0855383223197892</v>
      </c>
      <c r="I1218" s="25" t="n">
        <f aca="false">(C1218-'DCF Base Case'!$B$3)*(1-E1218)+'DCF Base Case'!$B$3-G1218</f>
        <v>0.176322189843214</v>
      </c>
      <c r="J1218" s="24" t="n">
        <f aca="false">'DCF Base Case'!$B$2*(1+B1218)^1*$I1218-'DCF Base Case'!$B$2*(1+B1218)^0*B1218*'DCF Base Case'!$B$4</f>
        <v>27.377208908787</v>
      </c>
      <c r="K1218" s="24" t="n">
        <f aca="false">'DCF Base Case'!$B$2*(1+B1218)^2*$I1218-'DCF Base Case'!$B$2*(1+B1218)^1*B1218*'DCF Base Case'!$B$4</f>
        <v>29.7133950184319</v>
      </c>
      <c r="L1218" s="24" t="n">
        <f aca="false">'DCF Base Case'!$B$2*(1+B1218)^3*$I1218-'DCF Base Case'!$B$2*(1+B1218)^2*B1218*'DCF Base Case'!$B$4</f>
        <v>32.2489354726734</v>
      </c>
      <c r="M1218" s="24" t="n">
        <f aca="false">'DCF Base Case'!$B$2*(1+B1218)^4*$I1218-'DCF Base Case'!$B$2*(1+B1218)^3*B1218*'DCF Base Case'!$B$4</f>
        <v>35.0008418248915</v>
      </c>
      <c r="N1218" s="24" t="n">
        <f aca="false">'DCF Base Case'!$B$2*(1+B1218)^5*$I1218-'DCF Base Case'!$B$2*(1+B1218)^4*B1218*'DCF Base Case'!$B$4</f>
        <v>37.9875772795399</v>
      </c>
      <c r="O1218" s="24" t="n">
        <f aca="false">J1218/(1+H1218)^1+K1218/(1+H1218)^2+L1218/(1+H1218)^3+M1218/(1+H1218)^4+N1218/(1+H1218)^5</f>
        <v>126.052053110406</v>
      </c>
      <c r="P1218" s="24" t="n">
        <f aca="false">N1218*(1+F1218)/(H1218-F1218)</f>
        <v>590.682653338318</v>
      </c>
      <c r="Q1218" s="24" t="n">
        <f aca="false">O1218+P1218/(1+H1218)^5</f>
        <v>517.909782949444</v>
      </c>
      <c r="R1218" s="24" t="n">
        <f aca="false">Q1218-'DCF Base Case'!$B$5</f>
        <v>332.909782949444</v>
      </c>
      <c r="S1218" s="32" t="n">
        <f aca="false">R1218/'DCF Base Case'!$B$6</f>
        <v>13.3163913179778</v>
      </c>
    </row>
    <row r="1219" customFormat="false" ht="15" hidden="false" customHeight="true" outlineLevel="0" collapsed="false">
      <c r="A1219" s="6" t="n">
        <v>1218</v>
      </c>
      <c r="B1219" s="30" t="n">
        <v>0.0780387042152377</v>
      </c>
      <c r="C1219" s="30" t="n">
        <v>0.407751350116905</v>
      </c>
      <c r="D1219" s="30" t="n">
        <v>0.0845076659464063</v>
      </c>
      <c r="E1219" s="30" t="n">
        <v>0.268580192807986</v>
      </c>
      <c r="F1219" s="30" t="n">
        <v>0.0205032019943703</v>
      </c>
      <c r="G1219" s="30" t="n">
        <v>0.131794959185585</v>
      </c>
      <c r="H1219" s="31" t="n">
        <f aca="false">MAX(D1219,F1219+0.015)</f>
        <v>0.0845076659464063</v>
      </c>
      <c r="I1219" s="25" t="n">
        <f aca="false">(C1219-'DCF Base Case'!$B$3)*(1-E1219)+'DCF Base Case'!$B$3-G1219</f>
        <v>0.201357879764243</v>
      </c>
      <c r="J1219" s="24" t="n">
        <f aca="false">'DCF Base Case'!$B$2*(1+B1219)^1*$I1219-'DCF Base Case'!$B$2*(1+B1219)^0*B1219*'DCF Base Case'!$B$4</f>
        <v>31.1359118654267</v>
      </c>
      <c r="K1219" s="24" t="n">
        <f aca="false">'DCF Base Case'!$B$2*(1+B1219)^2*$I1219-'DCF Base Case'!$B$2*(1+B1219)^1*B1219*'DCF Base Case'!$B$4</f>
        <v>33.5657180819645</v>
      </c>
      <c r="L1219" s="24" t="n">
        <f aca="false">'DCF Base Case'!$B$2*(1+B1219)^3*$I1219-'DCF Base Case'!$B$2*(1+B1219)^2*B1219*'DCF Base Case'!$B$4</f>
        <v>36.1851432271349</v>
      </c>
      <c r="M1219" s="24" t="n">
        <f aca="false">'DCF Base Case'!$B$2*(1+B1219)^4*$I1219-'DCF Base Case'!$B$2*(1+B1219)^3*B1219*'DCF Base Case'!$B$4</f>
        <v>39.0089849164233</v>
      </c>
      <c r="N1219" s="24" t="n">
        <f aca="false">'DCF Base Case'!$B$2*(1+B1219)^5*$I1219-'DCF Base Case'!$B$2*(1+B1219)^4*B1219*'DCF Base Case'!$B$4</f>
        <v>42.0531955520528</v>
      </c>
      <c r="O1219" s="24" t="n">
        <f aca="false">J1219/(1+H1219)^1+K1219/(1+H1219)^2+L1219/(1+H1219)^3+M1219/(1+H1219)^4+N1219/(1+H1219)^5</f>
        <v>141.846285127028</v>
      </c>
      <c r="P1219" s="24" t="n">
        <f aca="false">N1219*(1+F1219)/(H1219-F1219)</f>
        <v>670.506681332812</v>
      </c>
      <c r="Q1219" s="24" t="n">
        <f aca="false">O1219+P1219/(1+H1219)^5</f>
        <v>588.776770067814</v>
      </c>
      <c r="R1219" s="24" t="n">
        <f aca="false">Q1219-'DCF Base Case'!$B$5</f>
        <v>403.776770067814</v>
      </c>
      <c r="S1219" s="32" t="n">
        <f aca="false">R1219/'DCF Base Case'!$B$6</f>
        <v>16.1510708027126</v>
      </c>
    </row>
    <row r="1220" customFormat="false" ht="15" hidden="false" customHeight="true" outlineLevel="0" collapsed="false">
      <c r="A1220" s="6" t="n">
        <v>1219</v>
      </c>
      <c r="B1220" s="30" t="n">
        <v>0.0740993119470253</v>
      </c>
      <c r="C1220" s="30" t="n">
        <v>0.402586552839699</v>
      </c>
      <c r="D1220" s="30" t="n">
        <v>0.0755827329426634</v>
      </c>
      <c r="E1220" s="30" t="n">
        <v>0.327390444937381</v>
      </c>
      <c r="F1220" s="30" t="n">
        <v>0.019424264419455</v>
      </c>
      <c r="G1220" s="30" t="n">
        <v>0.169215475569433</v>
      </c>
      <c r="H1220" s="31" t="n">
        <f aca="false">MAX(D1220,F1220+0.015)</f>
        <v>0.0755827329426634</v>
      </c>
      <c r="I1220" s="25" t="n">
        <f aca="false">(C1220-'DCF Base Case'!$B$3)*(1-E1220)+'DCF Base Case'!$B$3-G1220</f>
        <v>0.14412884445213</v>
      </c>
      <c r="J1220" s="24" t="n">
        <f aca="false">'DCF Base Case'!$B$2*(1+B1220)^1*$I1220-'DCF Base Case'!$B$2*(1+B1220)^0*B1220*'DCF Base Case'!$B$4</f>
        <v>22.1249284284046</v>
      </c>
      <c r="K1220" s="24" t="n">
        <f aca="false">'DCF Base Case'!$B$2*(1+B1220)^2*$I1220-'DCF Base Case'!$B$2*(1+B1220)^1*B1220*'DCF Base Case'!$B$4</f>
        <v>23.7643704018265</v>
      </c>
      <c r="L1220" s="24" t="n">
        <f aca="false">'DCF Base Case'!$B$2*(1+B1220)^3*$I1220-'DCF Base Case'!$B$2*(1+B1220)^2*B1220*'DCF Base Case'!$B$4</f>
        <v>25.5252938974561</v>
      </c>
      <c r="M1220" s="24" t="n">
        <f aca="false">'DCF Base Case'!$B$2*(1+B1220)^4*$I1220-'DCF Base Case'!$B$2*(1+B1220)^3*B1220*'DCF Base Case'!$B$4</f>
        <v>27.4167006125032</v>
      </c>
      <c r="N1220" s="24" t="n">
        <f aca="false">'DCF Base Case'!$B$2*(1+B1220)^5*$I1220-'DCF Base Case'!$B$2*(1+B1220)^4*B1220*'DCF Base Case'!$B$4</f>
        <v>29.4482592637473</v>
      </c>
      <c r="O1220" s="24" t="n">
        <f aca="false">J1220/(1+H1220)^1+K1220/(1+H1220)^2+L1220/(1+H1220)^3+M1220/(1+H1220)^4+N1220/(1+H1220)^5</f>
        <v>102.567582183542</v>
      </c>
      <c r="P1220" s="24" t="n">
        <f aca="false">N1220*(1+F1220)/(H1220-F1220)</f>
        <v>534.563545406738</v>
      </c>
      <c r="Q1220" s="24" t="n">
        <f aca="false">O1220+P1220/(1+H1220)^5</f>
        <v>473.914848140399</v>
      </c>
      <c r="R1220" s="24" t="n">
        <f aca="false">Q1220-'DCF Base Case'!$B$5</f>
        <v>288.914848140399</v>
      </c>
      <c r="S1220" s="32" t="n">
        <f aca="false">R1220/'DCF Base Case'!$B$6</f>
        <v>11.556593925616</v>
      </c>
    </row>
    <row r="1221" customFormat="false" ht="15" hidden="false" customHeight="true" outlineLevel="0" collapsed="false">
      <c r="A1221" s="6" t="n">
        <v>1220</v>
      </c>
      <c r="B1221" s="30" t="n">
        <v>0.0796526144716061</v>
      </c>
      <c r="C1221" s="30" t="n">
        <v>0.410618655688501</v>
      </c>
      <c r="D1221" s="30" t="n">
        <v>0.0716322118926699</v>
      </c>
      <c r="E1221" s="30" t="n">
        <v>0.275050099678956</v>
      </c>
      <c r="F1221" s="30" t="n">
        <v>0.0155241283888547</v>
      </c>
      <c r="G1221" s="30" t="n">
        <v>0.159534041770679</v>
      </c>
      <c r="H1221" s="31" t="n">
        <f aca="false">MAX(D1221,F1221+0.015)</f>
        <v>0.0716322118926699</v>
      </c>
      <c r="I1221" s="25" t="n">
        <f aca="false">(C1221-'DCF Base Case'!$B$3)*(1-E1221)+'DCF Base Case'!$B$3-G1221</f>
        <v>0.173900424698925</v>
      </c>
      <c r="J1221" s="24" t="n">
        <f aca="false">'DCF Base Case'!$B$2*(1+B1221)^1*$I1221-'DCF Base Case'!$B$2*(1+B1221)^0*B1221*'DCF Base Case'!$B$4</f>
        <v>26.8775581137165</v>
      </c>
      <c r="K1221" s="24" t="n">
        <f aca="false">'DCF Base Case'!$B$2*(1+B1221)^2*$I1221-'DCF Base Case'!$B$2*(1+B1221)^1*B1221*'DCF Base Case'!$B$4</f>
        <v>29.0184258880866</v>
      </c>
      <c r="L1221" s="24" t="n">
        <f aca="false">'DCF Base Case'!$B$2*(1+B1221)^3*$I1221-'DCF Base Case'!$B$2*(1+B1221)^2*B1221*'DCF Base Case'!$B$4</f>
        <v>31.3298193779232</v>
      </c>
      <c r="M1221" s="24" t="n">
        <f aca="false">'DCF Base Case'!$B$2*(1+B1221)^4*$I1221-'DCF Base Case'!$B$2*(1+B1221)^3*B1221*'DCF Base Case'!$B$4</f>
        <v>33.825321402298</v>
      </c>
      <c r="N1221" s="24" t="n">
        <f aca="false">'DCF Base Case'!$B$2*(1+B1221)^5*$I1221-'DCF Base Case'!$B$2*(1+B1221)^4*B1221*'DCF Base Case'!$B$4</f>
        <v>36.5195966873334</v>
      </c>
      <c r="O1221" s="24" t="n">
        <f aca="false">J1221/(1+H1221)^1+K1221/(1+H1221)^2+L1221/(1+H1221)^3+M1221/(1+H1221)^4+N1221/(1+H1221)^5</f>
        <v>127.296001645374</v>
      </c>
      <c r="P1221" s="24" t="n">
        <f aca="false">N1221*(1+F1221)/(H1221-F1221)</f>
        <v>660.983752768796</v>
      </c>
      <c r="Q1221" s="24" t="n">
        <f aca="false">O1221+P1221/(1+H1221)^5</f>
        <v>594.990204886875</v>
      </c>
      <c r="R1221" s="24" t="n">
        <f aca="false">Q1221-'DCF Base Case'!$B$5</f>
        <v>409.990204886875</v>
      </c>
      <c r="S1221" s="32" t="n">
        <f aca="false">R1221/'DCF Base Case'!$B$6</f>
        <v>16.399608195475</v>
      </c>
    </row>
    <row r="1222" customFormat="false" ht="15" hidden="false" customHeight="true" outlineLevel="0" collapsed="false">
      <c r="A1222" s="6" t="n">
        <v>1221</v>
      </c>
      <c r="B1222" s="30" t="n">
        <v>0.0451160848200665</v>
      </c>
      <c r="C1222" s="30" t="n">
        <v>0.372352783607167</v>
      </c>
      <c r="D1222" s="30" t="n">
        <v>0.101103190449658</v>
      </c>
      <c r="E1222" s="30" t="n">
        <v>0.30515299349765</v>
      </c>
      <c r="F1222" s="30" t="n">
        <v>0.0239954158561814</v>
      </c>
      <c r="G1222" s="30" t="n">
        <v>0.197736446598544</v>
      </c>
      <c r="H1222" s="31" t="n">
        <f aca="false">MAX(D1222,F1222+0.015)</f>
        <v>0.101103190449658</v>
      </c>
      <c r="I1222" s="25" t="n">
        <f aca="false">(C1222-'DCF Base Case'!$B$3)*(1-E1222)+'DCF Base Case'!$B$3-G1222</f>
        <v>0.100661659608408</v>
      </c>
      <c r="J1222" s="24" t="n">
        <f aca="false">'DCF Base Case'!$B$2*(1+B1222)^1*$I1222-'DCF Base Case'!$B$2*(1+B1222)^0*B1222*'DCF Base Case'!$B$4</f>
        <v>15.05819737034</v>
      </c>
      <c r="K1222" s="24" t="n">
        <f aca="false">'DCF Base Case'!$B$2*(1+B1222)^2*$I1222-'DCF Base Case'!$B$2*(1+B1222)^1*B1222*'DCF Base Case'!$B$4</f>
        <v>15.7375642801375</v>
      </c>
      <c r="L1222" s="24" t="n">
        <f aca="false">'DCF Base Case'!$B$2*(1+B1222)^3*$I1222-'DCF Base Case'!$B$2*(1+B1222)^2*B1222*'DCF Base Case'!$B$4</f>
        <v>16.4475815650615</v>
      </c>
      <c r="M1222" s="24" t="n">
        <f aca="false">'DCF Base Case'!$B$2*(1+B1222)^4*$I1222-'DCF Base Case'!$B$2*(1+B1222)^3*B1222*'DCF Base Case'!$B$4</f>
        <v>17.1896320500357</v>
      </c>
      <c r="N1222" s="24" t="n">
        <f aca="false">'DCF Base Case'!$B$2*(1+B1222)^5*$I1222-'DCF Base Case'!$B$2*(1+B1222)^4*B1222*'DCF Base Case'!$B$4</f>
        <v>17.9651609476309</v>
      </c>
      <c r="O1222" s="24" t="n">
        <f aca="false">J1222/(1+H1222)^1+K1222/(1+H1222)^2+L1222/(1+H1222)^3+M1222/(1+H1222)^4+N1222/(1+H1222)^5</f>
        <v>61.768915796967</v>
      </c>
      <c r="P1222" s="24" t="n">
        <f aca="false">N1222*(1+F1222)/(H1222-F1222)</f>
        <v>238.578308769514</v>
      </c>
      <c r="Q1222" s="24" t="n">
        <f aca="false">O1222+P1222/(1+H1222)^5</f>
        <v>209.166664591007</v>
      </c>
      <c r="R1222" s="24" t="n">
        <f aca="false">Q1222-'DCF Base Case'!$B$5</f>
        <v>24.1666645910071</v>
      </c>
      <c r="S1222" s="32" t="n">
        <f aca="false">R1222/'DCF Base Case'!$B$6</f>
        <v>0.966666583640283</v>
      </c>
    </row>
    <row r="1223" customFormat="false" ht="15" hidden="false" customHeight="true" outlineLevel="0" collapsed="false">
      <c r="A1223" s="6" t="n">
        <v>1222</v>
      </c>
      <c r="B1223" s="30" t="n">
        <v>0.1046109023994</v>
      </c>
      <c r="C1223" s="30" t="n">
        <v>0.410507754048691</v>
      </c>
      <c r="D1223" s="30" t="n">
        <v>0.0735902395910782</v>
      </c>
      <c r="E1223" s="30" t="n">
        <v>0.314717403897463</v>
      </c>
      <c r="F1223" s="30" t="n">
        <v>0.0195919068167371</v>
      </c>
      <c r="G1223" s="30" t="n">
        <v>0.213844406804348</v>
      </c>
      <c r="H1223" s="31" t="n">
        <f aca="false">MAX(D1223,F1223+0.015)</f>
        <v>0.0735902395910782</v>
      </c>
      <c r="I1223" s="25" t="n">
        <f aca="false">(C1223-'DCF Base Case'!$B$3)*(1-E1223)+'DCF Base Case'!$B$3-G1223</f>
        <v>0.108382675117031</v>
      </c>
      <c r="J1223" s="24" t="n">
        <f aca="false">'DCF Base Case'!$B$2*(1+B1223)^1*$I1223-'DCF Base Case'!$B$2*(1+B1223)^0*B1223*'DCF Base Case'!$B$4</f>
        <v>16.9044418365579</v>
      </c>
      <c r="K1223" s="24" t="n">
        <f aca="false">'DCF Base Case'!$B$2*(1+B1223)^2*$I1223-'DCF Base Case'!$B$2*(1+B1223)^1*B1223*'DCF Base Case'!$B$4</f>
        <v>18.6728307516384</v>
      </c>
      <c r="L1223" s="24" t="n">
        <f aca="false">'DCF Base Case'!$B$2*(1+B1223)^3*$I1223-'DCF Base Case'!$B$2*(1+B1223)^2*B1223*'DCF Base Case'!$B$4</f>
        <v>20.6262124269185</v>
      </c>
      <c r="M1223" s="24" t="n">
        <f aca="false">'DCF Base Case'!$B$2*(1+B1223)^4*$I1223-'DCF Base Case'!$B$2*(1+B1223)^3*B1223*'DCF Base Case'!$B$4</f>
        <v>22.7839391219802</v>
      </c>
      <c r="N1223" s="24" t="n">
        <f aca="false">'DCF Base Case'!$B$2*(1+B1223)^5*$I1223-'DCF Base Case'!$B$2*(1+B1223)^4*B1223*'DCF Base Case'!$B$4</f>
        <v>25.1673875537435</v>
      </c>
      <c r="O1223" s="24" t="n">
        <f aca="false">J1223/(1+H1223)^1+K1223/(1+H1223)^2+L1223/(1+H1223)^3+M1223/(1+H1223)^4+N1223/(1+H1223)^5</f>
        <v>83.4115407495366</v>
      </c>
      <c r="P1223" s="24" t="n">
        <f aca="false">N1223*(1+F1223)/(H1223-F1223)</f>
        <v>475.208461949227</v>
      </c>
      <c r="Q1223" s="24" t="n">
        <f aca="false">O1223+P1223/(1+H1223)^5</f>
        <v>416.601106824724</v>
      </c>
      <c r="R1223" s="24" t="n">
        <f aca="false">Q1223-'DCF Base Case'!$B$5</f>
        <v>231.601106824724</v>
      </c>
      <c r="S1223" s="32" t="n">
        <f aca="false">R1223/'DCF Base Case'!$B$6</f>
        <v>9.26404427298897</v>
      </c>
    </row>
    <row r="1224" customFormat="false" ht="15" hidden="false" customHeight="true" outlineLevel="0" collapsed="false">
      <c r="A1224" s="6" t="n">
        <v>1223</v>
      </c>
      <c r="B1224" s="30" t="n">
        <v>0.0822799678244272</v>
      </c>
      <c r="C1224" s="30" t="n">
        <v>0.446932993793711</v>
      </c>
      <c r="D1224" s="30" t="n">
        <v>0.0832752903023467</v>
      </c>
      <c r="E1224" s="30" t="n">
        <v>0.32002350456784</v>
      </c>
      <c r="F1224" s="30" t="n">
        <v>0.0250730329701056</v>
      </c>
      <c r="G1224" s="30" t="n">
        <v>0.144752031068824</v>
      </c>
      <c r="H1224" s="31" t="n">
        <f aca="false">MAX(D1224,F1224+0.015)</f>
        <v>0.0832752903023467</v>
      </c>
      <c r="I1224" s="25" t="n">
        <f aca="false">(C1224-'DCF Base Case'!$B$3)*(1-E1224)+'DCF Base Case'!$B$3-G1224</f>
        <v>0.200754955337846</v>
      </c>
      <c r="J1224" s="24" t="n">
        <f aca="false">'DCF Base Case'!$B$2*(1+B1224)^1*$I1224-'DCF Base Case'!$B$2*(1+B1224)^0*B1224*'DCF Base Case'!$B$4</f>
        <v>31.1466767974913</v>
      </c>
      <c r="K1224" s="24" t="n">
        <f aca="false">'DCF Base Case'!$B$2*(1+B1224)^2*$I1224-'DCF Base Case'!$B$2*(1+B1224)^1*B1224*'DCF Base Case'!$B$4</f>
        <v>33.7094243622267</v>
      </c>
      <c r="L1224" s="24" t="n">
        <f aca="false">'DCF Base Case'!$B$2*(1+B1224)^3*$I1224-'DCF Base Case'!$B$2*(1+B1224)^2*B1224*'DCF Base Case'!$B$4</f>
        <v>36.4830347141307</v>
      </c>
      <c r="M1224" s="24" t="n">
        <f aca="false">'DCF Base Case'!$B$2*(1+B1224)^4*$I1224-'DCF Base Case'!$B$2*(1+B1224)^3*B1224*'DCF Base Case'!$B$4</f>
        <v>39.4848576365468</v>
      </c>
      <c r="N1224" s="24" t="n">
        <f aca="false">'DCF Base Case'!$B$2*(1+B1224)^5*$I1224-'DCF Base Case'!$B$2*(1+B1224)^4*B1224*'DCF Base Case'!$B$4</f>
        <v>42.733670452434</v>
      </c>
      <c r="O1224" s="24" t="n">
        <f aca="false">J1224/(1+H1224)^1+K1224/(1+H1224)^2+L1224/(1+H1224)^3+M1224/(1+H1224)^4+N1224/(1+H1224)^5</f>
        <v>143.497659280688</v>
      </c>
      <c r="P1224" s="24" t="n">
        <f aca="false">N1224*(1+F1224)/(H1224-F1224)</f>
        <v>752.636326982385</v>
      </c>
      <c r="Q1224" s="24" t="n">
        <f aca="false">O1224+P1224/(1+H1224)^5</f>
        <v>648.032302248799</v>
      </c>
      <c r="R1224" s="24" t="n">
        <f aca="false">Q1224-'DCF Base Case'!$B$5</f>
        <v>463.032302248799</v>
      </c>
      <c r="S1224" s="32" t="n">
        <f aca="false">R1224/'DCF Base Case'!$B$6</f>
        <v>18.521292089952</v>
      </c>
    </row>
    <row r="1225" customFormat="false" ht="15" hidden="false" customHeight="true" outlineLevel="0" collapsed="false">
      <c r="A1225" s="6" t="n">
        <v>1224</v>
      </c>
      <c r="B1225" s="30" t="n">
        <v>0.0796130568336394</v>
      </c>
      <c r="C1225" s="30" t="n">
        <v>0.387678926381079</v>
      </c>
      <c r="D1225" s="30" t="n">
        <v>0.0714706106291596</v>
      </c>
      <c r="E1225" s="30" t="n">
        <v>0.300015895576726</v>
      </c>
      <c r="F1225" s="30" t="n">
        <v>0.0185942048601483</v>
      </c>
      <c r="G1225" s="30" t="n">
        <v>0.166383673918718</v>
      </c>
      <c r="H1225" s="31" t="n">
        <f aca="false">MAX(D1225,F1225+0.015)</f>
        <v>0.0714706106291596</v>
      </c>
      <c r="I1225" s="25" t="n">
        <f aca="false">(C1225-'DCF Base Case'!$B$3)*(1-E1225)+'DCF Base Case'!$B$3-G1225</f>
        <v>0.143987478592892</v>
      </c>
      <c r="J1225" s="24" t="n">
        <f aca="false">'DCF Base Case'!$B$2*(1+B1225)^1*$I1225-'DCF Base Case'!$B$2*(1+B1225)^0*B1225*'DCF Base Case'!$B$4</f>
        <v>22.1940436796426</v>
      </c>
      <c r="K1225" s="24" t="n">
        <f aca="false">'DCF Base Case'!$B$2*(1+B1225)^2*$I1225-'DCF Base Case'!$B$2*(1+B1225)^1*B1225*'DCF Base Case'!$B$4</f>
        <v>23.9609793404782</v>
      </c>
      <c r="L1225" s="24" t="n">
        <f aca="false">'DCF Base Case'!$B$2*(1+B1225)^3*$I1225-'DCF Base Case'!$B$2*(1+B1225)^2*B1225*'DCF Base Case'!$B$4</f>
        <v>25.8685861505014</v>
      </c>
      <c r="M1225" s="24" t="n">
        <f aca="false">'DCF Base Case'!$B$2*(1+B1225)^4*$I1225-'DCF Base Case'!$B$2*(1+B1225)^3*B1225*'DCF Base Case'!$B$4</f>
        <v>27.9280633699071</v>
      </c>
      <c r="N1225" s="24" t="n">
        <f aca="false">'DCF Base Case'!$B$2*(1+B1225)^5*$I1225-'DCF Base Case'!$B$2*(1+B1225)^4*B1225*'DCF Base Case'!$B$4</f>
        <v>30.151501866229</v>
      </c>
      <c r="O1225" s="24" t="n">
        <f aca="false">J1225/(1+H1225)^1+K1225/(1+H1225)^2+L1225/(1+H1225)^3+M1225/(1+H1225)^4+N1225/(1+H1225)^5</f>
        <v>105.15424226708</v>
      </c>
      <c r="P1225" s="24" t="n">
        <f aca="false">N1225*(1+F1225)/(H1225-F1225)</f>
        <v>580.828908888697</v>
      </c>
      <c r="Q1225" s="24" t="n">
        <f aca="false">O1225+P1225/(1+H1225)^5</f>
        <v>516.443065247158</v>
      </c>
      <c r="R1225" s="24" t="n">
        <f aca="false">Q1225-'DCF Base Case'!$B$5</f>
        <v>331.443065247158</v>
      </c>
      <c r="S1225" s="32" t="n">
        <f aca="false">R1225/'DCF Base Case'!$B$6</f>
        <v>13.2577226098863</v>
      </c>
    </row>
    <row r="1226" customFormat="false" ht="15" hidden="false" customHeight="true" outlineLevel="0" collapsed="false">
      <c r="A1226" s="6" t="n">
        <v>1225</v>
      </c>
      <c r="B1226" s="30" t="n">
        <v>0.101985286098086</v>
      </c>
      <c r="C1226" s="30" t="n">
        <v>0.379154036104623</v>
      </c>
      <c r="D1226" s="30" t="n">
        <v>0.0991544260435276</v>
      </c>
      <c r="E1226" s="30" t="n">
        <v>0.270619537418665</v>
      </c>
      <c r="F1226" s="30" t="n">
        <v>0.0212541489535611</v>
      </c>
      <c r="G1226" s="30" t="n">
        <v>0.179945465418154</v>
      </c>
      <c r="H1226" s="31" t="n">
        <f aca="false">MAX(D1226,F1226+0.015)</f>
        <v>0.0991544260435276</v>
      </c>
      <c r="I1226" s="25" t="n">
        <f aca="false">(C1226-'DCF Base Case'!$B$3)*(1-E1226)+'DCF Base Case'!$B$3-G1226</f>
        <v>0.131782620689843</v>
      </c>
      <c r="J1226" s="24" t="n">
        <f aca="false">'DCF Base Case'!$B$2*(1+B1226)^1*$I1226-'DCF Base Case'!$B$2*(1+B1226)^0*B1226*'DCF Base Case'!$B$4</f>
        <v>20.6136278052028</v>
      </c>
      <c r="K1226" s="24" t="n">
        <f aca="false">'DCF Base Case'!$B$2*(1+B1226)^2*$I1226-'DCF Base Case'!$B$2*(1+B1226)^1*B1226*'DCF Base Case'!$B$4</f>
        <v>22.7159145344359</v>
      </c>
      <c r="L1226" s="24" t="n">
        <f aca="false">'DCF Base Case'!$B$2*(1+B1226)^3*$I1226-'DCF Base Case'!$B$2*(1+B1226)^2*B1226*'DCF Base Case'!$B$4</f>
        <v>25.03260357721</v>
      </c>
      <c r="M1226" s="24" t="n">
        <f aca="false">'DCF Base Case'!$B$2*(1+B1226)^4*$I1226-'DCF Base Case'!$B$2*(1+B1226)^3*B1226*'DCF Base Case'!$B$4</f>
        <v>27.5855608148117</v>
      </c>
      <c r="N1226" s="24" t="n">
        <f aca="false">'DCF Base Case'!$B$2*(1+B1226)^5*$I1226-'DCF Base Case'!$B$2*(1+B1226)^4*B1226*'DCF Base Case'!$B$4</f>
        <v>30.3988821266865</v>
      </c>
      <c r="O1226" s="24" t="n">
        <f aca="false">J1226/(1+H1226)^1+K1226/(1+H1226)^2+L1226/(1+H1226)^3+M1226/(1+H1226)^4+N1226/(1+H1226)^5</f>
        <v>94.2546446306642</v>
      </c>
      <c r="P1226" s="24" t="n">
        <f aca="false">N1226*(1+F1226)/(H1226-F1226)</f>
        <v>398.522131822139</v>
      </c>
      <c r="Q1226" s="24" t="n">
        <f aca="false">O1226+P1226/(1+H1226)^5</f>
        <v>342.658813173807</v>
      </c>
      <c r="R1226" s="24" t="n">
        <f aca="false">Q1226-'DCF Base Case'!$B$5</f>
        <v>157.658813173807</v>
      </c>
      <c r="S1226" s="32" t="n">
        <f aca="false">R1226/'DCF Base Case'!$B$6</f>
        <v>6.30635252695227</v>
      </c>
    </row>
    <row r="1227" customFormat="false" ht="15" hidden="false" customHeight="true" outlineLevel="0" collapsed="false">
      <c r="A1227" s="6" t="n">
        <v>1226</v>
      </c>
      <c r="B1227" s="30" t="n">
        <v>0.119357908089635</v>
      </c>
      <c r="C1227" s="30" t="n">
        <v>0.422508868918254</v>
      </c>
      <c r="D1227" s="30" t="n">
        <v>0.0616399879505278</v>
      </c>
      <c r="E1227" s="30" t="n">
        <v>0.281265034204482</v>
      </c>
      <c r="F1227" s="30" t="n">
        <v>0.0200712796078186</v>
      </c>
      <c r="G1227" s="30" t="n">
        <v>0.144536268243923</v>
      </c>
      <c r="H1227" s="31" t="n">
        <f aca="false">MAX(D1227,F1227+0.015)</f>
        <v>0.0616399879505278</v>
      </c>
      <c r="I1227" s="25" t="n">
        <f aca="false">(C1227-'DCF Base Case'!$B$3)*(1-E1227)+'DCF Base Case'!$B$3-G1227</f>
        <v>0.195700083652924</v>
      </c>
      <c r="J1227" s="24" t="n">
        <f aca="false">'DCF Base Case'!$B$2*(1+B1227)^1*$I1227-'DCF Base Case'!$B$2*(1+B1227)^0*B1227*'DCF Base Case'!$B$4</f>
        <v>31.2442663561621</v>
      </c>
      <c r="K1227" s="24" t="n">
        <f aca="false">'DCF Base Case'!$B$2*(1+B1227)^2*$I1227-'DCF Base Case'!$B$2*(1+B1227)^1*B1227*'DCF Base Case'!$B$4</f>
        <v>34.973516628229</v>
      </c>
      <c r="L1227" s="24" t="n">
        <f aca="false">'DCF Base Case'!$B$2*(1+B1227)^3*$I1227-'DCF Base Case'!$B$2*(1+B1227)^2*B1227*'DCF Base Case'!$B$4</f>
        <v>39.1478824115125</v>
      </c>
      <c r="M1227" s="24" t="n">
        <f aca="false">'DCF Base Case'!$B$2*(1+B1227)^4*$I1227-'DCF Base Case'!$B$2*(1+B1227)^3*B1227*'DCF Base Case'!$B$4</f>
        <v>43.8204917622896</v>
      </c>
      <c r="N1227" s="24" t="n">
        <f aca="false">'DCF Base Case'!$B$2*(1+B1227)^5*$I1227-'DCF Base Case'!$B$2*(1+B1227)^4*B1227*'DCF Base Case'!$B$4</f>
        <v>49.0508139904956</v>
      </c>
      <c r="O1227" s="24" t="n">
        <f aca="false">J1227/(1+H1227)^1+K1227/(1+H1227)^2+L1227/(1+H1227)^3+M1227/(1+H1227)^4+N1227/(1+H1227)^5</f>
        <v>164.04497244551</v>
      </c>
      <c r="P1227" s="24" t="n">
        <f aca="false">N1227*(1+F1227)/(H1227-F1227)</f>
        <v>1203.67768419886</v>
      </c>
      <c r="Q1227" s="24" t="n">
        <f aca="false">O1227+P1227/(1+H1227)^5</f>
        <v>1056.57711861246</v>
      </c>
      <c r="R1227" s="24" t="n">
        <f aca="false">Q1227-'DCF Base Case'!$B$5</f>
        <v>871.577118612456</v>
      </c>
      <c r="S1227" s="32" t="n">
        <f aca="false">R1227/'DCF Base Case'!$B$6</f>
        <v>34.8630847444982</v>
      </c>
    </row>
    <row r="1228" customFormat="false" ht="15" hidden="false" customHeight="true" outlineLevel="0" collapsed="false">
      <c r="A1228" s="6" t="n">
        <v>1227</v>
      </c>
      <c r="B1228" s="30" t="n">
        <v>0.0930227513645405</v>
      </c>
      <c r="C1228" s="30" t="n">
        <v>0.408201065612087</v>
      </c>
      <c r="D1228" s="30" t="n">
        <v>0.0702297065578924</v>
      </c>
      <c r="E1228" s="30" t="n">
        <v>0.300155614052899</v>
      </c>
      <c r="F1228" s="30" t="n">
        <v>0.0170804205255792</v>
      </c>
      <c r="G1228" s="30" t="n">
        <v>0.156999026730111</v>
      </c>
      <c r="H1228" s="31" t="n">
        <f aca="false">MAX(D1228,F1228+0.015)</f>
        <v>0.0702297065578924</v>
      </c>
      <c r="I1228" s="25" t="n">
        <f aca="false">(C1228-'DCF Base Case'!$B$3)*(1-E1228)+'DCF Base Case'!$B$3-G1228</f>
        <v>0.167698427203009</v>
      </c>
      <c r="J1228" s="24" t="n">
        <f aca="false">'DCF Base Case'!$B$2*(1+B1228)^1*$I1228-'DCF Base Case'!$B$2*(1+B1228)^0*B1228*'DCF Base Case'!$B$4</f>
        <v>26.1735894952004</v>
      </c>
      <c r="K1228" s="24" t="n">
        <f aca="false">'DCF Base Case'!$B$2*(1+B1228)^2*$I1228-'DCF Base Case'!$B$2*(1+B1228)^1*B1228*'DCF Base Case'!$B$4</f>
        <v>28.60832880313</v>
      </c>
      <c r="L1228" s="24" t="n">
        <f aca="false">'DCF Base Case'!$B$2*(1+B1228)^3*$I1228-'DCF Base Case'!$B$2*(1+B1228)^2*B1228*'DCF Base Case'!$B$4</f>
        <v>31.2695542603386</v>
      </c>
      <c r="M1228" s="24" t="n">
        <f aca="false">'DCF Base Case'!$B$2*(1+B1228)^4*$I1228-'DCF Base Case'!$B$2*(1+B1228)^3*B1228*'DCF Base Case'!$B$4</f>
        <v>34.1783342315781</v>
      </c>
      <c r="N1228" s="24" t="n">
        <f aca="false">'DCF Base Case'!$B$2*(1+B1228)^5*$I1228-'DCF Base Case'!$B$2*(1+B1228)^4*B1228*'DCF Base Case'!$B$4</f>
        <v>37.3576969188563</v>
      </c>
      <c r="O1228" s="24" t="n">
        <f aca="false">J1228/(1+H1228)^1+K1228/(1+H1228)^2+L1228/(1+H1228)^3+M1228/(1+H1228)^4+N1228/(1+H1228)^5</f>
        <v>127.600842662702</v>
      </c>
      <c r="P1228" s="24" t="n">
        <f aca="false">N1228*(1+F1228)/(H1228-F1228)</f>
        <v>714.887911551572</v>
      </c>
      <c r="Q1228" s="24" t="n">
        <f aca="false">O1228+P1228/(1+H1228)^5</f>
        <v>636.759280584421</v>
      </c>
      <c r="R1228" s="24" t="n">
        <f aca="false">Q1228-'DCF Base Case'!$B$5</f>
        <v>451.759280584421</v>
      </c>
      <c r="S1228" s="32" t="n">
        <f aca="false">R1228/'DCF Base Case'!$B$6</f>
        <v>18.0703712233768</v>
      </c>
    </row>
    <row r="1229" customFormat="false" ht="15" hidden="false" customHeight="true" outlineLevel="0" collapsed="false">
      <c r="A1229" s="6" t="n">
        <v>1228</v>
      </c>
      <c r="B1229" s="30" t="n">
        <v>0.0801144074345498</v>
      </c>
      <c r="C1229" s="30" t="n">
        <v>0.434720506661092</v>
      </c>
      <c r="D1229" s="30" t="n">
        <v>0.0845499222204927</v>
      </c>
      <c r="E1229" s="30" t="n">
        <v>0.281897735206942</v>
      </c>
      <c r="F1229" s="30" t="n">
        <v>0.0175963272137699</v>
      </c>
      <c r="G1229" s="30" t="n">
        <v>0.176063915848477</v>
      </c>
      <c r="H1229" s="31" t="n">
        <f aca="false">MAX(D1229,F1229+0.015)</f>
        <v>0.0845499222204927</v>
      </c>
      <c r="I1229" s="25" t="n">
        <f aca="false">(C1229-'DCF Base Case'!$B$3)*(1-E1229)+'DCF Base Case'!$B$3-G1229</f>
        <v>0.172756570113741</v>
      </c>
      <c r="J1229" s="24" t="n">
        <f aca="false">'DCF Base Case'!$B$2*(1+B1229)^1*$I1229-'DCF Base Case'!$B$2*(1+B1229)^0*B1229*'DCF Base Case'!$B$4</f>
        <v>26.7080470796899</v>
      </c>
      <c r="K1229" s="24" t="n">
        <f aca="false">'DCF Base Case'!$B$2*(1+B1229)^2*$I1229-'DCF Base Case'!$B$2*(1+B1229)^1*B1229*'DCF Base Case'!$B$4</f>
        <v>28.8477464452133</v>
      </c>
      <c r="L1229" s="24" t="n">
        <f aca="false">'DCF Base Case'!$B$2*(1+B1229)^3*$I1229-'DCF Base Case'!$B$2*(1+B1229)^2*B1229*'DCF Base Case'!$B$4</f>
        <v>31.1588665574937</v>
      </c>
      <c r="M1229" s="24" t="n">
        <f aca="false">'DCF Base Case'!$B$2*(1+B1229)^4*$I1229-'DCF Base Case'!$B$2*(1+B1229)^3*B1229*'DCF Base Case'!$B$4</f>
        <v>33.6551406880796</v>
      </c>
      <c r="N1229" s="24" t="n">
        <f aca="false">'DCF Base Case'!$B$2*(1+B1229)^5*$I1229-'DCF Base Case'!$B$2*(1+B1229)^4*B1229*'DCF Base Case'!$B$4</f>
        <v>36.3514023414315</v>
      </c>
      <c r="O1229" s="24" t="n">
        <f aca="false">J1229/(1+H1229)^1+K1229/(1+H1229)^2+L1229/(1+H1229)^3+M1229/(1+H1229)^4+N1229/(1+H1229)^5</f>
        <v>122.126611311717</v>
      </c>
      <c r="P1229" s="24" t="n">
        <f aca="false">N1229*(1+F1229)/(H1229-F1229)</f>
        <v>552.487935980083</v>
      </c>
      <c r="Q1229" s="24" t="n">
        <f aca="false">O1229+P1229/(1+H1229)^5</f>
        <v>490.319216279145</v>
      </c>
      <c r="R1229" s="24" t="n">
        <f aca="false">Q1229-'DCF Base Case'!$B$5</f>
        <v>305.319216279145</v>
      </c>
      <c r="S1229" s="32" t="n">
        <f aca="false">R1229/'DCF Base Case'!$B$6</f>
        <v>12.2127686511658</v>
      </c>
    </row>
    <row r="1230" customFormat="false" ht="15" hidden="false" customHeight="true" outlineLevel="0" collapsed="false">
      <c r="A1230" s="6" t="n">
        <v>1229</v>
      </c>
      <c r="B1230" s="30" t="n">
        <v>0.118950366339349</v>
      </c>
      <c r="C1230" s="30" t="n">
        <v>0.436313581617129</v>
      </c>
      <c r="D1230" s="30" t="n">
        <v>0.0925555365746834</v>
      </c>
      <c r="E1230" s="30" t="n">
        <v>0.298090546215164</v>
      </c>
      <c r="F1230" s="30" t="n">
        <v>0.0138284847493059</v>
      </c>
      <c r="G1230" s="30" t="n">
        <v>0.147603095341191</v>
      </c>
      <c r="H1230" s="31" t="n">
        <f aca="false">MAX(D1230,F1230+0.015)</f>
        <v>0.0925555365746834</v>
      </c>
      <c r="I1230" s="25" t="n">
        <f aca="false">(C1230-'DCF Base Case'!$B$3)*(1-E1230)+'DCF Base Case'!$B$3-G1230</f>
        <v>0.197401303418565</v>
      </c>
      <c r="J1230" s="24" t="n">
        <f aca="false">'DCF Base Case'!$B$2*(1+B1230)^1*$I1230-'DCF Base Case'!$B$2*(1+B1230)^0*B1230*'DCF Base Case'!$B$4</f>
        <v>31.5104937189537</v>
      </c>
      <c r="K1230" s="24" t="n">
        <f aca="false">'DCF Base Case'!$B$2*(1+B1230)^2*$I1230-'DCF Base Case'!$B$2*(1+B1230)^1*B1230*'DCF Base Case'!$B$4</f>
        <v>35.258678490357</v>
      </c>
      <c r="L1230" s="24" t="n">
        <f aca="false">'DCF Base Case'!$B$2*(1+B1230)^3*$I1230-'DCF Base Case'!$B$2*(1+B1230)^2*B1230*'DCF Base Case'!$B$4</f>
        <v>39.4527112134263</v>
      </c>
      <c r="M1230" s="24" t="n">
        <f aca="false">'DCF Base Case'!$B$2*(1+B1230)^4*$I1230-'DCF Base Case'!$B$2*(1+B1230)^3*B1230*'DCF Base Case'!$B$4</f>
        <v>44.1456256653439</v>
      </c>
      <c r="N1230" s="24" t="n">
        <f aca="false">'DCF Base Case'!$B$2*(1+B1230)^5*$I1230-'DCF Base Case'!$B$2*(1+B1230)^4*B1230*'DCF Base Case'!$B$4</f>
        <v>49.3967640105163</v>
      </c>
      <c r="O1230" s="24" t="n">
        <f aca="false">J1230/(1+H1230)^1+K1230/(1+H1230)^2+L1230/(1+H1230)^3+M1230/(1+H1230)^4+N1230/(1+H1230)^5</f>
        <v>151.343490046056</v>
      </c>
      <c r="P1230" s="24" t="n">
        <f aca="false">N1230*(1+F1230)/(H1230-F1230)</f>
        <v>636.119926342239</v>
      </c>
      <c r="Q1230" s="24" t="n">
        <f aca="false">O1230+P1230/(1+H1230)^5</f>
        <v>559.965155069448</v>
      </c>
      <c r="R1230" s="24" t="n">
        <f aca="false">Q1230-'DCF Base Case'!$B$5</f>
        <v>374.965155069448</v>
      </c>
      <c r="S1230" s="32" t="n">
        <f aca="false">R1230/'DCF Base Case'!$B$6</f>
        <v>14.9986062027779</v>
      </c>
    </row>
    <row r="1231" customFormat="false" ht="15" hidden="false" customHeight="true" outlineLevel="0" collapsed="false">
      <c r="A1231" s="6" t="n">
        <v>1230</v>
      </c>
      <c r="B1231" s="30" t="n">
        <v>0.085759752357893</v>
      </c>
      <c r="C1231" s="30" t="n">
        <v>0.39683337015584</v>
      </c>
      <c r="D1231" s="30" t="n">
        <v>0.073290092727684</v>
      </c>
      <c r="E1231" s="30" t="n">
        <v>0.248203689629231</v>
      </c>
      <c r="F1231" s="30" t="n">
        <v>0.0139479794508579</v>
      </c>
      <c r="G1231" s="30" t="n">
        <v>0.159938579058169</v>
      </c>
      <c r="H1231" s="31" t="n">
        <f aca="false">MAX(D1231,F1231+0.015)</f>
        <v>0.073290092727684</v>
      </c>
      <c r="I1231" s="25" t="n">
        <f aca="false">(C1231-'DCF Base Case'!$B$3)*(1-E1231)+'DCF Base Case'!$B$3-G1231</f>
        <v>0.170665764108789</v>
      </c>
      <c r="J1231" s="24" t="n">
        <f aca="false">'DCF Base Case'!$B$2*(1+B1231)^1*$I1231-'DCF Base Case'!$B$2*(1+B1231)^0*B1231*'DCF Base Case'!$B$4</f>
        <v>26.4957376545789</v>
      </c>
      <c r="K1231" s="24" t="n">
        <f aca="false">'DCF Base Case'!$B$2*(1+B1231)^2*$I1231-'DCF Base Case'!$B$2*(1+B1231)^1*B1231*'DCF Base Case'!$B$4</f>
        <v>28.7680055543753</v>
      </c>
      <c r="L1231" s="24" t="n">
        <f aca="false">'DCF Base Case'!$B$2*(1+B1231)^3*$I1231-'DCF Base Case'!$B$2*(1+B1231)^2*B1231*'DCF Base Case'!$B$4</f>
        <v>31.2351425865491</v>
      </c>
      <c r="M1231" s="24" t="n">
        <f aca="false">'DCF Base Case'!$B$2*(1+B1231)^4*$I1231-'DCF Base Case'!$B$2*(1+B1231)^3*B1231*'DCF Base Case'!$B$4</f>
        <v>33.913860679635</v>
      </c>
      <c r="N1231" s="24" t="n">
        <f aca="false">'DCF Base Case'!$B$2*(1+B1231)^5*$I1231-'DCF Base Case'!$B$2*(1+B1231)^4*B1231*'DCF Base Case'!$B$4</f>
        <v>36.8223049730206</v>
      </c>
      <c r="O1231" s="24" t="n">
        <f aca="false">J1231/(1+H1231)^1+K1231/(1+H1231)^2+L1231/(1+H1231)^3+M1231/(1+H1231)^4+N1231/(1+H1231)^5</f>
        <v>126.333951947664</v>
      </c>
      <c r="P1231" s="24" t="n">
        <f aca="false">N1231*(1+F1231)/(H1231-F1231)</f>
        <v>629.163669179568</v>
      </c>
      <c r="Q1231" s="24" t="n">
        <f aca="false">O1231+P1231/(1+H1231)^5</f>
        <v>568.085453032317</v>
      </c>
      <c r="R1231" s="24" t="n">
        <f aca="false">Q1231-'DCF Base Case'!$B$5</f>
        <v>383.085453032317</v>
      </c>
      <c r="S1231" s="32" t="n">
        <f aca="false">R1231/'DCF Base Case'!$B$6</f>
        <v>15.3234181212927</v>
      </c>
    </row>
    <row r="1232" customFormat="false" ht="15" hidden="false" customHeight="true" outlineLevel="0" collapsed="false">
      <c r="A1232" s="6" t="n">
        <v>1231</v>
      </c>
      <c r="B1232" s="30" t="n">
        <v>0.088596559596952</v>
      </c>
      <c r="C1232" s="30" t="n">
        <v>0.396454106775174</v>
      </c>
      <c r="D1232" s="30" t="n">
        <v>0.0858681773395155</v>
      </c>
      <c r="E1232" s="30" t="n">
        <v>0.268690872532773</v>
      </c>
      <c r="F1232" s="30" t="n">
        <v>0.0232482828118004</v>
      </c>
      <c r="G1232" s="30" t="n">
        <v>0.161817543038484</v>
      </c>
      <c r="H1232" s="31" t="n">
        <f aca="false">MAX(D1232,F1232+0.015)</f>
        <v>0.0858681773395155</v>
      </c>
      <c r="I1232" s="25" t="n">
        <f aca="false">(C1232-'DCF Base Case'!$B$3)*(1-E1232)+'DCF Base Case'!$B$3-G1232</f>
        <v>0.163042777297328</v>
      </c>
      <c r="J1232" s="24" t="n">
        <f aca="false">'DCF Base Case'!$B$2*(1+B1232)^1*$I1232-'DCF Base Case'!$B$2*(1+B1232)^0*B1232*'DCF Base Case'!$B$4</f>
        <v>25.3503368985387</v>
      </c>
      <c r="K1232" s="24" t="n">
        <f aca="false">'DCF Base Case'!$B$2*(1+B1232)^2*$I1232-'DCF Base Case'!$B$2*(1+B1232)^1*B1232*'DCF Base Case'!$B$4</f>
        <v>27.5962895323729</v>
      </c>
      <c r="L1232" s="24" t="n">
        <f aca="false">'DCF Base Case'!$B$2*(1+B1232)^3*$I1232-'DCF Base Case'!$B$2*(1+B1232)^2*B1232*'DCF Base Case'!$B$4</f>
        <v>30.0412258425825</v>
      </c>
      <c r="M1232" s="24" t="n">
        <f aca="false">'DCF Base Case'!$B$2*(1+B1232)^4*$I1232-'DCF Base Case'!$B$2*(1+B1232)^3*B1232*'DCF Base Case'!$B$4</f>
        <v>32.7027750983104</v>
      </c>
      <c r="N1232" s="24" t="n">
        <f aca="false">'DCF Base Case'!$B$2*(1+B1232)^5*$I1232-'DCF Base Case'!$B$2*(1+B1232)^4*B1232*'DCF Base Case'!$B$4</f>
        <v>35.6001284612936</v>
      </c>
      <c r="O1232" s="24" t="n">
        <f aca="false">J1232/(1+H1232)^1+K1232/(1+H1232)^2+L1232/(1+H1232)^3+M1232/(1+H1232)^4+N1232/(1+H1232)^5</f>
        <v>117.316493055347</v>
      </c>
      <c r="P1232" s="24" t="n">
        <f aca="false">N1232*(1+F1232)/(H1232-F1232)</f>
        <v>581.72838824849</v>
      </c>
      <c r="Q1232" s="24" t="n">
        <f aca="false">O1232+P1232/(1+H1232)^5</f>
        <v>502.648184480047</v>
      </c>
      <c r="R1232" s="24" t="n">
        <f aca="false">Q1232-'DCF Base Case'!$B$5</f>
        <v>317.648184480047</v>
      </c>
      <c r="S1232" s="32" t="n">
        <f aca="false">R1232/'DCF Base Case'!$B$6</f>
        <v>12.7059273792019</v>
      </c>
    </row>
    <row r="1233" customFormat="false" ht="15" hidden="false" customHeight="true" outlineLevel="0" collapsed="false">
      <c r="A1233" s="6" t="n">
        <v>1232</v>
      </c>
      <c r="B1233" s="30" t="n">
        <v>0.105135202645347</v>
      </c>
      <c r="C1233" s="30" t="n">
        <v>0.423551870303886</v>
      </c>
      <c r="D1233" s="30" t="n">
        <v>0.0695772185683154</v>
      </c>
      <c r="E1233" s="30" t="n">
        <v>0.277146947991246</v>
      </c>
      <c r="F1233" s="30" t="n">
        <v>0.0143534300515015</v>
      </c>
      <c r="G1233" s="30" t="n">
        <v>0.162918475104746</v>
      </c>
      <c r="H1233" s="31" t="n">
        <f aca="false">MAX(D1233,F1233+0.015)</f>
        <v>0.0695772185683154</v>
      </c>
      <c r="I1233" s="25" t="n">
        <f aca="false">(C1233-'DCF Base Case'!$B$3)*(1-E1233)+'DCF Base Case'!$B$3-G1233</f>
        <v>0.179276390267296</v>
      </c>
      <c r="J1233" s="24" t="n">
        <f aca="false">'DCF Base Case'!$B$2*(1+B1233)^1*$I1233-'DCF Base Case'!$B$2*(1+B1233)^0*B1233*'DCF Base Case'!$B$4</f>
        <v>28.270736102191</v>
      </c>
      <c r="K1233" s="24" t="n">
        <f aca="false">'DCF Base Case'!$B$2*(1+B1233)^2*$I1233-'DCF Base Case'!$B$2*(1+B1233)^1*B1233*'DCF Base Case'!$B$4</f>
        <v>31.242985671228</v>
      </c>
      <c r="L1233" s="24" t="n">
        <f aca="false">'DCF Base Case'!$B$2*(1+B1233)^3*$I1233-'DCF Base Case'!$B$2*(1+B1233)^2*B1233*'DCF Base Case'!$B$4</f>
        <v>34.5277233010182</v>
      </c>
      <c r="M1233" s="24" t="n">
        <f aca="false">'DCF Base Case'!$B$2*(1+B1233)^4*$I1233-'DCF Base Case'!$B$2*(1+B1233)^3*B1233*'DCF Base Case'!$B$4</f>
        <v>38.1578024871533</v>
      </c>
      <c r="N1233" s="24" t="n">
        <f aca="false">'DCF Base Case'!$B$2*(1+B1233)^5*$I1233-'DCF Base Case'!$B$2*(1+B1233)^4*B1233*'DCF Base Case'!$B$4</f>
        <v>42.1695307841412</v>
      </c>
      <c r="O1233" s="24" t="n">
        <f aca="false">J1233/(1+H1233)^1+K1233/(1+H1233)^2+L1233/(1+H1233)^3+M1233/(1+H1233)^4+N1233/(1+H1233)^5</f>
        <v>141.242668505421</v>
      </c>
      <c r="P1233" s="24" t="n">
        <f aca="false">N1233*(1+F1233)/(H1233-F1233)</f>
        <v>774.572142610833</v>
      </c>
      <c r="Q1233" s="24" t="n">
        <f aca="false">O1233+P1233/(1+H1233)^5</f>
        <v>694.594246854812</v>
      </c>
      <c r="R1233" s="24" t="n">
        <f aca="false">Q1233-'DCF Base Case'!$B$5</f>
        <v>509.594246854812</v>
      </c>
      <c r="S1233" s="32" t="n">
        <f aca="false">R1233/'DCF Base Case'!$B$6</f>
        <v>20.3837698741925</v>
      </c>
    </row>
    <row r="1234" customFormat="false" ht="15" hidden="false" customHeight="true" outlineLevel="0" collapsed="false">
      <c r="A1234" s="6" t="n">
        <v>1233</v>
      </c>
      <c r="B1234" s="30" t="n">
        <v>0.0737710171888196</v>
      </c>
      <c r="C1234" s="30" t="n">
        <v>0.416849272701411</v>
      </c>
      <c r="D1234" s="30" t="n">
        <v>0.0702341022878718</v>
      </c>
      <c r="E1234" s="30" t="n">
        <v>0.28005761790865</v>
      </c>
      <c r="F1234" s="30" t="n">
        <v>0.0213998335852315</v>
      </c>
      <c r="G1234" s="30" t="n">
        <v>0.1869504038117</v>
      </c>
      <c r="H1234" s="31" t="n">
        <f aca="false">MAX(D1234,F1234+0.015)</f>
        <v>0.0702341022878718</v>
      </c>
      <c r="I1234" s="25" t="n">
        <f aca="false">(C1234-'DCF Base Case'!$B$3)*(1-E1234)+'DCF Base Case'!$B$3-G1234</f>
        <v>0.149564544878125</v>
      </c>
      <c r="J1234" s="24" t="n">
        <f aca="false">'DCF Base Case'!$B$2*(1+B1234)^1*$I1234-'DCF Base Case'!$B$2*(1+B1234)^0*B1234*'DCF Base Case'!$B$4</f>
        <v>22.9658167311579</v>
      </c>
      <c r="K1234" s="24" t="n">
        <f aca="false">'DCF Base Case'!$B$2*(1+B1234)^2*$I1234-'DCF Base Case'!$B$2*(1+B1234)^1*B1234*'DCF Base Case'!$B$4</f>
        <v>24.6600283919874</v>
      </c>
      <c r="L1234" s="24" t="n">
        <f aca="false">'DCF Base Case'!$B$2*(1+B1234)^3*$I1234-'DCF Base Case'!$B$2*(1+B1234)^2*B1234*'DCF Base Case'!$B$4</f>
        <v>26.4792237703695</v>
      </c>
      <c r="M1234" s="24" t="n">
        <f aca="false">'DCF Base Case'!$B$2*(1+B1234)^4*$I1234-'DCF Base Case'!$B$2*(1+B1234)^3*B1234*'DCF Base Case'!$B$4</f>
        <v>28.43262304228</v>
      </c>
      <c r="N1234" s="24" t="n">
        <f aca="false">'DCF Base Case'!$B$2*(1+B1234)^5*$I1234-'DCF Base Case'!$B$2*(1+B1234)^4*B1234*'DCF Base Case'!$B$4</f>
        <v>30.5301265654553</v>
      </c>
      <c r="O1234" s="24" t="n">
        <f aca="false">J1234/(1+H1234)^1+K1234/(1+H1234)^2+L1234/(1+H1234)^3+M1234/(1+H1234)^4+N1234/(1+H1234)^5</f>
        <v>108.004941402569</v>
      </c>
      <c r="P1234" s="24" t="n">
        <f aca="false">N1234*(1+F1234)/(H1234-F1234)</f>
        <v>638.557042456665</v>
      </c>
      <c r="Q1234" s="24" t="n">
        <f aca="false">O1234+P1234/(1+H1234)^5</f>
        <v>562.789564505778</v>
      </c>
      <c r="R1234" s="24" t="n">
        <f aca="false">Q1234-'DCF Base Case'!$B$5</f>
        <v>377.789564505778</v>
      </c>
      <c r="S1234" s="32" t="n">
        <f aca="false">R1234/'DCF Base Case'!$B$6</f>
        <v>15.1115825802311</v>
      </c>
    </row>
    <row r="1235" customFormat="false" ht="15" hidden="false" customHeight="true" outlineLevel="0" collapsed="false">
      <c r="A1235" s="6" t="n">
        <v>1234</v>
      </c>
      <c r="B1235" s="30" t="n">
        <v>0.0733454373857157</v>
      </c>
      <c r="C1235" s="30" t="n">
        <v>0.40904931686576</v>
      </c>
      <c r="D1235" s="30" t="n">
        <v>0.0870256167020273</v>
      </c>
      <c r="E1235" s="30" t="n">
        <v>0.325442468553653</v>
      </c>
      <c r="F1235" s="30" t="n">
        <v>0.0134814337787763</v>
      </c>
      <c r="G1235" s="30" t="n">
        <v>0.146916216137991</v>
      </c>
      <c r="H1235" s="31" t="n">
        <f aca="false">MAX(D1235,F1235+0.015)</f>
        <v>0.0870256167020273</v>
      </c>
      <c r="I1235" s="25" t="n">
        <f aca="false">(C1235-'DCF Base Case'!$B$3)*(1-E1235)+'DCF Base Case'!$B$3-G1235</f>
        <v>0.171318602198766</v>
      </c>
      <c r="J1235" s="24" t="n">
        <f aca="false">'DCF Base Case'!$B$2*(1+B1235)^1*$I1235-'DCF Base Case'!$B$2*(1+B1235)^0*B1235*'DCF Base Case'!$B$4</f>
        <v>26.3441331487269</v>
      </c>
      <c r="K1235" s="24" t="n">
        <f aca="false">'DCF Base Case'!$B$2*(1+B1235)^2*$I1235-'DCF Base Case'!$B$2*(1+B1235)^1*B1235*'DCF Base Case'!$B$4</f>
        <v>28.2763551170679</v>
      </c>
      <c r="L1235" s="24" t="n">
        <f aca="false">'DCF Base Case'!$B$2*(1+B1235)^3*$I1235-'DCF Base Case'!$B$2*(1+B1235)^2*B1235*'DCF Base Case'!$B$4</f>
        <v>30.350296750803</v>
      </c>
      <c r="M1235" s="24" t="n">
        <f aca="false">'DCF Base Case'!$B$2*(1+B1235)^4*$I1235-'DCF Base Case'!$B$2*(1+B1235)^3*B1235*'DCF Base Case'!$B$4</f>
        <v>32.5763525407769</v>
      </c>
      <c r="N1235" s="24" t="n">
        <f aca="false">'DCF Base Case'!$B$2*(1+B1235)^5*$I1235-'DCF Base Case'!$B$2*(1+B1235)^4*B1235*'DCF Base Case'!$B$4</f>
        <v>34.9656793663115</v>
      </c>
      <c r="O1235" s="24" t="n">
        <f aca="false">J1235/(1+H1235)^1+K1235/(1+H1235)^2+L1235/(1+H1235)^3+M1235/(1+H1235)^4+N1235/(1+H1235)^5</f>
        <v>118.163478526777</v>
      </c>
      <c r="P1235" s="24" t="n">
        <f aca="false">N1235*(1+F1235)/(H1235-F1235)</f>
        <v>481.847312032817</v>
      </c>
      <c r="Q1235" s="24" t="n">
        <f aca="false">O1235+P1235/(1+H1235)^5</f>
        <v>435.639220578543</v>
      </c>
      <c r="R1235" s="24" t="n">
        <f aca="false">Q1235-'DCF Base Case'!$B$5</f>
        <v>250.639220578543</v>
      </c>
      <c r="S1235" s="32" t="n">
        <f aca="false">R1235/'DCF Base Case'!$B$6</f>
        <v>10.0255688231417</v>
      </c>
    </row>
    <row r="1236" customFormat="false" ht="15" hidden="false" customHeight="true" outlineLevel="0" collapsed="false">
      <c r="A1236" s="6" t="n">
        <v>1235</v>
      </c>
      <c r="B1236" s="30" t="n">
        <v>0.136450332717714</v>
      </c>
      <c r="C1236" s="30" t="n">
        <v>0.429405903954201</v>
      </c>
      <c r="D1236" s="30" t="n">
        <v>0.064199068091064</v>
      </c>
      <c r="E1236" s="30" t="n">
        <v>0.265578267451036</v>
      </c>
      <c r="F1236" s="30" t="n">
        <v>0.0107015639944938</v>
      </c>
      <c r="G1236" s="30" t="n">
        <v>0.170716638649475</v>
      </c>
      <c r="H1236" s="31" t="n">
        <f aca="false">MAX(D1236,F1236+0.015)</f>
        <v>0.064199068091064</v>
      </c>
      <c r="I1236" s="25" t="n">
        <f aca="false">(C1236-'DCF Base Case'!$B$3)*(1-E1236)+'DCF Base Case'!$B$3-G1236</f>
        <v>0.179173564067958</v>
      </c>
      <c r="J1236" s="24" t="n">
        <f aca="false">'DCF Base Case'!$B$2*(1+B1236)^1*$I1236-'DCF Base Case'!$B$2*(1+B1236)^0*B1236*'DCF Base Case'!$B$4</f>
        <v>28.9316102450691</v>
      </c>
      <c r="K1236" s="24" t="n">
        <f aca="false">'DCF Base Case'!$B$2*(1+B1236)^2*$I1236-'DCF Base Case'!$B$2*(1+B1236)^1*B1236*'DCF Base Case'!$B$4</f>
        <v>32.879338089068</v>
      </c>
      <c r="L1236" s="24" t="n">
        <f aca="false">'DCF Base Case'!$B$2*(1+B1236)^3*$I1236-'DCF Base Case'!$B$2*(1+B1236)^2*B1236*'DCF Base Case'!$B$4</f>
        <v>37.3657347108596</v>
      </c>
      <c r="M1236" s="24" t="n">
        <f aca="false">'DCF Base Case'!$B$2*(1+B1236)^4*$I1236-'DCF Base Case'!$B$2*(1+B1236)^3*B1236*'DCF Base Case'!$B$4</f>
        <v>42.4643016443982</v>
      </c>
      <c r="N1236" s="24" t="n">
        <f aca="false">'DCF Base Case'!$B$2*(1+B1236)^5*$I1236-'DCF Base Case'!$B$2*(1+B1236)^4*B1236*'DCF Base Case'!$B$4</f>
        <v>48.2585697324017</v>
      </c>
      <c r="O1236" s="24" t="n">
        <f aca="false">J1236/(1+H1236)^1+K1236/(1+H1236)^2+L1236/(1+H1236)^3+M1236/(1+H1236)^4+N1236/(1+H1236)^5</f>
        <v>155.685102080316</v>
      </c>
      <c r="P1236" s="24" t="n">
        <f aca="false">N1236*(1+F1236)/(H1236-F1236)</f>
        <v>911.72499966784</v>
      </c>
      <c r="Q1236" s="24" t="n">
        <f aca="false">O1236+P1236/(1+H1236)^5</f>
        <v>823.643619342197</v>
      </c>
      <c r="R1236" s="24" t="n">
        <f aca="false">Q1236-'DCF Base Case'!$B$5</f>
        <v>638.643619342197</v>
      </c>
      <c r="S1236" s="32" t="n">
        <f aca="false">R1236/'DCF Base Case'!$B$6</f>
        <v>25.5457447736879</v>
      </c>
    </row>
    <row r="1237" customFormat="false" ht="15" hidden="false" customHeight="true" outlineLevel="0" collapsed="false">
      <c r="A1237" s="6" t="n">
        <v>1236</v>
      </c>
      <c r="B1237" s="30" t="n">
        <v>0.107671069731219</v>
      </c>
      <c r="C1237" s="30" t="n">
        <v>0.401289995545769</v>
      </c>
      <c r="D1237" s="30" t="n">
        <v>0.0798220368552334</v>
      </c>
      <c r="E1237" s="30" t="n">
        <v>0.308041106776122</v>
      </c>
      <c r="F1237" s="30" t="n">
        <v>0.0126470927187831</v>
      </c>
      <c r="G1237" s="30" t="n">
        <v>0.13930341808024</v>
      </c>
      <c r="H1237" s="31" t="n">
        <f aca="false">MAX(D1237,F1237+0.015)</f>
        <v>0.0798220368552334</v>
      </c>
      <c r="I1237" s="25" t="n">
        <f aca="false">(C1237-'DCF Base Case'!$B$3)*(1-E1237)+'DCF Base Case'!$B$3-G1237</f>
        <v>0.178418106980321</v>
      </c>
      <c r="J1237" s="24" t="n">
        <f aca="false">'DCF Base Case'!$B$2*(1+B1237)^1*$I1237-'DCF Base Case'!$B$2*(1+B1237)^0*B1237*'DCF Base Case'!$B$4</f>
        <v>28.1877742823243</v>
      </c>
      <c r="K1237" s="24" t="n">
        <f aca="false">'DCF Base Case'!$B$2*(1+B1237)^2*$I1237-'DCF Base Case'!$B$2*(1+B1237)^1*B1237*'DCF Base Case'!$B$4</f>
        <v>31.2227820926444</v>
      </c>
      <c r="L1237" s="24" t="n">
        <f aca="false">'DCF Base Case'!$B$2*(1+B1237)^3*$I1237-'DCF Base Case'!$B$2*(1+B1237)^2*B1237*'DCF Base Case'!$B$4</f>
        <v>34.5845724405441</v>
      </c>
      <c r="M1237" s="24" t="n">
        <f aca="false">'DCF Base Case'!$B$2*(1+B1237)^4*$I1237-'DCF Base Case'!$B$2*(1+B1237)^3*B1237*'DCF Base Case'!$B$4</f>
        <v>38.3083303514144</v>
      </c>
      <c r="N1237" s="24" t="n">
        <f aca="false">'DCF Base Case'!$B$2*(1+B1237)^5*$I1237-'DCF Base Case'!$B$2*(1+B1237)^4*B1237*'DCF Base Case'!$B$4</f>
        <v>42.4330292599681</v>
      </c>
      <c r="O1237" s="24" t="n">
        <f aca="false">J1237/(1+H1237)^1+K1237/(1+H1237)^2+L1237/(1+H1237)^3+M1237/(1+H1237)^4+N1237/(1+H1237)^5</f>
        <v>137.428690273018</v>
      </c>
      <c r="P1237" s="24" t="n">
        <f aca="false">N1237*(1+F1237)/(H1237-F1237)</f>
        <v>639.668320796439</v>
      </c>
      <c r="Q1237" s="24" t="n">
        <f aca="false">O1237+P1237/(1+H1237)^5</f>
        <v>573.135062778045</v>
      </c>
      <c r="R1237" s="24" t="n">
        <f aca="false">Q1237-'DCF Base Case'!$B$5</f>
        <v>388.135062778044</v>
      </c>
      <c r="S1237" s="32" t="n">
        <f aca="false">R1237/'DCF Base Case'!$B$6</f>
        <v>15.5254025111218</v>
      </c>
    </row>
    <row r="1238" customFormat="false" ht="15" hidden="false" customHeight="true" outlineLevel="0" collapsed="false">
      <c r="A1238" s="6" t="n">
        <v>1237</v>
      </c>
      <c r="B1238" s="30" t="n">
        <v>0.085264685404799</v>
      </c>
      <c r="C1238" s="30" t="n">
        <v>0.396028911040702</v>
      </c>
      <c r="D1238" s="30" t="n">
        <v>0.0817674641277905</v>
      </c>
      <c r="E1238" s="30" t="n">
        <v>0.255064913664352</v>
      </c>
      <c r="F1238" s="30" t="n">
        <v>0.0201183600559695</v>
      </c>
      <c r="G1238" s="30" t="n">
        <v>0.162069948578327</v>
      </c>
      <c r="H1238" s="31" t="n">
        <f aca="false">MAX(D1238,F1238+0.015)</f>
        <v>0.0817674641277905</v>
      </c>
      <c r="I1238" s="25" t="n">
        <f aca="false">(C1238-'DCF Base Case'!$B$3)*(1-E1238)+'DCF Base Case'!$B$3-G1238</f>
        <v>0.166104321235557</v>
      </c>
      <c r="J1238" s="24" t="n">
        <f aca="false">'DCF Base Case'!$B$2*(1+B1238)^1*$I1238-'DCF Base Case'!$B$2*(1+B1238)^0*B1238*'DCF Base Case'!$B$4</f>
        <v>25.7678359383513</v>
      </c>
      <c r="K1238" s="24" t="n">
        <f aca="false">'DCF Base Case'!$B$2*(1+B1238)^2*$I1238-'DCF Base Case'!$B$2*(1+B1238)^1*B1238*'DCF Base Case'!$B$4</f>
        <v>27.9649223631973</v>
      </c>
      <c r="L1238" s="24" t="n">
        <f aca="false">'DCF Base Case'!$B$2*(1+B1238)^3*$I1238-'DCF Base Case'!$B$2*(1+B1238)^2*B1238*'DCF Base Case'!$B$4</f>
        <v>30.349342670865</v>
      </c>
      <c r="M1238" s="24" t="n">
        <f aca="false">'DCF Base Case'!$B$2*(1+B1238)^4*$I1238-'DCF Base Case'!$B$2*(1+B1238)^3*B1238*'DCF Base Case'!$B$4</f>
        <v>32.9370698259387</v>
      </c>
      <c r="N1238" s="24" t="n">
        <f aca="false">'DCF Base Case'!$B$2*(1+B1238)^5*$I1238-'DCF Base Case'!$B$2*(1+B1238)^4*B1238*'DCF Base Case'!$B$4</f>
        <v>35.7454387228033</v>
      </c>
      <c r="O1238" s="24" t="n">
        <f aca="false">J1238/(1+H1238)^1+K1238/(1+H1238)^2+L1238/(1+H1238)^3+M1238/(1+H1238)^4+N1238/(1+H1238)^5</f>
        <v>119.873192661653</v>
      </c>
      <c r="P1238" s="24" t="n">
        <f aca="false">N1238*(1+F1238)/(H1238-F1238)</f>
        <v>591.485940929589</v>
      </c>
      <c r="Q1238" s="24" t="n">
        <f aca="false">O1238+P1238/(1+H1238)^5</f>
        <v>519.150704301708</v>
      </c>
      <c r="R1238" s="24" t="n">
        <f aca="false">Q1238-'DCF Base Case'!$B$5</f>
        <v>334.150704301708</v>
      </c>
      <c r="S1238" s="32" t="n">
        <f aca="false">R1238/'DCF Base Case'!$B$6</f>
        <v>13.3660281720683</v>
      </c>
    </row>
    <row r="1239" customFormat="false" ht="15" hidden="false" customHeight="true" outlineLevel="0" collapsed="false">
      <c r="A1239" s="6" t="n">
        <v>1238</v>
      </c>
      <c r="B1239" s="30" t="n">
        <v>0.10182688356994</v>
      </c>
      <c r="C1239" s="30" t="n">
        <v>0.422476958360404</v>
      </c>
      <c r="D1239" s="30" t="n">
        <v>0.0872735907974563</v>
      </c>
      <c r="E1239" s="30" t="n">
        <v>0.252763232946906</v>
      </c>
      <c r="F1239" s="30" t="n">
        <v>0.0211094978697371</v>
      </c>
      <c r="G1239" s="30" t="n">
        <v>0.158490139033339</v>
      </c>
      <c r="H1239" s="31" t="n">
        <f aca="false">MAX(D1239,F1239+0.015)</f>
        <v>0.0872735907974563</v>
      </c>
      <c r="I1239" s="25" t="n">
        <f aca="false">(C1239-'DCF Base Case'!$B$3)*(1-E1239)+'DCF Base Case'!$B$3-G1239</f>
        <v>0.190059397769412</v>
      </c>
      <c r="J1239" s="24" t="n">
        <f aca="false">'DCF Base Case'!$B$2*(1+B1239)^1*$I1239-'DCF Base Case'!$B$2*(1+B1239)^0*B1239*'DCF Base Case'!$B$4</f>
        <v>29.9218733774011</v>
      </c>
      <c r="K1239" s="24" t="n">
        <f aca="false">'DCF Base Case'!$B$2*(1+B1239)^2*$I1239-'DCF Base Case'!$B$2*(1+B1239)^1*B1239*'DCF Base Case'!$B$4</f>
        <v>32.9687244939962</v>
      </c>
      <c r="L1239" s="24" t="n">
        <f aca="false">'DCF Base Case'!$B$2*(1+B1239)^3*$I1239-'DCF Base Case'!$B$2*(1+B1239)^2*B1239*'DCF Base Case'!$B$4</f>
        <v>36.3258269644958</v>
      </c>
      <c r="M1239" s="24" t="n">
        <f aca="false">'DCF Base Case'!$B$2*(1+B1239)^4*$I1239-'DCF Base Case'!$B$2*(1+B1239)^3*B1239*'DCF Base Case'!$B$4</f>
        <v>40.0247727173913</v>
      </c>
      <c r="N1239" s="24" t="n">
        <f aca="false">'DCF Base Case'!$B$2*(1+B1239)^5*$I1239-'DCF Base Case'!$B$2*(1+B1239)^4*B1239*'DCF Base Case'!$B$4</f>
        <v>44.1003705887984</v>
      </c>
      <c r="O1239" s="24" t="n">
        <f aca="false">J1239/(1+H1239)^1+K1239/(1+H1239)^2+L1239/(1+H1239)^3+M1239/(1+H1239)^4+N1239/(1+H1239)^5</f>
        <v>141.333714473023</v>
      </c>
      <c r="P1239" s="24" t="n">
        <f aca="false">N1239*(1+F1239)/(H1239-F1239)</f>
        <v>680.600387237102</v>
      </c>
      <c r="Q1239" s="24" t="n">
        <f aca="false">O1239+P1239/(1+H1239)^5</f>
        <v>589.251177601423</v>
      </c>
      <c r="R1239" s="24" t="n">
        <f aca="false">Q1239-'DCF Base Case'!$B$5</f>
        <v>404.251177601423</v>
      </c>
      <c r="S1239" s="32" t="n">
        <f aca="false">R1239/'DCF Base Case'!$B$6</f>
        <v>16.1700471040569</v>
      </c>
    </row>
    <row r="1240" customFormat="false" ht="15" hidden="false" customHeight="true" outlineLevel="0" collapsed="false">
      <c r="A1240" s="6" t="n">
        <v>1239</v>
      </c>
      <c r="B1240" s="30" t="n">
        <v>0.0865748356247527</v>
      </c>
      <c r="C1240" s="30" t="n">
        <v>0.433329133269773</v>
      </c>
      <c r="D1240" s="30" t="n">
        <v>0.0770862088783142</v>
      </c>
      <c r="E1240" s="30" t="n">
        <v>0.320430587638197</v>
      </c>
      <c r="F1240" s="30" t="n">
        <v>0.0243771448450813</v>
      </c>
      <c r="G1240" s="30" t="n">
        <v>0.183193229150491</v>
      </c>
      <c r="H1240" s="31" t="n">
        <f aca="false">MAX(D1240,F1240+0.015)</f>
        <v>0.0770862088783142</v>
      </c>
      <c r="I1240" s="25" t="n">
        <f aca="false">(C1240-'DCF Base Case'!$B$3)*(1-E1240)+'DCF Base Case'!$B$3-G1240</f>
        <v>0.152939971697864</v>
      </c>
      <c r="J1240" s="24" t="n">
        <f aca="false">'DCF Base Case'!$B$2*(1+B1240)^1*$I1240-'DCF Base Case'!$B$2*(1+B1240)^0*B1240*'DCF Base Case'!$B$4</f>
        <v>23.7196045332011</v>
      </c>
      <c r="K1240" s="24" t="n">
        <f aca="false">'DCF Base Case'!$B$2*(1+B1240)^2*$I1240-'DCF Base Case'!$B$2*(1+B1240)^1*B1240*'DCF Base Case'!$B$4</f>
        <v>25.7731253967471</v>
      </c>
      <c r="L1240" s="24" t="n">
        <f aca="false">'DCF Base Case'!$B$2*(1+B1240)^3*$I1240-'DCF Base Case'!$B$2*(1+B1240)^2*B1240*'DCF Base Case'!$B$4</f>
        <v>28.0044294915067</v>
      </c>
      <c r="M1240" s="24" t="n">
        <f aca="false">'DCF Base Case'!$B$2*(1+B1240)^4*$I1240-'DCF Base Case'!$B$2*(1+B1240)^3*B1240*'DCF Base Case'!$B$4</f>
        <v>30.4289083714988</v>
      </c>
      <c r="N1240" s="24" t="n">
        <f aca="false">'DCF Base Case'!$B$2*(1+B1240)^5*$I1240-'DCF Base Case'!$B$2*(1+B1240)^4*B1240*'DCF Base Case'!$B$4</f>
        <v>33.063286112002</v>
      </c>
      <c r="O1240" s="24" t="n">
        <f aca="false">J1240/(1+H1240)^1+K1240/(1+H1240)^2+L1240/(1+H1240)^3+M1240/(1+H1240)^4+N1240/(1+H1240)^5</f>
        <v>112.067258518552</v>
      </c>
      <c r="P1240" s="24" t="n">
        <f aca="false">N1240*(1+F1240)/(H1240-F1240)</f>
        <v>642.570215347671</v>
      </c>
      <c r="Q1240" s="24" t="n">
        <f aca="false">O1240+P1240/(1+H1240)^5</f>
        <v>555.337182459415</v>
      </c>
      <c r="R1240" s="24" t="n">
        <f aca="false">Q1240-'DCF Base Case'!$B$5</f>
        <v>370.337182459415</v>
      </c>
      <c r="S1240" s="32" t="n">
        <f aca="false">R1240/'DCF Base Case'!$B$6</f>
        <v>14.8134872983766</v>
      </c>
    </row>
    <row r="1241" customFormat="false" ht="15" hidden="false" customHeight="true" outlineLevel="0" collapsed="false">
      <c r="A1241" s="6" t="n">
        <v>1240</v>
      </c>
      <c r="B1241" s="30" t="n">
        <v>0.0685823270526163</v>
      </c>
      <c r="C1241" s="30" t="n">
        <v>0.367097642213168</v>
      </c>
      <c r="D1241" s="30" t="n">
        <v>0.0968671840568594</v>
      </c>
      <c r="E1241" s="30" t="n">
        <v>0.282836099889226</v>
      </c>
      <c r="F1241" s="30" t="n">
        <v>0.0163176998002634</v>
      </c>
      <c r="G1241" s="30" t="n">
        <v>0.193135318446881</v>
      </c>
      <c r="H1241" s="31" t="n">
        <f aca="false">MAX(D1241,F1241+0.015)</f>
        <v>0.0968671840568594</v>
      </c>
      <c r="I1241" s="25" t="n">
        <f aca="false">(C1241-'DCF Base Case'!$B$3)*(1-E1241)+'DCF Base Case'!$B$3-G1241</f>
        <v>0.106902551349783</v>
      </c>
      <c r="J1241" s="24" t="n">
        <f aca="false">'DCF Base Case'!$B$2*(1+B1241)^1*$I1241-'DCF Base Case'!$B$2*(1+B1241)^0*B1241*'DCF Base Case'!$B$4</f>
        <v>16.2656225552571</v>
      </c>
      <c r="K1241" s="24" t="n">
        <f aca="false">'DCF Base Case'!$B$2*(1+B1241)^2*$I1241-'DCF Base Case'!$B$2*(1+B1241)^1*B1241*'DCF Base Case'!$B$4</f>
        <v>17.3811568010561</v>
      </c>
      <c r="L1241" s="24" t="n">
        <f aca="false">'DCF Base Case'!$B$2*(1+B1241)^3*$I1241-'DCF Base Case'!$B$2*(1+B1241)^2*B1241*'DCF Base Case'!$B$4</f>
        <v>18.573196981339</v>
      </c>
      <c r="M1241" s="24" t="n">
        <f aca="false">'DCF Base Case'!$B$2*(1+B1241)^4*$I1241-'DCF Base Case'!$B$2*(1+B1241)^3*B1241*'DCF Base Case'!$B$4</f>
        <v>19.8469900511258</v>
      </c>
      <c r="N1241" s="24" t="n">
        <f aca="false">'DCF Base Case'!$B$2*(1+B1241)^5*$I1241-'DCF Base Case'!$B$2*(1+B1241)^4*B1241*'DCF Base Case'!$B$4</f>
        <v>21.2081428138221</v>
      </c>
      <c r="O1241" s="24" t="n">
        <f aca="false">J1241/(1+H1241)^1+K1241/(1+H1241)^2+L1241/(1+H1241)^3+M1241/(1+H1241)^4+N1241/(1+H1241)^5</f>
        <v>70.4191718620883</v>
      </c>
      <c r="P1241" s="24" t="n">
        <f aca="false">N1241*(1+F1241)/(H1241-F1241)</f>
        <v>267.589682547399</v>
      </c>
      <c r="Q1241" s="24" t="n">
        <f aca="false">O1241+P1241/(1+H1241)^5</f>
        <v>238.957680569614</v>
      </c>
      <c r="R1241" s="24" t="n">
        <f aca="false">Q1241-'DCF Base Case'!$B$5</f>
        <v>53.957680569614</v>
      </c>
      <c r="S1241" s="32" t="n">
        <f aca="false">R1241/'DCF Base Case'!$B$6</f>
        <v>2.15830722278456</v>
      </c>
    </row>
    <row r="1242" customFormat="false" ht="15" hidden="false" customHeight="true" outlineLevel="0" collapsed="false">
      <c r="A1242" s="6" t="n">
        <v>1241</v>
      </c>
      <c r="B1242" s="30" t="n">
        <v>0.0711821385803173</v>
      </c>
      <c r="C1242" s="30" t="n">
        <v>0.39812996667647</v>
      </c>
      <c r="D1242" s="30" t="n">
        <v>0.090773794007487</v>
      </c>
      <c r="E1242" s="30" t="n">
        <v>0.257087848671814</v>
      </c>
      <c r="F1242" s="30" t="n">
        <v>0.0189371048435015</v>
      </c>
      <c r="G1242" s="30" t="n">
        <v>0.191220142741577</v>
      </c>
      <c r="H1242" s="31" t="n">
        <f aca="false">MAX(D1242,F1242+0.015)</f>
        <v>0.090773794007487</v>
      </c>
      <c r="I1242" s="25" t="n">
        <f aca="false">(C1242-'DCF Base Case'!$B$3)*(1-E1242)+'DCF Base Case'!$B$3-G1242</f>
        <v>0.137976867637594</v>
      </c>
      <c r="J1242" s="24" t="n">
        <f aca="false">'DCF Base Case'!$B$2*(1+B1242)^1*$I1242-'DCF Base Case'!$B$2*(1+B1242)^0*B1242*'DCF Base Case'!$B$4</f>
        <v>21.1211193390201</v>
      </c>
      <c r="K1242" s="24" t="n">
        <f aca="false">'DCF Base Case'!$B$2*(1+B1242)^2*$I1242-'DCF Base Case'!$B$2*(1+B1242)^1*B1242*'DCF Base Case'!$B$4</f>
        <v>22.6245657827816</v>
      </c>
      <c r="L1242" s="24" t="n">
        <f aca="false">'DCF Base Case'!$B$2*(1+B1242)^3*$I1242-'DCF Base Case'!$B$2*(1+B1242)^2*B1242*'DCF Base Case'!$B$4</f>
        <v>24.2350307596511</v>
      </c>
      <c r="M1242" s="24" t="n">
        <f aca="false">'DCF Base Case'!$B$2*(1+B1242)^4*$I1242-'DCF Base Case'!$B$2*(1+B1242)^3*B1242*'DCF Base Case'!$B$4</f>
        <v>25.9601320776828</v>
      </c>
      <c r="N1242" s="24" t="n">
        <f aca="false">'DCF Base Case'!$B$2*(1+B1242)^5*$I1242-'DCF Base Case'!$B$2*(1+B1242)^4*B1242*'DCF Base Case'!$B$4</f>
        <v>27.8080297967998</v>
      </c>
      <c r="O1242" s="24" t="n">
        <f aca="false">J1242/(1+H1242)^1+K1242/(1+H1242)^2+L1242/(1+H1242)^3+M1242/(1+H1242)^4+N1242/(1+H1242)^5</f>
        <v>93.4011337566519</v>
      </c>
      <c r="P1242" s="24" t="n">
        <f aca="false">N1242*(1+F1242)/(H1242-F1242)</f>
        <v>394.431225913989</v>
      </c>
      <c r="Q1242" s="24" t="n">
        <f aca="false">O1242+P1242/(1+H1242)^5</f>
        <v>348.846372554136</v>
      </c>
      <c r="R1242" s="24" t="n">
        <f aca="false">Q1242-'DCF Base Case'!$B$5</f>
        <v>163.846372554136</v>
      </c>
      <c r="S1242" s="32" t="n">
        <f aca="false">R1242/'DCF Base Case'!$B$6</f>
        <v>6.55385490216545</v>
      </c>
    </row>
    <row r="1243" customFormat="false" ht="15" hidden="false" customHeight="true" outlineLevel="0" collapsed="false">
      <c r="A1243" s="6" t="n">
        <v>1242</v>
      </c>
      <c r="B1243" s="30" t="n">
        <v>0.0943710383374777</v>
      </c>
      <c r="C1243" s="30" t="n">
        <v>0.439307804293378</v>
      </c>
      <c r="D1243" s="30" t="n">
        <v>0.097469625938066</v>
      </c>
      <c r="E1243" s="30" t="n">
        <v>0.27986129790127</v>
      </c>
      <c r="F1243" s="30" t="n">
        <v>0.0113046477013752</v>
      </c>
      <c r="G1243" s="30" t="n">
        <v>0.143187284848996</v>
      </c>
      <c r="H1243" s="31" t="n">
        <f aca="false">MAX(D1243,F1243+0.015)</f>
        <v>0.097469625938066</v>
      </c>
      <c r="I1243" s="25" t="n">
        <f aca="false">(C1243-'DCF Base Case'!$B$3)*(1-E1243)+'DCF Base Case'!$B$3-G1243</f>
        <v>0.209557235883845</v>
      </c>
      <c r="J1243" s="24" t="n">
        <f aca="false">'DCF Base Case'!$B$2*(1+B1243)^1*$I1243-'DCF Base Case'!$B$2*(1+B1243)^0*B1243*'DCF Base Case'!$B$4</f>
        <v>32.8428246079056</v>
      </c>
      <c r="K1243" s="24" t="n">
        <f aca="false">'DCF Base Case'!$B$2*(1+B1243)^2*$I1243-'DCF Base Case'!$B$2*(1+B1243)^1*B1243*'DCF Base Case'!$B$4</f>
        <v>35.9422360680893</v>
      </c>
      <c r="L1243" s="24" t="n">
        <f aca="false">'DCF Base Case'!$B$2*(1+B1243)^3*$I1243-'DCF Base Case'!$B$2*(1+B1243)^2*B1243*'DCF Base Case'!$B$4</f>
        <v>39.3341422060057</v>
      </c>
      <c r="M1243" s="24" t="n">
        <f aca="false">'DCF Base Case'!$B$2*(1+B1243)^4*$I1243-'DCF Base Case'!$B$2*(1+B1243)^3*B1243*'DCF Base Case'!$B$4</f>
        <v>43.0461460481004</v>
      </c>
      <c r="N1243" s="24" t="n">
        <f aca="false">'DCF Base Case'!$B$2*(1+B1243)^5*$I1243-'DCF Base Case'!$B$2*(1+B1243)^4*B1243*'DCF Base Case'!$B$4</f>
        <v>47.1084555470864</v>
      </c>
      <c r="O1243" s="24" t="n">
        <f aca="false">J1243/(1+H1243)^1+K1243/(1+H1243)^2+L1243/(1+H1243)^3+M1243/(1+H1243)^4+N1243/(1+H1243)^5</f>
        <v>148.78722079734</v>
      </c>
      <c r="P1243" s="24" t="n">
        <f aca="false">N1243*(1+F1243)/(H1243-F1243)</f>
        <v>552.904451619945</v>
      </c>
      <c r="Q1243" s="24" t="n">
        <f aca="false">O1243+P1243/(1+H1243)^5</f>
        <v>496.07343168305</v>
      </c>
      <c r="R1243" s="24" t="n">
        <f aca="false">Q1243-'DCF Base Case'!$B$5</f>
        <v>311.07343168305</v>
      </c>
      <c r="S1243" s="32" t="n">
        <f aca="false">R1243/'DCF Base Case'!$B$6</f>
        <v>12.442937267322</v>
      </c>
    </row>
    <row r="1244" customFormat="false" ht="15" hidden="false" customHeight="true" outlineLevel="0" collapsed="false">
      <c r="A1244" s="6" t="n">
        <v>1243</v>
      </c>
      <c r="B1244" s="30" t="n">
        <v>0.106635941379926</v>
      </c>
      <c r="C1244" s="30" t="n">
        <v>0.386608570606614</v>
      </c>
      <c r="D1244" s="30" t="n">
        <v>0.0814063815255436</v>
      </c>
      <c r="E1244" s="30" t="n">
        <v>0.289682049787703</v>
      </c>
      <c r="F1244" s="30" t="n">
        <v>0.0244507996451969</v>
      </c>
      <c r="G1244" s="30" t="n">
        <v>0.153623740903189</v>
      </c>
      <c r="H1244" s="31" t="n">
        <f aca="false">MAX(D1244,F1244+0.015)</f>
        <v>0.0814063815255436</v>
      </c>
      <c r="I1244" s="25" t="n">
        <f aca="false">(C1244-'DCF Base Case'!$B$3)*(1-E1244)+'DCF Base Case'!$B$3-G1244</f>
        <v>0.158649932977009</v>
      </c>
      <c r="J1244" s="24" t="n">
        <f aca="false">'DCF Base Case'!$B$2*(1+B1244)^1*$I1244-'DCF Base Case'!$B$2*(1+B1244)^0*B1244*'DCF Base Case'!$B$4</f>
        <v>24.9934527548291</v>
      </c>
      <c r="K1244" s="24" t="n">
        <f aca="false">'DCF Base Case'!$B$2*(1+B1244)^2*$I1244-'DCF Base Case'!$B$2*(1+B1244)^1*B1244*'DCF Base Case'!$B$4</f>
        <v>27.658653117675</v>
      </c>
      <c r="L1244" s="24" t="n">
        <f aca="false">'DCF Base Case'!$B$2*(1+B1244)^3*$I1244-'DCF Base Case'!$B$2*(1+B1244)^2*B1244*'DCF Base Case'!$B$4</f>
        <v>30.6080596301791</v>
      </c>
      <c r="M1244" s="24" t="n">
        <f aca="false">'DCF Base Case'!$B$2*(1+B1244)^4*$I1244-'DCF Base Case'!$B$2*(1+B1244)^3*B1244*'DCF Base Case'!$B$4</f>
        <v>33.8719788826561</v>
      </c>
      <c r="N1244" s="24" t="n">
        <f aca="false">'DCF Base Case'!$B$2*(1+B1244)^5*$I1244-'DCF Base Case'!$B$2*(1+B1244)^4*B1244*'DCF Base Case'!$B$4</f>
        <v>37.4839492372091</v>
      </c>
      <c r="O1244" s="24" t="n">
        <f aca="false">J1244/(1+H1244)^1+K1244/(1+H1244)^2+L1244/(1+H1244)^3+M1244/(1+H1244)^4+N1244/(1+H1244)^5</f>
        <v>121.079322152386</v>
      </c>
      <c r="P1244" s="24" t="n">
        <f aca="false">N1244*(1+F1244)/(H1244-F1244)</f>
        <v>674.217706187099</v>
      </c>
      <c r="Q1244" s="24" t="n">
        <f aca="false">O1244+P1244/(1+H1244)^5</f>
        <v>576.964543097205</v>
      </c>
      <c r="R1244" s="24" t="n">
        <f aca="false">Q1244-'DCF Base Case'!$B$5</f>
        <v>391.964543097205</v>
      </c>
      <c r="S1244" s="32" t="n">
        <f aca="false">R1244/'DCF Base Case'!$B$6</f>
        <v>15.6785817238882</v>
      </c>
    </row>
    <row r="1245" customFormat="false" ht="15" hidden="false" customHeight="true" outlineLevel="0" collapsed="false">
      <c r="A1245" s="6" t="n">
        <v>1244</v>
      </c>
      <c r="B1245" s="30" t="n">
        <v>0.0760523122521847</v>
      </c>
      <c r="C1245" s="30" t="n">
        <v>0.408491738572133</v>
      </c>
      <c r="D1245" s="30" t="n">
        <v>0.0888600426679111</v>
      </c>
      <c r="E1245" s="30" t="n">
        <v>0.275456085755685</v>
      </c>
      <c r="F1245" s="30" t="n">
        <v>0.0231071267911374</v>
      </c>
      <c r="G1245" s="30" t="n">
        <v>0.149127547638068</v>
      </c>
      <c r="H1245" s="31" t="n">
        <f aca="false">MAX(D1245,F1245+0.015)</f>
        <v>0.0888600426679111</v>
      </c>
      <c r="I1245" s="25" t="n">
        <f aca="false">(C1245-'DCF Base Case'!$B$3)*(1-E1245)+'DCF Base Case'!$B$3-G1245</f>
        <v>0.18265194671169</v>
      </c>
      <c r="J1245" s="24" t="n">
        <f aca="false">'DCF Base Case'!$B$2*(1+B1245)^1*$I1245-'DCF Base Case'!$B$2*(1+B1245)^0*B1245*'DCF Base Case'!$B$4</f>
        <v>28.1679146331921</v>
      </c>
      <c r="K1245" s="24" t="n">
        <f aca="false">'DCF Base Case'!$B$2*(1+B1245)^2*$I1245-'DCF Base Case'!$B$2*(1+B1245)^1*B1245*'DCF Base Case'!$B$4</f>
        <v>30.3101496723685</v>
      </c>
      <c r="L1245" s="24" t="n">
        <f aca="false">'DCF Base Case'!$B$2*(1+B1245)^3*$I1245-'DCF Base Case'!$B$2*(1+B1245)^2*B1245*'DCF Base Case'!$B$4</f>
        <v>32.6153066396619</v>
      </c>
      <c r="M1245" s="24" t="n">
        <f aca="false">'DCF Base Case'!$B$2*(1+B1245)^4*$I1245-'DCF Base Case'!$B$2*(1+B1245)^3*B1245*'DCF Base Case'!$B$4</f>
        <v>35.0957761244223</v>
      </c>
      <c r="N1245" s="24" t="n">
        <f aca="false">'DCF Base Case'!$B$2*(1+B1245)^5*$I1245-'DCF Base Case'!$B$2*(1+B1245)^4*B1245*'DCF Base Case'!$B$4</f>
        <v>37.7648910489696</v>
      </c>
      <c r="O1245" s="24" t="n">
        <f aca="false">J1245/(1+H1245)^1+K1245/(1+H1245)^2+L1245/(1+H1245)^3+M1245/(1+H1245)^4+N1245/(1+H1245)^5</f>
        <v>126.338607981608</v>
      </c>
      <c r="P1245" s="24" t="n">
        <f aca="false">N1245*(1+F1245)/(H1245-F1245)</f>
        <v>587.616969673277</v>
      </c>
      <c r="Q1245" s="24" t="n">
        <f aca="false">O1245+P1245/(1+H1245)^5</f>
        <v>510.25267383647</v>
      </c>
      <c r="R1245" s="24" t="n">
        <f aca="false">Q1245-'DCF Base Case'!$B$5</f>
        <v>325.25267383647</v>
      </c>
      <c r="S1245" s="32" t="n">
        <f aca="false">R1245/'DCF Base Case'!$B$6</f>
        <v>13.0101069534588</v>
      </c>
    </row>
    <row r="1246" customFormat="false" ht="15" hidden="false" customHeight="true" outlineLevel="0" collapsed="false">
      <c r="A1246" s="6" t="n">
        <v>1245</v>
      </c>
      <c r="B1246" s="30" t="n">
        <v>0.0924511918094507</v>
      </c>
      <c r="C1246" s="30" t="n">
        <v>0.424051265645198</v>
      </c>
      <c r="D1246" s="30" t="n">
        <v>0.0805974390910356</v>
      </c>
      <c r="E1246" s="30" t="n">
        <v>0.305443275989998</v>
      </c>
      <c r="F1246" s="30" t="n">
        <v>0.0198924817219856</v>
      </c>
      <c r="G1246" s="30" t="n">
        <v>0.184074986936442</v>
      </c>
      <c r="H1246" s="31" t="n">
        <f aca="false">MAX(D1246,F1246+0.015)</f>
        <v>0.0805974390910356</v>
      </c>
      <c r="I1246" s="25" t="n">
        <f aca="false">(C1246-'DCF Base Case'!$B$3)*(1-E1246)+'DCF Base Case'!$B$3-G1246</f>
        <v>0.150160296821082</v>
      </c>
      <c r="J1246" s="24" t="n">
        <f aca="false">'DCF Base Case'!$B$2*(1+B1246)^1*$I1246-'DCF Base Case'!$B$2*(1+B1246)^0*B1246*'DCF Base Case'!$B$4</f>
        <v>23.3840426232034</v>
      </c>
      <c r="K1246" s="24" t="n">
        <f aca="false">'DCF Base Case'!$B$2*(1+B1246)^2*$I1246-'DCF Base Case'!$B$2*(1+B1246)^1*B1246*'DCF Base Case'!$B$4</f>
        <v>25.5459252330415</v>
      </c>
      <c r="L1246" s="24" t="n">
        <f aca="false">'DCF Base Case'!$B$2*(1+B1246)^3*$I1246-'DCF Base Case'!$B$2*(1+B1246)^2*B1246*'DCF Base Case'!$B$4</f>
        <v>27.9076764667113</v>
      </c>
      <c r="M1246" s="24" t="n">
        <f aca="false">'DCF Base Case'!$B$2*(1+B1246)^4*$I1246-'DCF Base Case'!$B$2*(1+B1246)^3*B1246*'DCF Base Case'!$B$4</f>
        <v>30.4877744166913</v>
      </c>
      <c r="N1246" s="24" t="n">
        <f aca="false">'DCF Base Case'!$B$2*(1+B1246)^5*$I1246-'DCF Base Case'!$B$2*(1+B1246)^4*B1246*'DCF Base Case'!$B$4</f>
        <v>33.3064054971321</v>
      </c>
      <c r="O1246" s="24" t="n">
        <f aca="false">J1246/(1+H1246)^1+K1246/(1+H1246)^2+L1246/(1+H1246)^3+M1246/(1+H1246)^4+N1246/(1+H1246)^5</f>
        <v>110.599604244871</v>
      </c>
      <c r="P1246" s="24" t="n">
        <f aca="false">N1246*(1+F1246)/(H1246-F1246)</f>
        <v>559.57460530279</v>
      </c>
      <c r="Q1246" s="24" t="n">
        <f aca="false">O1246+P1246/(1+H1246)^5</f>
        <v>490.385058429292</v>
      </c>
      <c r="R1246" s="24" t="n">
        <f aca="false">Q1246-'DCF Base Case'!$B$5</f>
        <v>305.385058429292</v>
      </c>
      <c r="S1246" s="32" t="n">
        <f aca="false">R1246/'DCF Base Case'!$B$6</f>
        <v>12.2154023371717</v>
      </c>
    </row>
    <row r="1247" customFormat="false" ht="15" hidden="false" customHeight="true" outlineLevel="0" collapsed="false">
      <c r="A1247" s="6" t="n">
        <v>1246</v>
      </c>
      <c r="B1247" s="30" t="n">
        <v>0.0940083060475651</v>
      </c>
      <c r="C1247" s="30" t="n">
        <v>0.423282268508057</v>
      </c>
      <c r="D1247" s="30" t="n">
        <v>0.0780436906746571</v>
      </c>
      <c r="E1247" s="30" t="n">
        <v>0.264645091192643</v>
      </c>
      <c r="F1247" s="30" t="n">
        <v>0.0236934034935338</v>
      </c>
      <c r="G1247" s="30" t="n">
        <v>0.180310118783618</v>
      </c>
      <c r="H1247" s="31" t="n">
        <f aca="false">MAX(D1247,F1247+0.015)</f>
        <v>0.0780436906746571</v>
      </c>
      <c r="I1247" s="25" t="n">
        <f aca="false">(C1247-'DCF Base Case'!$B$3)*(1-E1247)+'DCF Base Case'!$B$3-G1247</f>
        <v>0.165356437029939</v>
      </c>
      <c r="J1247" s="24" t="n">
        <f aca="false">'DCF Base Case'!$B$2*(1+B1247)^1*$I1247-'DCF Base Case'!$B$2*(1+B1247)^0*B1247*'DCF Base Case'!$B$4</f>
        <v>25.8217546262248</v>
      </c>
      <c r="K1247" s="24" t="n">
        <f aca="false">'DCF Base Case'!$B$2*(1+B1247)^2*$I1247-'DCF Base Case'!$B$2*(1+B1247)^1*B1247*'DCF Base Case'!$B$4</f>
        <v>28.2492140378121</v>
      </c>
      <c r="L1247" s="24" t="n">
        <f aca="false">'DCF Base Case'!$B$2*(1+B1247)^3*$I1247-'DCF Base Case'!$B$2*(1+B1247)^2*B1247*'DCF Base Case'!$B$4</f>
        <v>30.9048747966819</v>
      </c>
      <c r="M1247" s="24" t="n">
        <f aca="false">'DCF Base Case'!$B$2*(1+B1247)^4*$I1247-'DCF Base Case'!$B$2*(1+B1247)^3*B1247*'DCF Base Case'!$B$4</f>
        <v>33.8101897249301</v>
      </c>
      <c r="N1247" s="24" t="n">
        <f aca="false">'DCF Base Case'!$B$2*(1+B1247)^5*$I1247-'DCF Base Case'!$B$2*(1+B1247)^4*B1247*'DCF Base Case'!$B$4</f>
        <v>36.9886283881176</v>
      </c>
      <c r="O1247" s="24" t="n">
        <f aca="false">J1247/(1+H1247)^1+K1247/(1+H1247)^2+L1247/(1+H1247)^3+M1247/(1+H1247)^4+N1247/(1+H1247)^5</f>
        <v>123.362099593938</v>
      </c>
      <c r="P1247" s="24" t="n">
        <f aca="false">N1247*(1+F1247)/(H1247-F1247)</f>
        <v>696.684725123968</v>
      </c>
      <c r="Q1247" s="24" t="n">
        <f aca="false">O1247+P1247/(1+H1247)^5</f>
        <v>601.831840713531</v>
      </c>
      <c r="R1247" s="24" t="n">
        <f aca="false">Q1247-'DCF Base Case'!$B$5</f>
        <v>416.831840713531</v>
      </c>
      <c r="S1247" s="32" t="n">
        <f aca="false">R1247/'DCF Base Case'!$B$6</f>
        <v>16.6732736285412</v>
      </c>
    </row>
    <row r="1248" customFormat="false" ht="15" hidden="false" customHeight="true" outlineLevel="0" collapsed="false">
      <c r="A1248" s="6" t="n">
        <v>1247</v>
      </c>
      <c r="B1248" s="30" t="n">
        <v>0.0676732865758108</v>
      </c>
      <c r="C1248" s="30" t="n">
        <v>0.410509266098538</v>
      </c>
      <c r="D1248" s="30" t="n">
        <v>0.0588884634111103</v>
      </c>
      <c r="E1248" s="30" t="n">
        <v>0.265748834137947</v>
      </c>
      <c r="F1248" s="30" t="n">
        <v>0.0228004976016868</v>
      </c>
      <c r="G1248" s="30" t="n">
        <v>0.162565035711466</v>
      </c>
      <c r="H1248" s="31" t="n">
        <f aca="false">MAX(D1248,F1248+0.015)</f>
        <v>0.0588884634111103</v>
      </c>
      <c r="I1248" s="25" t="n">
        <f aca="false">(C1248-'DCF Base Case'!$B$3)*(1-E1248)+'DCF Base Case'!$B$3-G1248</f>
        <v>0.173399219956494</v>
      </c>
      <c r="J1248" s="24" t="n">
        <f aca="false">'DCF Base Case'!$B$2*(1+B1248)^1*$I1248-'DCF Base Case'!$B$2*(1+B1248)^0*B1248*'DCF Base Case'!$B$4</f>
        <v>26.5500098871869</v>
      </c>
      <c r="K1248" s="24" t="n">
        <f aca="false">'DCF Base Case'!$B$2*(1+B1248)^2*$I1248-'DCF Base Case'!$B$2*(1+B1248)^1*B1248*'DCF Base Case'!$B$4</f>
        <v>28.3467363148731</v>
      </c>
      <c r="L1248" s="24" t="n">
        <f aca="false">'DCF Base Case'!$B$2*(1+B1248)^3*$I1248-'DCF Base Case'!$B$2*(1+B1248)^2*B1248*'DCF Base Case'!$B$4</f>
        <v>30.2650531249985</v>
      </c>
      <c r="M1248" s="24" t="n">
        <f aca="false">'DCF Base Case'!$B$2*(1+B1248)^4*$I1248-'DCF Base Case'!$B$2*(1+B1248)^3*B1248*'DCF Base Case'!$B$4</f>
        <v>32.3131887383586</v>
      </c>
      <c r="N1248" s="24" t="n">
        <f aca="false">'DCF Base Case'!$B$2*(1+B1248)^5*$I1248-'DCF Base Case'!$B$2*(1+B1248)^4*B1248*'DCF Base Case'!$B$4</f>
        <v>34.4999284200278</v>
      </c>
      <c r="O1248" s="24" t="n">
        <f aca="false">J1248/(1+H1248)^1+K1248/(1+H1248)^2+L1248/(1+H1248)^3+M1248/(1+H1248)^4+N1248/(1+H1248)^5</f>
        <v>127.464850204316</v>
      </c>
      <c r="P1248" s="24" t="n">
        <f aca="false">N1248*(1+F1248)/(H1248-F1248)</f>
        <v>977.792545625079</v>
      </c>
      <c r="Q1248" s="24" t="n">
        <f aca="false">O1248+P1248/(1+H1248)^5</f>
        <v>861.971341971579</v>
      </c>
      <c r="R1248" s="24" t="n">
        <f aca="false">Q1248-'DCF Base Case'!$B$5</f>
        <v>676.971341971579</v>
      </c>
      <c r="S1248" s="32" t="n">
        <f aca="false">R1248/'DCF Base Case'!$B$6</f>
        <v>27.0788536788632</v>
      </c>
    </row>
    <row r="1249" customFormat="false" ht="15" hidden="false" customHeight="true" outlineLevel="0" collapsed="false">
      <c r="A1249" s="6" t="n">
        <v>1248</v>
      </c>
      <c r="B1249" s="30" t="n">
        <v>0.09240438953168</v>
      </c>
      <c r="C1249" s="30" t="n">
        <v>0.364011457036643</v>
      </c>
      <c r="D1249" s="30" t="n">
        <v>0.0806852102005023</v>
      </c>
      <c r="E1249" s="30" t="n">
        <v>0.289675607219451</v>
      </c>
      <c r="F1249" s="30" t="n">
        <v>0.0210105370095707</v>
      </c>
      <c r="G1249" s="30" t="n">
        <v>0.18825708176102</v>
      </c>
      <c r="H1249" s="31" t="n">
        <f aca="false">MAX(D1249,F1249+0.015)</f>
        <v>0.0806852102005023</v>
      </c>
      <c r="I1249" s="25" t="n">
        <f aca="false">(C1249-'DCF Base Case'!$B$3)*(1-E1249)+'DCF Base Case'!$B$3-G1249</f>
        <v>0.107966964362225</v>
      </c>
      <c r="J1249" s="24" t="n">
        <f aca="false">'DCF Base Case'!$B$2*(1+B1249)^1*$I1249-'DCF Base Case'!$B$2*(1+B1249)^0*B1249*'DCF Base Case'!$B$4</f>
        <v>16.6998608456244</v>
      </c>
      <c r="K1249" s="24" t="n">
        <f aca="false">'DCF Base Case'!$B$2*(1+B1249)^2*$I1249-'DCF Base Case'!$B$2*(1+B1249)^1*B1249*'DCF Base Case'!$B$4</f>
        <v>18.2430012923283</v>
      </c>
      <c r="L1249" s="24" t="n">
        <f aca="false">'DCF Base Case'!$B$2*(1+B1249)^3*$I1249-'DCF Base Case'!$B$2*(1+B1249)^2*B1249*'DCF Base Case'!$B$4</f>
        <v>19.9287346899716</v>
      </c>
      <c r="M1249" s="24" t="n">
        <f aca="false">'DCF Base Case'!$B$2*(1+B1249)^4*$I1249-'DCF Base Case'!$B$2*(1+B1249)^3*B1249*'DCF Base Case'!$B$4</f>
        <v>21.7702372531372</v>
      </c>
      <c r="N1249" s="24" t="n">
        <f aca="false">'DCF Base Case'!$B$2*(1+B1249)^5*$I1249-'DCF Base Case'!$B$2*(1+B1249)^4*B1249*'DCF Base Case'!$B$4</f>
        <v>23.7819027364732</v>
      </c>
      <c r="O1249" s="24" t="n">
        <f aca="false">J1249/(1+H1249)^1+K1249/(1+H1249)^2+L1249/(1+H1249)^3+M1249/(1+H1249)^4+N1249/(1+H1249)^5</f>
        <v>78.9591797346456</v>
      </c>
      <c r="P1249" s="24" t="n">
        <f aca="false">N1249*(1+F1249)/(H1249-F1249)</f>
        <v>406.899141389279</v>
      </c>
      <c r="Q1249" s="24" t="n">
        <f aca="false">O1249+P1249/(1+H1249)^5</f>
        <v>355.01107535573</v>
      </c>
      <c r="R1249" s="24" t="n">
        <f aca="false">Q1249-'DCF Base Case'!$B$5</f>
        <v>170.01107535573</v>
      </c>
      <c r="S1249" s="32" t="n">
        <f aca="false">R1249/'DCF Base Case'!$B$6</f>
        <v>6.80044301422919</v>
      </c>
    </row>
    <row r="1250" customFormat="false" ht="15" hidden="false" customHeight="true" outlineLevel="0" collapsed="false">
      <c r="A1250" s="6" t="n">
        <v>1249</v>
      </c>
      <c r="B1250" s="30" t="n">
        <v>0.0856471934353501</v>
      </c>
      <c r="C1250" s="30" t="n">
        <v>0.409569619177117</v>
      </c>
      <c r="D1250" s="30" t="n">
        <v>0.0703467082764915</v>
      </c>
      <c r="E1250" s="30" t="n">
        <v>0.274156954908967</v>
      </c>
      <c r="F1250" s="30" t="n">
        <v>0.0142569239770176</v>
      </c>
      <c r="G1250" s="30" t="n">
        <v>0.131368476946563</v>
      </c>
      <c r="H1250" s="31" t="n">
        <f aca="false">MAX(D1250,F1250+0.015)</f>
        <v>0.0703467082764915</v>
      </c>
      <c r="I1250" s="25" t="n">
        <f aca="false">(C1250-'DCF Base Case'!$B$3)*(1-E1250)+'DCF Base Case'!$B$3-G1250</f>
        <v>0.201555186751896</v>
      </c>
      <c r="J1250" s="24" t="n">
        <f aca="false">'DCF Base Case'!$B$2*(1+B1250)^1*$I1250-'DCF Base Case'!$B$2*(1+B1250)^0*B1250*'DCF Base Case'!$B$4</f>
        <v>31.3560190173886</v>
      </c>
      <c r="K1250" s="24" t="n">
        <f aca="false">'DCF Base Case'!$B$2*(1+B1250)^2*$I1250-'DCF Base Case'!$B$2*(1+B1250)^1*B1250*'DCF Base Case'!$B$4</f>
        <v>34.0415740435334</v>
      </c>
      <c r="L1250" s="24" t="n">
        <f aca="false">'DCF Base Case'!$B$2*(1+B1250)^3*$I1250-'DCF Base Case'!$B$2*(1+B1250)^2*B1250*'DCF Base Case'!$B$4</f>
        <v>36.9571393204837</v>
      </c>
      <c r="M1250" s="24" t="n">
        <f aca="false">'DCF Base Case'!$B$2*(1+B1250)^4*$I1250-'DCF Base Case'!$B$2*(1+B1250)^3*B1250*'DCF Base Case'!$B$4</f>
        <v>40.1224145806824</v>
      </c>
      <c r="N1250" s="24" t="n">
        <f aca="false">'DCF Base Case'!$B$2*(1+B1250)^5*$I1250-'DCF Base Case'!$B$2*(1+B1250)^4*B1250*'DCF Base Case'!$B$4</f>
        <v>43.5587867833674</v>
      </c>
      <c r="O1250" s="24" t="n">
        <f aca="false">J1250/(1+H1250)^1+K1250/(1+H1250)^2+L1250/(1+H1250)^3+M1250/(1+H1250)^4+N1250/(1+H1250)^5</f>
        <v>150.723998732135</v>
      </c>
      <c r="P1250" s="24" t="n">
        <f aca="false">N1250*(1+F1250)/(H1250-F1250)</f>
        <v>787.662167841201</v>
      </c>
      <c r="Q1250" s="24" t="n">
        <f aca="false">O1250+P1250/(1+H1250)^5</f>
        <v>711.407268653279</v>
      </c>
      <c r="R1250" s="24" t="n">
        <f aca="false">Q1250-'DCF Base Case'!$B$5</f>
        <v>526.407268653279</v>
      </c>
      <c r="S1250" s="32" t="n">
        <f aca="false">R1250/'DCF Base Case'!$B$6</f>
        <v>21.0562907461312</v>
      </c>
    </row>
    <row r="1251" customFormat="false" ht="15" hidden="false" customHeight="true" outlineLevel="0" collapsed="false">
      <c r="A1251" s="6" t="n">
        <v>1250</v>
      </c>
      <c r="B1251" s="30" t="n">
        <v>0.0663553703914016</v>
      </c>
      <c r="C1251" s="30" t="n">
        <v>0.43544823447578</v>
      </c>
      <c r="D1251" s="30" t="n">
        <v>0.082023826783354</v>
      </c>
      <c r="E1251" s="30" t="n">
        <v>0.286058346912</v>
      </c>
      <c r="F1251" s="30" t="n">
        <v>0.0172914587250311</v>
      </c>
      <c r="G1251" s="30" t="n">
        <v>0.132113246721306</v>
      </c>
      <c r="H1251" s="31" t="n">
        <f aca="false">MAX(D1251,F1251+0.015)</f>
        <v>0.082023826783354</v>
      </c>
      <c r="I1251" s="25" t="n">
        <f aca="false">(C1251-'DCF Base Case'!$B$3)*(1-E1251)+'DCF Base Case'!$B$3-G1251</f>
        <v>0.215958970733143</v>
      </c>
      <c r="J1251" s="24" t="n">
        <f aca="false">'DCF Base Case'!$B$2*(1+B1251)^1*$I1251-'DCF Base Case'!$B$2*(1+B1251)^0*B1251*'DCF Base Case'!$B$4</f>
        <v>33.103260331493</v>
      </c>
      <c r="K1251" s="24" t="n">
        <f aca="false">'DCF Base Case'!$B$2*(1+B1251)^2*$I1251-'DCF Base Case'!$B$2*(1+B1251)^1*B1251*'DCF Base Case'!$B$4</f>
        <v>35.2998394319522</v>
      </c>
      <c r="L1251" s="24" t="n">
        <f aca="false">'DCF Base Case'!$B$2*(1+B1251)^3*$I1251-'DCF Base Case'!$B$2*(1+B1251)^2*B1251*'DCF Base Case'!$B$4</f>
        <v>37.6421733522164</v>
      </c>
      <c r="M1251" s="24" t="n">
        <f aca="false">'DCF Base Case'!$B$2*(1+B1251)^4*$I1251-'DCF Base Case'!$B$2*(1+B1251)^3*B1251*'DCF Base Case'!$B$4</f>
        <v>40.1399337073401</v>
      </c>
      <c r="N1251" s="24" t="n">
        <f aca="false">'DCF Base Case'!$B$2*(1+B1251)^5*$I1251-'DCF Base Case'!$B$2*(1+B1251)^4*B1251*'DCF Base Case'!$B$4</f>
        <v>42.803433875977</v>
      </c>
      <c r="O1251" s="24" t="n">
        <f aca="false">J1251/(1+H1251)^1+K1251/(1+H1251)^2+L1251/(1+H1251)^3+M1251/(1+H1251)^4+N1251/(1+H1251)^5</f>
        <v>148.602673039469</v>
      </c>
      <c r="P1251" s="24" t="n">
        <f aca="false">N1251*(1+F1251)/(H1251-F1251)</f>
        <v>672.670705432882</v>
      </c>
      <c r="Q1251" s="24" t="n">
        <f aca="false">O1251+P1251/(1+H1251)^5</f>
        <v>602.14559457891</v>
      </c>
      <c r="R1251" s="24" t="n">
        <f aca="false">Q1251-'DCF Base Case'!$B$5</f>
        <v>417.14559457891</v>
      </c>
      <c r="S1251" s="32" t="n">
        <f aca="false">R1251/'DCF Base Case'!$B$6</f>
        <v>16.6858237831564</v>
      </c>
    </row>
    <row r="1252" customFormat="false" ht="15" hidden="false" customHeight="true" outlineLevel="0" collapsed="false">
      <c r="A1252" s="6" t="n">
        <v>1251</v>
      </c>
      <c r="B1252" s="30" t="n">
        <v>0.110452794291263</v>
      </c>
      <c r="C1252" s="30" t="n">
        <v>0.376228783263487</v>
      </c>
      <c r="D1252" s="30" t="n">
        <v>0.0788972805552918</v>
      </c>
      <c r="E1252" s="30" t="n">
        <v>0.278127920247737</v>
      </c>
      <c r="F1252" s="30" t="n">
        <v>0.020174544059721</v>
      </c>
      <c r="G1252" s="30" t="n">
        <v>0.150579435393702</v>
      </c>
      <c r="H1252" s="31" t="n">
        <f aca="false">MAX(D1252,F1252+0.015)</f>
        <v>0.0788972805552918</v>
      </c>
      <c r="I1252" s="25" t="n">
        <f aca="false">(C1252-'DCF Base Case'!$B$3)*(1-E1252)+'DCF Base Case'!$B$3-G1252</f>
        <v>0.157166248475581</v>
      </c>
      <c r="J1252" s="24" t="n">
        <f aca="false">'DCF Base Case'!$B$2*(1+B1252)^1*$I1252-'DCF Base Case'!$B$2*(1+B1252)^0*B1252*'DCF Base Case'!$B$4</f>
        <v>24.8257568140906</v>
      </c>
      <c r="K1252" s="24" t="n">
        <f aca="false">'DCF Base Case'!$B$2*(1+B1252)^2*$I1252-'DCF Base Case'!$B$2*(1+B1252)^1*B1252*'DCF Base Case'!$B$4</f>
        <v>27.5678310246023</v>
      </c>
      <c r="L1252" s="24" t="n">
        <f aca="false">'DCF Base Case'!$B$2*(1+B1252)^3*$I1252-'DCF Base Case'!$B$2*(1+B1252)^2*B1252*'DCF Base Case'!$B$4</f>
        <v>30.612774993819</v>
      </c>
      <c r="M1252" s="24" t="n">
        <f aca="false">'DCF Base Case'!$B$2*(1+B1252)^4*$I1252-'DCF Base Case'!$B$2*(1+B1252)^3*B1252*'DCF Base Case'!$B$4</f>
        <v>33.994041532896</v>
      </c>
      <c r="N1252" s="24" t="n">
        <f aca="false">'DCF Base Case'!$B$2*(1+B1252)^5*$I1252-'DCF Base Case'!$B$2*(1+B1252)^4*B1252*'DCF Base Case'!$B$4</f>
        <v>37.7487784094576</v>
      </c>
      <c r="O1252" s="24" t="n">
        <f aca="false">J1252/(1+H1252)^1+K1252/(1+H1252)^2+L1252/(1+H1252)^3+M1252/(1+H1252)^4+N1252/(1+H1252)^5</f>
        <v>121.981304862194</v>
      </c>
      <c r="P1252" s="24" t="n">
        <f aca="false">N1252*(1+F1252)/(H1252-F1252)</f>
        <v>655.799526740115</v>
      </c>
      <c r="Q1252" s="24" t="n">
        <f aca="false">O1252+P1252/(1+H1252)^5</f>
        <v>570.593016018417</v>
      </c>
      <c r="R1252" s="24" t="n">
        <f aca="false">Q1252-'DCF Base Case'!$B$5</f>
        <v>385.593016018417</v>
      </c>
      <c r="S1252" s="32" t="n">
        <f aca="false">R1252/'DCF Base Case'!$B$6</f>
        <v>15.4237206407367</v>
      </c>
    </row>
    <row r="1253" customFormat="false" ht="15" hidden="false" customHeight="true" outlineLevel="0" collapsed="false">
      <c r="A1253" s="6" t="n">
        <v>1252</v>
      </c>
      <c r="B1253" s="30" t="n">
        <v>0.0528518560099094</v>
      </c>
      <c r="C1253" s="30" t="n">
        <v>0.382140804072195</v>
      </c>
      <c r="D1253" s="30" t="n">
        <v>0.0767636621361837</v>
      </c>
      <c r="E1253" s="30" t="n">
        <v>0.262110079645152</v>
      </c>
      <c r="F1253" s="30" t="n">
        <v>0.0228321702528437</v>
      </c>
      <c r="G1253" s="30" t="n">
        <v>0.141208462729402</v>
      </c>
      <c r="H1253" s="31" t="n">
        <f aca="false">MAX(D1253,F1253+0.015)</f>
        <v>0.0767636621361837</v>
      </c>
      <c r="I1253" s="25" t="n">
        <f aca="false">(C1253-'DCF Base Case'!$B$3)*(1-E1253)+'DCF Base Case'!$B$3-G1253</f>
        <v>0.174843695105637</v>
      </c>
      <c r="J1253" s="24" t="n">
        <f aca="false">'DCF Base Case'!$B$2*(1+B1253)^1*$I1253-'DCF Base Case'!$B$2*(1+B1253)^0*B1253*'DCF Base Case'!$B$4</f>
        <v>26.462348217379</v>
      </c>
      <c r="K1253" s="24" t="n">
        <f aca="false">'DCF Base Case'!$B$2*(1+B1253)^2*$I1253-'DCF Base Case'!$B$2*(1+B1253)^1*B1253*'DCF Base Case'!$B$4</f>
        <v>27.860932435048</v>
      </c>
      <c r="L1253" s="24" t="n">
        <f aca="false">'DCF Base Case'!$B$2*(1+B1253)^3*$I1253-'DCF Base Case'!$B$2*(1+B1253)^2*B1253*'DCF Base Case'!$B$4</f>
        <v>29.333434424407</v>
      </c>
      <c r="M1253" s="24" t="n">
        <f aca="false">'DCF Base Case'!$B$2*(1+B1253)^4*$I1253-'DCF Base Case'!$B$2*(1+B1253)^3*B1253*'DCF Base Case'!$B$4</f>
        <v>30.8837608768819</v>
      </c>
      <c r="N1253" s="24" t="n">
        <f aca="false">'DCF Base Case'!$B$2*(1+B1253)^5*$I1253-'DCF Base Case'!$B$2*(1+B1253)^4*B1253*'DCF Base Case'!$B$4</f>
        <v>32.5160249597913</v>
      </c>
      <c r="O1253" s="24" t="n">
        <f aca="false">J1253/(1+H1253)^1+K1253/(1+H1253)^2+L1253/(1+H1253)^3+M1253/(1+H1253)^4+N1253/(1+H1253)^5</f>
        <v>117.541370924334</v>
      </c>
      <c r="P1253" s="24" t="n">
        <f aca="false">N1253*(1+F1253)/(H1253-F1253)</f>
        <v>616.67933180044</v>
      </c>
      <c r="Q1253" s="24" t="n">
        <f aca="false">O1253+P1253/(1+H1253)^5</f>
        <v>543.588299572352</v>
      </c>
      <c r="R1253" s="24" t="n">
        <f aca="false">Q1253-'DCF Base Case'!$B$5</f>
        <v>358.588299572352</v>
      </c>
      <c r="S1253" s="32" t="n">
        <f aca="false">R1253/'DCF Base Case'!$B$6</f>
        <v>14.3435319828941</v>
      </c>
    </row>
    <row r="1254" customFormat="false" ht="15" hidden="false" customHeight="true" outlineLevel="0" collapsed="false">
      <c r="A1254" s="6" t="n">
        <v>1253</v>
      </c>
      <c r="B1254" s="30" t="n">
        <v>0.0963127507510456</v>
      </c>
      <c r="C1254" s="30" t="n">
        <v>0.420005415634193</v>
      </c>
      <c r="D1254" s="30" t="n">
        <v>0.0955650058521884</v>
      </c>
      <c r="E1254" s="30" t="n">
        <v>0.276011764401291</v>
      </c>
      <c r="F1254" s="30" t="n">
        <v>0.0221948671755917</v>
      </c>
      <c r="G1254" s="30" t="n">
        <v>0.161603025759186</v>
      </c>
      <c r="H1254" s="31" t="n">
        <f aca="false">MAX(D1254,F1254+0.015)</f>
        <v>0.0955650058521884</v>
      </c>
      <c r="I1254" s="25" t="n">
        <f aca="false">(C1254-'DCF Base Case'!$B$3)*(1-E1254)+'DCF Base Case'!$B$3-G1254</f>
        <v>0.178357483419884</v>
      </c>
      <c r="J1254" s="24" t="n">
        <f aca="false">'DCF Base Case'!$B$2*(1+B1254)^1*$I1254-'DCF Base Case'!$B$2*(1+B1254)^0*B1254*'DCF Base Case'!$B$4</f>
        <v>27.9336991076705</v>
      </c>
      <c r="K1254" s="24" t="n">
        <f aca="false">'DCF Base Case'!$B$2*(1+B1254)^2*$I1254-'DCF Base Case'!$B$2*(1+B1254)^1*B1254*'DCF Base Case'!$B$4</f>
        <v>30.6240705073823</v>
      </c>
      <c r="L1254" s="24" t="n">
        <f aca="false">'DCF Base Case'!$B$2*(1+B1254)^3*$I1254-'DCF Base Case'!$B$2*(1+B1254)^2*B1254*'DCF Base Case'!$B$4</f>
        <v>33.5735589771423</v>
      </c>
      <c r="M1254" s="24" t="n">
        <f aca="false">'DCF Base Case'!$B$2*(1+B1254)^4*$I1254-'DCF Base Case'!$B$2*(1+B1254)^3*B1254*'DCF Base Case'!$B$4</f>
        <v>36.8071207947333</v>
      </c>
      <c r="N1254" s="24" t="n">
        <f aca="false">'DCF Base Case'!$B$2*(1+B1254)^5*$I1254-'DCF Base Case'!$B$2*(1+B1254)^4*B1254*'DCF Base Case'!$B$4</f>
        <v>40.3521158457001</v>
      </c>
      <c r="O1254" s="24" t="n">
        <f aca="false">J1254/(1+H1254)^1+K1254/(1+H1254)^2+L1254/(1+H1254)^3+M1254/(1+H1254)^4+N1254/(1+H1254)^5</f>
        <v>127.659498076745</v>
      </c>
      <c r="P1254" s="24" t="n">
        <f aca="false">N1254*(1+F1254)/(H1254-F1254)</f>
        <v>562.186830243875</v>
      </c>
      <c r="Q1254" s="24" t="n">
        <f aca="false">O1254+P1254/(1+H1254)^5</f>
        <v>483.856212355819</v>
      </c>
      <c r="R1254" s="24" t="n">
        <f aca="false">Q1254-'DCF Base Case'!$B$5</f>
        <v>298.856212355819</v>
      </c>
      <c r="S1254" s="32" t="n">
        <f aca="false">R1254/'DCF Base Case'!$B$6</f>
        <v>11.9542484942327</v>
      </c>
    </row>
    <row r="1255" customFormat="false" ht="15" hidden="false" customHeight="true" outlineLevel="0" collapsed="false">
      <c r="A1255" s="6" t="n">
        <v>1254</v>
      </c>
      <c r="B1255" s="30" t="n">
        <v>0.0992567973828546</v>
      </c>
      <c r="C1255" s="30" t="n">
        <v>0.385050339993783</v>
      </c>
      <c r="D1255" s="30" t="n">
        <v>0.0559789411607978</v>
      </c>
      <c r="E1255" s="30" t="n">
        <v>0.290893757543783</v>
      </c>
      <c r="F1255" s="30" t="n">
        <v>0.0208872661509939</v>
      </c>
      <c r="G1255" s="30" t="n">
        <v>0.176373323391111</v>
      </c>
      <c r="H1255" s="31" t="n">
        <f aca="false">MAX(D1255,F1255+0.015)</f>
        <v>0.0559789411607978</v>
      </c>
      <c r="I1255" s="25" t="n">
        <f aca="false">(C1255-'DCF Base Case'!$B$3)*(1-E1255)+'DCF Base Case'!$B$3-G1255</f>
        <v>0.134484464839061</v>
      </c>
      <c r="J1255" s="24" t="n">
        <f aca="false">'DCF Base Case'!$B$2*(1+B1255)^1*$I1255-'DCF Base Case'!$B$2*(1+B1255)^0*B1255*'DCF Base Case'!$B$4</f>
        <v>21.0040124383109</v>
      </c>
      <c r="K1255" s="24" t="n">
        <f aca="false">'DCF Base Case'!$B$2*(1+B1255)^2*$I1255-'DCF Base Case'!$B$2*(1+B1255)^1*B1255*'DCF Base Case'!$B$4</f>
        <v>23.0888034451273</v>
      </c>
      <c r="L1255" s="24" t="n">
        <f aca="false">'DCF Base Case'!$B$2*(1+B1255)^3*$I1255-'DCF Base Case'!$B$2*(1+B1255)^2*B1255*'DCF Base Case'!$B$4</f>
        <v>25.3805241304929</v>
      </c>
      <c r="M1255" s="24" t="n">
        <f aca="false">'DCF Base Case'!$B$2*(1+B1255)^4*$I1255-'DCF Base Case'!$B$2*(1+B1255)^3*B1255*'DCF Base Case'!$B$4</f>
        <v>27.8997136715839</v>
      </c>
      <c r="N1255" s="24" t="n">
        <f aca="false">'DCF Base Case'!$B$2*(1+B1255)^5*$I1255-'DCF Base Case'!$B$2*(1+B1255)^4*B1255*'DCF Base Case'!$B$4</f>
        <v>30.6689498985239</v>
      </c>
      <c r="O1255" s="24" t="n">
        <f aca="false">J1255/(1+H1255)^1+K1255/(1+H1255)^2+L1255/(1+H1255)^3+M1255/(1+H1255)^4+N1255/(1+H1255)^5</f>
        <v>107.945670151876</v>
      </c>
      <c r="P1255" s="24" t="n">
        <f aca="false">N1255*(1+F1255)/(H1255-F1255)</f>
        <v>892.221314852558</v>
      </c>
      <c r="Q1255" s="24" t="n">
        <f aca="false">O1255+P1255/(1+H1255)^5</f>
        <v>787.45638188955</v>
      </c>
      <c r="R1255" s="24" t="n">
        <f aca="false">Q1255-'DCF Base Case'!$B$5</f>
        <v>602.45638188955</v>
      </c>
      <c r="S1255" s="32" t="n">
        <f aca="false">R1255/'DCF Base Case'!$B$6</f>
        <v>24.098255275582</v>
      </c>
    </row>
    <row r="1256" customFormat="false" ht="15" hidden="false" customHeight="true" outlineLevel="0" collapsed="false">
      <c r="A1256" s="6" t="n">
        <v>1255</v>
      </c>
      <c r="B1256" s="30" t="n">
        <v>0.07871789331989</v>
      </c>
      <c r="C1256" s="30" t="n">
        <v>0.438758519516184</v>
      </c>
      <c r="D1256" s="30" t="n">
        <v>0.0799413440268928</v>
      </c>
      <c r="E1256" s="30" t="n">
        <v>0.292245996160879</v>
      </c>
      <c r="F1256" s="30" t="n">
        <v>0.0214808067752487</v>
      </c>
      <c r="G1256" s="30" t="n">
        <v>0.203969245560194</v>
      </c>
      <c r="H1256" s="31" t="n">
        <f aca="false">MAX(D1256,F1256+0.015)</f>
        <v>0.0799413440268928</v>
      </c>
      <c r="I1256" s="25" t="n">
        <f aca="false">(C1256-'DCF Base Case'!$B$3)*(1-E1256)+'DCF Base Case'!$B$3-G1256</f>
        <v>0.144555832846825</v>
      </c>
      <c r="J1256" s="24" t="n">
        <f aca="false">'DCF Base Case'!$B$2*(1+B1256)^1*$I1256-'DCF Base Case'!$B$2*(1+B1256)^0*B1256*'DCF Base Case'!$B$4</f>
        <v>22.2681468680247</v>
      </c>
      <c r="K1256" s="24" t="n">
        <f aca="false">'DCF Base Case'!$B$2*(1+B1256)^2*$I1256-'DCF Base Case'!$B$2*(1+B1256)^1*B1256*'DCF Base Case'!$B$4</f>
        <v>24.0210484776135</v>
      </c>
      <c r="L1256" s="24" t="n">
        <f aca="false">'DCF Base Case'!$B$2*(1+B1256)^3*$I1256-'DCF Base Case'!$B$2*(1+B1256)^2*B1256*'DCF Base Case'!$B$4</f>
        <v>25.9119348091062</v>
      </c>
      <c r="M1256" s="24" t="n">
        <f aca="false">'DCF Base Case'!$B$2*(1+B1256)^4*$I1256-'DCF Base Case'!$B$2*(1+B1256)^3*B1256*'DCF Base Case'!$B$4</f>
        <v>27.9516677291213</v>
      </c>
      <c r="N1256" s="24" t="n">
        <f aca="false">'DCF Base Case'!$B$2*(1+B1256)^5*$I1256-'DCF Base Case'!$B$2*(1+B1256)^4*B1256*'DCF Base Case'!$B$4</f>
        <v>30.1519641275353</v>
      </c>
      <c r="O1256" s="24" t="n">
        <f aca="false">J1256/(1+H1256)^1+K1256/(1+H1256)^2+L1256/(1+H1256)^3+M1256/(1+H1256)^4+N1256/(1+H1256)^5</f>
        <v>102.865537849352</v>
      </c>
      <c r="P1256" s="24" t="n">
        <f aca="false">N1256*(1+F1256)/(H1256-F1256)</f>
        <v>526.845186356664</v>
      </c>
      <c r="Q1256" s="24" t="n">
        <f aca="false">O1256+P1256/(1+H1256)^5</f>
        <v>461.52490444193</v>
      </c>
      <c r="R1256" s="24" t="n">
        <f aca="false">Q1256-'DCF Base Case'!$B$5</f>
        <v>276.52490444193</v>
      </c>
      <c r="S1256" s="32" t="n">
        <f aca="false">R1256/'DCF Base Case'!$B$6</f>
        <v>11.0609961776772</v>
      </c>
    </row>
    <row r="1257" customFormat="false" ht="15" hidden="false" customHeight="true" outlineLevel="0" collapsed="false">
      <c r="A1257" s="6" t="n">
        <v>1256</v>
      </c>
      <c r="B1257" s="30" t="n">
        <v>0.08333650676063</v>
      </c>
      <c r="C1257" s="30" t="n">
        <v>0.39754113878295</v>
      </c>
      <c r="D1257" s="30" t="n">
        <v>0.0685204007714315</v>
      </c>
      <c r="E1257" s="30" t="n">
        <v>0.325569620459026</v>
      </c>
      <c r="F1257" s="30" t="n">
        <v>0.0208520312838846</v>
      </c>
      <c r="G1257" s="30" t="n">
        <v>0.175824053792011</v>
      </c>
      <c r="H1257" s="31" t="n">
        <f aca="false">MAX(D1257,F1257+0.015)</f>
        <v>0.0685204007714315</v>
      </c>
      <c r="I1257" s="25" t="n">
        <f aca="false">(C1257-'DCF Base Case'!$B$3)*(1-E1257)+'DCF Base Case'!$B$3-G1257</f>
        <v>0.134613817980198</v>
      </c>
      <c r="J1257" s="24" t="n">
        <f aca="false">'DCF Base Case'!$B$2*(1+B1257)^1*$I1257-'DCF Base Case'!$B$2*(1+B1257)^0*B1257*'DCF Base Case'!$B$4</f>
        <v>20.7831353787863</v>
      </c>
      <c r="K1257" s="24" t="n">
        <f aca="false">'DCF Base Case'!$B$2*(1+B1257)^2*$I1257-'DCF Base Case'!$B$2*(1+B1257)^1*B1257*'DCF Base Case'!$B$4</f>
        <v>22.5151292807876</v>
      </c>
      <c r="L1257" s="24" t="n">
        <f aca="false">'DCF Base Case'!$B$2*(1+B1257)^3*$I1257-'DCF Base Case'!$B$2*(1+B1257)^2*B1257*'DCF Base Case'!$B$4</f>
        <v>24.3914615043124</v>
      </c>
      <c r="M1257" s="24" t="n">
        <f aca="false">'DCF Base Case'!$B$2*(1+B1257)^4*$I1257-'DCF Base Case'!$B$2*(1+B1257)^3*B1257*'DCF Base Case'!$B$4</f>
        <v>26.4241607008682</v>
      </c>
      <c r="N1257" s="24" t="n">
        <f aca="false">'DCF Base Case'!$B$2*(1+B1257)^5*$I1257-'DCF Base Case'!$B$2*(1+B1257)^4*B1257*'DCF Base Case'!$B$4</f>
        <v>28.62625794776</v>
      </c>
      <c r="O1257" s="24" t="n">
        <f aca="false">J1257/(1+H1257)^1+K1257/(1+H1257)^2+L1257/(1+H1257)^3+M1257/(1+H1257)^4+N1257/(1+H1257)^5</f>
        <v>99.986582837307</v>
      </c>
      <c r="P1257" s="24" t="n">
        <f aca="false">N1257*(1+F1257)/(H1257-F1257)</f>
        <v>613.051671122539</v>
      </c>
      <c r="Q1257" s="24" t="n">
        <f aca="false">O1257+P1257/(1+H1257)^5</f>
        <v>540.118626920288</v>
      </c>
      <c r="R1257" s="24" t="n">
        <f aca="false">Q1257-'DCF Base Case'!$B$5</f>
        <v>355.118626920288</v>
      </c>
      <c r="S1257" s="32" t="n">
        <f aca="false">R1257/'DCF Base Case'!$B$6</f>
        <v>14.2047450768115</v>
      </c>
    </row>
    <row r="1258" customFormat="false" ht="15" hidden="false" customHeight="true" outlineLevel="0" collapsed="false">
      <c r="A1258" s="6" t="n">
        <v>1257</v>
      </c>
      <c r="B1258" s="30" t="n">
        <v>0.137861747511183</v>
      </c>
      <c r="C1258" s="30" t="n">
        <v>0.441949197687471</v>
      </c>
      <c r="D1258" s="30" t="n">
        <v>0.0706744645438997</v>
      </c>
      <c r="E1258" s="30" t="n">
        <v>0.274377211855777</v>
      </c>
      <c r="F1258" s="30" t="n">
        <v>0.0153708442462354</v>
      </c>
      <c r="G1258" s="30" t="n">
        <v>0.157207583041168</v>
      </c>
      <c r="H1258" s="31" t="n">
        <f aca="false">MAX(D1258,F1258+0.015)</f>
        <v>0.0706744645438997</v>
      </c>
      <c r="I1258" s="25" t="n">
        <f aca="false">(C1258-'DCF Base Case'!$B$3)*(1-E1258)+'DCF Base Case'!$B$3-G1258</f>
        <v>0.199149863544168</v>
      </c>
      <c r="J1258" s="24" t="n">
        <f aca="false">'DCF Base Case'!$B$2*(1+B1258)^1*$I1258-'DCF Base Case'!$B$2*(1+B1258)^0*B1258*'DCF Base Case'!$B$4</f>
        <v>32.2580281019286</v>
      </c>
      <c r="K1258" s="24" t="n">
        <f aca="false">'DCF Base Case'!$B$2*(1+B1258)^2*$I1258-'DCF Base Case'!$B$2*(1+B1258)^1*B1258*'DCF Base Case'!$B$4</f>
        <v>36.7051762273253</v>
      </c>
      <c r="L1258" s="24" t="n">
        <f aca="false">'DCF Base Case'!$B$2*(1+B1258)^3*$I1258-'DCF Base Case'!$B$2*(1+B1258)^2*B1258*'DCF Base Case'!$B$4</f>
        <v>41.7654159647303</v>
      </c>
      <c r="M1258" s="24" t="n">
        <f aca="false">'DCF Base Case'!$B$2*(1+B1258)^4*$I1258-'DCF Base Case'!$B$2*(1+B1258)^3*B1258*'DCF Base Case'!$B$4</f>
        <v>47.5232691951595</v>
      </c>
      <c r="N1258" s="24" t="n">
        <f aca="false">'DCF Base Case'!$B$2*(1+B1258)^5*$I1258-'DCF Base Case'!$B$2*(1+B1258)^4*B1258*'DCF Base Case'!$B$4</f>
        <v>54.0749101338485</v>
      </c>
      <c r="O1258" s="24" t="n">
        <f aca="false">J1258/(1+H1258)^1+K1258/(1+H1258)^2+L1258/(1+H1258)^3+M1258/(1+H1258)^4+N1258/(1+H1258)^5</f>
        <v>170.774058781523</v>
      </c>
      <c r="P1258" s="24" t="n">
        <f aca="false">N1258*(1+F1258)/(H1258-F1258)</f>
        <v>992.811806164234</v>
      </c>
      <c r="Q1258" s="24" t="n">
        <f aca="false">O1258+P1258/(1+H1258)^5</f>
        <v>876.408399739067</v>
      </c>
      <c r="R1258" s="24" t="n">
        <f aca="false">Q1258-'DCF Base Case'!$B$5</f>
        <v>691.408399739067</v>
      </c>
      <c r="S1258" s="32" t="n">
        <f aca="false">R1258/'DCF Base Case'!$B$6</f>
        <v>27.6563359895627</v>
      </c>
    </row>
    <row r="1259" customFormat="false" ht="15" hidden="false" customHeight="true" outlineLevel="0" collapsed="false">
      <c r="A1259" s="6" t="n">
        <v>1258</v>
      </c>
      <c r="B1259" s="30" t="n">
        <v>0.08145027622595</v>
      </c>
      <c r="C1259" s="30" t="n">
        <v>0.398328465759641</v>
      </c>
      <c r="D1259" s="30" t="n">
        <v>0.0696738924410906</v>
      </c>
      <c r="E1259" s="30" t="n">
        <v>0.326530944207043</v>
      </c>
      <c r="F1259" s="30" t="n">
        <v>0.0204143243509728</v>
      </c>
      <c r="G1259" s="30" t="n">
        <v>0.160542756833773</v>
      </c>
      <c r="H1259" s="31" t="n">
        <f aca="false">MAX(D1259,F1259+0.015)</f>
        <v>0.0696738924410906</v>
      </c>
      <c r="I1259" s="25" t="n">
        <f aca="false">(C1259-'DCF Base Case'!$B$3)*(1-E1259)+'DCF Base Case'!$B$3-G1259</f>
        <v>0.150168161643745</v>
      </c>
      <c r="J1259" s="24" t="n">
        <f aca="false">'DCF Base Case'!$B$2*(1+B1259)^1*$I1259-'DCF Base Case'!$B$2*(1+B1259)^0*B1259*'DCF Base Case'!$B$4</f>
        <v>23.193604282463</v>
      </c>
      <c r="K1259" s="24" t="n">
        <f aca="false">'DCF Base Case'!$B$2*(1+B1259)^2*$I1259-'DCF Base Case'!$B$2*(1+B1259)^1*B1259*'DCF Base Case'!$B$4</f>
        <v>25.0827297579449</v>
      </c>
      <c r="L1259" s="24" t="n">
        <f aca="false">'DCF Base Case'!$B$2*(1+B1259)^3*$I1259-'DCF Base Case'!$B$2*(1+B1259)^2*B1259*'DCF Base Case'!$B$4</f>
        <v>27.1257250252304</v>
      </c>
      <c r="M1259" s="24" t="n">
        <f aca="false">'DCF Base Case'!$B$2*(1+B1259)^4*$I1259-'DCF Base Case'!$B$2*(1+B1259)^3*B1259*'DCF Base Case'!$B$4</f>
        <v>29.3351228213646</v>
      </c>
      <c r="N1259" s="24" t="n">
        <f aca="false">'DCF Base Case'!$B$2*(1+B1259)^5*$I1259-'DCF Base Case'!$B$2*(1+B1259)^4*B1259*'DCF Base Case'!$B$4</f>
        <v>31.7244766782869</v>
      </c>
      <c r="O1259" s="24" t="n">
        <f aca="false">J1259/(1+H1259)^1+K1259/(1+H1259)^2+L1259/(1+H1259)^3+M1259/(1+H1259)^4+N1259/(1+H1259)^5</f>
        <v>110.827933303437</v>
      </c>
      <c r="P1259" s="24" t="n">
        <f aca="false">N1259*(1+F1259)/(H1259-F1259)</f>
        <v>657.174061612543</v>
      </c>
      <c r="Q1259" s="24" t="n">
        <f aca="false">O1259+P1259/(1+H1259)^5</f>
        <v>580.098627160738</v>
      </c>
      <c r="R1259" s="24" t="n">
        <f aca="false">Q1259-'DCF Base Case'!$B$5</f>
        <v>395.098627160738</v>
      </c>
      <c r="S1259" s="32" t="n">
        <f aca="false">R1259/'DCF Base Case'!$B$6</f>
        <v>15.8039450864295</v>
      </c>
    </row>
    <row r="1260" customFormat="false" ht="15" hidden="false" customHeight="true" outlineLevel="0" collapsed="false">
      <c r="A1260" s="6" t="n">
        <v>1259</v>
      </c>
      <c r="B1260" s="30" t="n">
        <v>0.106508664296046</v>
      </c>
      <c r="C1260" s="30" t="n">
        <v>0.429018998870112</v>
      </c>
      <c r="D1260" s="30" t="n">
        <v>0.0880325980601625</v>
      </c>
      <c r="E1260" s="30" t="n">
        <v>0.300582812416028</v>
      </c>
      <c r="F1260" s="30" t="n">
        <v>0.0198398556685918</v>
      </c>
      <c r="G1260" s="30" t="n">
        <v>0.181165094533563</v>
      </c>
      <c r="H1260" s="31" t="n">
        <f aca="false">MAX(D1260,F1260+0.015)</f>
        <v>0.0880325980601625</v>
      </c>
      <c r="I1260" s="25" t="n">
        <f aca="false">(C1260-'DCF Base Case'!$B$3)*(1-E1260)+'DCF Base Case'!$B$3-G1260</f>
        <v>0.157973932690346</v>
      </c>
      <c r="J1260" s="24" t="n">
        <f aca="false">'DCF Base Case'!$B$2*(1+B1260)^1*$I1260-'DCF Base Case'!$B$2*(1+B1260)^0*B1260*'DCF Base Case'!$B$4</f>
        <v>24.8826184722564</v>
      </c>
      <c r="K1260" s="24" t="n">
        <f aca="false">'DCF Base Case'!$B$2*(1+B1260)^2*$I1260-'DCF Base Case'!$B$2*(1+B1260)^1*B1260*'DCF Base Case'!$B$4</f>
        <v>27.5328329299246</v>
      </c>
      <c r="L1260" s="24" t="n">
        <f aca="false">'DCF Base Case'!$B$2*(1+B1260)^3*$I1260-'DCF Base Case'!$B$2*(1+B1260)^2*B1260*'DCF Base Case'!$B$4</f>
        <v>30.465318189577</v>
      </c>
      <c r="M1260" s="24" t="n">
        <f aca="false">'DCF Base Case'!$B$2*(1+B1260)^4*$I1260-'DCF Base Case'!$B$2*(1+B1260)^3*B1260*'DCF Base Case'!$B$4</f>
        <v>33.7101385373029</v>
      </c>
      <c r="N1260" s="24" t="n">
        <f aca="false">'DCF Base Case'!$B$2*(1+B1260)^5*$I1260-'DCF Base Case'!$B$2*(1+B1260)^4*B1260*'DCF Base Case'!$B$4</f>
        <v>37.3005603661457</v>
      </c>
      <c r="O1260" s="24" t="n">
        <f aca="false">J1260/(1+H1260)^1+K1260/(1+H1260)^2+L1260/(1+H1260)^3+M1260/(1+H1260)^4+N1260/(1+H1260)^5</f>
        <v>118.296836971772</v>
      </c>
      <c r="P1260" s="24" t="n">
        <f aca="false">N1260*(1+F1260)/(H1260-F1260)</f>
        <v>557.839394135729</v>
      </c>
      <c r="Q1260" s="24" t="n">
        <f aca="false">O1260+P1260/(1+H1260)^5</f>
        <v>484.143960050666</v>
      </c>
      <c r="R1260" s="24" t="n">
        <f aca="false">Q1260-'DCF Base Case'!$B$5</f>
        <v>299.143960050666</v>
      </c>
      <c r="S1260" s="32" t="n">
        <f aca="false">R1260/'DCF Base Case'!$B$6</f>
        <v>11.9657584020266</v>
      </c>
    </row>
    <row r="1261" customFormat="false" ht="15" hidden="false" customHeight="true" outlineLevel="0" collapsed="false">
      <c r="A1261" s="6" t="n">
        <v>1260</v>
      </c>
      <c r="B1261" s="30" t="n">
        <v>0.106407499602161</v>
      </c>
      <c r="C1261" s="30" t="n">
        <v>0.423192439030984</v>
      </c>
      <c r="D1261" s="30" t="n">
        <v>0.0825756605715427</v>
      </c>
      <c r="E1261" s="30" t="n">
        <v>0.325034112280383</v>
      </c>
      <c r="F1261" s="30" t="n">
        <v>0.017440633371833</v>
      </c>
      <c r="G1261" s="30" t="n">
        <v>0.174319628490232</v>
      </c>
      <c r="H1261" s="31" t="n">
        <f aca="false">MAX(D1261,F1261+0.015)</f>
        <v>0.0825756605715427</v>
      </c>
      <c r="I1261" s="25" t="n">
        <f aca="false">(C1261-'DCF Base Case'!$B$3)*(1-E1261)+'DCF Base Case'!$B$3-G1261</f>
        <v>0.153575266392996</v>
      </c>
      <c r="J1261" s="24" t="n">
        <f aca="false">'DCF Base Case'!$B$2*(1+B1261)^1*$I1261-'DCF Base Case'!$B$2*(1+B1261)^0*B1261*'DCF Base Case'!$B$4</f>
        <v>24.1750672178691</v>
      </c>
      <c r="K1261" s="24" t="n">
        <f aca="false">'DCF Base Case'!$B$2*(1+B1261)^2*$I1261-'DCF Base Case'!$B$2*(1+B1261)^1*B1261*'DCF Base Case'!$B$4</f>
        <v>26.7474756732367</v>
      </c>
      <c r="L1261" s="24" t="n">
        <f aca="false">'DCF Base Case'!$B$2*(1+B1261)^3*$I1261-'DCF Base Case'!$B$2*(1+B1261)^2*B1261*'DCF Base Case'!$B$4</f>
        <v>29.5936076802954</v>
      </c>
      <c r="M1261" s="24" t="n">
        <f aca="false">'DCF Base Case'!$B$2*(1+B1261)^4*$I1261-'DCF Base Case'!$B$2*(1+B1261)^3*B1261*'DCF Base Case'!$B$4</f>
        <v>32.742589477763</v>
      </c>
      <c r="N1261" s="24" t="n">
        <f aca="false">'DCF Base Case'!$B$2*(1+B1261)^5*$I1261-'DCF Base Case'!$B$2*(1+B1261)^4*B1261*'DCF Base Case'!$B$4</f>
        <v>36.2266465545918</v>
      </c>
      <c r="O1261" s="24" t="n">
        <f aca="false">J1261/(1+H1261)^1+K1261/(1+H1261)^2+L1261/(1+H1261)^3+M1261/(1+H1261)^4+N1261/(1+H1261)^5</f>
        <v>116.680704912477</v>
      </c>
      <c r="P1261" s="24" t="n">
        <f aca="false">N1261*(1+F1261)/(H1261-F1261)</f>
        <v>565.877743513181</v>
      </c>
      <c r="Q1261" s="24" t="n">
        <f aca="false">O1261+P1261/(1+H1261)^5</f>
        <v>497.247874032205</v>
      </c>
      <c r="R1261" s="24" t="n">
        <f aca="false">Q1261-'DCF Base Case'!$B$5</f>
        <v>312.247874032205</v>
      </c>
      <c r="S1261" s="32" t="n">
        <f aca="false">R1261/'DCF Base Case'!$B$6</f>
        <v>12.4899149612882</v>
      </c>
    </row>
    <row r="1262" customFormat="false" ht="15" hidden="false" customHeight="true" outlineLevel="0" collapsed="false">
      <c r="A1262" s="6" t="n">
        <v>1261</v>
      </c>
      <c r="B1262" s="30" t="n">
        <v>0.0988010563243642</v>
      </c>
      <c r="C1262" s="30" t="n">
        <v>0.404833335984052</v>
      </c>
      <c r="D1262" s="30" t="n">
        <v>0.0761139537615736</v>
      </c>
      <c r="E1262" s="30" t="n">
        <v>0.270508342812301</v>
      </c>
      <c r="F1262" s="30" t="n">
        <v>0.0173806862499686</v>
      </c>
      <c r="G1262" s="30" t="n">
        <v>0.137017905800976</v>
      </c>
      <c r="H1262" s="31" t="n">
        <f aca="false">MAX(D1262,F1262+0.015)</f>
        <v>0.0761139537615736</v>
      </c>
      <c r="I1262" s="25" t="n">
        <f aca="false">(C1262-'DCF Base Case'!$B$3)*(1-E1262)+'DCF Base Case'!$B$3-G1262</f>
        <v>0.193470719916454</v>
      </c>
      <c r="J1262" s="24" t="n">
        <f aca="false">'DCF Base Case'!$B$2*(1+B1262)^1*$I1262-'DCF Base Case'!$B$2*(1+B1262)^0*B1262*'DCF Base Case'!$B$4</f>
        <v>30.395160959734</v>
      </c>
      <c r="K1262" s="24" t="n">
        <f aca="false">'DCF Base Case'!$B$2*(1+B1262)^2*$I1262-'DCF Base Case'!$B$2*(1+B1262)^1*B1262*'DCF Base Case'!$B$4</f>
        <v>33.3982349697048</v>
      </c>
      <c r="L1262" s="24" t="n">
        <f aca="false">'DCF Base Case'!$B$2*(1+B1262)^3*$I1262-'DCF Base Case'!$B$2*(1+B1262)^2*B1262*'DCF Base Case'!$B$4</f>
        <v>36.698015864081</v>
      </c>
      <c r="M1262" s="24" t="n">
        <f aca="false">'DCF Base Case'!$B$2*(1+B1262)^4*$I1262-'DCF Base Case'!$B$2*(1+B1262)^3*B1262*'DCF Base Case'!$B$4</f>
        <v>40.3238185964605</v>
      </c>
      <c r="N1262" s="24" t="n">
        <f aca="false">'DCF Base Case'!$B$2*(1+B1262)^5*$I1262-'DCF Base Case'!$B$2*(1+B1262)^4*B1262*'DCF Base Case'!$B$4</f>
        <v>44.3078544688228</v>
      </c>
      <c r="O1262" s="24" t="n">
        <f aca="false">J1262/(1+H1262)^1+K1262/(1+H1262)^2+L1262/(1+H1262)^3+M1262/(1+H1262)^4+N1262/(1+H1262)^5</f>
        <v>147.308165181698</v>
      </c>
      <c r="P1262" s="24" t="n">
        <f aca="false">N1262*(1+F1262)/(H1262-F1262)</f>
        <v>767.502938208704</v>
      </c>
      <c r="Q1262" s="24" t="n">
        <f aca="false">O1262+P1262/(1+H1262)^5</f>
        <v>679.157637303099</v>
      </c>
      <c r="R1262" s="24" t="n">
        <f aca="false">Q1262-'DCF Base Case'!$B$5</f>
        <v>494.157637303099</v>
      </c>
      <c r="S1262" s="32" t="n">
        <f aca="false">R1262/'DCF Base Case'!$B$6</f>
        <v>19.766305492124</v>
      </c>
    </row>
    <row r="1263" customFormat="false" ht="15" hidden="false" customHeight="true" outlineLevel="0" collapsed="false">
      <c r="A1263" s="6" t="n">
        <v>1262</v>
      </c>
      <c r="B1263" s="30" t="n">
        <v>0.0758722368418852</v>
      </c>
      <c r="C1263" s="30" t="n">
        <v>0.41523700753023</v>
      </c>
      <c r="D1263" s="30" t="n">
        <v>0.0989253794256346</v>
      </c>
      <c r="E1263" s="30" t="n">
        <v>0.296450119316805</v>
      </c>
      <c r="F1263" s="30" t="n">
        <v>0.0109037782252804</v>
      </c>
      <c r="G1263" s="30" t="n">
        <v>0.180452861942282</v>
      </c>
      <c r="H1263" s="31" t="n">
        <f aca="false">MAX(D1263,F1263+0.015)</f>
        <v>0.0989253794256346</v>
      </c>
      <c r="I1263" s="25" t="n">
        <f aca="false">(C1263-'DCF Base Case'!$B$3)*(1-E1263)+'DCF Base Case'!$B$3-G1263</f>
        <v>0.150225600672043</v>
      </c>
      <c r="J1263" s="24" t="n">
        <f aca="false">'DCF Base Case'!$B$2*(1+B1263)^1*$I1263-'DCF Base Case'!$B$2*(1+B1263)^0*B1263*'DCF Base Case'!$B$4</f>
        <v>23.1053709585001</v>
      </c>
      <c r="K1263" s="24" t="n">
        <f aca="false">'DCF Base Case'!$B$2*(1+B1263)^2*$I1263-'DCF Base Case'!$B$2*(1+B1263)^1*B1263*'DCF Base Case'!$B$4</f>
        <v>24.858427136183</v>
      </c>
      <c r="L1263" s="24" t="n">
        <f aca="false">'DCF Base Case'!$B$2*(1+B1263)^3*$I1263-'DCF Base Case'!$B$2*(1+B1263)^2*B1263*'DCF Base Case'!$B$4</f>
        <v>26.7444916073762</v>
      </c>
      <c r="M1263" s="24" t="n">
        <f aca="false">'DCF Base Case'!$B$2*(1+B1263)^4*$I1263-'DCF Base Case'!$B$2*(1+B1263)^3*B1263*'DCF Base Case'!$B$4</f>
        <v>28.7736560088269</v>
      </c>
      <c r="N1263" s="24" t="n">
        <f aca="false">'DCF Base Case'!$B$2*(1+B1263)^5*$I1263-'DCF Base Case'!$B$2*(1+B1263)^4*B1263*'DCF Base Case'!$B$4</f>
        <v>30.9567776523355</v>
      </c>
      <c r="O1263" s="24" t="n">
        <f aca="false">J1263/(1+H1263)^1+K1263/(1+H1263)^2+L1263/(1+H1263)^3+M1263/(1+H1263)^4+N1263/(1+H1263)^5</f>
        <v>100.807984213357</v>
      </c>
      <c r="P1263" s="24" t="n">
        <f aca="false">N1263*(1+F1263)/(H1263-F1263)</f>
        <v>355.530041077007</v>
      </c>
      <c r="Q1263" s="24" t="n">
        <f aca="false">O1263+P1263/(1+H1263)^5</f>
        <v>322.645649487415</v>
      </c>
      <c r="R1263" s="24" t="n">
        <f aca="false">Q1263-'DCF Base Case'!$B$5</f>
        <v>137.645649487415</v>
      </c>
      <c r="S1263" s="32" t="n">
        <f aca="false">R1263/'DCF Base Case'!$B$6</f>
        <v>5.50582597949659</v>
      </c>
    </row>
    <row r="1264" customFormat="false" ht="15" hidden="false" customHeight="true" outlineLevel="0" collapsed="false">
      <c r="A1264" s="6" t="n">
        <v>1263</v>
      </c>
      <c r="B1264" s="30" t="n">
        <v>0.0779717243770083</v>
      </c>
      <c r="C1264" s="30" t="n">
        <v>0.419527769161123</v>
      </c>
      <c r="D1264" s="30" t="n">
        <v>0.0848445121486831</v>
      </c>
      <c r="E1264" s="30" t="n">
        <v>0.274459665696223</v>
      </c>
      <c r="F1264" s="30" t="n">
        <v>0.0189652014663211</v>
      </c>
      <c r="G1264" s="30" t="n">
        <v>0.164739964441653</v>
      </c>
      <c r="H1264" s="31" t="n">
        <f aca="false">MAX(D1264,F1264+0.015)</f>
        <v>0.0848445121486831</v>
      </c>
      <c r="I1264" s="25" t="n">
        <f aca="false">(C1264-'DCF Base Case'!$B$3)*(1-E1264)+'DCF Base Case'!$B$3-G1264</f>
        <v>0.175324109985735</v>
      </c>
      <c r="J1264" s="24" t="n">
        <f aca="false">'DCF Base Case'!$B$2*(1+B1264)^1*$I1264-'DCF Base Case'!$B$2*(1+B1264)^0*B1264*'DCF Base Case'!$B$4</f>
        <v>27.0650158080571</v>
      </c>
      <c r="K1264" s="24" t="n">
        <f aca="false">'DCF Base Case'!$B$2*(1+B1264)^2*$I1264-'DCF Base Case'!$B$2*(1+B1264)^1*B1264*'DCF Base Case'!$B$4</f>
        <v>29.1753217609023</v>
      </c>
      <c r="L1264" s="24" t="n">
        <f aca="false">'DCF Base Case'!$B$2*(1+B1264)^3*$I1264-'DCF Base Case'!$B$2*(1+B1264)^2*B1264*'DCF Base Case'!$B$4</f>
        <v>31.4501719078539</v>
      </c>
      <c r="M1264" s="24" t="n">
        <f aca="false">'DCF Base Case'!$B$2*(1+B1264)^4*$I1264-'DCF Base Case'!$B$2*(1+B1264)^3*B1264*'DCF Base Case'!$B$4</f>
        <v>33.9023960434627</v>
      </c>
      <c r="N1264" s="24" t="n">
        <f aca="false">'DCF Base Case'!$B$2*(1+B1264)^5*$I1264-'DCF Base Case'!$B$2*(1+B1264)^4*B1264*'DCF Base Case'!$B$4</f>
        <v>36.5458243234837</v>
      </c>
      <c r="O1264" s="24" t="n">
        <f aca="false">J1264/(1+H1264)^1+K1264/(1+H1264)^2+L1264/(1+H1264)^3+M1264/(1+H1264)^4+N1264/(1+H1264)^5</f>
        <v>123.170890268983</v>
      </c>
      <c r="P1264" s="24" t="n">
        <f aca="false">N1264*(1+F1264)/(H1264-F1264)</f>
        <v>565.259758470749</v>
      </c>
      <c r="Q1264" s="24" t="n">
        <f aca="false">O1264+P1264/(1+H1264)^5</f>
        <v>499.363783314217</v>
      </c>
      <c r="R1264" s="24" t="n">
        <f aca="false">Q1264-'DCF Base Case'!$B$5</f>
        <v>314.363783314217</v>
      </c>
      <c r="S1264" s="32" t="n">
        <f aca="false">R1264/'DCF Base Case'!$B$6</f>
        <v>12.5745513325687</v>
      </c>
    </row>
    <row r="1265" customFormat="false" ht="15" hidden="false" customHeight="true" outlineLevel="0" collapsed="false">
      <c r="A1265" s="6" t="n">
        <v>1264</v>
      </c>
      <c r="B1265" s="30" t="n">
        <v>0.118856592819653</v>
      </c>
      <c r="C1265" s="30" t="n">
        <v>0.423911805613274</v>
      </c>
      <c r="D1265" s="30" t="n">
        <v>0.0969408974649932</v>
      </c>
      <c r="E1265" s="30" t="n">
        <v>0.308539585762558</v>
      </c>
      <c r="F1265" s="30" t="n">
        <v>0.0217446753340387</v>
      </c>
      <c r="G1265" s="30" t="n">
        <v>0.132165452543078</v>
      </c>
      <c r="H1265" s="31" t="n">
        <f aca="false">MAX(D1265,F1265+0.015)</f>
        <v>0.0969408974649932</v>
      </c>
      <c r="I1265" s="25" t="n">
        <f aca="false">(C1265-'DCF Base Case'!$B$3)*(1-E1265)+'DCF Base Case'!$B$3-G1265</f>
        <v>0.201062926315551</v>
      </c>
      <c r="J1265" s="24" t="n">
        <f aca="false">'DCF Base Case'!$B$2*(1+B1265)^1*$I1265-'DCF Base Case'!$B$2*(1+B1265)^0*B1265*'DCF Base Case'!$B$4</f>
        <v>32.1022580198006</v>
      </c>
      <c r="K1265" s="24" t="n">
        <f aca="false">'DCF Base Case'!$B$2*(1+B1265)^2*$I1265-'DCF Base Case'!$B$2*(1+B1265)^1*B1265*'DCF Base Case'!$B$4</f>
        <v>35.9178230298515</v>
      </c>
      <c r="L1265" s="24" t="n">
        <f aca="false">'DCF Base Case'!$B$2*(1+B1265)^3*$I1265-'DCF Base Case'!$B$2*(1+B1265)^2*B1265*'DCF Base Case'!$B$4</f>
        <v>40.1868930966789</v>
      </c>
      <c r="M1265" s="24" t="n">
        <f aca="false">'DCF Base Case'!$B$2*(1+B1265)^4*$I1265-'DCF Base Case'!$B$2*(1+B1265)^3*B1265*'DCF Base Case'!$B$4</f>
        <v>44.9633702861578</v>
      </c>
      <c r="N1265" s="24" t="n">
        <f aca="false">'DCF Base Case'!$B$2*(1+B1265)^5*$I1265-'DCF Base Case'!$B$2*(1+B1265)^4*B1265*'DCF Base Case'!$B$4</f>
        <v>50.307563280059</v>
      </c>
      <c r="O1265" s="24" t="n">
        <f aca="false">J1265/(1+H1265)^1+K1265/(1+H1265)^2+L1265/(1+H1265)^3+M1265/(1+H1265)^4+N1265/(1+H1265)^5</f>
        <v>152.291157026391</v>
      </c>
      <c r="P1265" s="24" t="n">
        <f aca="false">N1265*(1+F1265)/(H1265-F1265)</f>
        <v>683.564725112315</v>
      </c>
      <c r="Q1265" s="24" t="n">
        <f aca="false">O1265+P1265/(1+H1265)^5</f>
        <v>582.682472834398</v>
      </c>
      <c r="R1265" s="24" t="n">
        <f aca="false">Q1265-'DCF Base Case'!$B$5</f>
        <v>397.682472834398</v>
      </c>
      <c r="S1265" s="32" t="n">
        <f aca="false">R1265/'DCF Base Case'!$B$6</f>
        <v>15.9072989133759</v>
      </c>
    </row>
    <row r="1266" customFormat="false" ht="15" hidden="false" customHeight="true" outlineLevel="0" collapsed="false">
      <c r="A1266" s="6" t="n">
        <v>1265</v>
      </c>
      <c r="B1266" s="30" t="n">
        <v>0.114302168241317</v>
      </c>
      <c r="C1266" s="30" t="n">
        <v>0.413933125876524</v>
      </c>
      <c r="D1266" s="30" t="n">
        <v>0.0928730000918225</v>
      </c>
      <c r="E1266" s="30" t="n">
        <v>0.259075221960005</v>
      </c>
      <c r="F1266" s="30" t="n">
        <v>0.0145441132383204</v>
      </c>
      <c r="G1266" s="30" t="n">
        <v>0.207986162200775</v>
      </c>
      <c r="H1266" s="31" t="n">
        <f aca="false">MAX(D1266,F1266+0.015)</f>
        <v>0.0928730000918225</v>
      </c>
      <c r="I1266" s="25" t="n">
        <f aca="false">(C1266-'DCF Base Case'!$B$3)*(1-E1266)+'DCF Base Case'!$B$3-G1266</f>
        <v>0.132386926067491</v>
      </c>
      <c r="J1266" s="24" t="n">
        <f aca="false">'DCF Base Case'!$B$2*(1+B1266)^1*$I1266-'DCF Base Case'!$B$2*(1+B1266)^0*B1266*'DCF Base Case'!$B$4</f>
        <v>20.8930461889024</v>
      </c>
      <c r="K1266" s="24" t="n">
        <f aca="false">'DCF Base Case'!$B$2*(1+B1266)^2*$I1266-'DCF Base Case'!$B$2*(1+B1266)^1*B1266*'DCF Base Case'!$B$4</f>
        <v>23.2811666694599</v>
      </c>
      <c r="L1266" s="24" t="n">
        <f aca="false">'DCF Base Case'!$B$2*(1+B1266)^3*$I1266-'DCF Base Case'!$B$2*(1+B1266)^2*B1266*'DCF Base Case'!$B$4</f>
        <v>25.9422544989666</v>
      </c>
      <c r="M1266" s="24" t="n">
        <f aca="false">'DCF Base Case'!$B$2*(1+B1266)^4*$I1266-'DCF Base Case'!$B$2*(1+B1266)^3*B1266*'DCF Base Case'!$B$4</f>
        <v>28.9075104372666</v>
      </c>
      <c r="N1266" s="24" t="n">
        <f aca="false">'DCF Base Case'!$B$2*(1+B1266)^5*$I1266-'DCF Base Case'!$B$2*(1+B1266)^4*B1266*'DCF Base Case'!$B$4</f>
        <v>32.2117015587047</v>
      </c>
      <c r="O1266" s="24" t="n">
        <f aca="false">J1266/(1+H1266)^1+K1266/(1+H1266)^2+L1266/(1+H1266)^3+M1266/(1+H1266)^4+N1266/(1+H1266)^5</f>
        <v>99.4105271633445</v>
      </c>
      <c r="P1266" s="24" t="n">
        <f aca="false">N1266*(1+F1266)/(H1266-F1266)</f>
        <v>417.2176256621</v>
      </c>
      <c r="Q1266" s="24" t="n">
        <f aca="false">O1266+P1266/(1+H1266)^5</f>
        <v>367.027814324012</v>
      </c>
      <c r="R1266" s="24" t="n">
        <f aca="false">Q1266-'DCF Base Case'!$B$5</f>
        <v>182.027814324012</v>
      </c>
      <c r="S1266" s="32" t="n">
        <f aca="false">R1266/'DCF Base Case'!$B$6</f>
        <v>7.28111257296046</v>
      </c>
    </row>
    <row r="1267" customFormat="false" ht="15" hidden="false" customHeight="true" outlineLevel="0" collapsed="false">
      <c r="A1267" s="6" t="n">
        <v>1266</v>
      </c>
      <c r="B1267" s="30" t="n">
        <v>0.0690936334051564</v>
      </c>
      <c r="C1267" s="30" t="n">
        <v>0.429664976885872</v>
      </c>
      <c r="D1267" s="30" t="n">
        <v>0.0863026235358017</v>
      </c>
      <c r="E1267" s="30" t="n">
        <v>0.268995486938399</v>
      </c>
      <c r="F1267" s="30" t="n">
        <v>0.0191853864324317</v>
      </c>
      <c r="G1267" s="30" t="n">
        <v>0.139658388099363</v>
      </c>
      <c r="H1267" s="31" t="n">
        <f aca="false">MAX(D1267,F1267+0.015)</f>
        <v>0.0863026235358017</v>
      </c>
      <c r="I1267" s="25" t="n">
        <f aca="false">(C1267-'DCF Base Case'!$B$3)*(1-E1267)+'DCF Base Case'!$B$3-G1267</f>
        <v>0.20939806241071</v>
      </c>
      <c r="J1267" s="24" t="n">
        <f aca="false">'DCF Base Case'!$B$2*(1+B1267)^1*$I1267-'DCF Base Case'!$B$2*(1+B1267)^0*B1267*'DCF Base Case'!$B$4</f>
        <v>32.1600323234341</v>
      </c>
      <c r="K1267" s="24" t="n">
        <f aca="false">'DCF Base Case'!$B$2*(1+B1267)^2*$I1267-'DCF Base Case'!$B$2*(1+B1267)^1*B1267*'DCF Base Case'!$B$4</f>
        <v>34.3820858070874</v>
      </c>
      <c r="L1267" s="24" t="n">
        <f aca="false">'DCF Base Case'!$B$2*(1+B1267)^3*$I1267-'DCF Base Case'!$B$2*(1+B1267)^2*B1267*'DCF Base Case'!$B$4</f>
        <v>36.7576690395469</v>
      </c>
      <c r="M1267" s="24" t="n">
        <f aca="false">'DCF Base Case'!$B$2*(1+B1267)^4*$I1267-'DCF Base Case'!$B$2*(1+B1267)^3*B1267*'DCF Base Case'!$B$4</f>
        <v>39.2973899489934</v>
      </c>
      <c r="N1267" s="24" t="n">
        <f aca="false">'DCF Base Case'!$B$2*(1+B1267)^5*$I1267-'DCF Base Case'!$B$2*(1+B1267)^4*B1267*'DCF Base Case'!$B$4</f>
        <v>42.0125894039087</v>
      </c>
      <c r="O1267" s="24" t="n">
        <f aca="false">J1267/(1+H1267)^1+K1267/(1+H1267)^2+L1267/(1+H1267)^3+M1267/(1+H1267)^4+N1267/(1+H1267)^5</f>
        <v>143.408938064968</v>
      </c>
      <c r="P1267" s="24" t="n">
        <f aca="false">N1267*(1+F1267)/(H1267-F1267)</f>
        <v>637.967517952252</v>
      </c>
      <c r="Q1267" s="24" t="n">
        <f aca="false">O1267+P1267/(1+H1267)^5</f>
        <v>565.148580219031</v>
      </c>
      <c r="R1267" s="24" t="n">
        <f aca="false">Q1267-'DCF Base Case'!$B$5</f>
        <v>380.148580219031</v>
      </c>
      <c r="S1267" s="32" t="n">
        <f aca="false">R1267/'DCF Base Case'!$B$6</f>
        <v>15.2059432087613</v>
      </c>
    </row>
    <row r="1268" customFormat="false" ht="15" hidden="false" customHeight="true" outlineLevel="0" collapsed="false">
      <c r="A1268" s="6" t="n">
        <v>1267</v>
      </c>
      <c r="B1268" s="30" t="n">
        <v>0.0897248916259508</v>
      </c>
      <c r="C1268" s="30" t="n">
        <v>0.390405726660517</v>
      </c>
      <c r="D1268" s="30" t="n">
        <v>0.0806501182625462</v>
      </c>
      <c r="E1268" s="30" t="n">
        <v>0.308091647344845</v>
      </c>
      <c r="F1268" s="30" t="n">
        <v>0.0202572636999397</v>
      </c>
      <c r="G1268" s="30" t="n">
        <v>0.136630991198993</v>
      </c>
      <c r="H1268" s="31" t="n">
        <f aca="false">MAX(D1268,F1268+0.015)</f>
        <v>0.0806501182625462</v>
      </c>
      <c r="I1268" s="25" t="n">
        <f aca="false">(C1268-'DCF Base Case'!$B$3)*(1-E1268)+'DCF Base Case'!$B$3-G1268</f>
        <v>0.173545906156654</v>
      </c>
      <c r="J1268" s="24" t="n">
        <f aca="false">'DCF Base Case'!$B$2*(1+B1268)^1*$I1268-'DCF Base Case'!$B$2*(1+B1268)^0*B1268*'DCF Base Case'!$B$4</f>
        <v>27.0317043193367</v>
      </c>
      <c r="K1268" s="24" t="n">
        <f aca="false">'DCF Base Case'!$B$2*(1+B1268)^2*$I1268-'DCF Base Case'!$B$2*(1+B1268)^1*B1268*'DCF Base Case'!$B$4</f>
        <v>29.457121059854</v>
      </c>
      <c r="L1268" s="24" t="n">
        <f aca="false">'DCF Base Case'!$B$2*(1+B1268)^3*$I1268-'DCF Base Case'!$B$2*(1+B1268)^2*B1268*'DCF Base Case'!$B$4</f>
        <v>32.1001580545619</v>
      </c>
      <c r="M1268" s="24" t="n">
        <f aca="false">'DCF Base Case'!$B$2*(1+B1268)^4*$I1268-'DCF Base Case'!$B$2*(1+B1268)^3*B1268*'DCF Base Case'!$B$4</f>
        <v>34.9803412571834</v>
      </c>
      <c r="N1268" s="24" t="n">
        <f aca="false">'DCF Base Case'!$B$2*(1+B1268)^5*$I1268-'DCF Base Case'!$B$2*(1+B1268)^4*B1268*'DCF Base Case'!$B$4</f>
        <v>38.1189485855229</v>
      </c>
      <c r="O1268" s="24" t="n">
        <f aca="false">J1268/(1+H1268)^1+K1268/(1+H1268)^2+L1268/(1+H1268)^3+M1268/(1+H1268)^4+N1268/(1+H1268)^5</f>
        <v>127.189783811559</v>
      </c>
      <c r="P1268" s="24" t="n">
        <f aca="false">N1268*(1+F1268)/(H1268-F1268)</f>
        <v>643.969132783211</v>
      </c>
      <c r="Q1268" s="24" t="n">
        <f aca="false">O1268+P1268/(1+H1268)^5</f>
        <v>564.147612059345</v>
      </c>
      <c r="R1268" s="24" t="n">
        <f aca="false">Q1268-'DCF Base Case'!$B$5</f>
        <v>379.147612059345</v>
      </c>
      <c r="S1268" s="32" t="n">
        <f aca="false">R1268/'DCF Base Case'!$B$6</f>
        <v>15.1659044823738</v>
      </c>
    </row>
    <row r="1269" customFormat="false" ht="15" hidden="false" customHeight="true" outlineLevel="0" collapsed="false">
      <c r="A1269" s="6" t="n">
        <v>1268</v>
      </c>
      <c r="B1269" s="30" t="n">
        <v>0.108595451921277</v>
      </c>
      <c r="C1269" s="30" t="n">
        <v>0.420737594428878</v>
      </c>
      <c r="D1269" s="30" t="n">
        <v>0.0790359620474973</v>
      </c>
      <c r="E1269" s="30" t="n">
        <v>0.302528619834184</v>
      </c>
      <c r="F1269" s="30" t="n">
        <v>0.0187109493850922</v>
      </c>
      <c r="G1269" s="30" t="n">
        <v>0.14207946542489</v>
      </c>
      <c r="H1269" s="31" t="n">
        <f aca="false">MAX(D1269,F1269+0.015)</f>
        <v>0.0790359620474973</v>
      </c>
      <c r="I1269" s="25" t="n">
        <f aca="false">(C1269-'DCF Base Case'!$B$3)*(1-E1269)+'DCF Base Case'!$B$3-G1269</f>
        <v>0.190701685827509</v>
      </c>
      <c r="J1269" s="24" t="n">
        <f aca="false">'DCF Base Case'!$B$2*(1+B1269)^1*$I1269-'DCF Base Case'!$B$2*(1+B1269)^0*B1269*'DCF Base Case'!$B$4</f>
        <v>30.1822079135464</v>
      </c>
      <c r="K1269" s="24" t="n">
        <f aca="false">'DCF Base Case'!$B$2*(1+B1269)^2*$I1269-'DCF Base Case'!$B$2*(1+B1269)^1*B1269*'DCF Base Case'!$B$4</f>
        <v>33.4598584219</v>
      </c>
      <c r="L1269" s="24" t="n">
        <f aca="false">'DCF Base Case'!$B$2*(1+B1269)^3*$I1269-'DCF Base Case'!$B$2*(1+B1269)^2*B1269*'DCF Base Case'!$B$4</f>
        <v>37.0934468684481</v>
      </c>
      <c r="M1269" s="24" t="n">
        <f aca="false">'DCF Base Case'!$B$2*(1+B1269)^4*$I1269-'DCF Base Case'!$B$2*(1+B1269)^3*B1269*'DCF Base Case'!$B$4</f>
        <v>41.1216264944451</v>
      </c>
      <c r="N1269" s="24" t="n">
        <f aca="false">'DCF Base Case'!$B$2*(1+B1269)^5*$I1269-'DCF Base Case'!$B$2*(1+B1269)^4*B1269*'DCF Base Case'!$B$4</f>
        <v>45.5872481073474</v>
      </c>
      <c r="O1269" s="24" t="n">
        <f aca="false">J1269/(1+H1269)^1+K1269/(1+H1269)^2+L1269/(1+H1269)^3+M1269/(1+H1269)^4+N1269/(1+H1269)^5</f>
        <v>147.732686499025</v>
      </c>
      <c r="P1269" s="24" t="n">
        <f aca="false">N1269*(1+F1269)/(H1269-F1269)</f>
        <v>769.833718215386</v>
      </c>
      <c r="Q1269" s="24" t="n">
        <f aca="false">O1269+P1269/(1+H1269)^5</f>
        <v>674.013253195021</v>
      </c>
      <c r="R1269" s="24" t="n">
        <f aca="false">Q1269-'DCF Base Case'!$B$5</f>
        <v>489.013253195021</v>
      </c>
      <c r="S1269" s="32" t="n">
        <f aca="false">R1269/'DCF Base Case'!$B$6</f>
        <v>19.5605301278009</v>
      </c>
    </row>
    <row r="1270" customFormat="false" ht="15" hidden="false" customHeight="true" outlineLevel="0" collapsed="false">
      <c r="A1270" s="6" t="n">
        <v>1269</v>
      </c>
      <c r="B1270" s="30" t="n">
        <v>0.127288796720439</v>
      </c>
      <c r="C1270" s="30" t="n">
        <v>0.427493331812185</v>
      </c>
      <c r="D1270" s="30" t="n">
        <v>0.0841047627506956</v>
      </c>
      <c r="E1270" s="30" t="n">
        <v>0.269332354784051</v>
      </c>
      <c r="F1270" s="30" t="n">
        <v>0.0235478286539419</v>
      </c>
      <c r="G1270" s="30" t="n">
        <v>0.15463142072465</v>
      </c>
      <c r="H1270" s="31" t="n">
        <f aca="false">MAX(D1270,F1270+0.015)</f>
        <v>0.0841047627506956</v>
      </c>
      <c r="I1270" s="25" t="n">
        <f aca="false">(C1270-'DCF Base Case'!$B$3)*(1-E1270)+'DCF Base Case'!$B$3-G1270</f>
        <v>0.192737331498006</v>
      </c>
      <c r="J1270" s="24" t="n">
        <f aca="false">'DCF Base Case'!$B$2*(1+B1270)^1*$I1270-'DCF Base Case'!$B$2*(1+B1270)^0*B1270*'DCF Base Case'!$B$4</f>
        <v>30.950535737853</v>
      </c>
      <c r="K1270" s="24" t="n">
        <f aca="false">'DCF Base Case'!$B$2*(1+B1270)^2*$I1270-'DCF Base Case'!$B$2*(1+B1270)^1*B1270*'DCF Base Case'!$B$4</f>
        <v>34.8901921897772</v>
      </c>
      <c r="L1270" s="24" t="n">
        <f aca="false">'DCF Base Case'!$B$2*(1+B1270)^3*$I1270-'DCF Base Case'!$B$2*(1+B1270)^2*B1270*'DCF Base Case'!$B$4</f>
        <v>39.3313227709588</v>
      </c>
      <c r="M1270" s="24" t="n">
        <f aca="false">'DCF Base Case'!$B$2*(1+B1270)^4*$I1270-'DCF Base Case'!$B$2*(1+B1270)^3*B1270*'DCF Base Case'!$B$4</f>
        <v>44.3377595198974</v>
      </c>
      <c r="N1270" s="24" t="n">
        <f aca="false">'DCF Base Case'!$B$2*(1+B1270)^5*$I1270-'DCF Base Case'!$B$2*(1+B1270)^4*B1270*'DCF Base Case'!$B$4</f>
        <v>49.9814595784653</v>
      </c>
      <c r="O1270" s="24" t="n">
        <f aca="false">J1270/(1+H1270)^1+K1270/(1+H1270)^2+L1270/(1+H1270)^3+M1270/(1+H1270)^4+N1270/(1+H1270)^5</f>
        <v>154.581389859742</v>
      </c>
      <c r="P1270" s="24" t="n">
        <f aca="false">N1270*(1+F1270)/(H1270-F1270)</f>
        <v>844.798621124966</v>
      </c>
      <c r="Q1270" s="24" t="n">
        <f aca="false">O1270+P1270/(1+H1270)^5</f>
        <v>718.734431999982</v>
      </c>
      <c r="R1270" s="24" t="n">
        <f aca="false">Q1270-'DCF Base Case'!$B$5</f>
        <v>533.734431999982</v>
      </c>
      <c r="S1270" s="32" t="n">
        <f aca="false">R1270/'DCF Base Case'!$B$6</f>
        <v>21.3493772799993</v>
      </c>
    </row>
    <row r="1271" customFormat="false" ht="15" hidden="false" customHeight="true" outlineLevel="0" collapsed="false">
      <c r="A1271" s="6" t="n">
        <v>1270</v>
      </c>
      <c r="B1271" s="30" t="n">
        <v>0.0574893635705197</v>
      </c>
      <c r="C1271" s="30" t="n">
        <v>0.386799114353276</v>
      </c>
      <c r="D1271" s="30" t="n">
        <v>0.0995945206050027</v>
      </c>
      <c r="E1271" s="30" t="n">
        <v>0.30520708724783</v>
      </c>
      <c r="F1271" s="30" t="n">
        <v>0.0183598572567903</v>
      </c>
      <c r="G1271" s="30" t="n">
        <v>0.197438547735684</v>
      </c>
      <c r="H1271" s="31" t="n">
        <f aca="false">MAX(D1271,F1271+0.015)</f>
        <v>0.0995945206050027</v>
      </c>
      <c r="I1271" s="25" t="n">
        <f aca="false">(C1271-'DCF Base Case'!$B$3)*(1-E1271)+'DCF Base Case'!$B$3-G1271</f>
        <v>0.110983656918006</v>
      </c>
      <c r="J1271" s="24" t="n">
        <f aca="false">'DCF Base Case'!$B$2*(1+B1271)^1*$I1271-'DCF Base Case'!$B$2*(1+B1271)^0*B1271*'DCF Base Case'!$B$4</f>
        <v>16.7677065930062</v>
      </c>
      <c r="K1271" s="24" t="n">
        <f aca="false">'DCF Base Case'!$B$2*(1+B1271)^2*$I1271-'DCF Base Case'!$B$2*(1+B1271)^1*B1271*'DCF Base Case'!$B$4</f>
        <v>17.7316713735753</v>
      </c>
      <c r="L1271" s="24" t="n">
        <f aca="false">'DCF Base Case'!$B$2*(1+B1271)^3*$I1271-'DCF Base Case'!$B$2*(1+B1271)^2*B1271*'DCF Base Case'!$B$4</f>
        <v>18.7510538758838</v>
      </c>
      <c r="M1271" s="24" t="n">
        <f aca="false">'DCF Base Case'!$B$2*(1+B1271)^4*$I1271-'DCF Base Case'!$B$2*(1+B1271)^3*B1271*'DCF Base Case'!$B$4</f>
        <v>19.8290400294848</v>
      </c>
      <c r="N1271" s="24" t="n">
        <f aca="false">'DCF Base Case'!$B$2*(1+B1271)^5*$I1271-'DCF Base Case'!$B$2*(1+B1271)^4*B1271*'DCF Base Case'!$B$4</f>
        <v>20.9689989209943</v>
      </c>
      <c r="O1271" s="24" t="n">
        <f aca="false">J1271/(1+H1271)^1+K1271/(1+H1271)^2+L1271/(1+H1271)^3+M1271/(1+H1271)^4+N1271/(1+H1271)^5</f>
        <v>70.6252205190197</v>
      </c>
      <c r="P1271" s="24" t="n">
        <f aca="false">N1271*(1+F1271)/(H1271-F1271)</f>
        <v>262.867917067221</v>
      </c>
      <c r="Q1271" s="24" t="n">
        <f aca="false">O1271+P1271/(1+H1271)^5</f>
        <v>234.146677726373</v>
      </c>
      <c r="R1271" s="24" t="n">
        <f aca="false">Q1271-'DCF Base Case'!$B$5</f>
        <v>49.1466777263727</v>
      </c>
      <c r="S1271" s="32" t="n">
        <f aca="false">R1271/'DCF Base Case'!$B$6</f>
        <v>1.96586710905491</v>
      </c>
    </row>
    <row r="1272" customFormat="false" ht="15" hidden="false" customHeight="true" outlineLevel="0" collapsed="false">
      <c r="A1272" s="6" t="n">
        <v>1271</v>
      </c>
      <c r="B1272" s="30" t="n">
        <v>0.106291877663365</v>
      </c>
      <c r="C1272" s="30" t="n">
        <v>0.415034973162734</v>
      </c>
      <c r="D1272" s="30" t="n">
        <v>0.0831749915938881</v>
      </c>
      <c r="E1272" s="30" t="n">
        <v>0.289398993929351</v>
      </c>
      <c r="F1272" s="30" t="n">
        <v>0.0159564138869877</v>
      </c>
      <c r="G1272" s="30" t="n">
        <v>0.165326272581518</v>
      </c>
      <c r="H1272" s="31" t="n">
        <f aca="false">MAX(D1272,F1272+0.015)</f>
        <v>0.0831749915938881</v>
      </c>
      <c r="I1272" s="25" t="n">
        <f aca="false">(C1272-'DCF Base Case'!$B$3)*(1-E1272)+'DCF Base Case'!$B$3-G1272</f>
        <v>0.167219866113241</v>
      </c>
      <c r="J1272" s="24" t="n">
        <f aca="false">'DCF Base Case'!$B$2*(1+B1272)^1*$I1272-'DCF Base Case'!$B$2*(1+B1272)^0*B1272*'DCF Base Case'!$B$4</f>
        <v>26.3617573835943</v>
      </c>
      <c r="K1272" s="24" t="n">
        <f aca="false">'DCF Base Case'!$B$2*(1+B1272)^2*$I1272-'DCF Base Case'!$B$2*(1+B1272)^1*B1272*'DCF Base Case'!$B$4</f>
        <v>29.1637980744026</v>
      </c>
      <c r="L1272" s="24" t="n">
        <f aca="false">'DCF Base Case'!$B$2*(1+B1272)^3*$I1272-'DCF Base Case'!$B$2*(1+B1272)^2*B1272*'DCF Base Case'!$B$4</f>
        <v>32.2636729315261</v>
      </c>
      <c r="M1272" s="24" t="n">
        <f aca="false">'DCF Base Case'!$B$2*(1+B1272)^4*$I1272-'DCF Base Case'!$B$2*(1+B1272)^3*B1272*'DCF Base Case'!$B$4</f>
        <v>35.6930393077347</v>
      </c>
      <c r="N1272" s="24" t="n">
        <f aca="false">'DCF Base Case'!$B$2*(1+B1272)^5*$I1272-'DCF Base Case'!$B$2*(1+B1272)^4*B1272*'DCF Base Case'!$B$4</f>
        <v>39.4869194752661</v>
      </c>
      <c r="O1272" s="24" t="n">
        <f aca="false">J1272/(1+H1272)^1+K1272/(1+H1272)^2+L1272/(1+H1272)^3+M1272/(1+H1272)^4+N1272/(1+H1272)^5</f>
        <v>126.993527570734</v>
      </c>
      <c r="P1272" s="24" t="n">
        <f aca="false">N1272*(1+F1272)/(H1272-F1272)</f>
        <v>596.814012942398</v>
      </c>
      <c r="Q1272" s="24" t="n">
        <f aca="false">O1272+P1272/(1+H1272)^5</f>
        <v>527.256936147193</v>
      </c>
      <c r="R1272" s="24" t="n">
        <f aca="false">Q1272-'DCF Base Case'!$B$5</f>
        <v>342.256936147193</v>
      </c>
      <c r="S1272" s="32" t="n">
        <f aca="false">R1272/'DCF Base Case'!$B$6</f>
        <v>13.6902774458877</v>
      </c>
    </row>
    <row r="1273" customFormat="false" ht="15" hidden="false" customHeight="true" outlineLevel="0" collapsed="false">
      <c r="A1273" s="6" t="n">
        <v>1272</v>
      </c>
      <c r="B1273" s="30" t="n">
        <v>0.0964772550156142</v>
      </c>
      <c r="C1273" s="30" t="n">
        <v>0.380562865566437</v>
      </c>
      <c r="D1273" s="30" t="n">
        <v>0.0829174764517531</v>
      </c>
      <c r="E1273" s="30" t="n">
        <v>0.271712982348353</v>
      </c>
      <c r="F1273" s="30" t="n">
        <v>0.0230340613793393</v>
      </c>
      <c r="G1273" s="30" t="n">
        <v>0.131411462967777</v>
      </c>
      <c r="H1273" s="31" t="n">
        <f aca="false">MAX(D1273,F1273+0.015)</f>
        <v>0.0829174764517531</v>
      </c>
      <c r="I1273" s="25" t="n">
        <f aca="false">(C1273-'DCF Base Case'!$B$3)*(1-E1273)+'DCF Base Case'!$B$3-G1273</f>
        <v>0.181070219129854</v>
      </c>
      <c r="J1273" s="24" t="n">
        <f aca="false">'DCF Base Case'!$B$2*(1+B1273)^1*$I1273-'DCF Base Case'!$B$2*(1+B1273)^0*B1273*'DCF Base Case'!$B$4</f>
        <v>28.3685335819859</v>
      </c>
      <c r="K1273" s="24" t="n">
        <f aca="false">'DCF Base Case'!$B$2*(1+B1273)^2*$I1273-'DCF Base Case'!$B$2*(1+B1273)^1*B1273*'DCF Base Case'!$B$4</f>
        <v>31.1054518307942</v>
      </c>
      <c r="L1273" s="24" t="n">
        <f aca="false">'DCF Base Case'!$B$2*(1+B1273)^3*$I1273-'DCF Base Case'!$B$2*(1+B1273)^2*B1273*'DCF Base Case'!$B$4</f>
        <v>34.1064204394496</v>
      </c>
      <c r="M1273" s="24" t="n">
        <f aca="false">'DCF Base Case'!$B$2*(1+B1273)^4*$I1273-'DCF Base Case'!$B$2*(1+B1273)^3*B1273*'DCF Base Case'!$B$4</f>
        <v>37.3969142618561</v>
      </c>
      <c r="N1273" s="24" t="n">
        <f aca="false">'DCF Base Case'!$B$2*(1+B1273)^5*$I1273-'DCF Base Case'!$B$2*(1+B1273)^4*B1273*'DCF Base Case'!$B$4</f>
        <v>41.0048658958943</v>
      </c>
      <c r="O1273" s="24" t="n">
        <f aca="false">J1273/(1+H1273)^1+K1273/(1+H1273)^2+L1273/(1+H1273)^3+M1273/(1+H1273)^4+N1273/(1+H1273)^5</f>
        <v>134.303492159913</v>
      </c>
      <c r="P1273" s="24" t="n">
        <f aca="false">N1273*(1+F1273)/(H1273-F1273)</f>
        <v>700.517404410967</v>
      </c>
      <c r="Q1273" s="24" t="n">
        <f aca="false">O1273+P1273/(1+H1273)^5</f>
        <v>604.676202294653</v>
      </c>
      <c r="R1273" s="24" t="n">
        <f aca="false">Q1273-'DCF Base Case'!$B$5</f>
        <v>419.676202294653</v>
      </c>
      <c r="S1273" s="32" t="n">
        <f aca="false">R1273/'DCF Base Case'!$B$6</f>
        <v>16.7870480917861</v>
      </c>
    </row>
    <row r="1274" customFormat="false" ht="15" hidden="false" customHeight="true" outlineLevel="0" collapsed="false">
      <c r="A1274" s="6" t="n">
        <v>1273</v>
      </c>
      <c r="B1274" s="30" t="n">
        <v>0.0819174130073331</v>
      </c>
      <c r="C1274" s="30" t="n">
        <v>0.400939286407373</v>
      </c>
      <c r="D1274" s="30" t="n">
        <v>0.0955607806031376</v>
      </c>
      <c r="E1274" s="30" t="n">
        <v>0.278432311211664</v>
      </c>
      <c r="F1274" s="30" t="n">
        <v>0.0253190678719383</v>
      </c>
      <c r="G1274" s="30" t="n">
        <v>0.180967917842044</v>
      </c>
      <c r="H1274" s="31" t="n">
        <f aca="false">MAX(D1274,F1274+0.015)</f>
        <v>0.0955607806031376</v>
      </c>
      <c r="I1274" s="25" t="n">
        <f aca="false">(C1274-'DCF Base Case'!$B$3)*(1-E1274)+'DCF Base Case'!$B$3-G1274</f>
        <v>0.144533116852885</v>
      </c>
      <c r="J1274" s="24" t="n">
        <f aca="false">'DCF Base Case'!$B$2*(1+B1274)^1*$I1274-'DCF Base Case'!$B$2*(1+B1274)^0*B1274*'DCF Base Case'!$B$4</f>
        <v>22.3177291559253</v>
      </c>
      <c r="K1274" s="24" t="n">
        <f aca="false">'DCF Base Case'!$B$2*(1+B1274)^2*$I1274-'DCF Base Case'!$B$2*(1+B1274)^1*B1274*'DCF Base Case'!$B$4</f>
        <v>24.145939792577</v>
      </c>
      <c r="L1274" s="24" t="n">
        <f aca="false">'DCF Base Case'!$B$2*(1+B1274)^3*$I1274-'DCF Base Case'!$B$2*(1+B1274)^2*B1274*'DCF Base Case'!$B$4</f>
        <v>26.1239127150158</v>
      </c>
      <c r="M1274" s="24" t="n">
        <f aca="false">'DCF Base Case'!$B$2*(1+B1274)^4*$I1274-'DCF Base Case'!$B$2*(1+B1274)^3*B1274*'DCF Base Case'!$B$4</f>
        <v>28.2639160622592</v>
      </c>
      <c r="N1274" s="24" t="n">
        <f aca="false">'DCF Base Case'!$B$2*(1+B1274)^5*$I1274-'DCF Base Case'!$B$2*(1+B1274)^4*B1274*'DCF Base Case'!$B$4</f>
        <v>30.5792229475359</v>
      </c>
      <c r="O1274" s="24" t="n">
        <f aca="false">J1274/(1+H1274)^1+K1274/(1+H1274)^2+L1274/(1+H1274)^3+M1274/(1+H1274)^4+N1274/(1+H1274)^5</f>
        <v>99.349799907284</v>
      </c>
      <c r="P1274" s="24" t="n">
        <f aca="false">N1274*(1+F1274)/(H1274-F1274)</f>
        <v>446.365260038562</v>
      </c>
      <c r="Q1274" s="24" t="n">
        <f aca="false">O1274+P1274/(1+H1274)^5</f>
        <v>382.168422510515</v>
      </c>
      <c r="R1274" s="24" t="n">
        <f aca="false">Q1274-'DCF Base Case'!$B$5</f>
        <v>197.168422510515</v>
      </c>
      <c r="S1274" s="32" t="n">
        <f aca="false">R1274/'DCF Base Case'!$B$6</f>
        <v>7.88673690042061</v>
      </c>
    </row>
    <row r="1275" customFormat="false" ht="15" hidden="false" customHeight="true" outlineLevel="0" collapsed="false">
      <c r="A1275" s="6" t="n">
        <v>1274</v>
      </c>
      <c r="B1275" s="30" t="n">
        <v>0.0812808180231619</v>
      </c>
      <c r="C1275" s="30" t="n">
        <v>0.416510958581995</v>
      </c>
      <c r="D1275" s="30" t="n">
        <v>0.081105243096936</v>
      </c>
      <c r="E1275" s="30" t="n">
        <v>0.306055671261967</v>
      </c>
      <c r="F1275" s="30" t="n">
        <v>0.0139993227465853</v>
      </c>
      <c r="G1275" s="30" t="n">
        <v>0.148639564456701</v>
      </c>
      <c r="H1275" s="31" t="n">
        <f aca="false">MAX(D1275,F1275+0.015)</f>
        <v>0.081105243096936</v>
      </c>
      <c r="I1275" s="25" t="n">
        <f aca="false">(C1275-'DCF Base Case'!$B$3)*(1-E1275)+'DCF Base Case'!$B$3-G1275</f>
        <v>0.180183090372572</v>
      </c>
      <c r="J1275" s="24" t="n">
        <f aca="false">'DCF Base Case'!$B$2*(1+B1275)^1*$I1275-'DCF Base Case'!$B$2*(1+B1275)^0*B1275*'DCF Base Case'!$B$4</f>
        <v>27.8965637476386</v>
      </c>
      <c r="K1275" s="24" t="n">
        <f aca="false">'DCF Base Case'!$B$2*(1+B1275)^2*$I1275-'DCF Base Case'!$B$2*(1+B1275)^1*B1275*'DCF Base Case'!$B$4</f>
        <v>30.164019269082</v>
      </c>
      <c r="L1275" s="24" t="n">
        <f aca="false">'DCF Base Case'!$B$2*(1+B1275)^3*$I1275-'DCF Base Case'!$B$2*(1+B1275)^2*B1275*'DCF Base Case'!$B$4</f>
        <v>32.6157754301394</v>
      </c>
      <c r="M1275" s="24" t="n">
        <f aca="false">'DCF Base Case'!$B$2*(1+B1275)^4*$I1275-'DCF Base Case'!$B$2*(1+B1275)^3*B1275*'DCF Base Case'!$B$4</f>
        <v>35.2668123375609</v>
      </c>
      <c r="N1275" s="24" t="n">
        <f aca="false">'DCF Base Case'!$B$2*(1+B1275)^5*$I1275-'DCF Base Case'!$B$2*(1+B1275)^4*B1275*'DCF Base Case'!$B$4</f>
        <v>38.1333276934272</v>
      </c>
      <c r="O1275" s="24" t="n">
        <f aca="false">J1275/(1+H1275)^1+K1275/(1+H1275)^2+L1275/(1+H1275)^3+M1275/(1+H1275)^4+N1275/(1+H1275)^5</f>
        <v>129.060636689337</v>
      </c>
      <c r="P1275" s="24" t="n">
        <f aca="false">N1275*(1+F1275)/(H1275-F1275)</f>
        <v>576.210984862928</v>
      </c>
      <c r="Q1275" s="24" t="n">
        <f aca="false">O1275+P1275/(1+H1275)^5</f>
        <v>519.219669080791</v>
      </c>
      <c r="R1275" s="24" t="n">
        <f aca="false">Q1275-'DCF Base Case'!$B$5</f>
        <v>334.219669080791</v>
      </c>
      <c r="S1275" s="32" t="n">
        <f aca="false">R1275/'DCF Base Case'!$B$6</f>
        <v>13.3687867632316</v>
      </c>
    </row>
    <row r="1276" customFormat="false" ht="15" hidden="false" customHeight="true" outlineLevel="0" collapsed="false">
      <c r="A1276" s="6" t="n">
        <v>1275</v>
      </c>
      <c r="B1276" s="30" t="n">
        <v>0.0997317441233236</v>
      </c>
      <c r="C1276" s="30" t="n">
        <v>0.440456775047007</v>
      </c>
      <c r="D1276" s="30" t="n">
        <v>0.0607783454424688</v>
      </c>
      <c r="E1276" s="30" t="n">
        <v>0.321051555662011</v>
      </c>
      <c r="F1276" s="30" t="n">
        <v>0.0188175057284492</v>
      </c>
      <c r="G1276" s="30" t="n">
        <v>0.130916216444984</v>
      </c>
      <c r="H1276" s="31" t="n">
        <f aca="false">MAX(D1276,F1276+0.015)</f>
        <v>0.0607783454424688</v>
      </c>
      <c r="I1276" s="25" t="n">
        <f aca="false">(C1276-'DCF Base Case'!$B$3)*(1-E1276)+'DCF Base Case'!$B$3-G1276</f>
        <v>0.20986792800737</v>
      </c>
      <c r="J1276" s="24" t="n">
        <f aca="false">'DCF Base Case'!$B$2*(1+B1276)^1*$I1276-'DCF Base Case'!$B$2*(1+B1276)^0*B1276*'DCF Base Case'!$B$4</f>
        <v>33.0319381760121</v>
      </c>
      <c r="K1276" s="24" t="n">
        <f aca="false">'DCF Base Case'!$B$2*(1+B1276)^2*$I1276-'DCF Base Case'!$B$2*(1+B1276)^1*B1276*'DCF Base Case'!$B$4</f>
        <v>36.3262709820796</v>
      </c>
      <c r="L1276" s="24" t="n">
        <f aca="false">'DCF Base Case'!$B$2*(1+B1276)^3*$I1276-'DCF Base Case'!$B$2*(1+B1276)^2*B1276*'DCF Base Case'!$B$4</f>
        <v>39.9491533446189</v>
      </c>
      <c r="M1276" s="24" t="n">
        <f aca="false">'DCF Base Case'!$B$2*(1+B1276)^4*$I1276-'DCF Base Case'!$B$2*(1+B1276)^3*B1276*'DCF Base Case'!$B$4</f>
        <v>43.9333520839278</v>
      </c>
      <c r="N1276" s="24" t="n">
        <f aca="false">'DCF Base Case'!$B$2*(1+B1276)^5*$I1276-'DCF Base Case'!$B$2*(1+B1276)^4*B1276*'DCF Base Case'!$B$4</f>
        <v>48.314901912442</v>
      </c>
      <c r="O1276" s="24" t="n">
        <f aca="false">J1276/(1+H1276)^1+K1276/(1+H1276)^2+L1276/(1+H1276)^3+M1276/(1+H1276)^4+N1276/(1+H1276)^5</f>
        <v>167.559214854789</v>
      </c>
      <c r="P1276" s="24" t="n">
        <f aca="false">N1276*(1+F1276)/(H1276-F1276)</f>
        <v>1173.09539540751</v>
      </c>
      <c r="Q1276" s="24" t="n">
        <f aca="false">O1276+P1276/(1+H1276)^5</f>
        <v>1040.95301042257</v>
      </c>
      <c r="R1276" s="24" t="n">
        <f aca="false">Q1276-'DCF Base Case'!$B$5</f>
        <v>855.953010422567</v>
      </c>
      <c r="S1276" s="32" t="n">
        <f aca="false">R1276/'DCF Base Case'!$B$6</f>
        <v>34.2381204169027</v>
      </c>
    </row>
    <row r="1277" customFormat="false" ht="15" hidden="false" customHeight="true" outlineLevel="0" collapsed="false">
      <c r="A1277" s="6" t="n">
        <v>1276</v>
      </c>
      <c r="B1277" s="30" t="n">
        <v>0.0425906179903212</v>
      </c>
      <c r="C1277" s="30" t="n">
        <v>0.366249493742841</v>
      </c>
      <c r="D1277" s="30" t="n">
        <v>0.0847832465857006</v>
      </c>
      <c r="E1277" s="30" t="n">
        <v>0.277819130400189</v>
      </c>
      <c r="F1277" s="30" t="n">
        <v>0.0216213686755431</v>
      </c>
      <c r="G1277" s="30" t="n">
        <v>0.154137110650395</v>
      </c>
      <c r="H1277" s="31" t="n">
        <f aca="false">MAX(D1277,F1277+0.015)</f>
        <v>0.0847832465857006</v>
      </c>
      <c r="I1277" s="25" t="n">
        <f aca="false">(C1277-'DCF Base Case'!$B$3)*(1-E1277)+'DCF Base Case'!$B$3-G1277</f>
        <v>0.146477754183325</v>
      </c>
      <c r="J1277" s="24" t="n">
        <f aca="false">'DCF Base Case'!$B$2*(1+B1277)^1*$I1277-'DCF Base Case'!$B$2*(1+B1277)^0*B1277*'DCF Base Case'!$B$4</f>
        <v>21.958598988837</v>
      </c>
      <c r="K1277" s="24" t="n">
        <f aca="false">'DCF Base Case'!$B$2*(1+B1277)^2*$I1277-'DCF Base Case'!$B$2*(1+B1277)^1*B1277*'DCF Base Case'!$B$4</f>
        <v>22.8938292899733</v>
      </c>
      <c r="L1277" s="24" t="n">
        <f aca="false">'DCF Base Case'!$B$2*(1+B1277)^3*$I1277-'DCF Base Case'!$B$2*(1+B1277)^2*B1277*'DCF Base Case'!$B$4</f>
        <v>23.8688916275981</v>
      </c>
      <c r="M1277" s="24" t="n">
        <f aca="false">'DCF Base Case'!$B$2*(1+B1277)^4*$I1277-'DCF Base Case'!$B$2*(1+B1277)^3*B1277*'DCF Base Case'!$B$4</f>
        <v>24.8854824727616</v>
      </c>
      <c r="N1277" s="24" t="n">
        <f aca="false">'DCF Base Case'!$B$2*(1+B1277)^5*$I1277-'DCF Base Case'!$B$2*(1+B1277)^4*B1277*'DCF Base Case'!$B$4</f>
        <v>25.9453705502638</v>
      </c>
      <c r="O1277" s="24" t="n">
        <f aca="false">J1277/(1+H1277)^1+K1277/(1+H1277)^2+L1277/(1+H1277)^3+M1277/(1+H1277)^4+N1277/(1+H1277)^5</f>
        <v>93.6389692124151</v>
      </c>
      <c r="P1277" s="24" t="n">
        <f aca="false">N1277*(1+F1277)/(H1277-F1277)</f>
        <v>419.657328904274</v>
      </c>
      <c r="Q1277" s="24" t="n">
        <f aca="false">O1277+P1277/(1+H1277)^5</f>
        <v>373.009096345481</v>
      </c>
      <c r="R1277" s="24" t="n">
        <f aca="false">Q1277-'DCF Base Case'!$B$5</f>
        <v>188.009096345481</v>
      </c>
      <c r="S1277" s="32" t="n">
        <f aca="false">R1277/'DCF Base Case'!$B$6</f>
        <v>7.52036385381926</v>
      </c>
    </row>
    <row r="1278" customFormat="false" ht="15" hidden="false" customHeight="true" outlineLevel="0" collapsed="false">
      <c r="A1278" s="6" t="n">
        <v>1277</v>
      </c>
      <c r="B1278" s="30" t="n">
        <v>0.0658768383584261</v>
      </c>
      <c r="C1278" s="30" t="n">
        <v>0.396268745199639</v>
      </c>
      <c r="D1278" s="30" t="n">
        <v>0.0853697131560274</v>
      </c>
      <c r="E1278" s="30" t="n">
        <v>0.286387249544365</v>
      </c>
      <c r="F1278" s="30" t="n">
        <v>0.0161340344170774</v>
      </c>
      <c r="G1278" s="30" t="n">
        <v>0.186802822678064</v>
      </c>
      <c r="H1278" s="31" t="n">
        <f aca="false">MAX(D1278,F1278+0.015)</f>
        <v>0.0853697131560274</v>
      </c>
      <c r="I1278" s="25" t="n">
        <f aca="false">(C1278-'DCF Base Case'!$B$3)*(1-E1278)+'DCF Base Case'!$B$3-G1278</f>
        <v>0.133209948944221</v>
      </c>
      <c r="J1278" s="24" t="n">
        <f aca="false">'DCF Base Case'!$B$2*(1+B1278)^1*$I1278-'DCF Base Case'!$B$2*(1+B1278)^0*B1278*'DCF Base Case'!$B$4</f>
        <v>20.3013186398311</v>
      </c>
      <c r="K1278" s="24" t="n">
        <f aca="false">'DCF Base Case'!$B$2*(1+B1278)^2*$I1278-'DCF Base Case'!$B$2*(1+B1278)^1*B1278*'DCF Base Case'!$B$4</f>
        <v>21.6387053263302</v>
      </c>
      <c r="L1278" s="24" t="n">
        <f aca="false">'DCF Base Case'!$B$2*(1+B1278)^3*$I1278-'DCF Base Case'!$B$2*(1+B1278)^2*B1278*'DCF Base Case'!$B$4</f>
        <v>23.0641948193985</v>
      </c>
      <c r="M1278" s="24" t="n">
        <f aca="false">'DCF Base Case'!$B$2*(1+B1278)^4*$I1278-'DCF Base Case'!$B$2*(1+B1278)^3*B1278*'DCF Base Case'!$B$4</f>
        <v>24.5835910533832</v>
      </c>
      <c r="N1278" s="24" t="n">
        <f aca="false">'DCF Base Case'!$B$2*(1+B1278)^5*$I1278-'DCF Base Case'!$B$2*(1+B1278)^4*B1278*'DCF Base Case'!$B$4</f>
        <v>26.2030803074766</v>
      </c>
      <c r="O1278" s="24" t="n">
        <f aca="false">J1278/(1+H1278)^1+K1278/(1+H1278)^2+L1278/(1+H1278)^3+M1278/(1+H1278)^4+N1278/(1+H1278)^5</f>
        <v>90.2231188171446</v>
      </c>
      <c r="P1278" s="24" t="n">
        <f aca="false">N1278*(1+F1278)/(H1278-F1278)</f>
        <v>384.568219622464</v>
      </c>
      <c r="Q1278" s="24" t="n">
        <f aca="false">O1278+P1278/(1+H1278)^5</f>
        <v>345.543155851399</v>
      </c>
      <c r="R1278" s="24" t="n">
        <f aca="false">Q1278-'DCF Base Case'!$B$5</f>
        <v>160.543155851399</v>
      </c>
      <c r="S1278" s="32" t="n">
        <f aca="false">R1278/'DCF Base Case'!$B$6</f>
        <v>6.42172623405598</v>
      </c>
    </row>
    <row r="1279" customFormat="false" ht="15" hidden="false" customHeight="true" outlineLevel="0" collapsed="false">
      <c r="A1279" s="6" t="n">
        <v>1278</v>
      </c>
      <c r="B1279" s="30" t="n">
        <v>0.0765492337678468</v>
      </c>
      <c r="C1279" s="30" t="n">
        <v>0.390098844436099</v>
      </c>
      <c r="D1279" s="30" t="n">
        <v>0.0790336933958488</v>
      </c>
      <c r="E1279" s="30" t="n">
        <v>0.312608702421224</v>
      </c>
      <c r="F1279" s="30" t="n">
        <v>0.018846242505724</v>
      </c>
      <c r="G1279" s="30" t="n">
        <v>0.1512205136307</v>
      </c>
      <c r="H1279" s="31" t="n">
        <f aca="false">MAX(D1279,F1279+0.015)</f>
        <v>0.0790336933958488</v>
      </c>
      <c r="I1279" s="25" t="n">
        <f aca="false">(C1279-'DCF Base Case'!$B$3)*(1-E1279)+'DCF Base Case'!$B$3-G1279</f>
        <v>0.15756916854497</v>
      </c>
      <c r="J1279" s="24" t="n">
        <f aca="false">'DCF Base Case'!$B$2*(1+B1279)^1*$I1279-'DCF Base Case'!$B$2*(1+B1279)^0*B1279*'DCF Base Case'!$B$4</f>
        <v>24.2635011441759</v>
      </c>
      <c r="K1279" s="24" t="n">
        <f aca="false">'DCF Base Case'!$B$2*(1+B1279)^2*$I1279-'DCF Base Case'!$B$2*(1+B1279)^1*B1279*'DCF Base Case'!$B$4</f>
        <v>26.1208535652879</v>
      </c>
      <c r="L1279" s="24" t="n">
        <f aca="false">'DCF Base Case'!$B$2*(1+B1279)^3*$I1279-'DCF Base Case'!$B$2*(1+B1279)^2*B1279*'DCF Base Case'!$B$4</f>
        <v>28.1203848910728</v>
      </c>
      <c r="M1279" s="24" t="n">
        <f aca="false">'DCF Base Case'!$B$2*(1+B1279)^4*$I1279-'DCF Base Case'!$B$2*(1+B1279)^3*B1279*'DCF Base Case'!$B$4</f>
        <v>30.2729788077413</v>
      </c>
      <c r="N1279" s="24" t="n">
        <f aca="false">'DCF Base Case'!$B$2*(1+B1279)^5*$I1279-'DCF Base Case'!$B$2*(1+B1279)^4*B1279*'DCF Base Case'!$B$4</f>
        <v>32.5903521393442</v>
      </c>
      <c r="O1279" s="24" t="n">
        <f aca="false">J1279/(1+H1279)^1+K1279/(1+H1279)^2+L1279/(1+H1279)^3+M1279/(1+H1279)^4+N1279/(1+H1279)^5</f>
        <v>111.915065910695</v>
      </c>
      <c r="P1279" s="24" t="n">
        <f aca="false">N1279*(1+F1279)/(H1279-F1279)</f>
        <v>551.685730630556</v>
      </c>
      <c r="Q1279" s="24" t="n">
        <f aca="false">O1279+P1279/(1+H1279)^5</f>
        <v>489.067331769601</v>
      </c>
      <c r="R1279" s="24" t="n">
        <f aca="false">Q1279-'DCF Base Case'!$B$5</f>
        <v>304.067331769601</v>
      </c>
      <c r="S1279" s="32" t="n">
        <f aca="false">R1279/'DCF Base Case'!$B$6</f>
        <v>12.162693270784</v>
      </c>
    </row>
    <row r="1280" customFormat="false" ht="15" hidden="false" customHeight="true" outlineLevel="0" collapsed="false">
      <c r="A1280" s="6" t="n">
        <v>1279</v>
      </c>
      <c r="B1280" s="30" t="n">
        <v>0.110234668379986</v>
      </c>
      <c r="C1280" s="30" t="n">
        <v>0.453717555356079</v>
      </c>
      <c r="D1280" s="30" t="n">
        <v>0.0873065089773984</v>
      </c>
      <c r="E1280" s="30" t="n">
        <v>0.31720602207593</v>
      </c>
      <c r="F1280" s="30" t="n">
        <v>0.0230617143876206</v>
      </c>
      <c r="G1280" s="30" t="n">
        <v>0.153007696056489</v>
      </c>
      <c r="H1280" s="31" t="n">
        <f aca="false">MAX(D1280,F1280+0.015)</f>
        <v>0.0873065089773984</v>
      </c>
      <c r="I1280" s="25" t="n">
        <f aca="false">(C1280-'DCF Base Case'!$B$3)*(1-E1280)+'DCF Base Case'!$B$3-G1280</f>
        <v>0.198024701288943</v>
      </c>
      <c r="J1280" s="24" t="n">
        <f aca="false">'DCF Base Case'!$B$2*(1+B1280)^1*$I1280-'DCF Base Case'!$B$2*(1+B1280)^0*B1280*'DCF Base Case'!$B$4</f>
        <v>31.3992930347006</v>
      </c>
      <c r="K1280" s="24" t="n">
        <f aca="false">'DCF Base Case'!$B$2*(1+B1280)^2*$I1280-'DCF Base Case'!$B$2*(1+B1280)^1*B1280*'DCF Base Case'!$B$4</f>
        <v>34.8605836897468</v>
      </c>
      <c r="L1280" s="24" t="n">
        <f aca="false">'DCF Base Case'!$B$2*(1+B1280)^3*$I1280-'DCF Base Case'!$B$2*(1+B1280)^2*B1280*'DCF Base Case'!$B$4</f>
        <v>38.7034285723188</v>
      </c>
      <c r="M1280" s="24" t="n">
        <f aca="false">'DCF Base Case'!$B$2*(1+B1280)^4*$I1280-'DCF Base Case'!$B$2*(1+B1280)^3*B1280*'DCF Base Case'!$B$4</f>
        <v>42.9698881861568</v>
      </c>
      <c r="N1280" s="24" t="n">
        <f aca="false">'DCF Base Case'!$B$2*(1+B1280)^5*$I1280-'DCF Base Case'!$B$2*(1+B1280)^4*B1280*'DCF Base Case'!$B$4</f>
        <v>47.7066595606829</v>
      </c>
      <c r="O1280" s="24" t="n">
        <f aca="false">J1280/(1+H1280)^1+K1280/(1+H1280)^2+L1280/(1+H1280)^3+M1280/(1+H1280)^4+N1280/(1+H1280)^5</f>
        <v>150.609575029339</v>
      </c>
      <c r="P1280" s="24" t="n">
        <f aca="false">N1280*(1+F1280)/(H1280-F1280)</f>
        <v>759.701345914563</v>
      </c>
      <c r="Q1280" s="24" t="n">
        <f aca="false">O1280+P1280/(1+H1280)^5</f>
        <v>650.509367506802</v>
      </c>
      <c r="R1280" s="24" t="n">
        <f aca="false">Q1280-'DCF Base Case'!$B$5</f>
        <v>465.509367506802</v>
      </c>
      <c r="S1280" s="32" t="n">
        <f aca="false">R1280/'DCF Base Case'!$B$6</f>
        <v>18.6203747002721</v>
      </c>
    </row>
    <row r="1281" customFormat="false" ht="15" hidden="false" customHeight="true" outlineLevel="0" collapsed="false">
      <c r="A1281" s="6" t="n">
        <v>1280</v>
      </c>
      <c r="B1281" s="30" t="n">
        <v>0.090534064477526</v>
      </c>
      <c r="C1281" s="30" t="n">
        <v>0.386451172799351</v>
      </c>
      <c r="D1281" s="30" t="n">
        <v>0.082745635070022</v>
      </c>
      <c r="E1281" s="30" t="n">
        <v>0.264732133327608</v>
      </c>
      <c r="F1281" s="30" t="n">
        <v>0.0177534063941882</v>
      </c>
      <c r="G1281" s="30" t="n">
        <v>0.150110394457841</v>
      </c>
      <c r="H1281" s="31" t="n">
        <f aca="false">MAX(D1281,F1281+0.015)</f>
        <v>0.082745635070022</v>
      </c>
      <c r="I1281" s="25" t="n">
        <f aca="false">(C1281-'DCF Base Case'!$B$3)*(1-E1281)+'DCF Base Case'!$B$3-G1281</f>
        <v>0.168449912271971</v>
      </c>
      <c r="J1281" s="24" t="n">
        <f aca="false">'DCF Base Case'!$B$2*(1+B1281)^1*$I1281-'DCF Base Case'!$B$2*(1+B1281)^0*B1281*'DCF Base Case'!$B$4</f>
        <v>26.2427301056938</v>
      </c>
      <c r="K1281" s="24" t="n">
        <f aca="false">'DCF Base Case'!$B$2*(1+B1281)^2*$I1281-'DCF Base Case'!$B$2*(1+B1281)^1*B1281*'DCF Base Case'!$B$4</f>
        <v>28.618591125149</v>
      </c>
      <c r="L1281" s="24" t="n">
        <f aca="false">'DCF Base Case'!$B$2*(1+B1281)^3*$I1281-'DCF Base Case'!$B$2*(1+B1281)^2*B1281*'DCF Base Case'!$B$4</f>
        <v>31.2095484993292</v>
      </c>
      <c r="M1281" s="24" t="n">
        <f aca="false">'DCF Base Case'!$B$2*(1+B1281)^4*$I1281-'DCF Base Case'!$B$2*(1+B1281)^3*B1281*'DCF Base Case'!$B$4</f>
        <v>34.035075775482</v>
      </c>
      <c r="N1281" s="24" t="n">
        <f aca="false">'DCF Base Case'!$B$2*(1+B1281)^5*$I1281-'DCF Base Case'!$B$2*(1+B1281)^4*B1281*'DCF Base Case'!$B$4</f>
        <v>37.116409520237</v>
      </c>
      <c r="O1281" s="24" t="n">
        <f aca="false">J1281/(1+H1281)^1+K1281/(1+H1281)^2+L1281/(1+H1281)^3+M1281/(1+H1281)^4+N1281/(1+H1281)^5</f>
        <v>122.942057221646</v>
      </c>
      <c r="P1281" s="24" t="n">
        <f aca="false">N1281*(1+F1281)/(H1281-F1281)</f>
        <v>581.228755991082</v>
      </c>
      <c r="Q1281" s="24" t="n">
        <f aca="false">O1281+P1281/(1+H1281)^5</f>
        <v>513.526449204531</v>
      </c>
      <c r="R1281" s="24" t="n">
        <f aca="false">Q1281-'DCF Base Case'!$B$5</f>
        <v>328.526449204531</v>
      </c>
      <c r="S1281" s="32" t="n">
        <f aca="false">R1281/'DCF Base Case'!$B$6</f>
        <v>13.1410579681812</v>
      </c>
    </row>
    <row r="1282" customFormat="false" ht="15" hidden="false" customHeight="true" outlineLevel="0" collapsed="false">
      <c r="A1282" s="6" t="n">
        <v>1281</v>
      </c>
      <c r="B1282" s="30" t="n">
        <v>0.0839897202777385</v>
      </c>
      <c r="C1282" s="30" t="n">
        <v>0.422836373015875</v>
      </c>
      <c r="D1282" s="30" t="n">
        <v>0.0836855889851601</v>
      </c>
      <c r="E1282" s="30" t="n">
        <v>0.248276245854951</v>
      </c>
      <c r="F1282" s="30" t="n">
        <v>0.016313836108746</v>
      </c>
      <c r="G1282" s="30" t="n">
        <v>0.136041321943478</v>
      </c>
      <c r="H1282" s="31" t="n">
        <f aca="false">MAX(D1282,F1282+0.015)</f>
        <v>0.0836855889851601</v>
      </c>
      <c r="I1282" s="25" t="n">
        <f aca="false">(C1282-'DCF Base Case'!$B$3)*(1-E1282)+'DCF Base Case'!$B$3-G1282</f>
        <v>0.214090735730235</v>
      </c>
      <c r="J1282" s="24" t="n">
        <f aca="false">'DCF Base Case'!$B$2*(1+B1282)^1*$I1282-'DCF Base Case'!$B$2*(1+B1282)^0*B1282*'DCF Base Case'!$B$4</f>
        <v>33.2851074438415</v>
      </c>
      <c r="K1282" s="24" t="n">
        <f aca="false">'DCF Base Case'!$B$2*(1+B1282)^2*$I1282-'DCF Base Case'!$B$2*(1+B1282)^1*B1282*'DCF Base Case'!$B$4</f>
        <v>36.0807143074642</v>
      </c>
      <c r="L1282" s="24" t="n">
        <f aca="false">'DCF Base Case'!$B$2*(1+B1282)^3*$I1282-'DCF Base Case'!$B$2*(1+B1282)^2*B1282*'DCF Base Case'!$B$4</f>
        <v>39.1111234095691</v>
      </c>
      <c r="M1282" s="24" t="n">
        <f aca="false">'DCF Base Case'!$B$2*(1+B1282)^4*$I1282-'DCF Base Case'!$B$2*(1+B1282)^3*B1282*'DCF Base Case'!$B$4</f>
        <v>42.3960557244869</v>
      </c>
      <c r="N1282" s="24" t="n">
        <f aca="false">'DCF Base Case'!$B$2*(1+B1282)^5*$I1282-'DCF Base Case'!$B$2*(1+B1282)^4*B1282*'DCF Base Case'!$B$4</f>
        <v>45.956888585666</v>
      </c>
      <c r="O1282" s="24" t="n">
        <f aca="false">J1282/(1+H1282)^1+K1282/(1+H1282)^2+L1282/(1+H1282)^3+M1282/(1+H1282)^4+N1282/(1+H1282)^5</f>
        <v>153.659860598684</v>
      </c>
      <c r="P1282" s="24" t="n">
        <f aca="false">N1282*(1+F1282)/(H1282-F1282)</f>
        <v>693.267129620309</v>
      </c>
      <c r="Q1282" s="24" t="n">
        <f aca="false">O1282+P1282/(1+H1282)^5</f>
        <v>617.516864705057</v>
      </c>
      <c r="R1282" s="24" t="n">
        <f aca="false">Q1282-'DCF Base Case'!$B$5</f>
        <v>432.516864705057</v>
      </c>
      <c r="S1282" s="32" t="n">
        <f aca="false">R1282/'DCF Base Case'!$B$6</f>
        <v>17.3006745882023</v>
      </c>
    </row>
    <row r="1283" customFormat="false" ht="15" hidden="false" customHeight="true" outlineLevel="0" collapsed="false">
      <c r="A1283" s="6" t="n">
        <v>1282</v>
      </c>
      <c r="B1283" s="30" t="n">
        <v>0.0950782854219749</v>
      </c>
      <c r="C1283" s="30" t="n">
        <v>0.426011961382716</v>
      </c>
      <c r="D1283" s="30" t="n">
        <v>0.0878220304403958</v>
      </c>
      <c r="E1283" s="30" t="n">
        <v>0.26187323686906</v>
      </c>
      <c r="F1283" s="30" t="n">
        <v>0.0202316080876451</v>
      </c>
      <c r="G1283" s="30" t="n">
        <v>0.155728794820107</v>
      </c>
      <c r="H1283" s="31" t="n">
        <f aca="false">MAX(D1283,F1283+0.015)</f>
        <v>0.0878220304403958</v>
      </c>
      <c r="I1283" s="25" t="n">
        <f aca="false">(C1283-'DCF Base Case'!$B$3)*(1-E1283)+'DCF Base Case'!$B$3-G1283</f>
        <v>0.192765556083358</v>
      </c>
      <c r="J1283" s="24" t="n">
        <f aca="false">'DCF Base Case'!$B$2*(1+B1283)^1*$I1283-'DCF Base Case'!$B$2*(1+B1283)^0*B1283*'DCF Base Case'!$B$4</f>
        <v>30.1949487818201</v>
      </c>
      <c r="K1283" s="24" t="n">
        <f aca="false">'DCF Base Case'!$B$2*(1+B1283)^2*$I1283-'DCF Base Case'!$B$2*(1+B1283)^1*B1283*'DCF Base Case'!$B$4</f>
        <v>33.0658327403999</v>
      </c>
      <c r="L1283" s="24" t="n">
        <f aca="false">'DCF Base Case'!$B$2*(1+B1283)^3*$I1283-'DCF Base Case'!$B$2*(1+B1283)^2*B1283*'DCF Base Case'!$B$4</f>
        <v>36.2096754234069</v>
      </c>
      <c r="M1283" s="24" t="n">
        <f aca="false">'DCF Base Case'!$B$2*(1+B1283)^4*$I1283-'DCF Base Case'!$B$2*(1+B1283)^3*B1283*'DCF Base Case'!$B$4</f>
        <v>39.6524292783507</v>
      </c>
      <c r="N1283" s="24" t="n">
        <f aca="false">'DCF Base Case'!$B$2*(1+B1283)^5*$I1283-'DCF Base Case'!$B$2*(1+B1283)^4*B1283*'DCF Base Case'!$B$4</f>
        <v>43.4225142669524</v>
      </c>
      <c r="O1283" s="24" t="n">
        <f aca="false">J1283/(1+H1283)^1+K1283/(1+H1283)^2+L1283/(1+H1283)^3+M1283/(1+H1283)^4+N1283/(1+H1283)^5</f>
        <v>140.650176744611</v>
      </c>
      <c r="P1283" s="24" t="n">
        <f aca="false">N1283*(1+F1283)/(H1283-F1283)</f>
        <v>655.433418163552</v>
      </c>
      <c r="Q1283" s="24" t="n">
        <f aca="false">O1283+P1283/(1+H1283)^5</f>
        <v>570.918457757058</v>
      </c>
      <c r="R1283" s="24" t="n">
        <f aca="false">Q1283-'DCF Base Case'!$B$5</f>
        <v>385.918457757058</v>
      </c>
      <c r="S1283" s="32" t="n">
        <f aca="false">R1283/'DCF Base Case'!$B$6</f>
        <v>15.4367383102823</v>
      </c>
    </row>
    <row r="1284" customFormat="false" ht="15" hidden="false" customHeight="true" outlineLevel="0" collapsed="false">
      <c r="A1284" s="6" t="n">
        <v>1283</v>
      </c>
      <c r="B1284" s="30" t="n">
        <v>0.0652500670457431</v>
      </c>
      <c r="C1284" s="30" t="n">
        <v>0.420839974516894</v>
      </c>
      <c r="D1284" s="30" t="n">
        <v>0.0939983052909615</v>
      </c>
      <c r="E1284" s="30" t="n">
        <v>0.308814624234601</v>
      </c>
      <c r="F1284" s="30" t="n">
        <v>0.0168926537509839</v>
      </c>
      <c r="G1284" s="30" t="n">
        <v>0.193264970433121</v>
      </c>
      <c r="H1284" s="31" t="n">
        <f aca="false">MAX(D1284,F1284+0.015)</f>
        <v>0.0939983052909615</v>
      </c>
      <c r="I1284" s="25" t="n">
        <f aca="false">(C1284-'DCF Base Case'!$B$3)*(1-E1284)+'DCF Base Case'!$B$3-G1284</f>
        <v>0.137759366640937</v>
      </c>
      <c r="J1284" s="24" t="n">
        <f aca="false">'DCF Base Case'!$B$2*(1+B1284)^1*$I1284-'DCF Base Case'!$B$2*(1+B1284)^0*B1284*'DCF Base Case'!$B$4</f>
        <v>20.9946475181645</v>
      </c>
      <c r="K1284" s="24" t="n">
        <f aca="false">'DCF Base Case'!$B$2*(1+B1284)^2*$I1284-'DCF Base Case'!$B$2*(1+B1284)^1*B1284*'DCF Base Case'!$B$4</f>
        <v>22.3645496763265</v>
      </c>
      <c r="L1284" s="24" t="n">
        <f aca="false">'DCF Base Case'!$B$2*(1+B1284)^3*$I1284-'DCF Base Case'!$B$2*(1+B1284)^2*B1284*'DCF Base Case'!$B$4</f>
        <v>23.8238380421546</v>
      </c>
      <c r="M1284" s="24" t="n">
        <f aca="false">'DCF Base Case'!$B$2*(1+B1284)^4*$I1284-'DCF Base Case'!$B$2*(1+B1284)^3*B1284*'DCF Base Case'!$B$4</f>
        <v>25.3783450716921</v>
      </c>
      <c r="N1284" s="24" t="n">
        <f aca="false">'DCF Base Case'!$B$2*(1+B1284)^5*$I1284-'DCF Base Case'!$B$2*(1+B1284)^4*B1284*'DCF Base Case'!$B$4</f>
        <v>27.03428378913</v>
      </c>
      <c r="O1284" s="24" t="n">
        <f aca="false">J1284/(1+H1284)^1+K1284/(1+H1284)^2+L1284/(1+H1284)^3+M1284/(1+H1284)^4+N1284/(1+H1284)^5</f>
        <v>91.0415641439094</v>
      </c>
      <c r="P1284" s="24" t="n">
        <f aca="false">N1284*(1+F1284)/(H1284-F1284)</f>
        <v>356.536311353678</v>
      </c>
      <c r="Q1284" s="24" t="n">
        <f aca="false">O1284+P1284/(1+H1284)^5</f>
        <v>318.562057557991</v>
      </c>
      <c r="R1284" s="24" t="n">
        <f aca="false">Q1284-'DCF Base Case'!$B$5</f>
        <v>133.562057557991</v>
      </c>
      <c r="S1284" s="32" t="n">
        <f aca="false">R1284/'DCF Base Case'!$B$6</f>
        <v>5.34248230231964</v>
      </c>
    </row>
    <row r="1285" customFormat="false" ht="15" hidden="false" customHeight="true" outlineLevel="0" collapsed="false">
      <c r="A1285" s="6" t="n">
        <v>1284</v>
      </c>
      <c r="B1285" s="30" t="n">
        <v>0.079420845945696</v>
      </c>
      <c r="C1285" s="30" t="n">
        <v>0.423658232454987</v>
      </c>
      <c r="D1285" s="30" t="n">
        <v>0.0793799607205666</v>
      </c>
      <c r="E1285" s="30" t="n">
        <v>0.273663359718985</v>
      </c>
      <c r="F1285" s="30" t="n">
        <v>0.011163465418443</v>
      </c>
      <c r="G1285" s="30" t="n">
        <v>0.159056836070177</v>
      </c>
      <c r="H1285" s="31" t="n">
        <f aca="false">MAX(D1285,F1285+0.015)</f>
        <v>0.0793799607205666</v>
      </c>
      <c r="I1285" s="25" t="n">
        <f aca="false">(C1285-'DCF Base Case'!$B$3)*(1-E1285)+'DCF Base Case'!$B$3-G1285</f>
        <v>0.18423789788204</v>
      </c>
      <c r="J1285" s="24" t="n">
        <f aca="false">'DCF Base Case'!$B$2*(1+B1285)^1*$I1285-'DCF Base Case'!$B$2*(1+B1285)^0*B1285*'DCF Base Case'!$B$4</f>
        <v>28.490702320264</v>
      </c>
      <c r="K1285" s="24" t="n">
        <f aca="false">'DCF Base Case'!$B$2*(1+B1285)^2*$I1285-'DCF Base Case'!$B$2*(1+B1285)^1*B1285*'DCF Base Case'!$B$4</f>
        <v>30.7534580001263</v>
      </c>
      <c r="L1285" s="24" t="n">
        <f aca="false">'DCF Base Case'!$B$2*(1+B1285)^3*$I1285-'DCF Base Case'!$B$2*(1+B1285)^2*B1285*'DCF Base Case'!$B$4</f>
        <v>33.1959236502518</v>
      </c>
      <c r="M1285" s="24" t="n">
        <f aca="false">'DCF Base Case'!$B$2*(1+B1285)^4*$I1285-'DCF Base Case'!$B$2*(1+B1285)^3*B1285*'DCF Base Case'!$B$4</f>
        <v>35.8323719885035</v>
      </c>
      <c r="N1285" s="24" t="n">
        <f aca="false">'DCF Base Case'!$B$2*(1+B1285)^5*$I1285-'DCF Base Case'!$B$2*(1+B1285)^4*B1285*'DCF Base Case'!$B$4</f>
        <v>38.6782092840713</v>
      </c>
      <c r="O1285" s="24" t="n">
        <f aca="false">J1285/(1+H1285)^1+K1285/(1+H1285)^2+L1285/(1+H1285)^3+M1285/(1+H1285)^4+N1285/(1+H1285)^5</f>
        <v>131.987167658311</v>
      </c>
      <c r="P1285" s="24" t="n">
        <f aca="false">N1285*(1+F1285)/(H1285-F1285)</f>
        <v>573.321627894359</v>
      </c>
      <c r="Q1285" s="24" t="n">
        <f aca="false">O1285+P1285/(1+H1285)^5</f>
        <v>523.30223539033</v>
      </c>
      <c r="R1285" s="24" t="n">
        <f aca="false">Q1285-'DCF Base Case'!$B$5</f>
        <v>338.30223539033</v>
      </c>
      <c r="S1285" s="32" t="n">
        <f aca="false">R1285/'DCF Base Case'!$B$6</f>
        <v>13.5320894156132</v>
      </c>
    </row>
    <row r="1286" customFormat="false" ht="15" hidden="false" customHeight="true" outlineLevel="0" collapsed="false">
      <c r="A1286" s="6" t="n">
        <v>1285</v>
      </c>
      <c r="B1286" s="30" t="n">
        <v>0.0918486473490877</v>
      </c>
      <c r="C1286" s="30" t="n">
        <v>0.406626087266667</v>
      </c>
      <c r="D1286" s="30" t="n">
        <v>0.104318068748937</v>
      </c>
      <c r="E1286" s="30" t="n">
        <v>0.256418002690589</v>
      </c>
      <c r="F1286" s="30" t="n">
        <v>0.0170810258025888</v>
      </c>
      <c r="G1286" s="30" t="n">
        <v>0.147038227717879</v>
      </c>
      <c r="H1286" s="31" t="n">
        <f aca="false">MAX(D1286,F1286+0.015)</f>
        <v>0.104318068748937</v>
      </c>
      <c r="I1286" s="25" t="n">
        <f aca="false">(C1286-'DCF Base Case'!$B$3)*(1-E1286)+'DCF Base Case'!$B$3-G1286</f>
        <v>0.188655950759757</v>
      </c>
      <c r="J1286" s="24" t="n">
        <f aca="false">'DCF Base Case'!$B$2*(1+B1286)^1*$I1286-'DCF Base Case'!$B$2*(1+B1286)^0*B1286*'DCF Base Case'!$B$4</f>
        <v>29.468101358484</v>
      </c>
      <c r="K1286" s="24" t="n">
        <f aca="false">'DCF Base Case'!$B$2*(1+B1286)^2*$I1286-'DCF Base Case'!$B$2*(1+B1286)^1*B1286*'DCF Base Case'!$B$4</f>
        <v>32.1747066082065</v>
      </c>
      <c r="L1286" s="24" t="n">
        <f aca="false">'DCF Base Case'!$B$2*(1+B1286)^3*$I1286-'DCF Base Case'!$B$2*(1+B1286)^2*B1286*'DCF Base Case'!$B$4</f>
        <v>35.129909889024</v>
      </c>
      <c r="M1286" s="24" t="n">
        <f aca="false">'DCF Base Case'!$B$2*(1+B1286)^4*$I1286-'DCF Base Case'!$B$2*(1+B1286)^3*B1286*'DCF Base Case'!$B$4</f>
        <v>38.3565445938262</v>
      </c>
      <c r="N1286" s="24" t="n">
        <f aca="false">'DCF Base Case'!$B$2*(1+B1286)^5*$I1286-'DCF Base Case'!$B$2*(1+B1286)^4*B1286*'DCF Base Case'!$B$4</f>
        <v>41.8795413317541</v>
      </c>
      <c r="O1286" s="24" t="n">
        <f aca="false">J1286/(1+H1286)^1+K1286/(1+H1286)^2+L1286/(1+H1286)^3+M1286/(1+H1286)^4+N1286/(1+H1286)^5</f>
        <v>130.442918724172</v>
      </c>
      <c r="P1286" s="24" t="n">
        <f aca="false">N1286*(1+F1286)/(H1286-F1286)</f>
        <v>488.266055556683</v>
      </c>
      <c r="Q1286" s="24" t="n">
        <f aca="false">O1286+P1286/(1+H1286)^5</f>
        <v>427.736575165119</v>
      </c>
      <c r="R1286" s="24" t="n">
        <f aca="false">Q1286-'DCF Base Case'!$B$5</f>
        <v>242.736575165119</v>
      </c>
      <c r="S1286" s="32" t="n">
        <f aca="false">R1286/'DCF Base Case'!$B$6</f>
        <v>9.70946300660476</v>
      </c>
    </row>
    <row r="1287" customFormat="false" ht="15" hidden="false" customHeight="true" outlineLevel="0" collapsed="false">
      <c r="A1287" s="6" t="n">
        <v>1286</v>
      </c>
      <c r="B1287" s="30" t="n">
        <v>0.0778452745019948</v>
      </c>
      <c r="C1287" s="30" t="n">
        <v>0.430268534288089</v>
      </c>
      <c r="D1287" s="30" t="n">
        <v>0.101258349737597</v>
      </c>
      <c r="E1287" s="30" t="n">
        <v>0.263357000442494</v>
      </c>
      <c r="F1287" s="30" t="n">
        <v>0.0164106617748079</v>
      </c>
      <c r="G1287" s="30" t="n">
        <v>0.142235998001285</v>
      </c>
      <c r="H1287" s="31" t="n">
        <f aca="false">MAX(D1287,F1287+0.015)</f>
        <v>0.101258349737597</v>
      </c>
      <c r="I1287" s="25" t="n">
        <f aca="false">(C1287-'DCF Base Case'!$B$3)*(1-E1287)+'DCF Base Case'!$B$3-G1287</f>
        <v>0.208954715769429</v>
      </c>
      <c r="J1287" s="24" t="n">
        <f aca="false">'DCF Base Case'!$B$2*(1+B1287)^1*$I1287-'DCF Base Case'!$B$2*(1+B1287)^0*B1287*'DCF Base Case'!$B$4</f>
        <v>32.3183967375793</v>
      </c>
      <c r="K1287" s="24" t="n">
        <f aca="false">'DCF Base Case'!$B$2*(1+B1287)^2*$I1287-'DCF Base Case'!$B$2*(1+B1287)^1*B1287*'DCF Base Case'!$B$4</f>
        <v>34.8342312030806</v>
      </c>
      <c r="L1287" s="24" t="n">
        <f aca="false">'DCF Base Case'!$B$2*(1+B1287)^3*$I1287-'DCF Base Case'!$B$2*(1+B1287)^2*B1287*'DCF Base Case'!$B$4</f>
        <v>37.5459114931503</v>
      </c>
      <c r="M1287" s="24" t="n">
        <f aca="false">'DCF Base Case'!$B$2*(1+B1287)^4*$I1287-'DCF Base Case'!$B$2*(1+B1287)^3*B1287*'DCF Base Case'!$B$4</f>
        <v>40.4686832797622</v>
      </c>
      <c r="N1287" s="24" t="n">
        <f aca="false">'DCF Base Case'!$B$2*(1+B1287)^5*$I1287-'DCF Base Case'!$B$2*(1+B1287)^4*B1287*'DCF Base Case'!$B$4</f>
        <v>43.6189790384096</v>
      </c>
      <c r="O1287" s="24" t="n">
        <f aca="false">J1287/(1+H1287)^1+K1287/(1+H1287)^2+L1287/(1+H1287)^3+M1287/(1+H1287)^4+N1287/(1+H1287)^5</f>
        <v>140.625976459502</v>
      </c>
      <c r="P1287" s="24" t="n">
        <f aca="false">N1287*(1+F1287)/(H1287-F1287)</f>
        <v>522.522138373586</v>
      </c>
      <c r="Q1287" s="24" t="n">
        <f aca="false">O1287+P1287/(1+H1287)^5</f>
        <v>463.221713610251</v>
      </c>
      <c r="R1287" s="24" t="n">
        <f aca="false">Q1287-'DCF Base Case'!$B$5</f>
        <v>278.221713610251</v>
      </c>
      <c r="S1287" s="32" t="n">
        <f aca="false">R1287/'DCF Base Case'!$B$6</f>
        <v>11.12886854441</v>
      </c>
    </row>
    <row r="1288" customFormat="false" ht="15" hidden="false" customHeight="true" outlineLevel="0" collapsed="false">
      <c r="A1288" s="6" t="n">
        <v>1287</v>
      </c>
      <c r="B1288" s="30" t="n">
        <v>0.118122184478209</v>
      </c>
      <c r="C1288" s="30" t="n">
        <v>0.443768323054603</v>
      </c>
      <c r="D1288" s="30" t="n">
        <v>0.0838342002001234</v>
      </c>
      <c r="E1288" s="30" t="n">
        <v>0.253377334876644</v>
      </c>
      <c r="F1288" s="30" t="n">
        <v>0.0140915940714293</v>
      </c>
      <c r="G1288" s="30" t="n">
        <v>0.16907313657468</v>
      </c>
      <c r="H1288" s="31" t="n">
        <f aca="false">MAX(D1288,F1288+0.015)</f>
        <v>0.0838342002001234</v>
      </c>
      <c r="I1288" s="25" t="n">
        <f aca="false">(C1288-'DCF Base Case'!$B$3)*(1-E1288)+'DCF Base Case'!$B$3-G1288</f>
        <v>0.195193405015634</v>
      </c>
      <c r="J1288" s="24" t="n">
        <f aca="false">'DCF Base Case'!$B$2*(1+B1288)^1*$I1288-'DCF Base Case'!$B$2*(1+B1288)^0*B1288*'DCF Base Case'!$B$4</f>
        <v>31.1324295772337</v>
      </c>
      <c r="K1288" s="24" t="n">
        <f aca="false">'DCF Base Case'!$B$2*(1+B1288)^2*$I1288-'DCF Base Case'!$B$2*(1+B1288)^1*B1288*'DCF Base Case'!$B$4</f>
        <v>34.8098601670106</v>
      </c>
      <c r="L1288" s="24" t="n">
        <f aca="false">'DCF Base Case'!$B$2*(1+B1288)^3*$I1288-'DCF Base Case'!$B$2*(1+B1288)^2*B1288*'DCF Base Case'!$B$4</f>
        <v>38.9216768913189</v>
      </c>
      <c r="M1288" s="24" t="n">
        <f aca="false">'DCF Base Case'!$B$2*(1+B1288)^4*$I1288-'DCF Base Case'!$B$2*(1+B1288)^3*B1288*'DCF Base Case'!$B$4</f>
        <v>43.5191903892765</v>
      </c>
      <c r="N1288" s="24" t="n">
        <f aca="false">'DCF Base Case'!$B$2*(1+B1288)^5*$I1288-'DCF Base Case'!$B$2*(1+B1288)^4*B1288*'DCF Base Case'!$B$4</f>
        <v>48.6597722247809</v>
      </c>
      <c r="O1288" s="24" t="n">
        <f aca="false">J1288/(1+H1288)^1+K1288/(1+H1288)^2+L1288/(1+H1288)^3+M1288/(1+H1288)^4+N1288/(1+H1288)^5</f>
        <v>153.000974082037</v>
      </c>
      <c r="P1288" s="24" t="n">
        <f aca="false">N1288*(1+F1288)/(H1288-F1288)</f>
        <v>707.536880562291</v>
      </c>
      <c r="Q1288" s="24" t="n">
        <f aca="false">O1288+P1288/(1+H1288)^5</f>
        <v>626.081234942196</v>
      </c>
      <c r="R1288" s="24" t="n">
        <f aca="false">Q1288-'DCF Base Case'!$B$5</f>
        <v>441.081234942196</v>
      </c>
      <c r="S1288" s="32" t="n">
        <f aca="false">R1288/'DCF Base Case'!$B$6</f>
        <v>17.6432493976878</v>
      </c>
    </row>
    <row r="1289" customFormat="false" ht="15" hidden="false" customHeight="true" outlineLevel="0" collapsed="false">
      <c r="A1289" s="6" t="n">
        <v>1288</v>
      </c>
      <c r="B1289" s="30" t="n">
        <v>0.101830196167792</v>
      </c>
      <c r="C1289" s="30" t="n">
        <v>0.375617301752511</v>
      </c>
      <c r="D1289" s="30" t="n">
        <v>0.0814655909840833</v>
      </c>
      <c r="E1289" s="30" t="n">
        <v>0.327137054252356</v>
      </c>
      <c r="F1289" s="30" t="n">
        <v>0.0185107878088811</v>
      </c>
      <c r="G1289" s="30" t="n">
        <v>0.199777283501165</v>
      </c>
      <c r="H1289" s="31" t="n">
        <f aca="false">MAX(D1289,F1289+0.015)</f>
        <v>0.0814655909840833</v>
      </c>
      <c r="I1289" s="25" t="n">
        <f aca="false">(C1289-'DCF Base Case'!$B$3)*(1-E1289)+'DCF Base Case'!$B$3-G1289</f>
        <v>0.0954894976826175</v>
      </c>
      <c r="J1289" s="24" t="n">
        <f aca="false">'DCF Base Case'!$B$2*(1+B1289)^1*$I1289-'DCF Base Case'!$B$2*(1+B1289)^0*B1289*'DCF Base Case'!$B$4</f>
        <v>14.8129543813925</v>
      </c>
      <c r="K1289" s="24" t="n">
        <f aca="false">'DCF Base Case'!$B$2*(1+B1289)^2*$I1289-'DCF Base Case'!$B$2*(1+B1289)^1*B1289*'DCF Base Case'!$B$4</f>
        <v>16.3213604318742</v>
      </c>
      <c r="L1289" s="24" t="n">
        <f aca="false">'DCF Base Case'!$B$2*(1+B1289)^3*$I1289-'DCF Base Case'!$B$2*(1+B1289)^2*B1289*'DCF Base Case'!$B$4</f>
        <v>17.9833677663772</v>
      </c>
      <c r="M1289" s="24" t="n">
        <f aca="false">'DCF Base Case'!$B$2*(1+B1289)^4*$I1289-'DCF Base Case'!$B$2*(1+B1289)^3*B1289*'DCF Base Case'!$B$4</f>
        <v>19.8146176337849</v>
      </c>
      <c r="N1289" s="24" t="n">
        <f aca="false">'DCF Base Case'!$B$2*(1+B1289)^5*$I1289-'DCF Base Case'!$B$2*(1+B1289)^4*B1289*'DCF Base Case'!$B$4</f>
        <v>21.832344034423</v>
      </c>
      <c r="O1289" s="24" t="n">
        <f aca="false">J1289/(1+H1289)^1+K1289/(1+H1289)^2+L1289/(1+H1289)^3+M1289/(1+H1289)^4+N1289/(1+H1289)^5</f>
        <v>71.1138262926953</v>
      </c>
      <c r="P1289" s="24" t="n">
        <f aca="false">N1289*(1+F1289)/(H1289-F1289)</f>
        <v>353.213365790867</v>
      </c>
      <c r="Q1289" s="24" t="n">
        <f aca="false">O1289+P1289/(1+H1289)^5</f>
        <v>309.880439375932</v>
      </c>
      <c r="R1289" s="24" t="n">
        <f aca="false">Q1289-'DCF Base Case'!$B$5</f>
        <v>124.880439375932</v>
      </c>
      <c r="S1289" s="32" t="n">
        <f aca="false">R1289/'DCF Base Case'!$B$6</f>
        <v>4.99521757503729</v>
      </c>
    </row>
    <row r="1290" customFormat="false" ht="15" hidden="false" customHeight="true" outlineLevel="0" collapsed="false">
      <c r="A1290" s="6" t="n">
        <v>1289</v>
      </c>
      <c r="B1290" s="30" t="n">
        <v>0.104072692818255</v>
      </c>
      <c r="C1290" s="30" t="n">
        <v>0.395932659017171</v>
      </c>
      <c r="D1290" s="30" t="n">
        <v>0.0817806157731296</v>
      </c>
      <c r="E1290" s="30" t="n">
        <v>0.276129288568787</v>
      </c>
      <c r="F1290" s="30" t="n">
        <v>0.0154610704237105</v>
      </c>
      <c r="G1290" s="30" t="n">
        <v>0.145772554435596</v>
      </c>
      <c r="H1290" s="31" t="n">
        <f aca="false">MAX(D1290,F1290+0.015)</f>
        <v>0.0817806157731296</v>
      </c>
      <c r="I1290" s="25" t="n">
        <f aca="false">(C1290-'DCF Base Case'!$B$3)*(1-E1290)+'DCF Base Case'!$B$3-G1290</f>
        <v>0.176728308639958</v>
      </c>
      <c r="J1290" s="24" t="n">
        <f aca="false">'DCF Base Case'!$B$2*(1+B1290)^1*$I1290-'DCF Base Case'!$B$2*(1+B1290)^0*B1290*'DCF Base Case'!$B$4</f>
        <v>27.839814230754</v>
      </c>
      <c r="K1290" s="24" t="n">
        <f aca="false">'DCF Base Case'!$B$2*(1+B1290)^2*$I1290-'DCF Base Case'!$B$2*(1+B1290)^1*B1290*'DCF Base Case'!$B$4</f>
        <v>30.7371786653086</v>
      </c>
      <c r="L1290" s="24" t="n">
        <f aca="false">'DCF Base Case'!$B$2*(1+B1290)^3*$I1290-'DCF Base Case'!$B$2*(1+B1290)^2*B1290*'DCF Base Case'!$B$4</f>
        <v>33.936079618643</v>
      </c>
      <c r="M1290" s="24" t="n">
        <f aca="false">'DCF Base Case'!$B$2*(1+B1290)^4*$I1290-'DCF Base Case'!$B$2*(1+B1290)^3*B1290*'DCF Base Case'!$B$4</f>
        <v>37.4678988082499</v>
      </c>
      <c r="N1290" s="24" t="n">
        <f aca="false">'DCF Base Case'!$B$2*(1+B1290)^5*$I1290-'DCF Base Case'!$B$2*(1+B1290)^4*B1290*'DCF Base Case'!$B$4</f>
        <v>41.3672839314664</v>
      </c>
      <c r="O1290" s="24" t="n">
        <f aca="false">J1290/(1+H1290)^1+K1290/(1+H1290)^2+L1290/(1+H1290)^3+M1290/(1+H1290)^4+N1290/(1+H1290)^5</f>
        <v>134.089497253766</v>
      </c>
      <c r="P1290" s="24" t="n">
        <f aca="false">N1290*(1+F1290)/(H1290-F1290)</f>
        <v>633.401001171615</v>
      </c>
      <c r="Q1290" s="24" t="n">
        <f aca="false">O1290+P1290/(1+H1290)^5</f>
        <v>561.635420639215</v>
      </c>
      <c r="R1290" s="24" t="n">
        <f aca="false">Q1290-'DCF Base Case'!$B$5</f>
        <v>376.635420639215</v>
      </c>
      <c r="S1290" s="32" t="n">
        <f aca="false">R1290/'DCF Base Case'!$B$6</f>
        <v>15.0654168255686</v>
      </c>
    </row>
    <row r="1291" customFormat="false" ht="15" hidden="false" customHeight="true" outlineLevel="0" collapsed="false">
      <c r="A1291" s="6" t="n">
        <v>1290</v>
      </c>
      <c r="B1291" s="30" t="n">
        <v>0.121843046595664</v>
      </c>
      <c r="C1291" s="30" t="n">
        <v>0.405756567407318</v>
      </c>
      <c r="D1291" s="30" t="n">
        <v>0.0968627968404955</v>
      </c>
      <c r="E1291" s="30" t="n">
        <v>0.268632328464806</v>
      </c>
      <c r="F1291" s="30" t="n">
        <v>0.0192579797402229</v>
      </c>
      <c r="G1291" s="30" t="n">
        <v>0.178494987323758</v>
      </c>
      <c r="H1291" s="31" t="n">
        <f aca="false">MAX(D1291,F1291+0.015)</f>
        <v>0.0968627968404955</v>
      </c>
      <c r="I1291" s="25" t="n">
        <f aca="false">(C1291-'DCF Base Case'!$B$3)*(1-E1291)+'DCF Base Case'!$B$3-G1291</f>
        <v>0.15318445129147</v>
      </c>
      <c r="J1291" s="24" t="n">
        <f aca="false">'DCF Base Case'!$B$2*(1+B1291)^1*$I1291-'DCF Base Case'!$B$2*(1+B1291)^0*B1291*'DCF Base Case'!$B$4</f>
        <v>24.3880749188555</v>
      </c>
      <c r="K1291" s="24" t="n">
        <f aca="false">'DCF Base Case'!$B$2*(1+B1291)^2*$I1291-'DCF Base Case'!$B$2*(1+B1291)^1*B1291*'DCF Base Case'!$B$4</f>
        <v>27.3595922675721</v>
      </c>
      <c r="L1291" s="24" t="n">
        <f aca="false">'DCF Base Case'!$B$2*(1+B1291)^3*$I1291-'DCF Base Case'!$B$2*(1+B1291)^2*B1291*'DCF Base Case'!$B$4</f>
        <v>30.6931683430683</v>
      </c>
      <c r="M1291" s="24" t="n">
        <f aca="false">'DCF Base Case'!$B$2*(1+B1291)^4*$I1291-'DCF Base Case'!$B$2*(1+B1291)^3*B1291*'DCF Base Case'!$B$4</f>
        <v>34.4329174836613</v>
      </c>
      <c r="N1291" s="24" t="n">
        <f aca="false">'DCF Base Case'!$B$2*(1+B1291)^5*$I1291-'DCF Base Case'!$B$2*(1+B1291)^4*B1291*'DCF Base Case'!$B$4</f>
        <v>38.6283290530477</v>
      </c>
      <c r="O1291" s="24" t="n">
        <f aca="false">J1291/(1+H1291)^1+K1291/(1+H1291)^2+L1291/(1+H1291)^3+M1291/(1+H1291)^4+N1291/(1+H1291)^5</f>
        <v>116.352310421221</v>
      </c>
      <c r="P1291" s="24" t="n">
        <f aca="false">N1291*(1+F1291)/(H1291-F1291)</f>
        <v>507.342638028222</v>
      </c>
      <c r="Q1291" s="24" t="n">
        <f aca="false">O1291+P1291/(1+H1291)^5</f>
        <v>435.903052664264</v>
      </c>
      <c r="R1291" s="24" t="n">
        <f aca="false">Q1291-'DCF Base Case'!$B$5</f>
        <v>250.903052664264</v>
      </c>
      <c r="S1291" s="32" t="n">
        <f aca="false">R1291/'DCF Base Case'!$B$6</f>
        <v>10.0361221065705</v>
      </c>
    </row>
    <row r="1292" customFormat="false" ht="15" hidden="false" customHeight="true" outlineLevel="0" collapsed="false">
      <c r="A1292" s="6" t="n">
        <v>1291</v>
      </c>
      <c r="B1292" s="30" t="n">
        <v>0.077063028139046</v>
      </c>
      <c r="C1292" s="30" t="n">
        <v>0.421345568752012</v>
      </c>
      <c r="D1292" s="30" t="n">
        <v>0.0624892733049678</v>
      </c>
      <c r="E1292" s="30" t="n">
        <v>0.292835869630559</v>
      </c>
      <c r="F1292" s="30" t="n">
        <v>0.0110895438412961</v>
      </c>
      <c r="G1292" s="30" t="n">
        <v>0.160515790196859</v>
      </c>
      <c r="H1292" s="31" t="n">
        <f aca="false">MAX(D1292,F1292+0.015)</f>
        <v>0.0624892733049678</v>
      </c>
      <c r="I1292" s="25" t="n">
        <f aca="false">(C1292-'DCF Base Case'!$B$3)*(1-E1292)+'DCF Base Case'!$B$3-G1292</f>
        <v>0.175513345566648</v>
      </c>
      <c r="J1292" s="24" t="n">
        <f aca="false">'DCF Base Case'!$B$2*(1+B1292)^1*$I1292-'DCF Base Case'!$B$2*(1+B1292)^0*B1292*'DCF Base Case'!$B$4</f>
        <v>27.0754214685453</v>
      </c>
      <c r="K1292" s="24" t="n">
        <f aca="false">'DCF Base Case'!$B$2*(1+B1292)^2*$I1292-'DCF Base Case'!$B$2*(1+B1292)^1*B1292*'DCF Base Case'!$B$4</f>
        <v>29.1619354350523</v>
      </c>
      <c r="L1292" s="24" t="n">
        <f aca="false">'DCF Base Case'!$B$2*(1+B1292)^3*$I1292-'DCF Base Case'!$B$2*(1+B1292)^2*B1292*'DCF Base Case'!$B$4</f>
        <v>31.4092424860728</v>
      </c>
      <c r="M1292" s="24" t="n">
        <f aca="false">'DCF Base Case'!$B$2*(1+B1292)^4*$I1292-'DCF Base Case'!$B$2*(1+B1292)^3*B1292*'DCF Base Case'!$B$4</f>
        <v>33.8297338236031</v>
      </c>
      <c r="N1292" s="24" t="n">
        <f aca="false">'DCF Base Case'!$B$2*(1+B1292)^5*$I1292-'DCF Base Case'!$B$2*(1+B1292)^4*B1292*'DCF Base Case'!$B$4</f>
        <v>36.4367555531879</v>
      </c>
      <c r="O1292" s="24" t="n">
        <f aca="false">J1292/(1+H1292)^1+K1292/(1+H1292)^2+L1292/(1+H1292)^3+M1292/(1+H1292)^4+N1292/(1+H1292)^5</f>
        <v>130.958714877912</v>
      </c>
      <c r="P1292" s="24" t="n">
        <f aca="false">N1292*(1+F1292)/(H1292-F1292)</f>
        <v>716.751292968729</v>
      </c>
      <c r="Q1292" s="24" t="n">
        <f aca="false">O1292+P1292/(1+H1292)^5</f>
        <v>660.312123713704</v>
      </c>
      <c r="R1292" s="24" t="n">
        <f aca="false">Q1292-'DCF Base Case'!$B$5</f>
        <v>475.312123713704</v>
      </c>
      <c r="S1292" s="32" t="n">
        <f aca="false">R1292/'DCF Base Case'!$B$6</f>
        <v>19.0124849485481</v>
      </c>
    </row>
    <row r="1293" customFormat="false" ht="15" hidden="false" customHeight="true" outlineLevel="0" collapsed="false">
      <c r="A1293" s="6" t="n">
        <v>1292</v>
      </c>
      <c r="B1293" s="30" t="n">
        <v>0.108656325579411</v>
      </c>
      <c r="C1293" s="30" t="n">
        <v>0.432511090297273</v>
      </c>
      <c r="D1293" s="30" t="n">
        <v>0.0707174847314187</v>
      </c>
      <c r="E1293" s="30" t="n">
        <v>0.256320222320982</v>
      </c>
      <c r="F1293" s="30" t="n">
        <v>0.0165547766214854</v>
      </c>
      <c r="G1293" s="30" t="n">
        <v>0.169434928503284</v>
      </c>
      <c r="H1293" s="31" t="n">
        <f aca="false">MAX(D1293,F1293+0.015)</f>
        <v>0.0707174847314187</v>
      </c>
      <c r="I1293" s="25" t="n">
        <f aca="false">(C1293-'DCF Base Case'!$B$3)*(1-E1293)+'DCF Base Case'!$B$3-G1293</f>
        <v>0.185536451874429</v>
      </c>
      <c r="J1293" s="24" t="n">
        <f aca="false">'DCF Base Case'!$B$2*(1+B1293)^1*$I1293-'DCF Base Case'!$B$2*(1+B1293)^0*B1293*'DCF Base Case'!$B$4</f>
        <v>29.3532883281708</v>
      </c>
      <c r="K1293" s="24" t="n">
        <f aca="false">'DCF Base Case'!$B$2*(1+B1293)^2*$I1293-'DCF Base Case'!$B$2*(1+B1293)^1*B1293*'DCF Base Case'!$B$4</f>
        <v>32.5427087815828</v>
      </c>
      <c r="L1293" s="24" t="n">
        <f aca="false">'DCF Base Case'!$B$2*(1+B1293)^3*$I1293-'DCF Base Case'!$B$2*(1+B1293)^2*B1293*'DCF Base Case'!$B$4</f>
        <v>36.0786799421904</v>
      </c>
      <c r="M1293" s="24" t="n">
        <f aca="false">'DCF Base Case'!$B$2*(1+B1293)^4*$I1293-'DCF Base Case'!$B$2*(1+B1293)^3*B1293*'DCF Base Case'!$B$4</f>
        <v>39.9988567364644</v>
      </c>
      <c r="N1293" s="24" t="n">
        <f aca="false">'DCF Base Case'!$B$2*(1+B1293)^5*$I1293-'DCF Base Case'!$B$2*(1+B1293)^4*B1293*'DCF Base Case'!$B$4</f>
        <v>44.3449855368259</v>
      </c>
      <c r="O1293" s="24" t="n">
        <f aca="false">J1293/(1+H1293)^1+K1293/(1+H1293)^2+L1293/(1+H1293)^3+M1293/(1+H1293)^4+N1293/(1+H1293)^5</f>
        <v>147.137159418873</v>
      </c>
      <c r="P1293" s="24" t="n">
        <f aca="false">N1293*(1+F1293)/(H1293-F1293)</f>
        <v>832.290489891581</v>
      </c>
      <c r="Q1293" s="24" t="n">
        <f aca="false">O1293+P1293/(1+H1293)^5</f>
        <v>738.563221684127</v>
      </c>
      <c r="R1293" s="24" t="n">
        <f aca="false">Q1293-'DCF Base Case'!$B$5</f>
        <v>553.563221684127</v>
      </c>
      <c r="S1293" s="32" t="n">
        <f aca="false">R1293/'DCF Base Case'!$B$6</f>
        <v>22.1425288673651</v>
      </c>
    </row>
    <row r="1294" customFormat="false" ht="15" hidden="false" customHeight="true" outlineLevel="0" collapsed="false">
      <c r="A1294" s="6" t="n">
        <v>1293</v>
      </c>
      <c r="B1294" s="30" t="n">
        <v>0.0502665013468054</v>
      </c>
      <c r="C1294" s="30" t="n">
        <v>0.397523335698906</v>
      </c>
      <c r="D1294" s="30" t="n">
        <v>0.0884257231118007</v>
      </c>
      <c r="E1294" s="30" t="n">
        <v>0.272198227920071</v>
      </c>
      <c r="F1294" s="30" t="n">
        <v>0.0212283968971898</v>
      </c>
      <c r="G1294" s="30" t="n">
        <v>0.170311813876453</v>
      </c>
      <c r="H1294" s="31" t="n">
        <f aca="false">MAX(D1294,F1294+0.015)</f>
        <v>0.0884257231118007</v>
      </c>
      <c r="I1294" s="25" t="n">
        <f aca="false">(C1294-'DCF Base Case'!$B$3)*(1-E1294)+'DCF Base Case'!$B$3-G1294</f>
        <v>0.154392143917945</v>
      </c>
      <c r="J1294" s="24" t="n">
        <f aca="false">'DCF Base Case'!$B$2*(1+B1294)^1*$I1294-'DCF Base Case'!$B$2*(1+B1294)^0*B1294*'DCF Base Case'!$B$4</f>
        <v>23.2935107592205</v>
      </c>
      <c r="K1294" s="24" t="n">
        <f aca="false">'DCF Base Case'!$B$2*(1+B1294)^2*$I1294-'DCF Base Case'!$B$2*(1+B1294)^1*B1294*'DCF Base Case'!$B$4</f>
        <v>24.4643940491707</v>
      </c>
      <c r="L1294" s="24" t="n">
        <f aca="false">'DCF Base Case'!$B$2*(1+B1294)^3*$I1294-'DCF Base Case'!$B$2*(1+B1294)^2*B1294*'DCF Base Case'!$B$4</f>
        <v>25.6941335455921</v>
      </c>
      <c r="M1294" s="24" t="n">
        <f aca="false">'DCF Base Case'!$B$2*(1+B1294)^4*$I1294-'DCF Base Case'!$B$2*(1+B1294)^3*B1294*'DCF Base Case'!$B$4</f>
        <v>26.9856877440667</v>
      </c>
      <c r="N1294" s="24" t="n">
        <f aca="false">'DCF Base Case'!$B$2*(1+B1294)^5*$I1294-'DCF Base Case'!$B$2*(1+B1294)^4*B1294*'DCF Base Case'!$B$4</f>
        <v>28.3421638533982</v>
      </c>
      <c r="O1294" s="24" t="n">
        <f aca="false">J1294/(1+H1294)^1+K1294/(1+H1294)^2+L1294/(1+H1294)^3+M1294/(1+H1294)^4+N1294/(1+H1294)^5</f>
        <v>99.7609514709564</v>
      </c>
      <c r="P1294" s="24" t="n">
        <f aca="false">N1294*(1+F1294)/(H1294-F1294)</f>
        <v>430.728783228134</v>
      </c>
      <c r="Q1294" s="24" t="n">
        <f aca="false">O1294+P1294/(1+H1294)^5</f>
        <v>381.735499359917</v>
      </c>
      <c r="R1294" s="24" t="n">
        <f aca="false">Q1294-'DCF Base Case'!$B$5</f>
        <v>196.735499359917</v>
      </c>
      <c r="S1294" s="32" t="n">
        <f aca="false">R1294/'DCF Base Case'!$B$6</f>
        <v>7.86941997439666</v>
      </c>
    </row>
    <row r="1295" customFormat="false" ht="15" hidden="false" customHeight="true" outlineLevel="0" collapsed="false">
      <c r="A1295" s="6" t="n">
        <v>1294</v>
      </c>
      <c r="B1295" s="30" t="n">
        <v>0.0783424277242235</v>
      </c>
      <c r="C1295" s="30" t="n">
        <v>0.371637614530974</v>
      </c>
      <c r="D1295" s="30" t="n">
        <v>0.0864675438972791</v>
      </c>
      <c r="E1295" s="30" t="n">
        <v>0.259354768804359</v>
      </c>
      <c r="F1295" s="30" t="n">
        <v>0.017018929542446</v>
      </c>
      <c r="G1295" s="30" t="n">
        <v>0.17646207646659</v>
      </c>
      <c r="H1295" s="31" t="n">
        <f aca="false">MAX(D1295,F1295+0.015)</f>
        <v>0.0864675438972791</v>
      </c>
      <c r="I1295" s="25" t="n">
        <f aca="false">(C1295-'DCF Base Case'!$B$3)*(1-E1295)+'DCF Base Case'!$B$3-G1295</f>
        <v>0.132505670413266</v>
      </c>
      <c r="J1295" s="24" t="n">
        <f aca="false">'DCF Base Case'!$B$2*(1+B1295)^1*$I1295-'DCF Base Case'!$B$2*(1+B1295)^0*B1295*'DCF Base Case'!$B$4</f>
        <v>20.3777509558964</v>
      </c>
      <c r="K1295" s="24" t="n">
        <f aca="false">'DCF Base Case'!$B$2*(1+B1295)^2*$I1295-'DCF Base Case'!$B$2*(1+B1295)^1*B1295*'DCF Base Case'!$B$4</f>
        <v>21.974193437341</v>
      </c>
      <c r="L1295" s="24" t="n">
        <f aca="false">'DCF Base Case'!$B$2*(1+B1295)^3*$I1295-'DCF Base Case'!$B$2*(1+B1295)^2*B1295*'DCF Base Case'!$B$4</f>
        <v>23.6957050985039</v>
      </c>
      <c r="M1295" s="24" t="n">
        <f aca="false">'DCF Base Case'!$B$2*(1+B1295)^4*$I1295-'DCF Base Case'!$B$2*(1+B1295)^3*B1295*'DCF Base Case'!$B$4</f>
        <v>25.552084162558</v>
      </c>
      <c r="N1295" s="24" t="n">
        <f aca="false">'DCF Base Case'!$B$2*(1+B1295)^5*$I1295-'DCF Base Case'!$B$2*(1+B1295)^4*B1295*'DCF Base Case'!$B$4</f>
        <v>27.5538964692665</v>
      </c>
      <c r="O1295" s="24" t="n">
        <f aca="false">J1295/(1+H1295)^1+K1295/(1+H1295)^2+L1295/(1+H1295)^3+M1295/(1+H1295)^4+N1295/(1+H1295)^5</f>
        <v>92.3876330592925</v>
      </c>
      <c r="P1295" s="24" t="n">
        <f aca="false">N1295*(1+F1295)/(H1295-F1295)</f>
        <v>403.504584680697</v>
      </c>
      <c r="Q1295" s="24" t="n">
        <f aca="false">O1295+P1295/(1+H1295)^5</f>
        <v>358.929041257502</v>
      </c>
      <c r="R1295" s="24" t="n">
        <f aca="false">Q1295-'DCF Base Case'!$B$5</f>
        <v>173.929041257502</v>
      </c>
      <c r="S1295" s="32" t="n">
        <f aca="false">R1295/'DCF Base Case'!$B$6</f>
        <v>6.95716165030009</v>
      </c>
    </row>
    <row r="1296" customFormat="false" ht="15" hidden="false" customHeight="true" outlineLevel="0" collapsed="false">
      <c r="A1296" s="6" t="n">
        <v>1295</v>
      </c>
      <c r="B1296" s="30" t="n">
        <v>0.120227198020549</v>
      </c>
      <c r="C1296" s="30" t="n">
        <v>0.424077328124115</v>
      </c>
      <c r="D1296" s="30" t="n">
        <v>0.0910947132009046</v>
      </c>
      <c r="E1296" s="30" t="n">
        <v>0.252785327742819</v>
      </c>
      <c r="F1296" s="30" t="n">
        <v>0.0202269607262635</v>
      </c>
      <c r="G1296" s="30" t="n">
        <v>0.163934784869979</v>
      </c>
      <c r="H1296" s="31" t="n">
        <f aca="false">MAX(D1296,F1296+0.015)</f>
        <v>0.0910947132009046</v>
      </c>
      <c r="I1296" s="25" t="n">
        <f aca="false">(C1296-'DCF Base Case'!$B$3)*(1-E1296)+'DCF Base Case'!$B$3-G1296</f>
        <v>0.185804109482549</v>
      </c>
      <c r="J1296" s="24" t="n">
        <f aca="false">'DCF Base Case'!$B$2*(1+B1296)^1*$I1296-'DCF Base Case'!$B$2*(1+B1296)^0*B1296*'DCF Base Case'!$B$4</f>
        <v>29.6577201458298</v>
      </c>
      <c r="K1296" s="24" t="n">
        <f aca="false">'DCF Base Case'!$B$2*(1+B1296)^2*$I1296-'DCF Base Case'!$B$2*(1+B1296)^1*B1296*'DCF Base Case'!$B$4</f>
        <v>33.2233847386405</v>
      </c>
      <c r="L1296" s="24" t="n">
        <f aca="false">'DCF Base Case'!$B$2*(1+B1296)^3*$I1296-'DCF Base Case'!$B$2*(1+B1296)^2*B1296*'DCF Base Case'!$B$4</f>
        <v>37.2177391945259</v>
      </c>
      <c r="M1296" s="24" t="n">
        <f aca="false">'DCF Base Case'!$B$2*(1+B1296)^4*$I1296-'DCF Base Case'!$B$2*(1+B1296)^3*B1296*'DCF Base Case'!$B$4</f>
        <v>41.6923236945434</v>
      </c>
      <c r="N1296" s="24" t="n">
        <f aca="false">'DCF Base Case'!$B$2*(1+B1296)^5*$I1296-'DCF Base Case'!$B$2*(1+B1296)^4*B1296*'DCF Base Case'!$B$4</f>
        <v>46.704874951304</v>
      </c>
      <c r="O1296" s="24" t="n">
        <f aca="false">J1296/(1+H1296)^1+K1296/(1+H1296)^2+L1296/(1+H1296)^3+M1296/(1+H1296)^4+N1296/(1+H1296)^5</f>
        <v>143.36202717118</v>
      </c>
      <c r="P1296" s="24" t="n">
        <f aca="false">N1296*(1+F1296)/(H1296-F1296)</f>
        <v>672.373131061547</v>
      </c>
      <c r="Q1296" s="24" t="n">
        <f aca="false">O1296+P1296/(1+H1296)^5</f>
        <v>578.170594694847</v>
      </c>
      <c r="R1296" s="24" t="n">
        <f aca="false">Q1296-'DCF Base Case'!$B$5</f>
        <v>393.170594694847</v>
      </c>
      <c r="S1296" s="32" t="n">
        <f aca="false">R1296/'DCF Base Case'!$B$6</f>
        <v>15.7268237877939</v>
      </c>
    </row>
    <row r="1297" customFormat="false" ht="15" hidden="false" customHeight="true" outlineLevel="0" collapsed="false">
      <c r="A1297" s="6" t="n">
        <v>1296</v>
      </c>
      <c r="B1297" s="30" t="n">
        <v>0.116602003782425</v>
      </c>
      <c r="C1297" s="30" t="n">
        <v>0.413086257146976</v>
      </c>
      <c r="D1297" s="30" t="n">
        <v>0.0823419862112139</v>
      </c>
      <c r="E1297" s="30" t="n">
        <v>0.31213263668765</v>
      </c>
      <c r="F1297" s="30" t="n">
        <v>0.0190046504217821</v>
      </c>
      <c r="G1297" s="30" t="n">
        <v>0.143130007145405</v>
      </c>
      <c r="H1297" s="31" t="n">
        <f aca="false">MAX(D1297,F1297+0.015)</f>
        <v>0.0823419862112139</v>
      </c>
      <c r="I1297" s="25" t="n">
        <f aca="false">(C1297-'DCF Base Case'!$B$3)*(1-E1297)+'DCF Base Case'!$B$3-G1297</f>
        <v>0.181595790148247</v>
      </c>
      <c r="J1297" s="24" t="n">
        <f aca="false">'DCF Base Case'!$B$2*(1+B1297)^1*$I1297-'DCF Base Case'!$B$2*(1+B1297)^0*B1297*'DCF Base Case'!$B$4</f>
        <v>28.8944636414544</v>
      </c>
      <c r="K1297" s="24" t="n">
        <f aca="false">'DCF Base Case'!$B$2*(1+B1297)^2*$I1297-'DCF Base Case'!$B$2*(1+B1297)^1*B1297*'DCF Base Case'!$B$4</f>
        <v>32.2636160002664</v>
      </c>
      <c r="L1297" s="24" t="n">
        <f aca="false">'DCF Base Case'!$B$2*(1+B1297)^3*$I1297-'DCF Base Case'!$B$2*(1+B1297)^2*B1297*'DCF Base Case'!$B$4</f>
        <v>36.0256182751641</v>
      </c>
      <c r="M1297" s="24" t="n">
        <f aca="false">'DCF Base Case'!$B$2*(1+B1297)^4*$I1297-'DCF Base Case'!$B$2*(1+B1297)^3*B1297*'DCF Base Case'!$B$4</f>
        <v>40.226277553549</v>
      </c>
      <c r="N1297" s="24" t="n">
        <f aca="false">'DCF Base Case'!$B$2*(1+B1297)^5*$I1297-'DCF Base Case'!$B$2*(1+B1297)^4*B1297*'DCF Base Case'!$B$4</f>
        <v>44.9167421210008</v>
      </c>
      <c r="O1297" s="24" t="n">
        <f aca="false">J1297/(1+H1297)^1+K1297/(1+H1297)^2+L1297/(1+H1297)^3+M1297/(1+H1297)^4+N1297/(1+H1297)^5</f>
        <v>142.203274496066</v>
      </c>
      <c r="P1297" s="24" t="n">
        <f aca="false">N1297*(1+F1297)/(H1297-F1297)</f>
        <v>722.644369748385</v>
      </c>
      <c r="Q1297" s="24" t="n">
        <f aca="false">O1297+P1297/(1+H1297)^5</f>
        <v>628.724837996253</v>
      </c>
      <c r="R1297" s="24" t="n">
        <f aca="false">Q1297-'DCF Base Case'!$B$5</f>
        <v>443.724837996253</v>
      </c>
      <c r="S1297" s="32" t="n">
        <f aca="false">R1297/'DCF Base Case'!$B$6</f>
        <v>17.7489935198501</v>
      </c>
    </row>
    <row r="1298" customFormat="false" ht="15" hidden="false" customHeight="true" outlineLevel="0" collapsed="false">
      <c r="A1298" s="6" t="n">
        <v>1297</v>
      </c>
      <c r="B1298" s="30" t="n">
        <v>0.134822662155047</v>
      </c>
      <c r="C1298" s="30" t="n">
        <v>0.412152348430514</v>
      </c>
      <c r="D1298" s="30" t="n">
        <v>0.0842882991029553</v>
      </c>
      <c r="E1298" s="30" t="n">
        <v>0.289935977780212</v>
      </c>
      <c r="F1298" s="30" t="n">
        <v>0.0203043266482244</v>
      </c>
      <c r="G1298" s="30" t="n">
        <v>0.161250786524916</v>
      </c>
      <c r="H1298" s="31" t="n">
        <f aca="false">MAX(D1298,F1298+0.015)</f>
        <v>0.0842882991029553</v>
      </c>
      <c r="I1298" s="25" t="n">
        <f aca="false">(C1298-'DCF Base Case'!$B$3)*(1-E1298)+'DCF Base Case'!$B$3-G1298</f>
        <v>0.169095444880414</v>
      </c>
      <c r="J1298" s="24" t="n">
        <f aca="false">'DCF Base Case'!$B$2*(1+B1298)^1*$I1298-'DCF Base Case'!$B$2*(1+B1298)^0*B1298*'DCF Base Case'!$B$4</f>
        <v>27.2380561426606</v>
      </c>
      <c r="K1298" s="24" t="n">
        <f aca="false">'DCF Base Case'!$B$2*(1+B1298)^2*$I1298-'DCF Base Case'!$B$2*(1+B1298)^1*B1298*'DCF Base Case'!$B$4</f>
        <v>30.9103633837428</v>
      </c>
      <c r="L1298" s="24" t="n">
        <f aca="false">'DCF Base Case'!$B$2*(1+B1298)^3*$I1298-'DCF Base Case'!$B$2*(1+B1298)^2*B1298*'DCF Base Case'!$B$4</f>
        <v>35.0777808633188</v>
      </c>
      <c r="M1298" s="24" t="n">
        <f aca="false">'DCF Base Case'!$B$2*(1+B1298)^4*$I1298-'DCF Base Case'!$B$2*(1+B1298)^3*B1298*'DCF Base Case'!$B$4</f>
        <v>39.8070606618029</v>
      </c>
      <c r="N1298" s="24" t="n">
        <f aca="false">'DCF Base Case'!$B$2*(1+B1298)^5*$I1298-'DCF Base Case'!$B$2*(1+B1298)^4*B1298*'DCF Base Case'!$B$4</f>
        <v>45.1739545527946</v>
      </c>
      <c r="O1298" s="24" t="n">
        <f aca="false">J1298/(1+H1298)^1+K1298/(1+H1298)^2+L1298/(1+H1298)^3+M1298/(1+H1298)^4+N1298/(1+H1298)^5</f>
        <v>137.869618376135</v>
      </c>
      <c r="P1298" s="24" t="n">
        <f aca="false">N1298*(1+F1298)/(H1298-F1298)</f>
        <v>720.355106345364</v>
      </c>
      <c r="Q1298" s="24" t="n">
        <f aca="false">O1298+P1298/(1+H1298)^5</f>
        <v>618.512797028667</v>
      </c>
      <c r="R1298" s="24" t="n">
        <f aca="false">Q1298-'DCF Base Case'!$B$5</f>
        <v>433.512797028667</v>
      </c>
      <c r="S1298" s="32" t="n">
        <f aca="false">R1298/'DCF Base Case'!$B$6</f>
        <v>17.3405118811467</v>
      </c>
    </row>
    <row r="1299" customFormat="false" ht="15" hidden="false" customHeight="true" outlineLevel="0" collapsed="false">
      <c r="A1299" s="6" t="n">
        <v>1298</v>
      </c>
      <c r="B1299" s="30" t="n">
        <v>0.0861902855689911</v>
      </c>
      <c r="C1299" s="30" t="n">
        <v>0.408244517943577</v>
      </c>
      <c r="D1299" s="30" t="n">
        <v>0.0727247275554949</v>
      </c>
      <c r="E1299" s="30" t="n">
        <v>0.337505501170724</v>
      </c>
      <c r="F1299" s="30" t="n">
        <v>0.0185008437790361</v>
      </c>
      <c r="G1299" s="30" t="n">
        <v>0.179359375472928</v>
      </c>
      <c r="H1299" s="31" t="n">
        <f aca="false">MAX(D1299,F1299+0.015)</f>
        <v>0.0727247275554949</v>
      </c>
      <c r="I1299" s="25" t="n">
        <f aca="false">(C1299-'DCF Base Case'!$B$3)*(1-E1299)+'DCF Base Case'!$B$3-G1299</f>
        <v>0.134976086994096</v>
      </c>
      <c r="J1299" s="24" t="n">
        <f aca="false">'DCF Base Case'!$B$2*(1+B1299)^1*$I1299-'DCF Base Case'!$B$2*(1+B1299)^0*B1299*'DCF Base Case'!$B$4</f>
        <v>20.8834808569546</v>
      </c>
      <c r="K1299" s="24" t="n">
        <f aca="false">'DCF Base Case'!$B$2*(1+B1299)^2*$I1299-'DCF Base Case'!$B$2*(1+B1299)^1*B1299*'DCF Base Case'!$B$4</f>
        <v>22.6834340356901</v>
      </c>
      <c r="L1299" s="24" t="n">
        <f aca="false">'DCF Base Case'!$B$2*(1+B1299)^3*$I1299-'DCF Base Case'!$B$2*(1+B1299)^2*B1299*'DCF Base Case'!$B$4</f>
        <v>24.6385256929116</v>
      </c>
      <c r="M1299" s="24" t="n">
        <f aca="false">'DCF Base Case'!$B$2*(1+B1299)^4*$I1299-'DCF Base Case'!$B$2*(1+B1299)^3*B1299*'DCF Base Case'!$B$4</f>
        <v>26.7621272583826</v>
      </c>
      <c r="N1299" s="24" t="n">
        <f aca="false">'DCF Base Case'!$B$2*(1+B1299)^5*$I1299-'DCF Base Case'!$B$2*(1+B1299)^4*B1299*'DCF Base Case'!$B$4</f>
        <v>29.0687626492163</v>
      </c>
      <c r="O1299" s="24" t="n">
        <f aca="false">J1299/(1+H1299)^1+K1299/(1+H1299)^2+L1299/(1+H1299)^3+M1299/(1+H1299)^4+N1299/(1+H1299)^5</f>
        <v>99.8130729365767</v>
      </c>
      <c r="P1299" s="24" t="n">
        <f aca="false">N1299*(1+F1299)/(H1299-F1299)</f>
        <v>546.005878293302</v>
      </c>
      <c r="Q1299" s="24" t="n">
        <f aca="false">O1299+P1299/(1+H1299)^5</f>
        <v>484.188715984091</v>
      </c>
      <c r="R1299" s="24" t="n">
        <f aca="false">Q1299-'DCF Base Case'!$B$5</f>
        <v>299.188715984091</v>
      </c>
      <c r="S1299" s="32" t="n">
        <f aca="false">R1299/'DCF Base Case'!$B$6</f>
        <v>11.9675486393636</v>
      </c>
    </row>
    <row r="1300" customFormat="false" ht="15" hidden="false" customHeight="true" outlineLevel="0" collapsed="false">
      <c r="A1300" s="6" t="n">
        <v>1299</v>
      </c>
      <c r="B1300" s="30" t="n">
        <v>0.0829501736588875</v>
      </c>
      <c r="C1300" s="30" t="n">
        <v>0.404264140634586</v>
      </c>
      <c r="D1300" s="30" t="n">
        <v>0.0799901197106339</v>
      </c>
      <c r="E1300" s="30" t="n">
        <v>0.251545405471236</v>
      </c>
      <c r="F1300" s="30" t="n">
        <v>0.0187369492857538</v>
      </c>
      <c r="G1300" s="30" t="n">
        <v>0.156986547997618</v>
      </c>
      <c r="H1300" s="31" t="n">
        <f aca="false">MAX(D1300,F1300+0.015)</f>
        <v>0.0799901197106339</v>
      </c>
      <c r="I1300" s="25" t="n">
        <f aca="false">(C1300-'DCF Base Case'!$B$3)*(1-E1300)+'DCF Base Case'!$B$3-G1300</f>
        <v>0.178287708174821</v>
      </c>
      <c r="J1300" s="24" t="n">
        <f aca="false">'DCF Base Case'!$B$2*(1+B1300)^1*$I1300-'DCF Base Case'!$B$2*(1+B1300)^0*B1300*'DCF Base Case'!$B$4</f>
        <v>27.6352889013131</v>
      </c>
      <c r="K1300" s="24" t="n">
        <f aca="false">'DCF Base Case'!$B$2*(1+B1300)^2*$I1300-'DCF Base Case'!$B$2*(1+B1300)^1*B1300*'DCF Base Case'!$B$4</f>
        <v>29.9276409147906</v>
      </c>
      <c r="L1300" s="24" t="n">
        <f aca="false">'DCF Base Case'!$B$2*(1+B1300)^3*$I1300-'DCF Base Case'!$B$2*(1+B1300)^2*B1300*'DCF Base Case'!$B$4</f>
        <v>32.4101439258733</v>
      </c>
      <c r="M1300" s="24" t="n">
        <f aca="false">'DCF Base Case'!$B$2*(1+B1300)^4*$I1300-'DCF Base Case'!$B$2*(1+B1300)^3*B1300*'DCF Base Case'!$B$4</f>
        <v>35.098570992834</v>
      </c>
      <c r="N1300" s="24" t="n">
        <f aca="false">'DCF Base Case'!$B$2*(1+B1300)^5*$I1300-'DCF Base Case'!$B$2*(1+B1300)^4*B1300*'DCF Base Case'!$B$4</f>
        <v>38.0100035518684</v>
      </c>
      <c r="O1300" s="24" t="n">
        <f aca="false">J1300/(1+H1300)^1+K1300/(1+H1300)^2+L1300/(1+H1300)^3+M1300/(1+H1300)^4+N1300/(1+H1300)^5</f>
        <v>128.645580320943</v>
      </c>
      <c r="P1300" s="24" t="n">
        <f aca="false">N1300*(1+F1300)/(H1300-F1300)</f>
        <v>632.166380812228</v>
      </c>
      <c r="Q1300" s="24" t="n">
        <f aca="false">O1300+P1300/(1+H1300)^5</f>
        <v>558.907077527287</v>
      </c>
      <c r="R1300" s="24" t="n">
        <f aca="false">Q1300-'DCF Base Case'!$B$5</f>
        <v>373.907077527287</v>
      </c>
      <c r="S1300" s="32" t="n">
        <f aca="false">R1300/'DCF Base Case'!$B$6</f>
        <v>14.9562831010915</v>
      </c>
    </row>
    <row r="1301" customFormat="false" ht="15" hidden="false" customHeight="true" outlineLevel="0" collapsed="false">
      <c r="A1301" s="6" t="n">
        <v>1300</v>
      </c>
      <c r="B1301" s="30" t="n">
        <v>0.115434372992324</v>
      </c>
      <c r="C1301" s="30" t="n">
        <v>0.397832517417424</v>
      </c>
      <c r="D1301" s="30" t="n">
        <v>0.0786513810468966</v>
      </c>
      <c r="E1301" s="30" t="n">
        <v>0.260146265045674</v>
      </c>
      <c r="F1301" s="30" t="n">
        <v>0.0243713976381594</v>
      </c>
      <c r="G1301" s="30" t="n">
        <v>0.147735311993518</v>
      </c>
      <c r="H1301" s="31" t="n">
        <f aca="false">MAX(D1301,F1301+0.015)</f>
        <v>0.0786513810468966</v>
      </c>
      <c r="I1301" s="25" t="n">
        <f aca="false">(C1301-'DCF Base Case'!$B$3)*(1-E1301)+'DCF Base Case'!$B$3-G1301</f>
        <v>0.180421576359983</v>
      </c>
      <c r="J1301" s="24" t="n">
        <f aca="false">'DCF Base Case'!$B$2*(1+B1301)^1*$I1301-'DCF Base Case'!$B$2*(1+B1301)^0*B1301*'DCF Base Case'!$B$4</f>
        <v>28.6788825231841</v>
      </c>
      <c r="K1301" s="24" t="n">
        <f aca="false">'DCF Base Case'!$B$2*(1+B1301)^2*$I1301-'DCF Base Case'!$B$2*(1+B1301)^1*B1301*'DCF Base Case'!$B$4</f>
        <v>31.9894113453683</v>
      </c>
      <c r="L1301" s="24" t="n">
        <f aca="false">'DCF Base Case'!$B$2*(1+B1301)^3*$I1301-'DCF Base Case'!$B$2*(1+B1301)^2*B1301*'DCF Base Case'!$B$4</f>
        <v>35.6820889864145</v>
      </c>
      <c r="M1301" s="24" t="n">
        <f aca="false">'DCF Base Case'!$B$2*(1+B1301)^4*$I1301-'DCF Base Case'!$B$2*(1+B1301)^3*B1301*'DCF Base Case'!$B$4</f>
        <v>39.8010285556175</v>
      </c>
      <c r="N1301" s="24" t="n">
        <f aca="false">'DCF Base Case'!$B$2*(1+B1301)^5*$I1301-'DCF Base Case'!$B$2*(1+B1301)^4*B1301*'DCF Base Case'!$B$4</f>
        <v>44.3954353313848</v>
      </c>
      <c r="O1301" s="24" t="n">
        <f aca="false">J1301/(1+H1301)^1+K1301/(1+H1301)^2+L1301/(1+H1301)^3+M1301/(1+H1301)^4+N1301/(1+H1301)^5</f>
        <v>142.319750886324</v>
      </c>
      <c r="P1301" s="24" t="n">
        <f aca="false">N1301*(1+F1301)/(H1301-F1301)</f>
        <v>837.830288132419</v>
      </c>
      <c r="Q1301" s="24" t="n">
        <f aca="false">O1301+P1301/(1+H1301)^5</f>
        <v>716.106529763045</v>
      </c>
      <c r="R1301" s="24" t="n">
        <f aca="false">Q1301-'DCF Base Case'!$B$5</f>
        <v>531.106529763045</v>
      </c>
      <c r="S1301" s="32" t="n">
        <f aca="false">R1301/'DCF Base Case'!$B$6</f>
        <v>21.2442611905218</v>
      </c>
    </row>
    <row r="1302" customFormat="false" ht="15" hidden="false" customHeight="true" outlineLevel="0" collapsed="false">
      <c r="A1302" s="6" t="n">
        <v>1301</v>
      </c>
      <c r="B1302" s="30" t="n">
        <v>0.102121518506314</v>
      </c>
      <c r="C1302" s="30" t="n">
        <v>0.436809561830875</v>
      </c>
      <c r="D1302" s="30" t="n">
        <v>0.0833926479744305</v>
      </c>
      <c r="E1302" s="30" t="n">
        <v>0.253617186112942</v>
      </c>
      <c r="F1302" s="30" t="n">
        <v>0.013885283173726</v>
      </c>
      <c r="G1302" s="30" t="n">
        <v>0.185798284613526</v>
      </c>
      <c r="H1302" s="31" t="n">
        <f aca="false">MAX(D1302,F1302+0.015)</f>
        <v>0.0833926479744305</v>
      </c>
      <c r="I1302" s="25" t="n">
        <f aca="false">(C1302-'DCF Base Case'!$B$3)*(1-E1302)+'DCF Base Case'!$B$3-G1302</f>
        <v>0.173199099473258</v>
      </c>
      <c r="J1302" s="24" t="n">
        <f aca="false">'DCF Base Case'!$B$2*(1+B1302)^1*$I1302-'DCF Base Case'!$B$2*(1+B1302)^0*B1302*'DCF Base Case'!$B$4</f>
        <v>27.2343072992295</v>
      </c>
      <c r="K1302" s="24" t="n">
        <f aca="false">'DCF Base Case'!$B$2*(1+B1302)^2*$I1302-'DCF Base Case'!$B$2*(1+B1302)^1*B1302*'DCF Base Case'!$B$4</f>
        <v>30.0155161160944</v>
      </c>
      <c r="L1302" s="24" t="n">
        <f aca="false">'DCF Base Case'!$B$2*(1+B1302)^3*$I1302-'DCF Base Case'!$B$2*(1+B1302)^2*B1302*'DCF Base Case'!$B$4</f>
        <v>33.0807462006207</v>
      </c>
      <c r="M1302" s="24" t="n">
        <f aca="false">'DCF Base Case'!$B$2*(1+B1302)^4*$I1302-'DCF Base Case'!$B$2*(1+B1302)^3*B1302*'DCF Base Case'!$B$4</f>
        <v>36.4590022359501</v>
      </c>
      <c r="N1302" s="24" t="n">
        <f aca="false">'DCF Base Case'!$B$2*(1+B1302)^5*$I1302-'DCF Base Case'!$B$2*(1+B1302)^4*B1302*'DCF Base Case'!$B$4</f>
        <v>40.1822509075104</v>
      </c>
      <c r="O1302" s="24" t="n">
        <f aca="false">J1302/(1+H1302)^1+K1302/(1+H1302)^2+L1302/(1+H1302)^3+M1302/(1+H1302)^4+N1302/(1+H1302)^5</f>
        <v>130.111361371765</v>
      </c>
      <c r="P1302" s="24" t="n">
        <f aca="false">N1302*(1+F1302)/(H1302-F1302)</f>
        <v>586.127714044858</v>
      </c>
      <c r="Q1302" s="24" t="n">
        <f aca="false">O1302+P1302/(1+H1302)^5</f>
        <v>522.813111069247</v>
      </c>
      <c r="R1302" s="24" t="n">
        <f aca="false">Q1302-'DCF Base Case'!$B$5</f>
        <v>337.813111069247</v>
      </c>
      <c r="S1302" s="32" t="n">
        <f aca="false">R1302/'DCF Base Case'!$B$6</f>
        <v>13.5125244427699</v>
      </c>
    </row>
    <row r="1303" customFormat="false" ht="15" hidden="false" customHeight="true" outlineLevel="0" collapsed="false">
      <c r="A1303" s="6" t="n">
        <v>1302</v>
      </c>
      <c r="B1303" s="30" t="n">
        <v>0.062773622609538</v>
      </c>
      <c r="C1303" s="30" t="n">
        <v>0.413132719008968</v>
      </c>
      <c r="D1303" s="30" t="n">
        <v>0.0862578402080266</v>
      </c>
      <c r="E1303" s="30" t="n">
        <v>0.290880866041859</v>
      </c>
      <c r="F1303" s="30" t="n">
        <v>0.0210333338802981</v>
      </c>
      <c r="G1303" s="30" t="n">
        <v>0.146475412738967</v>
      </c>
      <c r="H1303" s="31" t="n">
        <f aca="false">MAX(D1303,F1303+0.015)</f>
        <v>0.0862578402080266</v>
      </c>
      <c r="I1303" s="25" t="n">
        <f aca="false">(C1303-'DCF Base Case'!$B$3)*(1-E1303)+'DCF Base Case'!$B$3-G1303</f>
        <v>0.184299415759886</v>
      </c>
      <c r="J1303" s="24" t="n">
        <f aca="false">'DCF Base Case'!$B$2*(1+B1303)^1*$I1303-'DCF Base Case'!$B$2*(1+B1303)^0*B1303*'DCF Base Case'!$B$4</f>
        <v>28.1278756127821</v>
      </c>
      <c r="K1303" s="24" t="n">
        <f aca="false">'DCF Base Case'!$B$2*(1+B1303)^2*$I1303-'DCF Base Case'!$B$2*(1+B1303)^1*B1303*'DCF Base Case'!$B$4</f>
        <v>29.8935642613069</v>
      </c>
      <c r="L1303" s="24" t="n">
        <f aca="false">'DCF Base Case'!$B$2*(1+B1303)^3*$I1303-'DCF Base Case'!$B$2*(1+B1303)^2*B1303*'DCF Base Case'!$B$4</f>
        <v>31.7700915827001</v>
      </c>
      <c r="M1303" s="24" t="n">
        <f aca="false">'DCF Base Case'!$B$2*(1+B1303)^4*$I1303-'DCF Base Case'!$B$2*(1+B1303)^3*B1303*'DCF Base Case'!$B$4</f>
        <v>33.764415321983</v>
      </c>
      <c r="N1303" s="24" t="n">
        <f aca="false">'DCF Base Case'!$B$2*(1+B1303)^5*$I1303-'DCF Base Case'!$B$2*(1+B1303)^4*B1303*'DCF Base Case'!$B$4</f>
        <v>35.8839299870369</v>
      </c>
      <c r="O1303" s="24" t="n">
        <f aca="false">J1303/(1+H1303)^1+K1303/(1+H1303)^2+L1303/(1+H1303)^3+M1303/(1+H1303)^4+N1303/(1+H1303)^5</f>
        <v>123.992992853176</v>
      </c>
      <c r="P1303" s="24" t="n">
        <f aca="false">N1303*(1+F1303)/(H1303-F1303)</f>
        <v>561.731942949417</v>
      </c>
      <c r="Q1303" s="24" t="n">
        <f aca="false">O1303+P1303/(1+H1303)^5</f>
        <v>495.412321411891</v>
      </c>
      <c r="R1303" s="24" t="n">
        <f aca="false">Q1303-'DCF Base Case'!$B$5</f>
        <v>310.412321411891</v>
      </c>
      <c r="S1303" s="32" t="n">
        <f aca="false">R1303/'DCF Base Case'!$B$6</f>
        <v>12.4164928564756</v>
      </c>
    </row>
    <row r="1304" customFormat="false" ht="15" hidden="false" customHeight="true" outlineLevel="0" collapsed="false">
      <c r="A1304" s="6" t="n">
        <v>1303</v>
      </c>
      <c r="B1304" s="30" t="n">
        <v>0.0686922607531542</v>
      </c>
      <c r="C1304" s="30" t="n">
        <v>0.421458974565841</v>
      </c>
      <c r="D1304" s="30" t="n">
        <v>0.0780772092837916</v>
      </c>
      <c r="E1304" s="30" t="n">
        <v>0.24255978690845</v>
      </c>
      <c r="F1304" s="30" t="n">
        <v>0.0216780513181273</v>
      </c>
      <c r="G1304" s="30" t="n">
        <v>0.144498173853269</v>
      </c>
      <c r="H1304" s="31" t="n">
        <f aca="false">MAX(D1304,F1304+0.015)</f>
        <v>0.0780772092837916</v>
      </c>
      <c r="I1304" s="25" t="n">
        <f aca="false">(C1304-'DCF Base Case'!$B$3)*(1-E1304)+'DCF Base Case'!$B$3-G1304</f>
        <v>0.206264573949326</v>
      </c>
      <c r="J1304" s="24" t="n">
        <f aca="false">'DCF Base Case'!$B$2*(1+B1304)^1*$I1304-'DCF Base Case'!$B$2*(1+B1304)^0*B1304*'DCF Base Case'!$B$4</f>
        <v>31.6640249735666</v>
      </c>
      <c r="K1304" s="24" t="n">
        <f aca="false">'DCF Base Case'!$B$2*(1+B1304)^2*$I1304-'DCF Base Case'!$B$2*(1+B1304)^1*B1304*'DCF Base Case'!$B$4</f>
        <v>33.8390984335452</v>
      </c>
      <c r="L1304" s="24" t="n">
        <f aca="false">'DCF Base Case'!$B$2*(1+B1304)^3*$I1304-'DCF Base Case'!$B$2*(1+B1304)^2*B1304*'DCF Base Case'!$B$4</f>
        <v>36.1635826067939</v>
      </c>
      <c r="M1304" s="24" t="n">
        <f aca="false">'DCF Base Case'!$B$2*(1+B1304)^4*$I1304-'DCF Base Case'!$B$2*(1+B1304)^3*B1304*'DCF Base Case'!$B$4</f>
        <v>38.6477408529881</v>
      </c>
      <c r="N1304" s="24" t="n">
        <f aca="false">'DCF Base Case'!$B$2*(1+B1304)^5*$I1304-'DCF Base Case'!$B$2*(1+B1304)^4*B1304*'DCF Base Case'!$B$4</f>
        <v>41.3025415451818</v>
      </c>
      <c r="O1304" s="24" t="n">
        <f aca="false">J1304/(1+H1304)^1+K1304/(1+H1304)^2+L1304/(1+H1304)^3+M1304/(1+H1304)^4+N1304/(1+H1304)^5</f>
        <v>144.319513749017</v>
      </c>
      <c r="P1304" s="24" t="n">
        <f aca="false">N1304*(1+F1304)/(H1304-F1304)</f>
        <v>748.200889560397</v>
      </c>
      <c r="Q1304" s="24" t="n">
        <f aca="false">O1304+P1304/(1+H1304)^5</f>
        <v>658.089695203835</v>
      </c>
      <c r="R1304" s="24" t="n">
        <f aca="false">Q1304-'DCF Base Case'!$B$5</f>
        <v>473.089695203835</v>
      </c>
      <c r="S1304" s="32" t="n">
        <f aca="false">R1304/'DCF Base Case'!$B$6</f>
        <v>18.9235878081534</v>
      </c>
    </row>
    <row r="1305" customFormat="false" ht="15" hidden="false" customHeight="true" outlineLevel="0" collapsed="false">
      <c r="A1305" s="6" t="n">
        <v>1304</v>
      </c>
      <c r="B1305" s="30" t="n">
        <v>0.099987418648652</v>
      </c>
      <c r="C1305" s="30" t="n">
        <v>0.443145110091544</v>
      </c>
      <c r="D1305" s="30" t="n">
        <v>0.0851843870298814</v>
      </c>
      <c r="E1305" s="30" t="n">
        <v>0.310240076952402</v>
      </c>
      <c r="F1305" s="30" t="n">
        <v>0.0199093485916111</v>
      </c>
      <c r="G1305" s="30" t="n">
        <v>0.201635732416463</v>
      </c>
      <c r="H1305" s="31" t="n">
        <f aca="false">MAX(D1305,F1305+0.015)</f>
        <v>0.0851843870298814</v>
      </c>
      <c r="I1305" s="25" t="n">
        <f aca="false">(C1305-'DCF Base Case'!$B$3)*(1-E1305)+'DCF Base Case'!$B$3-G1305</f>
        <v>0.144359214623012</v>
      </c>
      <c r="J1305" s="24" t="n">
        <f aca="false">'DCF Base Case'!$B$2*(1+B1305)^1*$I1305-'DCF Base Case'!$B$2*(1+B1305)^0*B1305*'DCF Base Case'!$B$4</f>
        <v>22.5900861073189</v>
      </c>
      <c r="K1305" s="24" t="n">
        <f aca="false">'DCF Base Case'!$B$2*(1+B1305)^2*$I1305-'DCF Base Case'!$B$2*(1+B1305)^1*B1305*'DCF Base Case'!$B$4</f>
        <v>24.8488105042404</v>
      </c>
      <c r="L1305" s="24" t="n">
        <f aca="false">'DCF Base Case'!$B$2*(1+B1305)^3*$I1305-'DCF Base Case'!$B$2*(1+B1305)^2*B1305*'DCF Base Case'!$B$4</f>
        <v>27.3333789230489</v>
      </c>
      <c r="M1305" s="24" t="n">
        <f aca="false">'DCF Base Case'!$B$2*(1+B1305)^4*$I1305-'DCF Base Case'!$B$2*(1+B1305)^3*B1305*'DCF Base Case'!$B$4</f>
        <v>30.0663729245101</v>
      </c>
      <c r="N1305" s="24" t="n">
        <f aca="false">'DCF Base Case'!$B$2*(1+B1305)^5*$I1305-'DCF Base Case'!$B$2*(1+B1305)^4*B1305*'DCF Base Case'!$B$4</f>
        <v>33.0726319413596</v>
      </c>
      <c r="O1305" s="24" t="n">
        <f aca="false">J1305/(1+H1305)^1+K1305/(1+H1305)^2+L1305/(1+H1305)^3+M1305/(1+H1305)^4+N1305/(1+H1305)^5</f>
        <v>106.962719602758</v>
      </c>
      <c r="P1305" s="24" t="n">
        <f aca="false">N1305*(1+F1305)/(H1305-F1305)</f>
        <v>516.753223078086</v>
      </c>
      <c r="Q1305" s="24" t="n">
        <f aca="false">O1305+P1305/(1+H1305)^5</f>
        <v>450.335219413294</v>
      </c>
      <c r="R1305" s="24" t="n">
        <f aca="false">Q1305-'DCF Base Case'!$B$5</f>
        <v>265.335219413294</v>
      </c>
      <c r="S1305" s="32" t="n">
        <f aca="false">R1305/'DCF Base Case'!$B$6</f>
        <v>10.6134087765318</v>
      </c>
    </row>
    <row r="1306" customFormat="false" ht="15" hidden="false" customHeight="true" outlineLevel="0" collapsed="false">
      <c r="A1306" s="6" t="n">
        <v>1305</v>
      </c>
      <c r="B1306" s="30" t="n">
        <v>0.0668415286110477</v>
      </c>
      <c r="C1306" s="30" t="n">
        <v>0.405968460272419</v>
      </c>
      <c r="D1306" s="30" t="n">
        <v>0.0924047776554562</v>
      </c>
      <c r="E1306" s="30" t="n">
        <v>0.274518102189851</v>
      </c>
      <c r="F1306" s="30" t="n">
        <v>0.0234557707158822</v>
      </c>
      <c r="G1306" s="30" t="n">
        <v>0.156488701705565</v>
      </c>
      <c r="H1306" s="31" t="n">
        <f aca="false">MAX(D1306,F1306+0.015)</f>
        <v>0.0924047776554562</v>
      </c>
      <c r="I1306" s="25" t="n">
        <f aca="false">(C1306-'DCF Base Case'!$B$3)*(1-E1306)+'DCF Base Case'!$B$3-G1306</f>
        <v>0.173721420588614</v>
      </c>
      <c r="J1306" s="24" t="n">
        <f aca="false">'DCF Base Case'!$B$2*(1+B1306)^1*$I1306-'DCF Base Case'!$B$2*(1+B1306)^0*B1306*'DCF Base Case'!$B$4</f>
        <v>26.5825571050617</v>
      </c>
      <c r="K1306" s="24" t="n">
        <f aca="false">'DCF Base Case'!$B$2*(1+B1306)^2*$I1306-'DCF Base Case'!$B$2*(1+B1306)^1*B1306*'DCF Base Case'!$B$4</f>
        <v>28.3593758563545</v>
      </c>
      <c r="L1306" s="24" t="n">
        <f aca="false">'DCF Base Case'!$B$2*(1+B1306)^3*$I1306-'DCF Base Case'!$B$2*(1+B1306)^2*B1306*'DCF Base Case'!$B$4</f>
        <v>30.2549598890485</v>
      </c>
      <c r="M1306" s="24" t="n">
        <f aca="false">'DCF Base Case'!$B$2*(1+B1306)^4*$I1306-'DCF Base Case'!$B$2*(1+B1306)^3*B1306*'DCF Base Case'!$B$4</f>
        <v>32.2772476560984</v>
      </c>
      <c r="N1306" s="24" t="n">
        <f aca="false">'DCF Base Case'!$B$2*(1+B1306)^5*$I1306-'DCF Base Case'!$B$2*(1+B1306)^4*B1306*'DCF Base Case'!$B$4</f>
        <v>34.4347082287894</v>
      </c>
      <c r="O1306" s="24" t="n">
        <f aca="false">J1306/(1+H1306)^1+K1306/(1+H1306)^2+L1306/(1+H1306)^3+M1306/(1+H1306)^4+N1306/(1+H1306)^5</f>
        <v>116.107237271545</v>
      </c>
      <c r="P1306" s="24" t="n">
        <f aca="false">N1306*(1+F1306)/(H1306-F1306)</f>
        <v>511.137178241859</v>
      </c>
      <c r="Q1306" s="24" t="n">
        <f aca="false">O1306+P1306/(1+H1306)^5</f>
        <v>444.670889025715</v>
      </c>
      <c r="R1306" s="24" t="n">
        <f aca="false">Q1306-'DCF Base Case'!$B$5</f>
        <v>259.670889025715</v>
      </c>
      <c r="S1306" s="32" t="n">
        <f aca="false">R1306/'DCF Base Case'!$B$6</f>
        <v>10.3868355610286</v>
      </c>
    </row>
    <row r="1307" customFormat="false" ht="15" hidden="false" customHeight="true" outlineLevel="0" collapsed="false">
      <c r="A1307" s="6" t="n">
        <v>1306</v>
      </c>
      <c r="B1307" s="30" t="n">
        <v>0.130187855551434</v>
      </c>
      <c r="C1307" s="30" t="n">
        <v>0.456344083753239</v>
      </c>
      <c r="D1307" s="30" t="n">
        <v>0.0881027919585003</v>
      </c>
      <c r="E1307" s="30" t="n">
        <v>0.296393509337542</v>
      </c>
      <c r="F1307" s="30" t="n">
        <v>0.0235864050441783</v>
      </c>
      <c r="G1307" s="30" t="n">
        <v>0.141686390507228</v>
      </c>
      <c r="H1307" s="31" t="n">
        <f aca="false">MAX(D1307,F1307+0.015)</f>
        <v>0.0881027919585003</v>
      </c>
      <c r="I1307" s="25" t="n">
        <f aca="false">(C1307-'DCF Base Case'!$B$3)*(1-E1307)+'DCF Base Case'!$B$3-G1307</f>
        <v>0.217931425010844</v>
      </c>
      <c r="J1307" s="24" t="n">
        <f aca="false">'DCF Base Case'!$B$2*(1+B1307)^1*$I1307-'DCF Base Case'!$B$2*(1+B1307)^0*B1307*'DCF Base Case'!$B$4</f>
        <v>35.1476830624409</v>
      </c>
      <c r="K1307" s="24" t="n">
        <f aca="false">'DCF Base Case'!$B$2*(1+B1307)^2*$I1307-'DCF Base Case'!$B$2*(1+B1307)^1*B1307*'DCF Base Case'!$B$4</f>
        <v>39.7234845479416</v>
      </c>
      <c r="L1307" s="24" t="n">
        <f aca="false">'DCF Base Case'!$B$2*(1+B1307)^3*$I1307-'DCF Base Case'!$B$2*(1+B1307)^2*B1307*'DCF Base Case'!$B$4</f>
        <v>44.8949998162686</v>
      </c>
      <c r="M1307" s="24" t="n">
        <f aca="false">'DCF Base Case'!$B$2*(1+B1307)^4*$I1307-'DCF Base Case'!$B$2*(1+B1307)^3*B1307*'DCF Base Case'!$B$4</f>
        <v>50.7397835673307</v>
      </c>
      <c r="N1307" s="24" t="n">
        <f aca="false">'DCF Base Case'!$B$2*(1+B1307)^5*$I1307-'DCF Base Case'!$B$2*(1+B1307)^4*B1307*'DCF Base Case'!$B$4</f>
        <v>57.3454871811053</v>
      </c>
      <c r="O1307" s="24" t="n">
        <f aca="false">J1307/(1+H1307)^1+K1307/(1+H1307)^2+L1307/(1+H1307)^3+M1307/(1+H1307)^4+N1307/(1+H1307)^5</f>
        <v>174.49517531096</v>
      </c>
      <c r="P1307" s="24" t="n">
        <f aca="false">N1307*(1+F1307)/(H1307-F1307)</f>
        <v>909.816309880555</v>
      </c>
      <c r="Q1307" s="24" t="n">
        <f aca="false">O1307+P1307/(1+H1307)^5</f>
        <v>770.986449148102</v>
      </c>
      <c r="R1307" s="24" t="n">
        <f aca="false">Q1307-'DCF Base Case'!$B$5</f>
        <v>585.986449148102</v>
      </c>
      <c r="S1307" s="32" t="n">
        <f aca="false">R1307/'DCF Base Case'!$B$6</f>
        <v>23.4394579659241</v>
      </c>
    </row>
    <row r="1308" customFormat="false" ht="15" hidden="false" customHeight="true" outlineLevel="0" collapsed="false">
      <c r="A1308" s="6" t="n">
        <v>1307</v>
      </c>
      <c r="B1308" s="30" t="n">
        <v>0.0617669548647634</v>
      </c>
      <c r="C1308" s="30" t="n">
        <v>0.429245766923551</v>
      </c>
      <c r="D1308" s="30" t="n">
        <v>0.088013873201603</v>
      </c>
      <c r="E1308" s="30" t="n">
        <v>0.273599751137614</v>
      </c>
      <c r="F1308" s="30" t="n">
        <v>0.0193955604545091</v>
      </c>
      <c r="G1308" s="30" t="n">
        <v>0.125836236863547</v>
      </c>
      <c r="H1308" s="31" t="n">
        <f aca="false">MAX(D1308,F1308+0.015)</f>
        <v>0.088013873201603</v>
      </c>
      <c r="I1308" s="25" t="n">
        <f aca="false">(C1308-'DCF Base Case'!$B$3)*(1-E1308)+'DCF Base Case'!$B$3-G1308</f>
        <v>0.221535962700736</v>
      </c>
      <c r="J1308" s="24" t="n">
        <f aca="false">'DCF Base Case'!$B$2*(1+B1308)^1*$I1308-'DCF Base Case'!$B$2*(1+B1308)^0*B1308*'DCF Base Case'!$B$4</f>
        <v>33.8381506002585</v>
      </c>
      <c r="K1308" s="24" t="n">
        <f aca="false">'DCF Base Case'!$B$2*(1+B1308)^2*$I1308-'DCF Base Case'!$B$2*(1+B1308)^1*B1308*'DCF Base Case'!$B$4</f>
        <v>35.9282301210917</v>
      </c>
      <c r="L1308" s="24" t="n">
        <f aca="false">'DCF Base Case'!$B$2*(1+B1308)^3*$I1308-'DCF Base Case'!$B$2*(1+B1308)^2*B1308*'DCF Base Case'!$B$4</f>
        <v>38.147407489352</v>
      </c>
      <c r="M1308" s="24" t="n">
        <f aca="false">'DCF Base Case'!$B$2*(1+B1308)^4*$I1308-'DCF Base Case'!$B$2*(1+B1308)^3*B1308*'DCF Base Case'!$B$4</f>
        <v>40.5036566859545</v>
      </c>
      <c r="N1308" s="24" t="n">
        <f aca="false">'DCF Base Case'!$B$2*(1+B1308)^5*$I1308-'DCF Base Case'!$B$2*(1+B1308)^4*B1308*'DCF Base Case'!$B$4</f>
        <v>43.0054442203338</v>
      </c>
      <c r="O1308" s="24" t="n">
        <f aca="false">J1308/(1+H1308)^1+K1308/(1+H1308)^2+L1308/(1+H1308)^3+M1308/(1+H1308)^4+N1308/(1+H1308)^5</f>
        <v>148.180369684582</v>
      </c>
      <c r="P1308" s="24" t="n">
        <f aca="false">N1308*(1+F1308)/(H1308-F1308)</f>
        <v>638.890074070481</v>
      </c>
      <c r="Q1308" s="24" t="n">
        <f aca="false">O1308+P1308/(1+H1308)^5</f>
        <v>567.21891707511</v>
      </c>
      <c r="R1308" s="24" t="n">
        <f aca="false">Q1308-'DCF Base Case'!$B$5</f>
        <v>382.21891707511</v>
      </c>
      <c r="S1308" s="32" t="n">
        <f aca="false">R1308/'DCF Base Case'!$B$6</f>
        <v>15.2887566830044</v>
      </c>
    </row>
    <row r="1309" customFormat="false" ht="15" hidden="false" customHeight="true" outlineLevel="0" collapsed="false">
      <c r="A1309" s="6" t="n">
        <v>1308</v>
      </c>
      <c r="B1309" s="30" t="n">
        <v>0.0860670304493262</v>
      </c>
      <c r="C1309" s="30" t="n">
        <v>0.396333762565312</v>
      </c>
      <c r="D1309" s="30" t="n">
        <v>0.0950987879697659</v>
      </c>
      <c r="E1309" s="30" t="n">
        <v>0.310217838028918</v>
      </c>
      <c r="F1309" s="30" t="n">
        <v>0.021415371510667</v>
      </c>
      <c r="G1309" s="30" t="n">
        <v>0.174420253403836</v>
      </c>
      <c r="H1309" s="31" t="n">
        <f aca="false">MAX(D1309,F1309+0.015)</f>
        <v>0.0950987879697659</v>
      </c>
      <c r="I1309" s="25" t="n">
        <f aca="false">(C1309-'DCF Base Case'!$B$3)*(1-E1309)+'DCF Base Case'!$B$3-G1309</f>
        <v>0.139292025144358</v>
      </c>
      <c r="J1309" s="24" t="n">
        <f aca="false">'DCF Base Case'!$B$2*(1+B1309)^1*$I1309-'DCF Base Case'!$B$2*(1+B1309)^0*B1309*'DCF Base Case'!$B$4</f>
        <v>21.5612774540472</v>
      </c>
      <c r="K1309" s="24" t="n">
        <f aca="false">'DCF Base Case'!$B$2*(1+B1309)^2*$I1309-'DCF Base Case'!$B$2*(1+B1309)^1*B1309*'DCF Base Case'!$B$4</f>
        <v>23.4169925772111</v>
      </c>
      <c r="L1309" s="24" t="n">
        <f aca="false">'DCF Base Case'!$B$2*(1+B1309)^3*$I1309-'DCF Base Case'!$B$2*(1+B1309)^2*B1309*'DCF Base Case'!$B$4</f>
        <v>25.4324235903856</v>
      </c>
      <c r="M1309" s="24" t="n">
        <f aca="false">'DCF Base Case'!$B$2*(1+B1309)^4*$I1309-'DCF Base Case'!$B$2*(1+B1309)^3*B1309*'DCF Base Case'!$B$4</f>
        <v>27.6213167659394</v>
      </c>
      <c r="N1309" s="24" t="n">
        <f aca="false">'DCF Base Case'!$B$2*(1+B1309)^5*$I1309-'DCF Base Case'!$B$2*(1+B1309)^4*B1309*'DCF Base Case'!$B$4</f>
        <v>29.998601477084</v>
      </c>
      <c r="O1309" s="24" t="n">
        <f aca="false">J1309/(1+H1309)^1+K1309/(1+H1309)^2+L1309/(1+H1309)^3+M1309/(1+H1309)^4+N1309/(1+H1309)^5</f>
        <v>96.8339490951763</v>
      </c>
      <c r="P1309" s="24" t="n">
        <f aca="false">N1309*(1+F1309)/(H1309-F1309)</f>
        <v>415.847067698399</v>
      </c>
      <c r="Q1309" s="24" t="n">
        <f aca="false">O1309+P1309/(1+H1309)^5</f>
        <v>360.872385325342</v>
      </c>
      <c r="R1309" s="24" t="n">
        <f aca="false">Q1309-'DCF Base Case'!$B$5</f>
        <v>175.872385325342</v>
      </c>
      <c r="S1309" s="32" t="n">
        <f aca="false">R1309/'DCF Base Case'!$B$6</f>
        <v>7.03489541301368</v>
      </c>
    </row>
    <row r="1310" customFormat="false" ht="15" hidden="false" customHeight="true" outlineLevel="0" collapsed="false">
      <c r="A1310" s="6" t="n">
        <v>1309</v>
      </c>
      <c r="B1310" s="30" t="n">
        <v>0.0583236907208774</v>
      </c>
      <c r="C1310" s="30" t="n">
        <v>0.415406829324097</v>
      </c>
      <c r="D1310" s="30" t="n">
        <v>0.0919233774007572</v>
      </c>
      <c r="E1310" s="30" t="n">
        <v>0.317524599086948</v>
      </c>
      <c r="F1310" s="30" t="n">
        <v>0.0260028116420551</v>
      </c>
      <c r="G1310" s="30" t="n">
        <v>0.133456531648387</v>
      </c>
      <c r="H1310" s="31" t="n">
        <f aca="false">MAX(D1310,F1310+0.015)</f>
        <v>0.0919233774007572</v>
      </c>
      <c r="I1310" s="25" t="n">
        <f aca="false">(C1310-'DCF Base Case'!$B$3)*(1-E1310)+'DCF Base Case'!$B$3-G1310</f>
        <v>0.191326608617899</v>
      </c>
      <c r="J1310" s="24" t="n">
        <f aca="false">'DCF Base Case'!$B$2*(1+B1310)^1*$I1310-'DCF Base Case'!$B$2*(1+B1310)^0*B1310*'DCF Base Case'!$B$4</f>
        <v>29.1066869173767</v>
      </c>
      <c r="K1310" s="24" t="n">
        <f aca="false">'DCF Base Case'!$B$2*(1+B1310)^2*$I1310-'DCF Base Case'!$B$2*(1+B1310)^1*B1310*'DCF Base Case'!$B$4</f>
        <v>30.8042963230552</v>
      </c>
      <c r="L1310" s="24" t="n">
        <f aca="false">'DCF Base Case'!$B$2*(1+B1310)^3*$I1310-'DCF Base Case'!$B$2*(1+B1310)^2*B1310*'DCF Base Case'!$B$4</f>
        <v>32.6009165746754</v>
      </c>
      <c r="M1310" s="24" t="n">
        <f aca="false">'DCF Base Case'!$B$2*(1+B1310)^4*$I1310-'DCF Base Case'!$B$2*(1+B1310)^3*B1310*'DCF Base Case'!$B$4</f>
        <v>34.5023223501939</v>
      </c>
      <c r="N1310" s="24" t="n">
        <f aca="false">'DCF Base Case'!$B$2*(1+B1310)^5*$I1310-'DCF Base Case'!$B$2*(1+B1310)^4*B1310*'DCF Base Case'!$B$4</f>
        <v>36.5146251280986</v>
      </c>
      <c r="O1310" s="24" t="n">
        <f aca="false">J1310/(1+H1310)^1+K1310/(1+H1310)^2+L1310/(1+H1310)^3+M1310/(1+H1310)^4+N1310/(1+H1310)^5</f>
        <v>125.327815540701</v>
      </c>
      <c r="P1310" s="24" t="n">
        <f aca="false">N1310*(1+F1310)/(H1310-F1310)</f>
        <v>568.322004162096</v>
      </c>
      <c r="Q1310" s="24" t="n">
        <f aca="false">O1310+P1310/(1+H1310)^5</f>
        <v>491.456412169002</v>
      </c>
      <c r="R1310" s="24" t="n">
        <f aca="false">Q1310-'DCF Base Case'!$B$5</f>
        <v>306.456412169002</v>
      </c>
      <c r="S1310" s="32" t="n">
        <f aca="false">R1310/'DCF Base Case'!$B$6</f>
        <v>12.2582564867601</v>
      </c>
    </row>
    <row r="1311" customFormat="false" ht="15" hidden="false" customHeight="true" outlineLevel="0" collapsed="false">
      <c r="A1311" s="6" t="n">
        <v>1310</v>
      </c>
      <c r="B1311" s="30" t="n">
        <v>0.0817631177167789</v>
      </c>
      <c r="C1311" s="30" t="n">
        <v>0.394891804815344</v>
      </c>
      <c r="D1311" s="30" t="n">
        <v>0.0868975790722358</v>
      </c>
      <c r="E1311" s="30" t="n">
        <v>0.280020927682325</v>
      </c>
      <c r="F1311" s="30" t="n">
        <v>0.0184442649477994</v>
      </c>
      <c r="G1311" s="30" t="n">
        <v>0.189793909299654</v>
      </c>
      <c r="H1311" s="31" t="n">
        <f aca="false">MAX(D1311,F1311+0.015)</f>
        <v>0.0868975790722358</v>
      </c>
      <c r="I1311" s="25" t="n">
        <f aca="false">(C1311-'DCF Base Case'!$B$3)*(1-E1311)+'DCF Base Case'!$B$3-G1311</f>
        <v>0.130922646595852</v>
      </c>
      <c r="J1311" s="24" t="n">
        <f aca="false">'DCF Base Case'!$B$2*(1+B1311)^1*$I1311-'DCF Base Case'!$B$2*(1+B1311)^0*B1311*'DCF Base Case'!$B$4</f>
        <v>20.1802875403148</v>
      </c>
      <c r="K1311" s="24" t="n">
        <f aca="false">'DCF Base Case'!$B$2*(1+B1311)^2*$I1311-'DCF Base Case'!$B$2*(1+B1311)^1*B1311*'DCF Base Case'!$B$4</f>
        <v>21.830290766032</v>
      </c>
      <c r="L1311" s="24" t="n">
        <f aca="false">'DCF Base Case'!$B$2*(1+B1311)^3*$I1311-'DCF Base Case'!$B$2*(1+B1311)^2*B1311*'DCF Base Case'!$B$4</f>
        <v>23.6152033997266</v>
      </c>
      <c r="M1311" s="24" t="n">
        <f aca="false">'DCF Base Case'!$B$2*(1+B1311)^4*$I1311-'DCF Base Case'!$B$2*(1+B1311)^3*B1311*'DCF Base Case'!$B$4</f>
        <v>25.5460560552042</v>
      </c>
      <c r="N1311" s="24" t="n">
        <f aca="false">'DCF Base Case'!$B$2*(1+B1311)^5*$I1311-'DCF Base Case'!$B$2*(1+B1311)^4*B1311*'DCF Base Case'!$B$4</f>
        <v>27.6347812436452</v>
      </c>
      <c r="O1311" s="24" t="n">
        <f aca="false">J1311/(1+H1311)^1+K1311/(1+H1311)^2+L1311/(1+H1311)^3+M1311/(1+H1311)^4+N1311/(1+H1311)^5</f>
        <v>91.9613987162653</v>
      </c>
      <c r="P1311" s="24" t="n">
        <f aca="false">N1311*(1+F1311)/(H1311-F1311)</f>
        <v>411.148602966332</v>
      </c>
      <c r="Q1311" s="24" t="n">
        <f aca="false">O1311+P1311/(1+H1311)^5</f>
        <v>363.015330802197</v>
      </c>
      <c r="R1311" s="24" t="n">
        <f aca="false">Q1311-'DCF Base Case'!$B$5</f>
        <v>178.015330802197</v>
      </c>
      <c r="S1311" s="32" t="n">
        <f aca="false">R1311/'DCF Base Case'!$B$6</f>
        <v>7.12061323208787</v>
      </c>
    </row>
    <row r="1312" customFormat="false" ht="15" hidden="false" customHeight="true" outlineLevel="0" collapsed="false">
      <c r="A1312" s="6" t="n">
        <v>1311</v>
      </c>
      <c r="B1312" s="30" t="n">
        <v>0.0660152082037426</v>
      </c>
      <c r="C1312" s="30" t="n">
        <v>0.382820247847917</v>
      </c>
      <c r="D1312" s="30" t="n">
        <v>0.0737335220179216</v>
      </c>
      <c r="E1312" s="30" t="n">
        <v>0.270357553700168</v>
      </c>
      <c r="F1312" s="30" t="n">
        <v>0.0143797522758158</v>
      </c>
      <c r="G1312" s="30" t="n">
        <v>0.164176907783054</v>
      </c>
      <c r="H1312" s="31" t="n">
        <f aca="false">MAX(D1312,F1312+0.015)</f>
        <v>0.0737335220179216</v>
      </c>
      <c r="I1312" s="25" t="n">
        <f aca="false">(C1312-'DCF Base Case'!$B$3)*(1-E1312)+'DCF Base Case'!$B$3-G1312</f>
        <v>0.15029147633083</v>
      </c>
      <c r="J1312" s="24" t="n">
        <f aca="false">'DCF Base Case'!$B$2*(1+B1312)^1*$I1312-'DCF Base Case'!$B$2*(1+B1312)^0*B1312*'DCF Base Case'!$B$4</f>
        <v>22.9437187619621</v>
      </c>
      <c r="K1312" s="24" t="n">
        <f aca="false">'DCF Base Case'!$B$2*(1+B1312)^2*$I1312-'DCF Base Case'!$B$2*(1+B1312)^1*B1312*'DCF Base Case'!$B$4</f>
        <v>24.4583531330011</v>
      </c>
      <c r="L1312" s="24" t="n">
        <f aca="false">'DCF Base Case'!$B$2*(1+B1312)^3*$I1312-'DCF Base Case'!$B$2*(1+B1312)^2*B1312*'DCF Base Case'!$B$4</f>
        <v>26.0729764073968</v>
      </c>
      <c r="M1312" s="24" t="n">
        <f aca="false">'DCF Base Case'!$B$2*(1+B1312)^4*$I1312-'DCF Base Case'!$B$2*(1+B1312)^3*B1312*'DCF Base Case'!$B$4</f>
        <v>27.7941893734224</v>
      </c>
      <c r="N1312" s="24" t="n">
        <f aca="false">'DCF Base Case'!$B$2*(1+B1312)^5*$I1312-'DCF Base Case'!$B$2*(1+B1312)^4*B1312*'DCF Base Case'!$B$4</f>
        <v>29.6290285717631</v>
      </c>
      <c r="O1312" s="24" t="n">
        <f aca="false">J1312/(1+H1312)^1+K1312/(1+H1312)^2+L1312/(1+H1312)^3+M1312/(1+H1312)^4+N1312/(1+H1312)^5</f>
        <v>105.315836778971</v>
      </c>
      <c r="P1312" s="24" t="n">
        <f aca="false">N1312*(1+F1312)/(H1312-F1312)</f>
        <v>506.371992771286</v>
      </c>
      <c r="Q1312" s="24" t="n">
        <f aca="false">O1312+P1312/(1+H1312)^5</f>
        <v>460.118700855917</v>
      </c>
      <c r="R1312" s="24" t="n">
        <f aca="false">Q1312-'DCF Base Case'!$B$5</f>
        <v>275.118700855917</v>
      </c>
      <c r="S1312" s="32" t="n">
        <f aca="false">R1312/'DCF Base Case'!$B$6</f>
        <v>11.0047480342367</v>
      </c>
    </row>
    <row r="1313" customFormat="false" ht="15" hidden="false" customHeight="true" outlineLevel="0" collapsed="false">
      <c r="A1313" s="6" t="n">
        <v>1312</v>
      </c>
      <c r="B1313" s="30" t="n">
        <v>0.0865982340592745</v>
      </c>
      <c r="C1313" s="30" t="n">
        <v>0.395782435085407</v>
      </c>
      <c r="D1313" s="30" t="n">
        <v>0.0946114287946182</v>
      </c>
      <c r="E1313" s="30" t="n">
        <v>0.27799402490992</v>
      </c>
      <c r="F1313" s="30" t="n">
        <v>0.023153025519486</v>
      </c>
      <c r="G1313" s="30" t="n">
        <v>0.161144768832148</v>
      </c>
      <c r="H1313" s="31" t="n">
        <f aca="false">MAX(D1313,F1313+0.015)</f>
        <v>0.0946114287946182</v>
      </c>
      <c r="I1313" s="25" t="n">
        <f aca="false">(C1313-'DCF Base Case'!$B$3)*(1-E1313)+'DCF Base Case'!$B$3-G1313</f>
        <v>0.160751737373507</v>
      </c>
      <c r="J1313" s="24" t="n">
        <f aca="false">'DCF Base Case'!$B$2*(1+B1313)^1*$I1313-'DCF Base Case'!$B$2*(1+B1313)^0*B1313*'DCF Base Case'!$B$4</f>
        <v>24.9508180048841</v>
      </c>
      <c r="K1313" s="24" t="n">
        <f aca="false">'DCF Base Case'!$B$2*(1+B1313)^2*$I1313-'DCF Base Case'!$B$2*(1+B1313)^1*B1313*'DCF Base Case'!$B$4</f>
        <v>27.1115147824414</v>
      </c>
      <c r="L1313" s="24" t="n">
        <f aca="false">'DCF Base Case'!$B$2*(1+B1313)^3*$I1313-'DCF Base Case'!$B$2*(1+B1313)^2*B1313*'DCF Base Case'!$B$4</f>
        <v>29.4593240852727</v>
      </c>
      <c r="M1313" s="24" t="n">
        <f aca="false">'DCF Base Case'!$B$2*(1+B1313)^4*$I1313-'DCF Base Case'!$B$2*(1+B1313)^3*B1313*'DCF Base Case'!$B$4</f>
        <v>32.0104495276372</v>
      </c>
      <c r="N1313" s="24" t="n">
        <f aca="false">'DCF Base Case'!$B$2*(1+B1313)^5*$I1313-'DCF Base Case'!$B$2*(1+B1313)^4*B1313*'DCF Base Case'!$B$4</f>
        <v>34.7824979281741</v>
      </c>
      <c r="O1313" s="24" t="n">
        <f aca="false">J1313/(1+H1313)^1+K1313/(1+H1313)^2+L1313/(1+H1313)^3+M1313/(1+H1313)^4+N1313/(1+H1313)^5</f>
        <v>112.314620282783</v>
      </c>
      <c r="P1313" s="24" t="n">
        <f aca="false">N1313*(1+F1313)/(H1313-F1313)</f>
        <v>498.021455269786</v>
      </c>
      <c r="Q1313" s="24" t="n">
        <f aca="false">O1313+P1313/(1+H1313)^5</f>
        <v>429.233536151238</v>
      </c>
      <c r="R1313" s="24" t="n">
        <f aca="false">Q1313-'DCF Base Case'!$B$5</f>
        <v>244.233536151238</v>
      </c>
      <c r="S1313" s="32" t="n">
        <f aca="false">R1313/'DCF Base Case'!$B$6</f>
        <v>9.76934144604954</v>
      </c>
    </row>
    <row r="1314" customFormat="false" ht="15" hidden="false" customHeight="true" outlineLevel="0" collapsed="false">
      <c r="A1314" s="6" t="n">
        <v>1313</v>
      </c>
      <c r="B1314" s="30" t="n">
        <v>0.0895150773890807</v>
      </c>
      <c r="C1314" s="30" t="n">
        <v>0.402149639966417</v>
      </c>
      <c r="D1314" s="30" t="n">
        <v>0.0849224880541097</v>
      </c>
      <c r="E1314" s="30" t="n">
        <v>0.301442902763348</v>
      </c>
      <c r="F1314" s="30" t="n">
        <v>0.0177183161225475</v>
      </c>
      <c r="G1314" s="30" t="n">
        <v>0.17742638598534</v>
      </c>
      <c r="H1314" s="31" t="n">
        <f aca="false">MAX(D1314,F1314+0.015)</f>
        <v>0.0849224880541097</v>
      </c>
      <c r="I1314" s="25" t="n">
        <f aca="false">(C1314-'DCF Base Case'!$B$3)*(1-E1314)+'DCF Base Case'!$B$3-G1314</f>
        <v>0.1426856765236</v>
      </c>
      <c r="J1314" s="24" t="n">
        <f aca="false">'DCF Base Case'!$B$2*(1+B1314)^1*$I1314-'DCF Base Case'!$B$2*(1+B1314)^0*B1314*'DCF Base Case'!$B$4</f>
        <v>22.1520478188464</v>
      </c>
      <c r="K1314" s="24" t="n">
        <f aca="false">'DCF Base Case'!$B$2*(1+B1314)^2*$I1314-'DCF Base Case'!$B$2*(1+B1314)^1*B1314*'DCF Base Case'!$B$4</f>
        <v>24.1349900936771</v>
      </c>
      <c r="L1314" s="24" t="n">
        <f aca="false">'DCF Base Case'!$B$2*(1+B1314)^3*$I1314-'DCF Base Case'!$B$2*(1+B1314)^2*B1314*'DCF Base Case'!$B$4</f>
        <v>26.2954355996973</v>
      </c>
      <c r="M1314" s="24" t="n">
        <f aca="false">'DCF Base Case'!$B$2*(1+B1314)^4*$I1314-'DCF Base Case'!$B$2*(1+B1314)^3*B1314*'DCF Base Case'!$B$4</f>
        <v>28.6492735523838</v>
      </c>
      <c r="N1314" s="24" t="n">
        <f aca="false">'DCF Base Case'!$B$2*(1+B1314)^5*$I1314-'DCF Base Case'!$B$2*(1+B1314)^4*B1314*'DCF Base Case'!$B$4</f>
        <v>31.2138154915663</v>
      </c>
      <c r="O1314" s="24" t="n">
        <f aca="false">J1314/(1+H1314)^1+K1314/(1+H1314)^2+L1314/(1+H1314)^3+M1314/(1+H1314)^4+N1314/(1+H1314)^5</f>
        <v>102.958448495687</v>
      </c>
      <c r="P1314" s="24" t="n">
        <f aca="false">N1314*(1+F1314)/(H1314-F1314)</f>
        <v>472.691959870985</v>
      </c>
      <c r="Q1314" s="24" t="n">
        <f aca="false">O1314+P1314/(1+H1314)^5</f>
        <v>417.432386417273</v>
      </c>
      <c r="R1314" s="24" t="n">
        <f aca="false">Q1314-'DCF Base Case'!$B$5</f>
        <v>232.432386417273</v>
      </c>
      <c r="S1314" s="32" t="n">
        <f aca="false">R1314/'DCF Base Case'!$B$6</f>
        <v>9.29729545669092</v>
      </c>
    </row>
    <row r="1315" customFormat="false" ht="15" hidden="false" customHeight="true" outlineLevel="0" collapsed="false">
      <c r="A1315" s="6" t="n">
        <v>1314</v>
      </c>
      <c r="B1315" s="30" t="n">
        <v>0.072263103946983</v>
      </c>
      <c r="C1315" s="30" t="n">
        <v>0.423402567568746</v>
      </c>
      <c r="D1315" s="30" t="n">
        <v>0.0786210358995688</v>
      </c>
      <c r="E1315" s="30" t="n">
        <v>0.305815846931151</v>
      </c>
      <c r="F1315" s="30" t="n">
        <v>0.0195788535098304</v>
      </c>
      <c r="G1315" s="30" t="n">
        <v>0.200383314636702</v>
      </c>
      <c r="H1315" s="31" t="n">
        <f aca="false">MAX(D1315,F1315+0.015)</f>
        <v>0.0786210358995688</v>
      </c>
      <c r="I1315" s="25" t="n">
        <f aca="false">(C1315-'DCF Base Case'!$B$3)*(1-E1315)+'DCF Base Case'!$B$3-G1315</f>
        <v>0.133292098239234</v>
      </c>
      <c r="J1315" s="24" t="n">
        <f aca="false">'DCF Base Case'!$B$2*(1+B1315)^1*$I1315-'DCF Base Case'!$B$2*(1+B1315)^0*B1315*'DCF Base Case'!$B$4</f>
        <v>20.4096643513236</v>
      </c>
      <c r="K1315" s="24" t="n">
        <f aca="false">'DCF Base Case'!$B$2*(1+B1315)^2*$I1315-'DCF Base Case'!$B$2*(1+B1315)^1*B1315*'DCF Base Case'!$B$4</f>
        <v>21.8845300478664</v>
      </c>
      <c r="L1315" s="24" t="n">
        <f aca="false">'DCF Base Case'!$B$2*(1+B1315)^3*$I1315-'DCF Base Case'!$B$2*(1+B1315)^2*B1315*'DCF Base Case'!$B$4</f>
        <v>23.4659741175462</v>
      </c>
      <c r="M1315" s="24" t="n">
        <f aca="false">'DCF Base Case'!$B$2*(1+B1315)^4*$I1315-'DCF Base Case'!$B$2*(1+B1315)^3*B1315*'DCF Base Case'!$B$4</f>
        <v>25.1616982444197</v>
      </c>
      <c r="N1315" s="24" t="n">
        <f aca="false">'DCF Base Case'!$B$2*(1+B1315)^5*$I1315-'DCF Base Case'!$B$2*(1+B1315)^4*B1315*'DCF Base Case'!$B$4</f>
        <v>26.9799606601388</v>
      </c>
      <c r="O1315" s="24" t="n">
        <f aca="false">J1315/(1+H1315)^1+K1315/(1+H1315)^2+L1315/(1+H1315)^3+M1315/(1+H1315)^4+N1315/(1+H1315)^5</f>
        <v>93.5011845457246</v>
      </c>
      <c r="P1315" s="24" t="n">
        <f aca="false">N1315*(1+F1315)/(H1315-F1315)</f>
        <v>465.907529908406</v>
      </c>
      <c r="Q1315" s="24" t="n">
        <f aca="false">O1315+P1315/(1+H1315)^5</f>
        <v>412.622122657431</v>
      </c>
      <c r="R1315" s="24" t="n">
        <f aca="false">Q1315-'DCF Base Case'!$B$5</f>
        <v>227.622122657431</v>
      </c>
      <c r="S1315" s="32" t="n">
        <f aca="false">R1315/'DCF Base Case'!$B$6</f>
        <v>9.10488490629723</v>
      </c>
    </row>
    <row r="1316" customFormat="false" ht="15" hidden="false" customHeight="true" outlineLevel="0" collapsed="false">
      <c r="A1316" s="6" t="n">
        <v>1315</v>
      </c>
      <c r="B1316" s="30" t="n">
        <v>0.0649235031481331</v>
      </c>
      <c r="C1316" s="30" t="n">
        <v>0.374897735214882</v>
      </c>
      <c r="D1316" s="30" t="n">
        <v>0.0782216102942688</v>
      </c>
      <c r="E1316" s="30" t="n">
        <v>0.253519933735367</v>
      </c>
      <c r="F1316" s="30" t="n">
        <v>0.0138197237761379</v>
      </c>
      <c r="G1316" s="30" t="n">
        <v>0.179966115337152</v>
      </c>
      <c r="H1316" s="31" t="n">
        <f aca="false">MAX(D1316,F1316+0.015)</f>
        <v>0.0782216102942688</v>
      </c>
      <c r="I1316" s="25" t="n">
        <f aca="false">(C1316-'DCF Base Case'!$B$3)*(1-E1316)+'DCF Base Case'!$B$3-G1316</f>
        <v>0.132845162274112</v>
      </c>
      <c r="J1316" s="24" t="n">
        <f aca="false">'DCF Base Case'!$B$2*(1+B1316)^1*$I1316-'DCF Base Case'!$B$2*(1+B1316)^0*B1316*'DCF Base Case'!$B$4</f>
        <v>20.2307234211638</v>
      </c>
      <c r="K1316" s="24" t="n">
        <f aca="false">'DCF Base Case'!$B$2*(1+B1316)^2*$I1316-'DCF Base Case'!$B$2*(1+B1316)^1*B1316*'DCF Base Case'!$B$4</f>
        <v>21.5441728568868</v>
      </c>
      <c r="L1316" s="24" t="n">
        <f aca="false">'DCF Base Case'!$B$2*(1+B1316)^3*$I1316-'DCF Base Case'!$B$2*(1+B1316)^2*B1316*'DCF Base Case'!$B$4</f>
        <v>22.9428960311848</v>
      </c>
      <c r="M1316" s="24" t="n">
        <f aca="false">'DCF Base Case'!$B$2*(1+B1316)^4*$I1316-'DCF Base Case'!$B$2*(1+B1316)^3*B1316*'DCF Base Case'!$B$4</f>
        <v>24.4324292138927</v>
      </c>
      <c r="N1316" s="24" t="n">
        <f aca="false">'DCF Base Case'!$B$2*(1+B1316)^5*$I1316-'DCF Base Case'!$B$2*(1+B1316)^4*B1316*'DCF Base Case'!$B$4</f>
        <v>26.0186681088774</v>
      </c>
      <c r="O1316" s="24" t="n">
        <f aca="false">J1316/(1+H1316)^1+K1316/(1+H1316)^2+L1316/(1+H1316)^3+M1316/(1+H1316)^4+N1316/(1+H1316)^5</f>
        <v>91.5294871216861</v>
      </c>
      <c r="P1316" s="24" t="n">
        <f aca="false">N1316*(1+F1316)/(H1316-F1316)</f>
        <v>409.587984782696</v>
      </c>
      <c r="Q1316" s="24" t="n">
        <f aca="false">O1316+P1316/(1+H1316)^5</f>
        <v>372.594668718486</v>
      </c>
      <c r="R1316" s="24" t="n">
        <f aca="false">Q1316-'DCF Base Case'!$B$5</f>
        <v>187.594668718486</v>
      </c>
      <c r="S1316" s="32" t="n">
        <f aca="false">R1316/'DCF Base Case'!$B$6</f>
        <v>7.50378674873945</v>
      </c>
    </row>
    <row r="1317" customFormat="false" ht="15" hidden="false" customHeight="true" outlineLevel="0" collapsed="false">
      <c r="A1317" s="6" t="n">
        <v>1316</v>
      </c>
      <c r="B1317" s="30" t="n">
        <v>0.0899165757779173</v>
      </c>
      <c r="C1317" s="30" t="n">
        <v>0.404231135459369</v>
      </c>
      <c r="D1317" s="30" t="n">
        <v>0.0807434114296403</v>
      </c>
      <c r="E1317" s="30" t="n">
        <v>0.265290060466812</v>
      </c>
      <c r="F1317" s="30" t="n">
        <v>0.0249528100546455</v>
      </c>
      <c r="G1317" s="30" t="n">
        <v>0.150398406708214</v>
      </c>
      <c r="H1317" s="31" t="n">
        <f aca="false">MAX(D1317,F1317+0.015)</f>
        <v>0.0807434114296403</v>
      </c>
      <c r="I1317" s="25" t="n">
        <f aca="false">(C1317-'DCF Base Case'!$B$3)*(1-E1317)+'DCF Base Case'!$B$3-G1317</f>
        <v>0.181081934243257</v>
      </c>
      <c r="J1317" s="24" t="n">
        <f aca="false">'DCF Base Case'!$B$2*(1+B1317)^1*$I1317-'DCF Base Case'!$B$2*(1+B1317)^0*B1317*'DCF Base Case'!$B$4</f>
        <v>28.2266721426856</v>
      </c>
      <c r="K1317" s="24" t="n">
        <f aca="false">'DCF Base Case'!$B$2*(1+B1317)^2*$I1317-'DCF Base Case'!$B$2*(1+B1317)^1*B1317*'DCF Base Case'!$B$4</f>
        <v>30.7647178473618</v>
      </c>
      <c r="L1317" s="24" t="n">
        <f aca="false">'DCF Base Case'!$B$2*(1+B1317)^3*$I1317-'DCF Base Case'!$B$2*(1+B1317)^2*B1317*'DCF Base Case'!$B$4</f>
        <v>33.5309759309704</v>
      </c>
      <c r="M1317" s="24" t="n">
        <f aca="false">'DCF Base Case'!$B$2*(1+B1317)^4*$I1317-'DCF Base Case'!$B$2*(1+B1317)^3*B1317*'DCF Base Case'!$B$4</f>
        <v>36.545966469175</v>
      </c>
      <c r="N1317" s="24" t="n">
        <f aca="false">'DCF Base Case'!$B$2*(1+B1317)^5*$I1317-'DCF Base Case'!$B$2*(1+B1317)^4*B1317*'DCF Base Case'!$B$4</f>
        <v>39.8320546325778</v>
      </c>
      <c r="O1317" s="24" t="n">
        <f aca="false">J1317/(1+H1317)^1+K1317/(1+H1317)^2+L1317/(1+H1317)^3+M1317/(1+H1317)^4+N1317/(1+H1317)^5</f>
        <v>132.824880052251</v>
      </c>
      <c r="P1317" s="24" t="n">
        <f aca="false">N1317*(1+F1317)/(H1317-F1317)</f>
        <v>731.771576568968</v>
      </c>
      <c r="Q1317" s="24" t="n">
        <f aca="false">O1317+P1317/(1+H1317)^5</f>
        <v>629.145768537527</v>
      </c>
      <c r="R1317" s="24" t="n">
        <f aca="false">Q1317-'DCF Base Case'!$B$5</f>
        <v>444.145768537526</v>
      </c>
      <c r="S1317" s="32" t="n">
        <f aca="false">R1317/'DCF Base Case'!$B$6</f>
        <v>17.7658307415011</v>
      </c>
    </row>
    <row r="1318" customFormat="false" ht="15" hidden="false" customHeight="true" outlineLevel="0" collapsed="false">
      <c r="A1318" s="6" t="n">
        <v>1317</v>
      </c>
      <c r="B1318" s="30" t="n">
        <v>0.061571020358226</v>
      </c>
      <c r="C1318" s="30" t="n">
        <v>0.420573799925234</v>
      </c>
      <c r="D1318" s="30" t="n">
        <v>0.082626688143174</v>
      </c>
      <c r="E1318" s="30" t="n">
        <v>0.335672073907575</v>
      </c>
      <c r="F1318" s="30" t="n">
        <v>0.0172381086585015</v>
      </c>
      <c r="G1318" s="30" t="n">
        <v>0.18546473238298</v>
      </c>
      <c r="H1318" s="31" t="n">
        <f aca="false">MAX(D1318,F1318+0.015)</f>
        <v>0.082626688143174</v>
      </c>
      <c r="I1318" s="25" t="n">
        <f aca="false">(C1318-'DCF Base Case'!$B$3)*(1-E1318)+'DCF Base Case'!$B$3-G1318</f>
        <v>0.137571557498146</v>
      </c>
      <c r="J1318" s="24" t="n">
        <f aca="false">'DCF Base Case'!$B$2*(1+B1318)^1*$I1318-'DCF Base Case'!$B$2*(1+B1318)^0*B1318*'DCF Base Case'!$B$4</f>
        <v>20.9082529679504</v>
      </c>
      <c r="K1318" s="24" t="n">
        <f aca="false">'DCF Base Case'!$B$2*(1+B1318)^2*$I1318-'DCF Base Case'!$B$2*(1+B1318)^1*B1318*'DCF Base Case'!$B$4</f>
        <v>22.195595437095</v>
      </c>
      <c r="L1318" s="24" t="n">
        <f aca="false">'DCF Base Case'!$B$2*(1+B1318)^3*$I1318-'DCF Base Case'!$B$2*(1+B1318)^2*B1318*'DCF Base Case'!$B$4</f>
        <v>23.5622008956153</v>
      </c>
      <c r="M1318" s="24" t="n">
        <f aca="false">'DCF Base Case'!$B$2*(1+B1318)^4*$I1318-'DCF Base Case'!$B$2*(1+B1318)^3*B1318*'DCF Base Case'!$B$4</f>
        <v>25.0129496466439</v>
      </c>
      <c r="N1318" s="24" t="n">
        <f aca="false">'DCF Base Case'!$B$2*(1+B1318)^5*$I1318-'DCF Base Case'!$B$2*(1+B1318)^4*B1318*'DCF Base Case'!$B$4</f>
        <v>26.5530224785567</v>
      </c>
      <c r="O1318" s="24" t="n">
        <f aca="false">J1318/(1+H1318)^1+K1318/(1+H1318)^2+L1318/(1+H1318)^3+M1318/(1+H1318)^4+N1318/(1+H1318)^5</f>
        <v>92.8789257905917</v>
      </c>
      <c r="P1318" s="24" t="n">
        <f aca="false">N1318*(1+F1318)/(H1318-F1318)</f>
        <v>413.080488643818</v>
      </c>
      <c r="Q1318" s="24" t="n">
        <f aca="false">O1318+P1318/(1+H1318)^5</f>
        <v>370.620592955506</v>
      </c>
      <c r="R1318" s="24" t="n">
        <f aca="false">Q1318-'DCF Base Case'!$B$5</f>
        <v>185.620592955506</v>
      </c>
      <c r="S1318" s="32" t="n">
        <f aca="false">R1318/'DCF Base Case'!$B$6</f>
        <v>7.42482371822025</v>
      </c>
    </row>
    <row r="1319" customFormat="false" ht="15" hidden="false" customHeight="true" outlineLevel="0" collapsed="false">
      <c r="A1319" s="6" t="n">
        <v>1318</v>
      </c>
      <c r="B1319" s="30" t="n">
        <v>0.113581973276488</v>
      </c>
      <c r="C1319" s="30" t="n">
        <v>0.412327799346127</v>
      </c>
      <c r="D1319" s="30" t="n">
        <v>0.0768278715530006</v>
      </c>
      <c r="E1319" s="30" t="n">
        <v>0.302361437905137</v>
      </c>
      <c r="F1319" s="30" t="n">
        <v>0.0214088557311411</v>
      </c>
      <c r="G1319" s="30" t="n">
        <v>0.13779660707376</v>
      </c>
      <c r="H1319" s="31" t="n">
        <f aca="false">MAX(D1319,F1319+0.015)</f>
        <v>0.0768278715530006</v>
      </c>
      <c r="I1319" s="25" t="n">
        <f aca="false">(C1319-'DCF Base Case'!$B$3)*(1-E1319)+'DCF Base Case'!$B$3-G1319</f>
        <v>0.189166152901479</v>
      </c>
      <c r="J1319" s="24" t="n">
        <f aca="false">'DCF Base Case'!$B$2*(1+B1319)^1*$I1319-'DCF Base Case'!$B$2*(1+B1319)^0*B1319*'DCF Base Case'!$B$4</f>
        <v>30.0504610008942</v>
      </c>
      <c r="K1319" s="24" t="n">
        <f aca="false">'DCF Base Case'!$B$2*(1+B1319)^2*$I1319-'DCF Base Case'!$B$2*(1+B1319)^1*B1319*'DCF Base Case'!$B$4</f>
        <v>33.4636516592439</v>
      </c>
      <c r="L1319" s="24" t="n">
        <f aca="false">'DCF Base Case'!$B$2*(1+B1319)^3*$I1319-'DCF Base Case'!$B$2*(1+B1319)^2*B1319*'DCF Base Case'!$B$4</f>
        <v>37.2645192477378</v>
      </c>
      <c r="M1319" s="24" t="n">
        <f aca="false">'DCF Base Case'!$B$2*(1+B1319)^4*$I1319-'DCF Base Case'!$B$2*(1+B1319)^3*B1319*'DCF Base Case'!$B$4</f>
        <v>41.4970968770955</v>
      </c>
      <c r="N1319" s="24" t="n">
        <f aca="false">'DCF Base Case'!$B$2*(1+B1319)^5*$I1319-'DCF Base Case'!$B$2*(1+B1319)^4*B1319*'DCF Base Case'!$B$4</f>
        <v>46.2104190256416</v>
      </c>
      <c r="O1319" s="24" t="n">
        <f aca="false">J1319/(1+H1319)^1+K1319/(1+H1319)^2+L1319/(1+H1319)^3+M1319/(1+H1319)^4+N1319/(1+H1319)^5</f>
        <v>149.388010797656</v>
      </c>
      <c r="P1319" s="24" t="n">
        <f aca="false">N1319*(1+F1319)/(H1319-F1319)</f>
        <v>851.688369413801</v>
      </c>
      <c r="Q1319" s="24" t="n">
        <f aca="false">O1319+P1319/(1+H1319)^5</f>
        <v>737.62086498292</v>
      </c>
      <c r="R1319" s="24" t="n">
        <f aca="false">Q1319-'DCF Base Case'!$B$5</f>
        <v>552.62086498292</v>
      </c>
      <c r="S1319" s="32" t="n">
        <f aca="false">R1319/'DCF Base Case'!$B$6</f>
        <v>22.1048345993168</v>
      </c>
    </row>
    <row r="1320" customFormat="false" ht="15" hidden="false" customHeight="true" outlineLevel="0" collapsed="false">
      <c r="A1320" s="6" t="n">
        <v>1319</v>
      </c>
      <c r="B1320" s="30" t="n">
        <v>0.0654527004871374</v>
      </c>
      <c r="C1320" s="30" t="n">
        <v>0.364094847122909</v>
      </c>
      <c r="D1320" s="30" t="n">
        <v>0.0915492553937668</v>
      </c>
      <c r="E1320" s="30" t="n">
        <v>0.272718699751408</v>
      </c>
      <c r="F1320" s="30" t="n">
        <v>0.0187309161957305</v>
      </c>
      <c r="G1320" s="30" t="n">
        <v>0.133472343231563</v>
      </c>
      <c r="H1320" s="31" t="n">
        <f aca="false">MAX(D1320,F1320+0.015)</f>
        <v>0.0915492553937668</v>
      </c>
      <c r="I1320" s="25" t="n">
        <f aca="false">(C1320-'DCF Base Case'!$B$3)*(1-E1320)+'DCF Base Case'!$B$3-G1320</f>
        <v>0.166780461565482</v>
      </c>
      <c r="J1320" s="24" t="n">
        <f aca="false">'DCF Base Case'!$B$2*(1+B1320)^1*$I1320-'DCF Base Case'!$B$2*(1+B1320)^0*B1320*'DCF Base Case'!$B$4</f>
        <v>25.4813012615788</v>
      </c>
      <c r="K1320" s="24" t="n">
        <f aca="false">'DCF Base Case'!$B$2*(1+B1320)^2*$I1320-'DCF Base Case'!$B$2*(1+B1320)^1*B1320*'DCF Base Case'!$B$4</f>
        <v>27.1491212410755</v>
      </c>
      <c r="L1320" s="24" t="n">
        <f aca="false">'DCF Base Case'!$B$2*(1+B1320)^3*$I1320-'DCF Base Case'!$B$2*(1+B1320)^2*B1320*'DCF Base Case'!$B$4</f>
        <v>28.9261045421566</v>
      </c>
      <c r="M1320" s="24" t="n">
        <f aca="false">'DCF Base Case'!$B$2*(1+B1320)^4*$I1320-'DCF Base Case'!$B$2*(1+B1320)^3*B1320*'DCF Base Case'!$B$4</f>
        <v>30.819396199014</v>
      </c>
      <c r="N1320" s="24" t="n">
        <f aca="false">'DCF Base Case'!$B$2*(1+B1320)^5*$I1320-'DCF Base Case'!$B$2*(1+B1320)^4*B1320*'DCF Base Case'!$B$4</f>
        <v>32.8366089076224</v>
      </c>
      <c r="O1320" s="24" t="n">
        <f aca="false">J1320/(1+H1320)^1+K1320/(1+H1320)^2+L1320/(1+H1320)^3+M1320/(1+H1320)^4+N1320/(1+H1320)^5</f>
        <v>111.271569444902</v>
      </c>
      <c r="P1320" s="24" t="n">
        <f aca="false">N1320*(1+F1320)/(H1320-F1320)</f>
        <v>459.385218691244</v>
      </c>
      <c r="Q1320" s="24" t="n">
        <f aca="false">O1320+P1320/(1+H1320)^5</f>
        <v>407.727626785719</v>
      </c>
      <c r="R1320" s="24" t="n">
        <f aca="false">Q1320-'DCF Base Case'!$B$5</f>
        <v>222.727626785719</v>
      </c>
      <c r="S1320" s="32" t="n">
        <f aca="false">R1320/'DCF Base Case'!$B$6</f>
        <v>8.90910507142878</v>
      </c>
    </row>
    <row r="1321" customFormat="false" ht="15" hidden="false" customHeight="true" outlineLevel="0" collapsed="false">
      <c r="A1321" s="6" t="n">
        <v>1320</v>
      </c>
      <c r="B1321" s="30" t="n">
        <v>0.0660844684614962</v>
      </c>
      <c r="C1321" s="30" t="n">
        <v>0.394872897563722</v>
      </c>
      <c r="D1321" s="30" t="n">
        <v>0.077604418398374</v>
      </c>
      <c r="E1321" s="30" t="n">
        <v>0.283024796786795</v>
      </c>
      <c r="F1321" s="30" t="n">
        <v>0.0214401056216523</v>
      </c>
      <c r="G1321" s="30" t="n">
        <v>0.21165174862813</v>
      </c>
      <c r="H1321" s="31" t="n">
        <f aca="false">MAX(D1321,F1321+0.015)</f>
        <v>0.077604418398374</v>
      </c>
      <c r="I1321" s="25" t="n">
        <f aca="false">(C1321-'DCF Base Case'!$B$3)*(1-E1321)+'DCF Base Case'!$B$3-G1321</f>
        <v>0.10825555092829</v>
      </c>
      <c r="J1321" s="24" t="n">
        <f aca="false">'DCF Base Case'!$B$2*(1+B1321)^1*$I1321-'DCF Base Case'!$B$2*(1+B1321)^0*B1321*'DCF Base Case'!$B$4</f>
        <v>16.4469189752544</v>
      </c>
      <c r="K1321" s="24" t="n">
        <f aca="false">'DCF Base Case'!$B$2*(1+B1321)^2*$I1321-'DCF Base Case'!$B$2*(1+B1321)^1*B1321*'DCF Base Case'!$B$4</f>
        <v>17.5338048735634</v>
      </c>
      <c r="L1321" s="24" t="n">
        <f aca="false">'DCF Base Case'!$B$2*(1+B1321)^3*$I1321-'DCF Base Case'!$B$2*(1+B1321)^2*B1321*'DCF Base Case'!$B$4</f>
        <v>18.6925170487404</v>
      </c>
      <c r="M1321" s="24" t="n">
        <f aca="false">'DCF Base Case'!$B$2*(1+B1321)^4*$I1321-'DCF Base Case'!$B$2*(1+B1321)^3*B1321*'DCF Base Case'!$B$4</f>
        <v>19.9278021021139</v>
      </c>
      <c r="N1321" s="24" t="n">
        <f aca="false">'DCF Base Case'!$B$2*(1+B1321)^5*$I1321-'DCF Base Case'!$B$2*(1+B1321)^4*B1321*'DCF Base Case'!$B$4</f>
        <v>21.244720311638</v>
      </c>
      <c r="O1321" s="24" t="n">
        <f aca="false">J1321/(1+H1321)^1+K1321/(1+H1321)^2+L1321/(1+H1321)^3+M1321/(1+H1321)^4+N1321/(1+H1321)^5</f>
        <v>74.6981535442031</v>
      </c>
      <c r="P1321" s="24" t="n">
        <f aca="false">N1321*(1+F1321)/(H1321-F1321)</f>
        <v>386.37006821912</v>
      </c>
      <c r="Q1321" s="24" t="n">
        <f aca="false">O1321+P1321/(1+H1321)^5</f>
        <v>340.591002593254</v>
      </c>
      <c r="R1321" s="24" t="n">
        <f aca="false">Q1321-'DCF Base Case'!$B$5</f>
        <v>155.591002593254</v>
      </c>
      <c r="S1321" s="32" t="n">
        <f aca="false">R1321/'DCF Base Case'!$B$6</f>
        <v>6.22364010373017</v>
      </c>
    </row>
    <row r="1322" customFormat="false" ht="15" hidden="false" customHeight="true" outlineLevel="0" collapsed="false">
      <c r="A1322" s="6" t="n">
        <v>1321</v>
      </c>
      <c r="B1322" s="30" t="n">
        <v>0.0895991377769587</v>
      </c>
      <c r="C1322" s="30" t="n">
        <v>0.435532011852587</v>
      </c>
      <c r="D1322" s="30" t="n">
        <v>0.0758702994532225</v>
      </c>
      <c r="E1322" s="30" t="n">
        <v>0.25016559107215</v>
      </c>
      <c r="F1322" s="30" t="n">
        <v>0.0179626349072027</v>
      </c>
      <c r="G1322" s="30" t="n">
        <v>0.134839469207404</v>
      </c>
      <c r="H1322" s="31" t="n">
        <f aca="false">MAX(D1322,F1322+0.015)</f>
        <v>0.0758702994532225</v>
      </c>
      <c r="I1322" s="25" t="n">
        <f aca="false">(C1322-'DCF Base Case'!$B$3)*(1-E1322)+'DCF Base Case'!$B$3-G1322</f>
        <v>0.224258946308617</v>
      </c>
      <c r="J1322" s="24" t="n">
        <f aca="false">'DCF Base Case'!$B$2*(1+B1322)^1*$I1322-'DCF Base Case'!$B$2*(1+B1322)^0*B1322*'DCF Base Case'!$B$4</f>
        <v>35.0413351584829</v>
      </c>
      <c r="K1322" s="24" t="n">
        <f aca="false">'DCF Base Case'!$B$2*(1+B1322)^2*$I1322-'DCF Base Case'!$B$2*(1+B1322)^1*B1322*'DCF Base Case'!$B$4</f>
        <v>38.1810085752364</v>
      </c>
      <c r="L1322" s="24" t="n">
        <f aca="false">'DCF Base Case'!$B$2*(1+B1322)^3*$I1322-'DCF Base Case'!$B$2*(1+B1322)^2*B1322*'DCF Base Case'!$B$4</f>
        <v>41.6019940230322</v>
      </c>
      <c r="M1322" s="24" t="n">
        <f aca="false">'DCF Base Case'!$B$2*(1+B1322)^4*$I1322-'DCF Base Case'!$B$2*(1+B1322)^3*B1322*'DCF Base Case'!$B$4</f>
        <v>45.3294968172981</v>
      </c>
      <c r="N1322" s="24" t="n">
        <f aca="false">'DCF Base Case'!$B$2*(1+B1322)^5*$I1322-'DCF Base Case'!$B$2*(1+B1322)^4*B1322*'DCF Base Case'!$B$4</f>
        <v>49.3909806479914</v>
      </c>
      <c r="O1322" s="24" t="n">
        <f aca="false">J1322/(1+H1322)^1+K1322/(1+H1322)^2+L1322/(1+H1322)^3+M1322/(1+H1322)^4+N1322/(1+H1322)^5</f>
        <v>167.060670447991</v>
      </c>
      <c r="P1322" s="24" t="n">
        <f aca="false">N1322*(1+F1322)/(H1322-F1322)</f>
        <v>868.247289806056</v>
      </c>
      <c r="Q1322" s="24" t="n">
        <f aca="false">O1322+P1322/(1+H1322)^5</f>
        <v>769.403637329808</v>
      </c>
      <c r="R1322" s="24" t="n">
        <f aca="false">Q1322-'DCF Base Case'!$B$5</f>
        <v>584.403637329808</v>
      </c>
      <c r="S1322" s="32" t="n">
        <f aca="false">R1322/'DCF Base Case'!$B$6</f>
        <v>23.3761454931923</v>
      </c>
    </row>
    <row r="1323" customFormat="false" ht="15" hidden="false" customHeight="true" outlineLevel="0" collapsed="false">
      <c r="A1323" s="6" t="n">
        <v>1322</v>
      </c>
      <c r="B1323" s="30" t="n">
        <v>0.0902935384846296</v>
      </c>
      <c r="C1323" s="30" t="n">
        <v>0.397464648475857</v>
      </c>
      <c r="D1323" s="30" t="n">
        <v>0.0635030147456996</v>
      </c>
      <c r="E1323" s="30" t="n">
        <v>0.329784437361635</v>
      </c>
      <c r="F1323" s="30" t="n">
        <v>0.0171904082645247</v>
      </c>
      <c r="G1323" s="30" t="n">
        <v>0.134247886426391</v>
      </c>
      <c r="H1323" s="31" t="n">
        <f aca="false">MAX(D1323,F1323+0.015)</f>
        <v>0.0635030147456996</v>
      </c>
      <c r="I1323" s="25" t="n">
        <f aca="false">(C1323-'DCF Base Case'!$B$3)*(1-E1323)+'DCF Base Case'!$B$3-G1323</f>
        <v>0.175011083437728</v>
      </c>
      <c r="J1323" s="24" t="n">
        <f aca="false">'DCF Base Case'!$B$2*(1+B1323)^1*$I1323-'DCF Base Case'!$B$2*(1+B1323)^0*B1323*'DCF Base Case'!$B$4</f>
        <v>27.2751738557175</v>
      </c>
      <c r="K1323" s="24" t="n">
        <f aca="false">'DCF Base Case'!$B$2*(1+B1323)^2*$I1323-'DCF Base Case'!$B$2*(1+B1323)^1*B1323*'DCF Base Case'!$B$4</f>
        <v>29.7379458159337</v>
      </c>
      <c r="L1323" s="24" t="n">
        <f aca="false">'DCF Base Case'!$B$2*(1+B1323)^3*$I1323-'DCF Base Case'!$B$2*(1+B1323)^2*B1323*'DCF Base Case'!$B$4</f>
        <v>32.4230901709185</v>
      </c>
      <c r="M1323" s="24" t="n">
        <f aca="false">'DCF Base Case'!$B$2*(1+B1323)^4*$I1323-'DCF Base Case'!$B$2*(1+B1323)^3*B1323*'DCF Base Case'!$B$4</f>
        <v>35.350685711057</v>
      </c>
      <c r="N1323" s="24" t="n">
        <f aca="false">'DCF Base Case'!$B$2*(1+B1323)^5*$I1323-'DCF Base Case'!$B$2*(1+B1323)^4*B1323*'DCF Base Case'!$B$4</f>
        <v>38.5426242117663</v>
      </c>
      <c r="O1323" s="24" t="n">
        <f aca="false">J1323/(1+H1323)^1+K1323/(1+H1323)^2+L1323/(1+H1323)^3+M1323/(1+H1323)^4+N1323/(1+H1323)^5</f>
        <v>134.858089961443</v>
      </c>
      <c r="P1323" s="24" t="n">
        <f aca="false">N1323*(1+F1323)/(H1323-F1323)</f>
        <v>846.53381954412</v>
      </c>
      <c r="Q1323" s="24" t="n">
        <f aca="false">O1323+P1323/(1+H1323)^5</f>
        <v>757.087717684433</v>
      </c>
      <c r="R1323" s="24" t="n">
        <f aca="false">Q1323-'DCF Base Case'!$B$5</f>
        <v>572.087717684433</v>
      </c>
      <c r="S1323" s="32" t="n">
        <f aca="false">R1323/'DCF Base Case'!$B$6</f>
        <v>22.8835087073773</v>
      </c>
    </row>
    <row r="1324" customFormat="false" ht="15" hidden="false" customHeight="true" outlineLevel="0" collapsed="false">
      <c r="A1324" s="6" t="n">
        <v>1323</v>
      </c>
      <c r="B1324" s="30" t="n">
        <v>0.109623447769515</v>
      </c>
      <c r="C1324" s="30" t="n">
        <v>0.406241121488573</v>
      </c>
      <c r="D1324" s="30" t="n">
        <v>0.0969918263705973</v>
      </c>
      <c r="E1324" s="30" t="n">
        <v>0.262784312593115</v>
      </c>
      <c r="F1324" s="30" t="n">
        <v>0.017176390737264</v>
      </c>
      <c r="G1324" s="30" t="n">
        <v>0.173195484422101</v>
      </c>
      <c r="H1324" s="31" t="n">
        <f aca="false">MAX(D1324,F1324+0.015)</f>
        <v>0.0969918263705973</v>
      </c>
      <c r="I1324" s="25" t="n">
        <f aca="false">(C1324-'DCF Base Case'!$B$3)*(1-E1324)+'DCF Base Case'!$B$3-G1324</f>
        <v>0.160453803846146</v>
      </c>
      <c r="J1324" s="24" t="n">
        <f aca="false">'DCF Base Case'!$B$2*(1+B1324)^1*$I1324-'DCF Base Case'!$B$2*(1+B1324)^0*B1324*'DCF Base Case'!$B$4</f>
        <v>25.3394169417693</v>
      </c>
      <c r="K1324" s="24" t="n">
        <f aca="false">'DCF Base Case'!$B$2*(1+B1324)^2*$I1324-'DCF Base Case'!$B$2*(1+B1324)^1*B1324*'DCF Base Case'!$B$4</f>
        <v>28.1172111913953</v>
      </c>
      <c r="L1324" s="24" t="n">
        <f aca="false">'DCF Base Case'!$B$2*(1+B1324)^3*$I1324-'DCF Base Case'!$B$2*(1+B1324)^2*B1324*'DCF Base Case'!$B$4</f>
        <v>31.1995168238596</v>
      </c>
      <c r="M1324" s="24" t="n">
        <f aca="false">'DCF Base Case'!$B$2*(1+B1324)^4*$I1324-'DCF Base Case'!$B$2*(1+B1324)^3*B1324*'DCF Base Case'!$B$4</f>
        <v>34.6197154268341</v>
      </c>
      <c r="N1324" s="24" t="n">
        <f aca="false">'DCF Base Case'!$B$2*(1+B1324)^5*$I1324-'DCF Base Case'!$B$2*(1+B1324)^4*B1324*'DCF Base Case'!$B$4</f>
        <v>38.4148479927231</v>
      </c>
      <c r="O1324" s="24" t="n">
        <f aca="false">J1324/(1+H1324)^1+K1324/(1+H1324)^2+L1324/(1+H1324)^3+M1324/(1+H1324)^4+N1324/(1+H1324)^5</f>
        <v>118.185615970884</v>
      </c>
      <c r="P1324" s="24" t="n">
        <f aca="false">N1324*(1+F1324)/(H1324-F1324)</f>
        <v>489.562903740388</v>
      </c>
      <c r="Q1324" s="24" t="n">
        <f aca="false">O1324+P1324/(1+H1324)^5</f>
        <v>426.356457030377</v>
      </c>
      <c r="R1324" s="24" t="n">
        <f aca="false">Q1324-'DCF Base Case'!$B$5</f>
        <v>241.356457030377</v>
      </c>
      <c r="S1324" s="32" t="n">
        <f aca="false">R1324/'DCF Base Case'!$B$6</f>
        <v>9.65425828121509</v>
      </c>
    </row>
    <row r="1325" customFormat="false" ht="15" hidden="false" customHeight="true" outlineLevel="0" collapsed="false">
      <c r="A1325" s="6" t="n">
        <v>1324</v>
      </c>
      <c r="B1325" s="30" t="n">
        <v>0.102816860543046</v>
      </c>
      <c r="C1325" s="30" t="n">
        <v>0.433404320839425</v>
      </c>
      <c r="D1325" s="30" t="n">
        <v>0.0840128474739774</v>
      </c>
      <c r="E1325" s="30" t="n">
        <v>0.295635459878283</v>
      </c>
      <c r="F1325" s="30" t="n">
        <v>0.0220302743045315</v>
      </c>
      <c r="G1325" s="30" t="n">
        <v>0.16976946671034</v>
      </c>
      <c r="H1325" s="31" t="n">
        <f aca="false">MAX(D1325,F1325+0.015)</f>
        <v>0.0840128474739774</v>
      </c>
      <c r="I1325" s="25" t="n">
        <f aca="false">(C1325-'DCF Base Case'!$B$3)*(1-E1325)+'DCF Base Case'!$B$3-G1325</f>
        <v>0.173937778208663</v>
      </c>
      <c r="J1325" s="24" t="n">
        <f aca="false">'DCF Base Case'!$B$2*(1+B1325)^1*$I1325-'DCF Base Case'!$B$2*(1+B1325)^0*B1325*'DCF Base Case'!$B$4</f>
        <v>27.3668662582548</v>
      </c>
      <c r="K1325" s="24" t="n">
        <f aca="false">'DCF Base Case'!$B$2*(1+B1325)^2*$I1325-'DCF Base Case'!$B$2*(1+B1325)^1*B1325*'DCF Base Case'!$B$4</f>
        <v>30.18064152983</v>
      </c>
      <c r="L1325" s="24" t="n">
        <f aca="false">'DCF Base Case'!$B$2*(1+B1325)^3*$I1325-'DCF Base Case'!$B$2*(1+B1325)^2*B1325*'DCF Base Case'!$B$4</f>
        <v>33.2837203411022</v>
      </c>
      <c r="M1325" s="24" t="n">
        <f aca="false">'DCF Base Case'!$B$2*(1+B1325)^4*$I1325-'DCF Base Case'!$B$2*(1+B1325)^3*B1325*'DCF Base Case'!$B$4</f>
        <v>36.7058479737671</v>
      </c>
      <c r="N1325" s="24" t="n">
        <f aca="false">'DCF Base Case'!$B$2*(1+B1325)^5*$I1325-'DCF Base Case'!$B$2*(1+B1325)^4*B1325*'DCF Base Case'!$B$4</f>
        <v>40.4798280260001</v>
      </c>
      <c r="O1325" s="24" t="n">
        <f aca="false">J1325/(1+H1325)^1+K1325/(1+H1325)^2+L1325/(1+H1325)^3+M1325/(1+H1325)^4+N1325/(1+H1325)^5</f>
        <v>130.685385421231</v>
      </c>
      <c r="P1325" s="24" t="n">
        <f aca="false">N1325*(1+F1325)/(H1325-F1325)</f>
        <v>667.471639618975</v>
      </c>
      <c r="Q1325" s="24" t="n">
        <f aca="false">O1325+P1325/(1+H1325)^5</f>
        <v>576.609204240062</v>
      </c>
      <c r="R1325" s="24" t="n">
        <f aca="false">Q1325-'DCF Base Case'!$B$5</f>
        <v>391.609204240062</v>
      </c>
      <c r="S1325" s="32" t="n">
        <f aca="false">R1325/'DCF Base Case'!$B$6</f>
        <v>15.6643681696025</v>
      </c>
    </row>
    <row r="1326" customFormat="false" ht="15" hidden="false" customHeight="true" outlineLevel="0" collapsed="false">
      <c r="A1326" s="6" t="n">
        <v>1325</v>
      </c>
      <c r="B1326" s="30" t="n">
        <v>0.0870786628698285</v>
      </c>
      <c r="C1326" s="30" t="n">
        <v>0.381934592591551</v>
      </c>
      <c r="D1326" s="30" t="n">
        <v>0.0915909157245799</v>
      </c>
      <c r="E1326" s="30" t="n">
        <v>0.280837270634539</v>
      </c>
      <c r="F1326" s="30" t="n">
        <v>0.0177088327850663</v>
      </c>
      <c r="G1326" s="30" t="n">
        <v>0.195423681047739</v>
      </c>
      <c r="H1326" s="31" t="n">
        <f aca="false">MAX(D1326,F1326+0.015)</f>
        <v>0.0915909157245799</v>
      </c>
      <c r="I1326" s="25" t="n">
        <f aca="false">(C1326-'DCF Base Case'!$B$3)*(1-E1326)+'DCF Base Case'!$B$3-G1326</f>
        <v>0.115758288181976</v>
      </c>
      <c r="J1326" s="24" t="n">
        <f aca="false">'DCF Base Case'!$B$2*(1+B1326)^1*$I1326-'DCF Base Case'!$B$2*(1+B1326)^0*B1326*'DCF Base Case'!$B$4</f>
        <v>17.8677707607959</v>
      </c>
      <c r="K1326" s="24" t="n">
        <f aca="false">'DCF Base Case'!$B$2*(1+B1326)^2*$I1326-'DCF Base Case'!$B$2*(1+B1326)^1*B1326*'DCF Base Case'!$B$4</f>
        <v>19.4236723471106</v>
      </c>
      <c r="L1326" s="24" t="n">
        <f aca="false">'DCF Base Case'!$B$2*(1+B1326)^3*$I1326-'DCF Base Case'!$B$2*(1+B1326)^2*B1326*'DCF Base Case'!$B$4</f>
        <v>21.1150597631187</v>
      </c>
      <c r="M1326" s="24" t="n">
        <f aca="false">'DCF Base Case'!$B$2*(1+B1326)^4*$I1326-'DCF Base Case'!$B$2*(1+B1326)^3*B1326*'DCF Base Case'!$B$4</f>
        <v>22.9537309337076</v>
      </c>
      <c r="N1326" s="24" t="n">
        <f aca="false">'DCF Base Case'!$B$2*(1+B1326)^5*$I1326-'DCF Base Case'!$B$2*(1+B1326)^4*B1326*'DCF Base Case'!$B$4</f>
        <v>24.9525111312886</v>
      </c>
      <c r="O1326" s="24" t="n">
        <f aca="false">J1326/(1+H1326)^1+K1326/(1+H1326)^2+L1326/(1+H1326)^3+M1326/(1+H1326)^4+N1326/(1+H1326)^5</f>
        <v>81.1689695358475</v>
      </c>
      <c r="P1326" s="24" t="n">
        <f aca="false">N1326*(1+F1326)/(H1326-F1326)</f>
        <v>343.715146732804</v>
      </c>
      <c r="Q1326" s="24" t="n">
        <f aca="false">O1326+P1326/(1+H1326)^5</f>
        <v>302.937085510111</v>
      </c>
      <c r="R1326" s="24" t="n">
        <f aca="false">Q1326-'DCF Base Case'!$B$5</f>
        <v>117.937085510111</v>
      </c>
      <c r="S1326" s="32" t="n">
        <f aca="false">R1326/'DCF Base Case'!$B$6</f>
        <v>4.71748342040443</v>
      </c>
    </row>
    <row r="1327" customFormat="false" ht="15" hidden="false" customHeight="true" outlineLevel="0" collapsed="false">
      <c r="A1327" s="6" t="n">
        <v>1326</v>
      </c>
      <c r="B1327" s="30" t="n">
        <v>0.0595793098537136</v>
      </c>
      <c r="C1327" s="30" t="n">
        <v>0.435578842010995</v>
      </c>
      <c r="D1327" s="30" t="n">
        <v>0.0847549939350209</v>
      </c>
      <c r="E1327" s="30" t="n">
        <v>0.289035176387114</v>
      </c>
      <c r="F1327" s="30" t="n">
        <v>0.0177859427178072</v>
      </c>
      <c r="G1327" s="30" t="n">
        <v>0.133820268271844</v>
      </c>
      <c r="H1327" s="31" t="n">
        <f aca="false">MAX(D1327,F1327+0.015)</f>
        <v>0.0847549939350209</v>
      </c>
      <c r="I1327" s="25" t="n">
        <f aca="false">(C1327-'DCF Base Case'!$B$3)*(1-E1327)+'DCF Base Case'!$B$3-G1327</f>
        <v>0.213435539238333</v>
      </c>
      <c r="J1327" s="24" t="n">
        <f aca="false">'DCF Base Case'!$B$2*(1+B1327)^1*$I1327-'DCF Base Case'!$B$2*(1+B1327)^0*B1327*'DCF Base Case'!$B$4</f>
        <v>32.5328527999755</v>
      </c>
      <c r="K1327" s="24" t="n">
        <f aca="false">'DCF Base Case'!$B$2*(1+B1327)^2*$I1327-'DCF Base Case'!$B$2*(1+B1327)^1*B1327*'DCF Base Case'!$B$4</f>
        <v>34.4711377173705</v>
      </c>
      <c r="L1327" s="24" t="n">
        <f aca="false">'DCF Base Case'!$B$2*(1+B1327)^3*$I1327-'DCF Base Case'!$B$2*(1+B1327)^2*B1327*'DCF Base Case'!$B$4</f>
        <v>36.5249043124438</v>
      </c>
      <c r="M1327" s="24" t="n">
        <f aca="false">'DCF Base Case'!$B$2*(1+B1327)^4*$I1327-'DCF Base Case'!$B$2*(1+B1327)^3*B1327*'DCF Base Case'!$B$4</f>
        <v>38.7010329038521</v>
      </c>
      <c r="N1327" s="24" t="n">
        <f aca="false">'DCF Base Case'!$B$2*(1+B1327)^5*$I1327-'DCF Base Case'!$B$2*(1+B1327)^4*B1327*'DCF Base Case'!$B$4</f>
        <v>41.0068137348895</v>
      </c>
      <c r="O1327" s="24" t="n">
        <f aca="false">J1327/(1+H1327)^1+K1327/(1+H1327)^2+L1327/(1+H1327)^3+M1327/(1+H1327)^4+N1327/(1+H1327)^5</f>
        <v>143.154025166272</v>
      </c>
      <c r="P1327" s="24" t="n">
        <f aca="false">N1327*(1+F1327)/(H1327-F1327)</f>
        <v>623.215617011611</v>
      </c>
      <c r="Q1327" s="24" t="n">
        <f aca="false">O1327+P1327/(1+H1327)^5</f>
        <v>558.088994011612</v>
      </c>
      <c r="R1327" s="24" t="n">
        <f aca="false">Q1327-'DCF Base Case'!$B$5</f>
        <v>373.088994011612</v>
      </c>
      <c r="S1327" s="32" t="n">
        <f aca="false">R1327/'DCF Base Case'!$B$6</f>
        <v>14.9235597604645</v>
      </c>
    </row>
    <row r="1328" customFormat="false" ht="15" hidden="false" customHeight="true" outlineLevel="0" collapsed="false">
      <c r="A1328" s="6" t="n">
        <v>1327</v>
      </c>
      <c r="B1328" s="30" t="n">
        <v>0.0871425555994138</v>
      </c>
      <c r="C1328" s="30" t="n">
        <v>0.420219757305565</v>
      </c>
      <c r="D1328" s="30" t="n">
        <v>0.0924384799104285</v>
      </c>
      <c r="E1328" s="30" t="n">
        <v>0.274322688293369</v>
      </c>
      <c r="F1328" s="30" t="n">
        <v>0.0115747374662445</v>
      </c>
      <c r="G1328" s="30" t="n">
        <v>0.135694324454203</v>
      </c>
      <c r="H1328" s="31" t="n">
        <f aca="false">MAX(D1328,F1328+0.015)</f>
        <v>0.0924384799104285</v>
      </c>
      <c r="I1328" s="25" t="n">
        <f aca="false">(C1328-'DCF Base Case'!$B$3)*(1-E1328)+'DCF Base Case'!$B$3-G1328</f>
        <v>0.20491156883145</v>
      </c>
      <c r="J1328" s="24" t="n">
        <f aca="false">'DCF Base Case'!$B$2*(1+B1328)^1*$I1328-'DCF Base Case'!$B$2*(1+B1328)^0*B1328*'DCF Base Case'!$B$4</f>
        <v>31.9223024417822</v>
      </c>
      <c r="K1328" s="24" t="n">
        <f aca="false">'DCF Base Case'!$B$2*(1+B1328)^2*$I1328-'DCF Base Case'!$B$2*(1+B1328)^1*B1328*'DCF Base Case'!$B$4</f>
        <v>34.7040934571765</v>
      </c>
      <c r="L1328" s="24" t="n">
        <f aca="false">'DCF Base Case'!$B$2*(1+B1328)^3*$I1328-'DCF Base Case'!$B$2*(1+B1328)^2*B1328*'DCF Base Case'!$B$4</f>
        <v>37.7282968507958</v>
      </c>
      <c r="M1328" s="24" t="n">
        <f aca="false">'DCF Base Case'!$B$2*(1+B1328)^4*$I1328-'DCF Base Case'!$B$2*(1+B1328)^3*B1328*'DCF Base Case'!$B$4</f>
        <v>41.0160370567875</v>
      </c>
      <c r="N1328" s="24" t="n">
        <f aca="false">'DCF Base Case'!$B$2*(1+B1328)^5*$I1328-'DCF Base Case'!$B$2*(1+B1328)^4*B1328*'DCF Base Case'!$B$4</f>
        <v>44.5902793464762</v>
      </c>
      <c r="O1328" s="24" t="n">
        <f aca="false">J1328/(1+H1328)^1+K1328/(1+H1328)^2+L1328/(1+H1328)^3+M1328/(1+H1328)^4+N1328/(1+H1328)^5</f>
        <v>144.695989184642</v>
      </c>
      <c r="P1328" s="24" t="n">
        <f aca="false">N1328*(1+F1328)/(H1328-F1328)</f>
        <v>557.807476627646</v>
      </c>
      <c r="Q1328" s="24" t="n">
        <f aca="false">O1328+P1328/(1+H1328)^5</f>
        <v>503.204429559219</v>
      </c>
      <c r="R1328" s="24" t="n">
        <f aca="false">Q1328-'DCF Base Case'!$B$5</f>
        <v>318.204429559219</v>
      </c>
      <c r="S1328" s="32" t="n">
        <f aca="false">R1328/'DCF Base Case'!$B$6</f>
        <v>12.7281771823687</v>
      </c>
    </row>
    <row r="1329" customFormat="false" ht="15" hidden="false" customHeight="true" outlineLevel="0" collapsed="false">
      <c r="A1329" s="6" t="n">
        <v>1328</v>
      </c>
      <c r="B1329" s="30" t="n">
        <v>0.129979052524016</v>
      </c>
      <c r="C1329" s="30" t="n">
        <v>0.407755443186183</v>
      </c>
      <c r="D1329" s="30" t="n">
        <v>0.100697544040631</v>
      </c>
      <c r="E1329" s="30" t="n">
        <v>0.259628679729473</v>
      </c>
      <c r="F1329" s="30" t="n">
        <v>0.0186505597125229</v>
      </c>
      <c r="G1329" s="30" t="n">
        <v>0.180056250239257</v>
      </c>
      <c r="H1329" s="31" t="n">
        <f aca="false">MAX(D1329,F1329+0.015)</f>
        <v>0.100697544040631</v>
      </c>
      <c r="I1329" s="25" t="n">
        <f aca="false">(C1329-'DCF Base Case'!$B$3)*(1-E1329)+'DCF Base Case'!$B$3-G1329</f>
        <v>0.155585913944823</v>
      </c>
      <c r="J1329" s="24" t="n">
        <f aca="false">'DCF Base Case'!$B$2*(1+B1329)^1*$I1329-'DCF Base Case'!$B$2*(1+B1329)^0*B1329*'DCF Base Case'!$B$4</f>
        <v>24.9268705472113</v>
      </c>
      <c r="K1329" s="24" t="n">
        <f aca="false">'DCF Base Case'!$B$2*(1+B1329)^2*$I1329-'DCF Base Case'!$B$2*(1+B1329)^1*B1329*'DCF Base Case'!$B$4</f>
        <v>28.1668415633267</v>
      </c>
      <c r="L1329" s="24" t="n">
        <f aca="false">'DCF Base Case'!$B$2*(1+B1329)^3*$I1329-'DCF Base Case'!$B$2*(1+B1329)^2*B1329*'DCF Base Case'!$B$4</f>
        <v>31.8279409423219</v>
      </c>
      <c r="M1329" s="24" t="n">
        <f aca="false">'DCF Base Case'!$B$2*(1+B1329)^4*$I1329-'DCF Base Case'!$B$2*(1+B1329)^3*B1329*'DCF Base Case'!$B$4</f>
        <v>35.9649065497953</v>
      </c>
      <c r="N1329" s="24" t="n">
        <f aca="false">'DCF Base Case'!$B$2*(1+B1329)^5*$I1329-'DCF Base Case'!$B$2*(1+B1329)^4*B1329*'DCF Base Case'!$B$4</f>
        <v>40.6395910272525</v>
      </c>
      <c r="O1329" s="24" t="n">
        <f aca="false">J1329/(1+H1329)^1+K1329/(1+H1329)^2+L1329/(1+H1329)^3+M1329/(1+H1329)^4+N1329/(1+H1329)^5</f>
        <v>119.419123854797</v>
      </c>
      <c r="P1329" s="24" t="n">
        <f aca="false">N1329*(1+F1329)/(H1329-F1329)</f>
        <v>504.558972951996</v>
      </c>
      <c r="Q1329" s="24" t="n">
        <f aca="false">O1329+P1329/(1+H1329)^5</f>
        <v>431.719096891103</v>
      </c>
      <c r="R1329" s="24" t="n">
        <f aca="false">Q1329-'DCF Base Case'!$B$5</f>
        <v>246.719096891103</v>
      </c>
      <c r="S1329" s="32" t="n">
        <f aca="false">R1329/'DCF Base Case'!$B$6</f>
        <v>9.8687638756441</v>
      </c>
    </row>
    <row r="1330" customFormat="false" ht="15" hidden="false" customHeight="true" outlineLevel="0" collapsed="false">
      <c r="A1330" s="6" t="n">
        <v>1329</v>
      </c>
      <c r="B1330" s="30" t="n">
        <v>0.0720977128203238</v>
      </c>
      <c r="C1330" s="30" t="n">
        <v>0.438626186671872</v>
      </c>
      <c r="D1330" s="30" t="n">
        <v>0.0858330119387525</v>
      </c>
      <c r="E1330" s="30" t="n">
        <v>0.293499709605607</v>
      </c>
      <c r="F1330" s="30" t="n">
        <v>0.0183088904586325</v>
      </c>
      <c r="G1330" s="30" t="n">
        <v>0.180881894095874</v>
      </c>
      <c r="H1330" s="31" t="n">
        <f aca="false">MAX(D1330,F1330+0.015)</f>
        <v>0.0858330119387525</v>
      </c>
      <c r="I1330" s="25" t="n">
        <f aca="false">(C1330-'DCF Base Case'!$B$3)*(1-E1330)+'DCF Base Case'!$B$3-G1330</f>
        <v>0.167162596411118</v>
      </c>
      <c r="J1330" s="24" t="n">
        <f aca="false">'DCF Base Case'!$B$2*(1+B1330)^1*$I1330-'DCF Base Case'!$B$2*(1+B1330)^0*B1330*'DCF Base Case'!$B$4</f>
        <v>25.6724973550442</v>
      </c>
      <c r="K1330" s="24" t="n">
        <f aca="false">'DCF Base Case'!$B$2*(1+B1330)^2*$I1330-'DCF Base Case'!$B$2*(1+B1330)^1*B1330*'DCF Base Case'!$B$4</f>
        <v>27.5234256967287</v>
      </c>
      <c r="L1330" s="24" t="n">
        <f aca="false">'DCF Base Case'!$B$2*(1+B1330)^3*$I1330-'DCF Base Case'!$B$2*(1+B1330)^2*B1330*'DCF Base Case'!$B$4</f>
        <v>29.5078017384429</v>
      </c>
      <c r="M1330" s="24" t="n">
        <f aca="false">'DCF Base Case'!$B$2*(1+B1330)^4*$I1330-'DCF Base Case'!$B$2*(1+B1330)^3*B1330*'DCF Base Case'!$B$4</f>
        <v>31.6352467541403</v>
      </c>
      <c r="N1330" s="24" t="n">
        <f aca="false">'DCF Base Case'!$B$2*(1+B1330)^5*$I1330-'DCF Base Case'!$B$2*(1+B1330)^4*B1330*'DCF Base Case'!$B$4</f>
        <v>33.9160756896203</v>
      </c>
      <c r="O1330" s="24" t="n">
        <f aca="false">J1330/(1+H1330)^1+K1330/(1+H1330)^2+L1330/(1+H1330)^3+M1330/(1+H1330)^4+N1330/(1+H1330)^5</f>
        <v>115.262521648642</v>
      </c>
      <c r="P1330" s="24" t="n">
        <f aca="false">N1330*(1+F1330)/(H1330-F1330)</f>
        <v>511.477093624631</v>
      </c>
      <c r="Q1330" s="24" t="n">
        <f aca="false">O1330+P1330/(1+H1330)^5</f>
        <v>454.115247118266</v>
      </c>
      <c r="R1330" s="24" t="n">
        <f aca="false">Q1330-'DCF Base Case'!$B$5</f>
        <v>269.115247118266</v>
      </c>
      <c r="S1330" s="32" t="n">
        <f aca="false">R1330/'DCF Base Case'!$B$6</f>
        <v>10.7646098847307</v>
      </c>
    </row>
    <row r="1331" customFormat="false" ht="15" hidden="false" customHeight="true" outlineLevel="0" collapsed="false">
      <c r="A1331" s="6" t="n">
        <v>1330</v>
      </c>
      <c r="B1331" s="30" t="n">
        <v>0.123089677381557</v>
      </c>
      <c r="C1331" s="30" t="n">
        <v>0.423462622247161</v>
      </c>
      <c r="D1331" s="30" t="n">
        <v>0.104026840698242</v>
      </c>
      <c r="E1331" s="30" t="n">
        <v>0.265011681976919</v>
      </c>
      <c r="F1331" s="30" t="n">
        <v>0.022097162128775</v>
      </c>
      <c r="G1331" s="30" t="n">
        <v>0.176707018385803</v>
      </c>
      <c r="H1331" s="31" t="n">
        <f aca="false">MAX(D1331,F1331+0.015)</f>
        <v>0.104026840698242</v>
      </c>
      <c r="I1331" s="25" t="n">
        <f aca="false">(C1331-'DCF Base Case'!$B$3)*(1-E1331)+'DCF Base Case'!$B$3-G1331</f>
        <v>0.168984580742281</v>
      </c>
      <c r="J1331" s="24" t="n">
        <f aca="false">'DCF Base Case'!$B$2*(1+B1331)^1*$I1331-'DCF Base Case'!$B$2*(1+B1331)^0*B1331*'DCF Base Case'!$B$4</f>
        <v>26.9833614522946</v>
      </c>
      <c r="K1331" s="24" t="n">
        <f aca="false">'DCF Base Case'!$B$2*(1+B1331)^2*$I1331-'DCF Base Case'!$B$2*(1+B1331)^1*B1331*'DCF Base Case'!$B$4</f>
        <v>30.3047347081274</v>
      </c>
      <c r="L1331" s="24" t="n">
        <f aca="false">'DCF Base Case'!$B$2*(1+B1331)^3*$I1331-'DCF Base Case'!$B$2*(1+B1331)^2*B1331*'DCF Base Case'!$B$4</f>
        <v>34.0349347264845</v>
      </c>
      <c r="M1331" s="24" t="n">
        <f aca="false">'DCF Base Case'!$B$2*(1+B1331)^4*$I1331-'DCF Base Case'!$B$2*(1+B1331)^3*B1331*'DCF Base Case'!$B$4</f>
        <v>38.2242838616698</v>
      </c>
      <c r="N1331" s="24" t="n">
        <f aca="false">'DCF Base Case'!$B$2*(1+B1331)^5*$I1331-'DCF Base Case'!$B$2*(1+B1331)^4*B1331*'DCF Base Case'!$B$4</f>
        <v>42.9292986303438</v>
      </c>
      <c r="O1331" s="24" t="n">
        <f aca="false">J1331/(1+H1331)^1+K1331/(1+H1331)^2+L1331/(1+H1331)^3+M1331/(1+H1331)^4+N1331/(1+H1331)^5</f>
        <v>126.497895652079</v>
      </c>
      <c r="P1331" s="24" t="n">
        <f aca="false">N1331*(1+F1331)/(H1331-F1331)</f>
        <v>535.555796975936</v>
      </c>
      <c r="Q1331" s="24" t="n">
        <f aca="false">O1331+P1331/(1+H1331)^5</f>
        <v>453.015472549599</v>
      </c>
      <c r="R1331" s="24" t="n">
        <f aca="false">Q1331-'DCF Base Case'!$B$5</f>
        <v>268.015472549599</v>
      </c>
      <c r="S1331" s="32" t="n">
        <f aca="false">R1331/'DCF Base Case'!$B$6</f>
        <v>10.720618901984</v>
      </c>
    </row>
    <row r="1332" customFormat="false" ht="15" hidden="false" customHeight="true" outlineLevel="0" collapsed="false">
      <c r="A1332" s="6" t="n">
        <v>1331</v>
      </c>
      <c r="B1332" s="30" t="n">
        <v>0.0667047762658912</v>
      </c>
      <c r="C1332" s="30" t="n">
        <v>0.410855307842839</v>
      </c>
      <c r="D1332" s="30" t="n">
        <v>0.0850810253163541</v>
      </c>
      <c r="E1332" s="30" t="n">
        <v>0.260826495356239</v>
      </c>
      <c r="F1332" s="30" t="n">
        <v>0.0206245065336429</v>
      </c>
      <c r="G1332" s="30" t="n">
        <v>0.168511375487154</v>
      </c>
      <c r="H1332" s="31" t="n">
        <f aca="false">MAX(D1332,F1332+0.015)</f>
        <v>0.0850810253163541</v>
      </c>
      <c r="I1332" s="25" t="n">
        <f aca="false">(C1332-'DCF Base Case'!$B$3)*(1-E1332)+'DCF Base Case'!$B$3-G1332</f>
        <v>0.16908942670884</v>
      </c>
      <c r="J1332" s="24" t="n">
        <f aca="false">'DCF Base Case'!$B$2*(1+B1332)^1*$I1332-'DCF Base Case'!$B$2*(1+B1332)^0*B1332*'DCF Base Case'!$B$4</f>
        <v>25.8632665907686</v>
      </c>
      <c r="K1332" s="24" t="n">
        <f aca="false">'DCF Base Case'!$B$2*(1+B1332)^2*$I1332-'DCF Base Case'!$B$2*(1+B1332)^1*B1332*'DCF Base Case'!$B$4</f>
        <v>27.5884700022109</v>
      </c>
      <c r="L1332" s="24" t="n">
        <f aca="false">'DCF Base Case'!$B$2*(1+B1332)^3*$I1332-'DCF Base Case'!$B$2*(1+B1332)^2*B1332*'DCF Base Case'!$B$4</f>
        <v>29.4287527212266</v>
      </c>
      <c r="M1332" s="24" t="n">
        <f aca="false">'DCF Base Case'!$B$2*(1+B1332)^4*$I1332-'DCF Base Case'!$B$2*(1+B1332)^3*B1332*'DCF Base Case'!$B$4</f>
        <v>31.3917910872803</v>
      </c>
      <c r="N1332" s="24" t="n">
        <f aca="false">'DCF Base Case'!$B$2*(1+B1332)^5*$I1332-'DCF Base Case'!$B$2*(1+B1332)^4*B1332*'DCF Base Case'!$B$4</f>
        <v>33.4857734883429</v>
      </c>
      <c r="O1332" s="24" t="n">
        <f aca="false">J1332/(1+H1332)^1+K1332/(1+H1332)^2+L1332/(1+H1332)^3+M1332/(1+H1332)^4+N1332/(1+H1332)^5</f>
        <v>115.207843159522</v>
      </c>
      <c r="P1332" s="24" t="n">
        <f aca="false">N1332*(1+F1332)/(H1332-F1332)</f>
        <v>530.224121436795</v>
      </c>
      <c r="Q1332" s="24" t="n">
        <f aca="false">O1332+P1332/(1+H1332)^5</f>
        <v>467.6993324914</v>
      </c>
      <c r="R1332" s="24" t="n">
        <f aca="false">Q1332-'DCF Base Case'!$B$5</f>
        <v>282.6993324914</v>
      </c>
      <c r="S1332" s="32" t="n">
        <f aca="false">R1332/'DCF Base Case'!$B$6</f>
        <v>11.307973299656</v>
      </c>
    </row>
    <row r="1333" customFormat="false" ht="15" hidden="false" customHeight="true" outlineLevel="0" collapsed="false">
      <c r="A1333" s="6" t="n">
        <v>1332</v>
      </c>
      <c r="B1333" s="30" t="n">
        <v>0.0885318146646787</v>
      </c>
      <c r="C1333" s="30" t="n">
        <v>0.412779798445373</v>
      </c>
      <c r="D1333" s="30" t="n">
        <v>0.0840098871518402</v>
      </c>
      <c r="E1333" s="30" t="n">
        <v>0.270186663106012</v>
      </c>
      <c r="F1333" s="30" t="n">
        <v>0.0198605669727244</v>
      </c>
      <c r="G1333" s="30" t="n">
        <v>0.152237588778819</v>
      </c>
      <c r="H1333" s="31" t="n">
        <f aca="false">MAX(D1333,F1333+0.015)</f>
        <v>0.0840098871518402</v>
      </c>
      <c r="I1333" s="25" t="n">
        <f aca="false">(C1333-'DCF Base Case'!$B$3)*(1-E1333)+'DCF Base Case'!$B$3-G1333</f>
        <v>0.184138879530808</v>
      </c>
      <c r="J1333" s="24" t="n">
        <f aca="false">'DCF Base Case'!$B$2*(1+B1333)^1*$I1333-'DCF Base Case'!$B$2*(1+B1333)^0*B1333*'DCF Base Case'!$B$4</f>
        <v>28.6788357656774</v>
      </c>
      <c r="K1333" s="24" t="n">
        <f aca="false">'DCF Base Case'!$B$2*(1+B1333)^2*$I1333-'DCF Base Case'!$B$2*(1+B1333)^1*B1333*'DCF Base Case'!$B$4</f>
        <v>31.2178251384831</v>
      </c>
      <c r="L1333" s="24" t="n">
        <f aca="false">'DCF Base Case'!$B$2*(1+B1333)^3*$I1333-'DCF Base Case'!$B$2*(1+B1333)^2*B1333*'DCF Base Case'!$B$4</f>
        <v>33.9815958478776</v>
      </c>
      <c r="M1333" s="24" t="n">
        <f aca="false">'DCF Base Case'!$B$2*(1+B1333)^4*$I1333-'DCF Base Case'!$B$2*(1+B1333)^3*B1333*'DCF Base Case'!$B$4</f>
        <v>36.9900481934919</v>
      </c>
      <c r="N1333" s="24" t="n">
        <f aca="false">'DCF Base Case'!$B$2*(1+B1333)^5*$I1333-'DCF Base Case'!$B$2*(1+B1333)^4*B1333*'DCF Base Case'!$B$4</f>
        <v>40.2648442845957</v>
      </c>
      <c r="O1333" s="24" t="n">
        <f aca="false">J1333/(1+H1333)^1+K1333/(1+H1333)^2+L1333/(1+H1333)^3+M1333/(1+H1333)^4+N1333/(1+H1333)^5</f>
        <v>133.389477210851</v>
      </c>
      <c r="P1333" s="24" t="n">
        <f aca="false">N1333*(1+F1333)/(H1333-F1333)</f>
        <v>640.139705401352</v>
      </c>
      <c r="Q1333" s="24" t="n">
        <f aca="false">O1333+P1333/(1+H1333)^5</f>
        <v>561.059242954236</v>
      </c>
      <c r="R1333" s="24" t="n">
        <f aca="false">Q1333-'DCF Base Case'!$B$5</f>
        <v>376.059242954236</v>
      </c>
      <c r="S1333" s="32" t="n">
        <f aca="false">R1333/'DCF Base Case'!$B$6</f>
        <v>15.0423697181694</v>
      </c>
    </row>
    <row r="1334" customFormat="false" ht="15" hidden="false" customHeight="true" outlineLevel="0" collapsed="false">
      <c r="A1334" s="6" t="n">
        <v>1333</v>
      </c>
      <c r="B1334" s="30" t="n">
        <v>0.135559166555886</v>
      </c>
      <c r="C1334" s="30" t="n">
        <v>0.405704746189725</v>
      </c>
      <c r="D1334" s="30" t="n">
        <v>0.078567903150421</v>
      </c>
      <c r="E1334" s="30" t="n">
        <v>0.267141908339253</v>
      </c>
      <c r="F1334" s="30" t="n">
        <v>0.0258536732815669</v>
      </c>
      <c r="G1334" s="30" t="n">
        <v>0.139328221120642</v>
      </c>
      <c r="H1334" s="31" t="n">
        <f aca="false">MAX(D1334,F1334+0.015)</f>
        <v>0.078567903150421</v>
      </c>
      <c r="I1334" s="25" t="n">
        <f aca="false">(C1334-'DCF Base Case'!$B$3)*(1-E1334)+'DCF Base Case'!$B$3-G1334</f>
        <v>0.19272423303377</v>
      </c>
      <c r="J1334" s="24" t="n">
        <f aca="false">'DCF Base Case'!$B$2*(1+B1334)^1*$I1334-'DCF Base Case'!$B$2*(1+B1334)^0*B1334*'DCF Base Case'!$B$4</f>
        <v>31.1435341941298</v>
      </c>
      <c r="K1334" s="24" t="n">
        <f aca="false">'DCF Base Case'!$B$2*(1+B1334)^2*$I1334-'DCF Base Case'!$B$2*(1+B1334)^1*B1334*'DCF Base Case'!$B$4</f>
        <v>35.3653257330907</v>
      </c>
      <c r="L1334" s="24" t="n">
        <f aca="false">'DCF Base Case'!$B$2*(1+B1334)^3*$I1334-'DCF Base Case'!$B$2*(1+B1334)^2*B1334*'DCF Base Case'!$B$4</f>
        <v>40.1594198144459</v>
      </c>
      <c r="M1334" s="24" t="n">
        <f aca="false">'DCF Base Case'!$B$2*(1+B1334)^4*$I1334-'DCF Base Case'!$B$2*(1+B1334)^3*B1334*'DCF Base Case'!$B$4</f>
        <v>45.6033972938601</v>
      </c>
      <c r="N1334" s="24" t="n">
        <f aca="false">'DCF Base Case'!$B$2*(1+B1334)^5*$I1334-'DCF Base Case'!$B$2*(1+B1334)^4*B1334*'DCF Base Case'!$B$4</f>
        <v>51.7853558231328</v>
      </c>
      <c r="O1334" s="24" t="n">
        <f aca="false">J1334/(1+H1334)^1+K1334/(1+H1334)^2+L1334/(1+H1334)^3+M1334/(1+H1334)^4+N1334/(1+H1334)^5</f>
        <v>160.459618051444</v>
      </c>
      <c r="P1334" s="24" t="n">
        <f aca="false">N1334*(1+F1334)/(H1334-F1334)</f>
        <v>1007.77717184752</v>
      </c>
      <c r="Q1334" s="24" t="n">
        <f aca="false">O1334+P1334/(1+H1334)^5</f>
        <v>850.901386277698</v>
      </c>
      <c r="R1334" s="24" t="n">
        <f aca="false">Q1334-'DCF Base Case'!$B$5</f>
        <v>665.901386277698</v>
      </c>
      <c r="S1334" s="32" t="n">
        <f aca="false">R1334/'DCF Base Case'!$B$6</f>
        <v>26.6360554511079</v>
      </c>
    </row>
    <row r="1335" customFormat="false" ht="15" hidden="false" customHeight="true" outlineLevel="0" collapsed="false">
      <c r="A1335" s="6" t="n">
        <v>1334</v>
      </c>
      <c r="B1335" s="30" t="n">
        <v>0.0990682132580759</v>
      </c>
      <c r="C1335" s="30" t="n">
        <v>0.422512870087937</v>
      </c>
      <c r="D1335" s="30" t="n">
        <v>0.08866962535142</v>
      </c>
      <c r="E1335" s="30" t="n">
        <v>0.31727632942659</v>
      </c>
      <c r="F1335" s="30" t="n">
        <v>0.023665514794424</v>
      </c>
      <c r="G1335" s="30" t="n">
        <v>0.15611151244888</v>
      </c>
      <c r="H1335" s="31" t="n">
        <f aca="false">MAX(D1335,F1335+0.015)</f>
        <v>0.08866962535142</v>
      </c>
      <c r="I1335" s="25" t="n">
        <f aca="false">(C1335-'DCF Base Case'!$B$3)*(1-E1335)+'DCF Base Case'!$B$3-G1335</f>
        <v>0.173593947907519</v>
      </c>
      <c r="J1335" s="24" t="n">
        <f aca="false">'DCF Base Case'!$B$2*(1+B1335)^1*$I1335-'DCF Base Case'!$B$2*(1+B1335)^0*B1335*'DCF Base Case'!$B$4</f>
        <v>27.2338338454016</v>
      </c>
      <c r="K1335" s="24" t="n">
        <f aca="false">'DCF Base Case'!$B$2*(1+B1335)^2*$I1335-'DCF Base Case'!$B$2*(1+B1335)^1*B1335*'DCF Base Case'!$B$4</f>
        <v>29.9318411046329</v>
      </c>
      <c r="L1335" s="24" t="n">
        <f aca="false">'DCF Base Case'!$B$2*(1+B1335)^3*$I1335-'DCF Base Case'!$B$2*(1+B1335)^2*B1335*'DCF Base Case'!$B$4</f>
        <v>32.8971351223935</v>
      </c>
      <c r="M1335" s="24" t="n">
        <f aca="false">'DCF Base Case'!$B$2*(1+B1335)^4*$I1335-'DCF Base Case'!$B$2*(1+B1335)^3*B1335*'DCF Base Case'!$B$4</f>
        <v>36.1561955202785</v>
      </c>
      <c r="N1335" s="24" t="n">
        <f aca="false">'DCF Base Case'!$B$2*(1+B1335)^5*$I1335-'DCF Base Case'!$B$2*(1+B1335)^4*B1335*'DCF Base Case'!$B$4</f>
        <v>39.7381252086821</v>
      </c>
      <c r="O1335" s="24" t="n">
        <f aca="false">J1335/(1+H1335)^1+K1335/(1+H1335)^2+L1335/(1+H1335)^3+M1335/(1+H1335)^4+N1335/(1+H1335)^5</f>
        <v>127.490848508087</v>
      </c>
      <c r="P1335" s="24" t="n">
        <f aca="false">N1335*(1+F1335)/(H1335-F1335)</f>
        <v>625.784247336846</v>
      </c>
      <c r="Q1335" s="24" t="n">
        <f aca="false">O1335+P1335/(1+H1335)^5</f>
        <v>536.698830787646</v>
      </c>
      <c r="R1335" s="24" t="n">
        <f aca="false">Q1335-'DCF Base Case'!$B$5</f>
        <v>351.698830787646</v>
      </c>
      <c r="S1335" s="32" t="n">
        <f aca="false">R1335/'DCF Base Case'!$B$6</f>
        <v>14.0679532315059</v>
      </c>
    </row>
    <row r="1336" customFormat="false" ht="15" hidden="false" customHeight="true" outlineLevel="0" collapsed="false">
      <c r="A1336" s="6" t="n">
        <v>1335</v>
      </c>
      <c r="B1336" s="30" t="n">
        <v>0.0940064618997481</v>
      </c>
      <c r="C1336" s="30" t="n">
        <v>0.376729344404705</v>
      </c>
      <c r="D1336" s="30" t="n">
        <v>0.0860900230937412</v>
      </c>
      <c r="E1336" s="30" t="n">
        <v>0.261765357432892</v>
      </c>
      <c r="F1336" s="30" t="n">
        <v>0.0186349682332138</v>
      </c>
      <c r="G1336" s="30" t="n">
        <v>0.133558528561373</v>
      </c>
      <c r="H1336" s="31" t="n">
        <f aca="false">MAX(D1336,F1336+0.015)</f>
        <v>0.0860900230937412</v>
      </c>
      <c r="I1336" s="25" t="n">
        <f aca="false">(C1336-'DCF Base Case'!$B$3)*(1-E1336)+'DCF Base Case'!$B$3-G1336</f>
        <v>0.178585620816051</v>
      </c>
      <c r="J1336" s="24" t="n">
        <f aca="false">'DCF Base Case'!$B$2*(1+B1336)^1*$I1336-'DCF Base Case'!$B$2*(1+B1336)^0*B1336*'DCF Base Case'!$B$4</f>
        <v>27.9202762511311</v>
      </c>
      <c r="K1336" s="24" t="n">
        <f aca="false">'DCF Base Case'!$B$2*(1+B1336)^2*$I1336-'DCF Base Case'!$B$2*(1+B1336)^1*B1336*'DCF Base Case'!$B$4</f>
        <v>30.5449626367635</v>
      </c>
      <c r="L1336" s="24" t="n">
        <f aca="false">'DCF Base Case'!$B$2*(1+B1336)^3*$I1336-'DCF Base Case'!$B$2*(1+B1336)^2*B1336*'DCF Base Case'!$B$4</f>
        <v>33.4163865031057</v>
      </c>
      <c r="M1336" s="24" t="n">
        <f aca="false">'DCF Base Case'!$B$2*(1+B1336)^4*$I1336-'DCF Base Case'!$B$2*(1+B1336)^3*B1336*'DCF Base Case'!$B$4</f>
        <v>36.5577427677371</v>
      </c>
      <c r="N1336" s="24" t="n">
        <f aca="false">'DCF Base Case'!$B$2*(1+B1336)^5*$I1336-'DCF Base Case'!$B$2*(1+B1336)^4*B1336*'DCF Base Case'!$B$4</f>
        <v>39.9944068203732</v>
      </c>
      <c r="O1336" s="24" t="n">
        <f aca="false">J1336/(1+H1336)^1+K1336/(1+H1336)^2+L1336/(1+H1336)^3+M1336/(1+H1336)^4+N1336/(1+H1336)^5</f>
        <v>130.423221476067</v>
      </c>
      <c r="P1336" s="24" t="n">
        <f aca="false">N1336*(1+F1336)/(H1336-F1336)</f>
        <v>603.953275335882</v>
      </c>
      <c r="Q1336" s="24" t="n">
        <f aca="false">O1336+P1336/(1+H1336)^5</f>
        <v>530.068070343806</v>
      </c>
      <c r="R1336" s="24" t="n">
        <f aca="false">Q1336-'DCF Base Case'!$B$5</f>
        <v>345.068070343806</v>
      </c>
      <c r="S1336" s="32" t="n">
        <f aca="false">R1336/'DCF Base Case'!$B$6</f>
        <v>13.8027228137522</v>
      </c>
    </row>
    <row r="1337" customFormat="false" ht="15" hidden="false" customHeight="true" outlineLevel="0" collapsed="false">
      <c r="A1337" s="6" t="n">
        <v>1336</v>
      </c>
      <c r="B1337" s="30" t="n">
        <v>0.0986003807314811</v>
      </c>
      <c r="C1337" s="30" t="n">
        <v>0.381052902478521</v>
      </c>
      <c r="D1337" s="30" t="n">
        <v>0.0866311306747075</v>
      </c>
      <c r="E1337" s="30" t="n">
        <v>0.255556648709296</v>
      </c>
      <c r="F1337" s="30" t="n">
        <v>0.0158828913300927</v>
      </c>
      <c r="G1337" s="30" t="n">
        <v>0.192712632096097</v>
      </c>
      <c r="H1337" s="31" t="n">
        <f aca="false">MAX(D1337,F1337+0.015)</f>
        <v>0.0866311306747075</v>
      </c>
      <c r="I1337" s="25" t="n">
        <f aca="false">(C1337-'DCF Base Case'!$B$3)*(1-E1337)+'DCF Base Case'!$B$3-G1337</f>
        <v>0.124182031976272</v>
      </c>
      <c r="J1337" s="24" t="n">
        <f aca="false">'DCF Base Case'!$B$2*(1+B1337)^1*$I1337-'DCF Base Case'!$B$2*(1+B1337)^0*B1337*'DCF Base Case'!$B$4</f>
        <v>19.3529203471435</v>
      </c>
      <c r="K1337" s="24" t="n">
        <f aca="false">'DCF Base Case'!$B$2*(1+B1337)^2*$I1337-'DCF Base Case'!$B$2*(1+B1337)^1*B1337*'DCF Base Case'!$B$4</f>
        <v>21.2611256616379</v>
      </c>
      <c r="L1337" s="24" t="n">
        <f aca="false">'DCF Base Case'!$B$2*(1+B1337)^3*$I1337-'DCF Base Case'!$B$2*(1+B1337)^2*B1337*'DCF Base Case'!$B$4</f>
        <v>23.3574807466552</v>
      </c>
      <c r="M1337" s="24" t="n">
        <f aca="false">'DCF Base Case'!$B$2*(1+B1337)^4*$I1337-'DCF Base Case'!$B$2*(1+B1337)^3*B1337*'DCF Base Case'!$B$4</f>
        <v>25.6605372412037</v>
      </c>
      <c r="N1337" s="24" t="n">
        <f aca="false">'DCF Base Case'!$B$2*(1+B1337)^5*$I1337-'DCF Base Case'!$B$2*(1+B1337)^4*B1337*'DCF Base Case'!$B$4</f>
        <v>28.1906759829607</v>
      </c>
      <c r="O1337" s="24" t="n">
        <f aca="false">J1337/(1+H1337)^1+K1337/(1+H1337)^2+L1337/(1+H1337)^3+M1337/(1+H1337)^4+N1337/(1+H1337)^5</f>
        <v>91.0335947054186</v>
      </c>
      <c r="P1337" s="24" t="n">
        <f aca="false">N1337*(1+F1337)/(H1337-F1337)</f>
        <v>404.793471772804</v>
      </c>
      <c r="Q1337" s="24" t="n">
        <f aca="false">O1337+P1337/(1+H1337)^5</f>
        <v>358.22518536538</v>
      </c>
      <c r="R1337" s="24" t="n">
        <f aca="false">Q1337-'DCF Base Case'!$B$5</f>
        <v>173.22518536538</v>
      </c>
      <c r="S1337" s="32" t="n">
        <f aca="false">R1337/'DCF Base Case'!$B$6</f>
        <v>6.9290074146152</v>
      </c>
    </row>
    <row r="1338" customFormat="false" ht="15" hidden="false" customHeight="true" outlineLevel="0" collapsed="false">
      <c r="A1338" s="6" t="n">
        <v>1337</v>
      </c>
      <c r="B1338" s="30" t="n">
        <v>0.102697608313264</v>
      </c>
      <c r="C1338" s="30" t="n">
        <v>0.440012904399538</v>
      </c>
      <c r="D1338" s="30" t="n">
        <v>0.102156998457514</v>
      </c>
      <c r="E1338" s="30" t="n">
        <v>0.262114326088037</v>
      </c>
      <c r="F1338" s="30" t="n">
        <v>0.024535891440515</v>
      </c>
      <c r="G1338" s="30" t="n">
        <v>0.136898698785496</v>
      </c>
      <c r="H1338" s="31" t="n">
        <f aca="false">MAX(D1338,F1338+0.015)</f>
        <v>0.102156998457514</v>
      </c>
      <c r="I1338" s="25" t="n">
        <f aca="false">(C1338-'DCF Base Case'!$B$3)*(1-E1338)+'DCF Base Case'!$B$3-G1338</f>
        <v>0.221855382098762</v>
      </c>
      <c r="J1338" s="24" t="n">
        <f aca="false">'DCF Base Case'!$B$2*(1+B1338)^1*$I1338-'DCF Base Case'!$B$2*(1+B1338)^0*B1338*'DCF Base Case'!$B$4</f>
        <v>35.0259782924382</v>
      </c>
      <c r="K1338" s="24" t="n">
        <f aca="false">'DCF Base Case'!$B$2*(1+B1338)^2*$I1338-'DCF Base Case'!$B$2*(1+B1338)^1*B1338*'DCF Base Case'!$B$4</f>
        <v>38.6230624919039</v>
      </c>
      <c r="L1338" s="24" t="n">
        <f aca="false">'DCF Base Case'!$B$2*(1+B1338)^3*$I1338-'DCF Base Case'!$B$2*(1+B1338)^2*B1338*'DCF Base Case'!$B$4</f>
        <v>42.5895586355562</v>
      </c>
      <c r="M1338" s="24" t="n">
        <f aca="false">'DCF Base Case'!$B$2*(1+B1338)^4*$I1338-'DCF Base Case'!$B$2*(1+B1338)^3*B1338*'DCF Base Case'!$B$4</f>
        <v>46.9634044465453</v>
      </c>
      <c r="N1338" s="24" t="n">
        <f aca="false">'DCF Base Case'!$B$2*(1+B1338)^5*$I1338-'DCF Base Case'!$B$2*(1+B1338)^4*B1338*'DCF Base Case'!$B$4</f>
        <v>51.786433761454</v>
      </c>
      <c r="O1338" s="24" t="n">
        <f aca="false">J1338/(1+H1338)^1+K1338/(1+H1338)^2+L1338/(1+H1338)^3+M1338/(1+H1338)^4+N1338/(1+H1338)^5</f>
        <v>159.053364455948</v>
      </c>
      <c r="P1338" s="24" t="n">
        <f aca="false">N1338*(1+F1338)/(H1338-F1338)</f>
        <v>683.539079991438</v>
      </c>
      <c r="Q1338" s="24" t="n">
        <f aca="false">O1338+P1338/(1+H1338)^5</f>
        <v>579.340441139391</v>
      </c>
      <c r="R1338" s="24" t="n">
        <f aca="false">Q1338-'DCF Base Case'!$B$5</f>
        <v>394.340441139391</v>
      </c>
      <c r="S1338" s="32" t="n">
        <f aca="false">R1338/'DCF Base Case'!$B$6</f>
        <v>15.7736176455756</v>
      </c>
    </row>
    <row r="1339" customFormat="false" ht="15" hidden="false" customHeight="true" outlineLevel="0" collapsed="false">
      <c r="A1339" s="6" t="n">
        <v>1338</v>
      </c>
      <c r="B1339" s="30" t="n">
        <v>0.106250673812004</v>
      </c>
      <c r="C1339" s="30" t="n">
        <v>0.410220498263145</v>
      </c>
      <c r="D1339" s="30" t="n">
        <v>0.0747666984309675</v>
      </c>
      <c r="E1339" s="30" t="n">
        <v>0.298351387708423</v>
      </c>
      <c r="F1339" s="30" t="n">
        <v>0.0227439656374576</v>
      </c>
      <c r="G1339" s="30" t="n">
        <v>0.187134330173999</v>
      </c>
      <c r="H1339" s="31" t="n">
        <f aca="false">MAX(D1339,F1339+0.015)</f>
        <v>0.0747666984309675</v>
      </c>
      <c r="I1339" s="25" t="n">
        <f aca="false">(C1339-'DCF Base Case'!$B$3)*(1-E1339)+'DCF Base Case'!$B$3-G1339</f>
        <v>0.139481993567991</v>
      </c>
      <c r="J1339" s="24" t="n">
        <f aca="false">'DCF Base Case'!$B$2*(1+B1339)^1*$I1339-'DCF Base Case'!$B$2*(1+B1339)^0*B1339*'DCF Base Case'!$B$4</f>
        <v>21.9116067274564</v>
      </c>
      <c r="K1339" s="24" t="n">
        <f aca="false">'DCF Base Case'!$B$2*(1+B1339)^2*$I1339-'DCF Base Case'!$B$2*(1+B1339)^1*B1339*'DCF Base Case'!$B$4</f>
        <v>24.2397297065522</v>
      </c>
      <c r="L1339" s="24" t="n">
        <f aca="false">'DCF Base Case'!$B$2*(1+B1339)^3*$I1339-'DCF Base Case'!$B$2*(1+B1339)^2*B1339*'DCF Base Case'!$B$4</f>
        <v>26.8152173208943</v>
      </c>
      <c r="M1339" s="24" t="n">
        <f aca="false">'DCF Base Case'!$B$2*(1+B1339)^4*$I1339-'DCF Base Case'!$B$2*(1+B1339)^3*B1339*'DCF Base Case'!$B$4</f>
        <v>29.6643522296546</v>
      </c>
      <c r="N1339" s="24" t="n">
        <f aca="false">'DCF Base Case'!$B$2*(1+B1339)^5*$I1339-'DCF Base Case'!$B$2*(1+B1339)^4*B1339*'DCF Base Case'!$B$4</f>
        <v>32.816209642252</v>
      </c>
      <c r="O1339" s="24" t="n">
        <f aca="false">J1339/(1+H1339)^1+K1339/(1+H1339)^2+L1339/(1+H1339)^3+M1339/(1+H1339)^4+N1339/(1+H1339)^5</f>
        <v>108.08631316856</v>
      </c>
      <c r="P1339" s="24" t="n">
        <f aca="false">N1339*(1+F1339)/(H1339-F1339)</f>
        <v>645.152197596473</v>
      </c>
      <c r="Q1339" s="24" t="n">
        <f aca="false">O1339+P1339/(1+H1339)^5</f>
        <v>557.960602938917</v>
      </c>
      <c r="R1339" s="24" t="n">
        <f aca="false">Q1339-'DCF Base Case'!$B$5</f>
        <v>372.960602938917</v>
      </c>
      <c r="S1339" s="32" t="n">
        <f aca="false">R1339/'DCF Base Case'!$B$6</f>
        <v>14.9184241175567</v>
      </c>
    </row>
    <row r="1340" customFormat="false" ht="15" hidden="false" customHeight="true" outlineLevel="0" collapsed="false">
      <c r="A1340" s="6" t="n">
        <v>1339</v>
      </c>
      <c r="B1340" s="30" t="n">
        <v>0.0944512195959445</v>
      </c>
      <c r="C1340" s="30" t="n">
        <v>0.41893021630969</v>
      </c>
      <c r="D1340" s="30" t="n">
        <v>0.0907955324426989</v>
      </c>
      <c r="E1340" s="30" t="n">
        <v>0.288612111886307</v>
      </c>
      <c r="F1340" s="30" t="n">
        <v>0.0212867306507906</v>
      </c>
      <c r="G1340" s="30" t="n">
        <v>0.169849608574989</v>
      </c>
      <c r="H1340" s="31" t="n">
        <f aca="false">MAX(D1340,F1340+0.015)</f>
        <v>0.0907955324426989</v>
      </c>
      <c r="I1340" s="25" t="n">
        <f aca="false">(C1340-'DCF Base Case'!$B$3)*(1-E1340)+'DCF Base Case'!$B$3-G1340</f>
        <v>0.165691847817794</v>
      </c>
      <c r="J1340" s="24" t="n">
        <f aca="false">'DCF Base Case'!$B$2*(1+B1340)^1*$I1340-'DCF Base Case'!$B$2*(1+B1340)^0*B1340*'DCF Base Case'!$B$4</f>
        <v>25.8836757083447</v>
      </c>
      <c r="K1340" s="24" t="n">
        <f aca="false">'DCF Base Case'!$B$2*(1+B1340)^2*$I1340-'DCF Base Case'!$B$2*(1+B1340)^1*B1340*'DCF Base Case'!$B$4</f>
        <v>28.3284204466238</v>
      </c>
      <c r="L1340" s="24" t="n">
        <f aca="false">'DCF Base Case'!$B$2*(1+B1340)^3*$I1340-'DCF Base Case'!$B$2*(1+B1340)^2*B1340*'DCF Base Case'!$B$4</f>
        <v>31.0040743070341</v>
      </c>
      <c r="M1340" s="24" t="n">
        <f aca="false">'DCF Base Case'!$B$2*(1+B1340)^4*$I1340-'DCF Base Case'!$B$2*(1+B1340)^3*B1340*'DCF Base Case'!$B$4</f>
        <v>33.9324469377768</v>
      </c>
      <c r="N1340" s="24" t="n">
        <f aca="false">'DCF Base Case'!$B$2*(1+B1340)^5*$I1340-'DCF Base Case'!$B$2*(1+B1340)^4*B1340*'DCF Base Case'!$B$4</f>
        <v>37.1374079349245</v>
      </c>
      <c r="O1340" s="24" t="n">
        <f aca="false">J1340/(1+H1340)^1+K1340/(1+H1340)^2+L1340/(1+H1340)^3+M1340/(1+H1340)^4+N1340/(1+H1340)^5</f>
        <v>119.443792241621</v>
      </c>
      <c r="P1340" s="24" t="n">
        <f aca="false">N1340*(1+F1340)/(H1340-F1340)</f>
        <v>545.656678822494</v>
      </c>
      <c r="Q1340" s="24" t="n">
        <f aca="false">O1340+P1340/(1+H1340)^5</f>
        <v>472.791861513088</v>
      </c>
      <c r="R1340" s="24" t="n">
        <f aca="false">Q1340-'DCF Base Case'!$B$5</f>
        <v>287.791861513088</v>
      </c>
      <c r="S1340" s="32" t="n">
        <f aca="false">R1340/'DCF Base Case'!$B$6</f>
        <v>11.5116744605235</v>
      </c>
    </row>
    <row r="1341" customFormat="false" ht="15" hidden="false" customHeight="true" outlineLevel="0" collapsed="false">
      <c r="A1341" s="6" t="n">
        <v>1340</v>
      </c>
      <c r="B1341" s="30" t="n">
        <v>0.108402952822587</v>
      </c>
      <c r="C1341" s="30" t="n">
        <v>0.385629367005768</v>
      </c>
      <c r="D1341" s="30" t="n">
        <v>0.0835559917740498</v>
      </c>
      <c r="E1341" s="30" t="n">
        <v>0.253529449712239</v>
      </c>
      <c r="F1341" s="30" t="n">
        <v>0.0203362485009477</v>
      </c>
      <c r="G1341" s="30" t="n">
        <v>0.20262722169609</v>
      </c>
      <c r="H1341" s="31" t="n">
        <f aca="false">MAX(D1341,F1341+0.015)</f>
        <v>0.0835559917740498</v>
      </c>
      <c r="I1341" s="25" t="n">
        <f aca="false">(C1341-'DCF Base Case'!$B$3)*(1-E1341)+'DCF Base Case'!$B$3-G1341</f>
        <v>0.118192572562418</v>
      </c>
      <c r="J1341" s="24" t="n">
        <f aca="false">'DCF Base Case'!$B$2*(1+B1341)^1*$I1341-'DCF Base Case'!$B$2*(1+B1341)^0*B1341*'DCF Base Case'!$B$4</f>
        <v>18.5241716375546</v>
      </c>
      <c r="K1341" s="24" t="n">
        <f aca="false">'DCF Base Case'!$B$2*(1+B1341)^2*$I1341-'DCF Base Case'!$B$2*(1+B1341)^1*B1341*'DCF Base Case'!$B$4</f>
        <v>20.5322465416579</v>
      </c>
      <c r="L1341" s="24" t="n">
        <f aca="false">'DCF Base Case'!$B$2*(1+B1341)^3*$I1341-'DCF Base Case'!$B$2*(1+B1341)^2*B1341*'DCF Base Case'!$B$4</f>
        <v>22.758002694855</v>
      </c>
      <c r="M1341" s="24" t="n">
        <f aca="false">'DCF Base Case'!$B$2*(1+B1341)^4*$I1341-'DCF Base Case'!$B$2*(1+B1341)^3*B1341*'DCF Base Case'!$B$4</f>
        <v>25.2250373873217</v>
      </c>
      <c r="N1341" s="24" t="n">
        <f aca="false">'DCF Base Case'!$B$2*(1+B1341)^5*$I1341-'DCF Base Case'!$B$2*(1+B1341)^4*B1341*'DCF Base Case'!$B$4</f>
        <v>27.9595059251675</v>
      </c>
      <c r="O1341" s="24" t="n">
        <f aca="false">J1341/(1+H1341)^1+K1341/(1+H1341)^2+L1341/(1+H1341)^3+M1341/(1+H1341)^4+N1341/(1+H1341)^5</f>
        <v>89.4897480670358</v>
      </c>
      <c r="P1341" s="24" t="n">
        <f aca="false">N1341*(1+F1341)/(H1341-F1341)</f>
        <v>451.252977450213</v>
      </c>
      <c r="Q1341" s="24" t="n">
        <f aca="false">O1341+P1341/(1+H1341)^5</f>
        <v>391.598488654522</v>
      </c>
      <c r="R1341" s="24" t="n">
        <f aca="false">Q1341-'DCF Base Case'!$B$5</f>
        <v>206.598488654522</v>
      </c>
      <c r="S1341" s="32" t="n">
        <f aca="false">R1341/'DCF Base Case'!$B$6</f>
        <v>8.26393954618088</v>
      </c>
    </row>
    <row r="1342" customFormat="false" ht="15" hidden="false" customHeight="true" outlineLevel="0" collapsed="false">
      <c r="A1342" s="6" t="n">
        <v>1341</v>
      </c>
      <c r="B1342" s="30" t="n">
        <v>0.0798572280200181</v>
      </c>
      <c r="C1342" s="30" t="n">
        <v>0.413741919701773</v>
      </c>
      <c r="D1342" s="30" t="n">
        <v>0.093321353864138</v>
      </c>
      <c r="E1342" s="30" t="n">
        <v>0.246521709339453</v>
      </c>
      <c r="F1342" s="30" t="n">
        <v>0.0172553031123774</v>
      </c>
      <c r="G1342" s="30" t="n">
        <v>0.173670539095504</v>
      </c>
      <c r="H1342" s="31" t="n">
        <f aca="false">MAX(D1342,F1342+0.015)</f>
        <v>0.093321353864138</v>
      </c>
      <c r="I1342" s="25" t="n">
        <f aca="false">(C1342-'DCF Base Case'!$B$3)*(1-E1342)+'DCF Base Case'!$B$3-G1342</f>
        <v>0.17012283755013</v>
      </c>
      <c r="J1342" s="24" t="n">
        <f aca="false">'DCF Base Case'!$B$2*(1+B1342)^1*$I1342-'DCF Base Case'!$B$2*(1+B1342)^0*B1342*'DCF Base Case'!$B$4</f>
        <v>26.2903355461815</v>
      </c>
      <c r="K1342" s="24" t="n">
        <f aca="false">'DCF Base Case'!$B$2*(1+B1342)^2*$I1342-'DCF Base Case'!$B$2*(1+B1342)^1*B1342*'DCF Base Case'!$B$4</f>
        <v>28.3898088666157</v>
      </c>
      <c r="L1342" s="24" t="n">
        <f aca="false">'DCF Base Case'!$B$2*(1+B1342)^3*$I1342-'DCF Base Case'!$B$2*(1+B1342)^2*B1342*'DCF Base Case'!$B$4</f>
        <v>30.6569403067218</v>
      </c>
      <c r="M1342" s="24" t="n">
        <f aca="false">'DCF Base Case'!$B$2*(1+B1342)^4*$I1342-'DCF Base Case'!$B$2*(1+B1342)^3*B1342*'DCF Base Case'!$B$4</f>
        <v>33.1051185791917</v>
      </c>
      <c r="N1342" s="24" t="n">
        <f aca="false">'DCF Base Case'!$B$2*(1+B1342)^5*$I1342-'DCF Base Case'!$B$2*(1+B1342)^4*B1342*'DCF Base Case'!$B$4</f>
        <v>35.7488015822</v>
      </c>
      <c r="O1342" s="24" t="n">
        <f aca="false">J1342/(1+H1342)^1+K1342/(1+H1342)^2+L1342/(1+H1342)^3+M1342/(1+H1342)^4+N1342/(1+H1342)^5</f>
        <v>117.30647990665</v>
      </c>
      <c r="P1342" s="24" t="n">
        <f aca="false">N1342*(1+F1342)/(H1342-F1342)</f>
        <v>478.08000586337</v>
      </c>
      <c r="Q1342" s="24" t="n">
        <f aca="false">O1342+P1342/(1+H1342)^5</f>
        <v>423.334666446976</v>
      </c>
      <c r="R1342" s="24" t="n">
        <f aca="false">Q1342-'DCF Base Case'!$B$5</f>
        <v>238.334666446976</v>
      </c>
      <c r="S1342" s="32" t="n">
        <f aca="false">R1342/'DCF Base Case'!$B$6</f>
        <v>9.53338665787906</v>
      </c>
    </row>
    <row r="1343" customFormat="false" ht="15" hidden="false" customHeight="true" outlineLevel="0" collapsed="false">
      <c r="A1343" s="6" t="n">
        <v>1342</v>
      </c>
      <c r="B1343" s="30" t="n">
        <v>0.0430690230099527</v>
      </c>
      <c r="C1343" s="30" t="n">
        <v>0.372696557090496</v>
      </c>
      <c r="D1343" s="30" t="n">
        <v>0.0971094377071942</v>
      </c>
      <c r="E1343" s="30" t="n">
        <v>0.310458646129385</v>
      </c>
      <c r="F1343" s="30" t="n">
        <v>0.0206828527258371</v>
      </c>
      <c r="G1343" s="30" t="n">
        <v>0.186339788860227</v>
      </c>
      <c r="H1343" s="31" t="n">
        <f aca="false">MAX(D1343,F1343+0.015)</f>
        <v>0.0971094377071942</v>
      </c>
      <c r="I1343" s="25" t="n">
        <f aca="false">(C1343-'DCF Base Case'!$B$3)*(1-E1343)+'DCF Base Case'!$B$3-G1343</f>
        <v>0.111009523695691</v>
      </c>
      <c r="J1343" s="24" t="n">
        <f aca="false">'DCF Base Case'!$B$2*(1+B1343)^1*$I1343-'DCF Base Case'!$B$2*(1+B1343)^0*B1343*'DCF Base Case'!$B$4</f>
        <v>16.602286086686</v>
      </c>
      <c r="K1343" s="24" t="n">
        <f aca="false">'DCF Base Case'!$B$2*(1+B1343)^2*$I1343-'DCF Base Case'!$B$2*(1+B1343)^1*B1343*'DCF Base Case'!$B$4</f>
        <v>17.3173303281713</v>
      </c>
      <c r="L1343" s="24" t="n">
        <f aca="false">'DCF Base Case'!$B$2*(1+B1343)^3*$I1343-'DCF Base Case'!$B$2*(1+B1343)^2*B1343*'DCF Base Case'!$B$4</f>
        <v>18.0631708265463</v>
      </c>
      <c r="M1343" s="24" t="n">
        <f aca="false">'DCF Base Case'!$B$2*(1+B1343)^4*$I1343-'DCF Base Case'!$B$2*(1+B1343)^3*B1343*'DCF Base Case'!$B$4</f>
        <v>18.8411339465075</v>
      </c>
      <c r="N1343" s="24" t="n">
        <f aca="false">'DCF Base Case'!$B$2*(1+B1343)^5*$I1343-'DCF Base Case'!$B$2*(1+B1343)^4*B1343*'DCF Base Case'!$B$4</f>
        <v>19.6526031779832</v>
      </c>
      <c r="O1343" s="24" t="n">
        <f aca="false">J1343/(1+H1343)^1+K1343/(1+H1343)^2+L1343/(1+H1343)^3+M1343/(1+H1343)^4+N1343/(1+H1343)^5</f>
        <v>68.5680180237382</v>
      </c>
      <c r="P1343" s="24" t="n">
        <f aca="false">N1343*(1+F1343)/(H1343-F1343)</f>
        <v>262.462009523071</v>
      </c>
      <c r="Q1343" s="24" t="n">
        <f aca="false">O1343+P1343/(1+H1343)^5</f>
        <v>233.694487147891</v>
      </c>
      <c r="R1343" s="24" t="n">
        <f aca="false">Q1343-'DCF Base Case'!$B$5</f>
        <v>48.6944871478914</v>
      </c>
      <c r="S1343" s="32" t="n">
        <f aca="false">R1343/'DCF Base Case'!$B$6</f>
        <v>1.94777948591566</v>
      </c>
    </row>
    <row r="1344" customFormat="false" ht="15" hidden="false" customHeight="true" outlineLevel="0" collapsed="false">
      <c r="A1344" s="6" t="n">
        <v>1343</v>
      </c>
      <c r="B1344" s="30" t="n">
        <v>0.0944564479703869</v>
      </c>
      <c r="C1344" s="30" t="n">
        <v>0.426789332428292</v>
      </c>
      <c r="D1344" s="30" t="n">
        <v>0.0815278092027533</v>
      </c>
      <c r="E1344" s="30" t="n">
        <v>0.282965568971912</v>
      </c>
      <c r="F1344" s="30" t="n">
        <v>0.0167915518842639</v>
      </c>
      <c r="G1344" s="30" t="n">
        <v>0.195115334320754</v>
      </c>
      <c r="H1344" s="31" t="n">
        <f aca="false">MAX(D1344,F1344+0.015)</f>
        <v>0.0815278092027533</v>
      </c>
      <c r="I1344" s="25" t="n">
        <f aca="false">(C1344-'DCF Base Case'!$B$3)*(1-E1344)+'DCF Base Case'!$B$3-G1344</f>
        <v>0.147692835792172</v>
      </c>
      <c r="J1344" s="24" t="n">
        <f aca="false">'DCF Base Case'!$B$2*(1+B1344)^1*$I1344-'DCF Base Case'!$B$2*(1+B1344)^0*B1344*'DCF Base Case'!$B$4</f>
        <v>23.0274040368361</v>
      </c>
      <c r="K1344" s="24" t="n">
        <f aca="false">'DCF Base Case'!$B$2*(1+B1344)^2*$I1344-'DCF Base Case'!$B$2*(1+B1344)^1*B1344*'DCF Base Case'!$B$4</f>
        <v>25.2024908281346</v>
      </c>
      <c r="L1344" s="24" t="n">
        <f aca="false">'DCF Base Case'!$B$2*(1+B1344)^3*$I1344-'DCF Base Case'!$B$2*(1+B1344)^2*B1344*'DCF Base Case'!$B$4</f>
        <v>27.5830285917665</v>
      </c>
      <c r="M1344" s="24" t="n">
        <f aca="false">'DCF Base Case'!$B$2*(1+B1344)^4*$I1344-'DCF Base Case'!$B$2*(1+B1344)^3*B1344*'DCF Base Case'!$B$4</f>
        <v>30.1884234968104</v>
      </c>
      <c r="N1344" s="24" t="n">
        <f aca="false">'DCF Base Case'!$B$2*(1+B1344)^5*$I1344-'DCF Base Case'!$B$2*(1+B1344)^4*B1344*'DCF Base Case'!$B$4</f>
        <v>33.0399147501448</v>
      </c>
      <c r="O1344" s="24" t="n">
        <f aca="false">J1344/(1+H1344)^1+K1344/(1+H1344)^2+L1344/(1+H1344)^3+M1344/(1+H1344)^4+N1344/(1+H1344)^5</f>
        <v>109.033563445907</v>
      </c>
      <c r="P1344" s="24" t="n">
        <f aca="false">N1344*(1+F1344)/(H1344-F1344)</f>
        <v>518.947303790584</v>
      </c>
      <c r="Q1344" s="24" t="n">
        <f aca="false">O1344+P1344/(1+H1344)^5</f>
        <v>459.732787908066</v>
      </c>
      <c r="R1344" s="24" t="n">
        <f aca="false">Q1344-'DCF Base Case'!$B$5</f>
        <v>274.732787908066</v>
      </c>
      <c r="S1344" s="32" t="n">
        <f aca="false">R1344/'DCF Base Case'!$B$6</f>
        <v>10.9893115163226</v>
      </c>
    </row>
    <row r="1345" customFormat="false" ht="15" hidden="false" customHeight="true" outlineLevel="0" collapsed="false">
      <c r="A1345" s="6" t="n">
        <v>1344</v>
      </c>
      <c r="B1345" s="30" t="n">
        <v>0.122103106787563</v>
      </c>
      <c r="C1345" s="30" t="n">
        <v>0.448340320096047</v>
      </c>
      <c r="D1345" s="30" t="n">
        <v>0.0805108036215435</v>
      </c>
      <c r="E1345" s="30" t="n">
        <v>0.2593447108099</v>
      </c>
      <c r="F1345" s="30" t="n">
        <v>0.0238625891444414</v>
      </c>
      <c r="G1345" s="30" t="n">
        <v>0.178053414955466</v>
      </c>
      <c r="H1345" s="31" t="n">
        <f aca="false">MAX(D1345,F1345+0.015)</f>
        <v>0.0805108036215435</v>
      </c>
      <c r="I1345" s="25" t="n">
        <f aca="false">(C1345-'DCF Base Case'!$B$3)*(1-E1345)+'DCF Base Case'!$B$3-G1345</f>
        <v>0.187727026886141</v>
      </c>
      <c r="J1345" s="24" t="n">
        <f aca="false">'DCF Base Case'!$B$2*(1+B1345)^1*$I1345-'DCF Base Case'!$B$2*(1+B1345)^0*B1345*'DCF Base Case'!$B$4</f>
        <v>30.0129680995291</v>
      </c>
      <c r="K1345" s="24" t="n">
        <f aca="false">'DCF Base Case'!$B$2*(1+B1345)^2*$I1345-'DCF Base Case'!$B$2*(1+B1345)^1*B1345*'DCF Base Case'!$B$4</f>
        <v>33.6776447483976</v>
      </c>
      <c r="L1345" s="24" t="n">
        <f aca="false">'DCF Base Case'!$B$2*(1+B1345)^3*$I1345-'DCF Base Case'!$B$2*(1+B1345)^2*B1345*'DCF Base Case'!$B$4</f>
        <v>37.7897898014648</v>
      </c>
      <c r="M1345" s="24" t="n">
        <f aca="false">'DCF Base Case'!$B$2*(1+B1345)^4*$I1345-'DCF Base Case'!$B$2*(1+B1345)^3*B1345*'DCF Base Case'!$B$4</f>
        <v>42.4040405410726</v>
      </c>
      <c r="N1345" s="24" t="n">
        <f aca="false">'DCF Base Case'!$B$2*(1+B1345)^5*$I1345-'DCF Base Case'!$B$2*(1+B1345)^4*B1345*'DCF Base Case'!$B$4</f>
        <v>47.5817056314834</v>
      </c>
      <c r="O1345" s="24" t="n">
        <f aca="false">J1345/(1+H1345)^1+K1345/(1+H1345)^2+L1345/(1+H1345)^3+M1345/(1+H1345)^4+N1345/(1+H1345)^5</f>
        <v>149.994911981467</v>
      </c>
      <c r="P1345" s="24" t="n">
        <f aca="false">N1345*(1+F1345)/(H1345-F1345)</f>
        <v>859.994066422893</v>
      </c>
      <c r="Q1345" s="24" t="n">
        <f aca="false">O1345+P1345/(1+H1345)^5</f>
        <v>733.910254874149</v>
      </c>
      <c r="R1345" s="24" t="n">
        <f aca="false">Q1345-'DCF Base Case'!$B$5</f>
        <v>548.910254874149</v>
      </c>
      <c r="S1345" s="32" t="n">
        <f aca="false">R1345/'DCF Base Case'!$B$6</f>
        <v>21.956410194966</v>
      </c>
    </row>
    <row r="1346" customFormat="false" ht="15" hidden="false" customHeight="true" outlineLevel="0" collapsed="false">
      <c r="A1346" s="6" t="n">
        <v>1345</v>
      </c>
      <c r="B1346" s="30" t="n">
        <v>0.0969166538811505</v>
      </c>
      <c r="C1346" s="30" t="n">
        <v>0.403551992795287</v>
      </c>
      <c r="D1346" s="30" t="n">
        <v>0.0896823019390044</v>
      </c>
      <c r="E1346" s="30" t="n">
        <v>0.257480800105778</v>
      </c>
      <c r="F1346" s="30" t="n">
        <v>0.0216245099412533</v>
      </c>
      <c r="G1346" s="30" t="n">
        <v>0.197554753983029</v>
      </c>
      <c r="H1346" s="31" t="n">
        <f aca="false">MAX(D1346,F1346+0.015)</f>
        <v>0.0896823019390044</v>
      </c>
      <c r="I1346" s="25" t="n">
        <f aca="false">(C1346-'DCF Base Case'!$B$3)*(1-E1346)+'DCF Base Case'!$B$3-G1346</f>
        <v>0.135562852836798</v>
      </c>
      <c r="J1346" s="24" t="n">
        <f aca="false">'DCF Base Case'!$B$2*(1+B1346)^1*$I1346-'DCF Base Case'!$B$2*(1+B1346)^0*B1346*'DCF Base Case'!$B$4</f>
        <v>21.1400794396438</v>
      </c>
      <c r="K1346" s="24" t="n">
        <f aca="false">'DCF Base Case'!$B$2*(1+B1346)^2*$I1346-'DCF Base Case'!$B$2*(1+B1346)^1*B1346*'DCF Base Case'!$B$4</f>
        <v>23.1889052017158</v>
      </c>
      <c r="L1346" s="24" t="n">
        <f aca="false">'DCF Base Case'!$B$2*(1+B1346)^3*$I1346-'DCF Base Case'!$B$2*(1+B1346)^2*B1346*'DCF Base Case'!$B$4</f>
        <v>25.4362963010333</v>
      </c>
      <c r="M1346" s="24" t="n">
        <f aca="false">'DCF Base Case'!$B$2*(1+B1346)^4*$I1346-'DCF Base Case'!$B$2*(1+B1346)^3*B1346*'DCF Base Case'!$B$4</f>
        <v>27.9014970256589</v>
      </c>
      <c r="N1346" s="24" t="n">
        <f aca="false">'DCF Base Case'!$B$2*(1+B1346)^5*$I1346-'DCF Base Case'!$B$2*(1+B1346)^4*B1346*'DCF Base Case'!$B$4</f>
        <v>30.6056167556606</v>
      </c>
      <c r="O1346" s="24" t="n">
        <f aca="false">J1346/(1+H1346)^1+K1346/(1+H1346)^2+L1346/(1+H1346)^3+M1346/(1+H1346)^4+N1346/(1+H1346)^5</f>
        <v>98.2976653073777</v>
      </c>
      <c r="P1346" s="24" t="n">
        <f aca="false">N1346*(1+F1346)/(H1346-F1346)</f>
        <v>459.424957842958</v>
      </c>
      <c r="Q1346" s="24" t="n">
        <f aca="false">O1346+P1346/(1+H1346)^5</f>
        <v>397.327896992214</v>
      </c>
      <c r="R1346" s="24" t="n">
        <f aca="false">Q1346-'DCF Base Case'!$B$5</f>
        <v>212.327896992214</v>
      </c>
      <c r="S1346" s="32" t="n">
        <f aca="false">R1346/'DCF Base Case'!$B$6</f>
        <v>8.49311587968854</v>
      </c>
    </row>
    <row r="1347" customFormat="false" ht="15" hidden="false" customHeight="true" outlineLevel="0" collapsed="false">
      <c r="A1347" s="6" t="n">
        <v>1346</v>
      </c>
      <c r="B1347" s="30" t="n">
        <v>0.123962488514473</v>
      </c>
      <c r="C1347" s="30" t="n">
        <v>0.439167886260052</v>
      </c>
      <c r="D1347" s="30" t="n">
        <v>0.0697977629541677</v>
      </c>
      <c r="E1347" s="30" t="n">
        <v>0.285380594641301</v>
      </c>
      <c r="F1347" s="30" t="n">
        <v>0.0260422723127606</v>
      </c>
      <c r="G1347" s="30" t="n">
        <v>0.147751022062629</v>
      </c>
      <c r="H1347" s="31" t="n">
        <f aca="false">MAX(D1347,F1347+0.015)</f>
        <v>0.0697977629541677</v>
      </c>
      <c r="I1347" s="25" t="n">
        <f aca="false">(C1347-'DCF Base Case'!$B$3)*(1-E1347)+'DCF Base Case'!$B$3-G1347</f>
        <v>0.203186348972535</v>
      </c>
      <c r="J1347" s="24" t="n">
        <f aca="false">'DCF Base Case'!$B$2*(1+B1347)^1*$I1347-'DCF Base Case'!$B$2*(1+B1347)^0*B1347*'DCF Base Case'!$B$4</f>
        <v>32.5749691663465</v>
      </c>
      <c r="K1347" s="24" t="n">
        <f aca="false">'DCF Base Case'!$B$2*(1+B1347)^2*$I1347-'DCF Base Case'!$B$2*(1+B1347)^1*B1347*'DCF Base Case'!$B$4</f>
        <v>36.613043407489</v>
      </c>
      <c r="L1347" s="24" t="n">
        <f aca="false">'DCF Base Case'!$B$2*(1+B1347)^3*$I1347-'DCF Base Case'!$B$2*(1+B1347)^2*B1347*'DCF Base Case'!$B$4</f>
        <v>41.1516873803698</v>
      </c>
      <c r="M1347" s="24" t="n">
        <f aca="false">'DCF Base Case'!$B$2*(1+B1347)^4*$I1347-'DCF Base Case'!$B$2*(1+B1347)^3*B1347*'DCF Base Case'!$B$4</f>
        <v>46.25295295461</v>
      </c>
      <c r="N1347" s="24" t="n">
        <f aca="false">'DCF Base Case'!$B$2*(1+B1347)^5*$I1347-'DCF Base Case'!$B$2*(1+B1347)^4*B1347*'DCF Base Case'!$B$4</f>
        <v>51.9865841040063</v>
      </c>
      <c r="O1347" s="24" t="n">
        <f aca="false">J1347/(1+H1347)^1+K1347/(1+H1347)^2+L1347/(1+H1347)^3+M1347/(1+H1347)^4+N1347/(1+H1347)^5</f>
        <v>168.46569367177</v>
      </c>
      <c r="P1347" s="24" t="n">
        <f aca="false">N1347*(1+F1347)/(H1347-F1347)</f>
        <v>1219.05690238965</v>
      </c>
      <c r="Q1347" s="24" t="n">
        <f aca="false">O1347+P1347/(1+H1347)^5</f>
        <v>1038.45827798299</v>
      </c>
      <c r="R1347" s="24" t="n">
        <f aca="false">Q1347-'DCF Base Case'!$B$5</f>
        <v>853.458277982994</v>
      </c>
      <c r="S1347" s="32" t="n">
        <f aca="false">R1347/'DCF Base Case'!$B$6</f>
        <v>34.1383311193198</v>
      </c>
    </row>
    <row r="1348" customFormat="false" ht="15" hidden="false" customHeight="true" outlineLevel="0" collapsed="false">
      <c r="A1348" s="6" t="n">
        <v>1347</v>
      </c>
      <c r="B1348" s="30" t="n">
        <v>0.0888059291121836</v>
      </c>
      <c r="C1348" s="30" t="n">
        <v>0.440381817438986</v>
      </c>
      <c r="D1348" s="30" t="n">
        <v>0.0917884731428094</v>
      </c>
      <c r="E1348" s="30" t="n">
        <v>0.341937384244296</v>
      </c>
      <c r="F1348" s="30" t="n">
        <v>0.0163693275628759</v>
      </c>
      <c r="G1348" s="30" t="n">
        <v>0.145388717993174</v>
      </c>
      <c r="H1348" s="31" t="n">
        <f aca="false">MAX(D1348,F1348+0.015)</f>
        <v>0.0917884731428094</v>
      </c>
      <c r="I1348" s="25" t="n">
        <f aca="false">(C1348-'DCF Base Case'!$B$3)*(1-E1348)+'DCF Base Case'!$B$3-G1348</f>
        <v>0.188861952673735</v>
      </c>
      <c r="J1348" s="24" t="n">
        <f aca="false">'DCF Base Case'!$B$2*(1+B1348)^1*$I1348-'DCF Base Case'!$B$2*(1+B1348)^0*B1348*'DCF Base Case'!$B$4</f>
        <v>29.4306262173177</v>
      </c>
      <c r="K1348" s="24" t="n">
        <f aca="false">'DCF Base Case'!$B$2*(1+B1348)^2*$I1348-'DCF Base Case'!$B$2*(1+B1348)^1*B1348*'DCF Base Case'!$B$4</f>
        <v>32.0442403229</v>
      </c>
      <c r="L1348" s="24" t="n">
        <f aca="false">'DCF Base Case'!$B$2*(1+B1348)^3*$I1348-'DCF Base Case'!$B$2*(1+B1348)^2*B1348*'DCF Base Case'!$B$4</f>
        <v>34.8899588574692</v>
      </c>
      <c r="M1348" s="24" t="n">
        <f aca="false">'DCF Base Case'!$B$2*(1+B1348)^4*$I1348-'DCF Base Case'!$B$2*(1+B1348)^3*B1348*'DCF Base Case'!$B$4</f>
        <v>37.9883940704926</v>
      </c>
      <c r="N1348" s="24" t="n">
        <f aca="false">'DCF Base Case'!$B$2*(1+B1348)^5*$I1348-'DCF Base Case'!$B$2*(1+B1348)^4*B1348*'DCF Base Case'!$B$4</f>
        <v>41.3619887014025</v>
      </c>
      <c r="O1348" s="24" t="n">
        <f aca="false">J1348/(1+H1348)^1+K1348/(1+H1348)^2+L1348/(1+H1348)^3+M1348/(1+H1348)^4+N1348/(1+H1348)^5</f>
        <v>134.047338992231</v>
      </c>
      <c r="P1348" s="24" t="n">
        <f aca="false">N1348*(1+F1348)/(H1348-F1348)</f>
        <v>557.405633806237</v>
      </c>
      <c r="Q1348" s="24" t="n">
        <f aca="false">O1348+P1348/(1+H1348)^5</f>
        <v>493.365219980703</v>
      </c>
      <c r="R1348" s="24" t="n">
        <f aca="false">Q1348-'DCF Base Case'!$B$5</f>
        <v>308.365219980703</v>
      </c>
      <c r="S1348" s="32" t="n">
        <f aca="false">R1348/'DCF Base Case'!$B$6</f>
        <v>12.3346087992281</v>
      </c>
    </row>
    <row r="1349" customFormat="false" ht="15" hidden="false" customHeight="true" outlineLevel="0" collapsed="false">
      <c r="A1349" s="6" t="n">
        <v>1348</v>
      </c>
      <c r="B1349" s="30" t="n">
        <v>0.11649973872395</v>
      </c>
      <c r="C1349" s="30" t="n">
        <v>0.398304022625954</v>
      </c>
      <c r="D1349" s="30" t="n">
        <v>0.0828355521230071</v>
      </c>
      <c r="E1349" s="30" t="n">
        <v>0.277825996344012</v>
      </c>
      <c r="F1349" s="30" t="n">
        <v>0.02306140924555</v>
      </c>
      <c r="G1349" s="30" t="n">
        <v>0.179786634091425</v>
      </c>
      <c r="H1349" s="31" t="n">
        <f aca="false">MAX(D1349,F1349+0.015)</f>
        <v>0.0828355521230071</v>
      </c>
      <c r="I1349" s="25" t="n">
        <f aca="false">(C1349-'DCF Base Case'!$B$3)*(1-E1349)+'DCF Base Case'!$B$3-G1349</f>
        <v>0.143975556125367</v>
      </c>
      <c r="J1349" s="24" t="n">
        <f aca="false">'DCF Base Case'!$B$2*(1+B1349)^1*$I1349-'DCF Base Case'!$B$2*(1+B1349)^0*B1349*'DCF Base Case'!$B$4</f>
        <v>22.8017834020589</v>
      </c>
      <c r="K1349" s="24" t="n">
        <f aca="false">'DCF Base Case'!$B$2*(1+B1349)^2*$I1349-'DCF Base Case'!$B$2*(1+B1349)^1*B1349*'DCF Base Case'!$B$4</f>
        <v>25.4581852108389</v>
      </c>
      <c r="L1349" s="24" t="n">
        <f aca="false">'DCF Base Case'!$B$2*(1+B1349)^3*$I1349-'DCF Base Case'!$B$2*(1+B1349)^2*B1349*'DCF Base Case'!$B$4</f>
        <v>28.4240571362875</v>
      </c>
      <c r="M1349" s="24" t="n">
        <f aca="false">'DCF Base Case'!$B$2*(1+B1349)^4*$I1349-'DCF Base Case'!$B$2*(1+B1349)^3*B1349*'DCF Base Case'!$B$4</f>
        <v>31.7354523661397</v>
      </c>
      <c r="N1349" s="24" t="n">
        <f aca="false">'DCF Base Case'!$B$2*(1+B1349)^5*$I1349-'DCF Base Case'!$B$2*(1+B1349)^4*B1349*'DCF Base Case'!$B$4</f>
        <v>35.4326242750813</v>
      </c>
      <c r="O1349" s="24" t="n">
        <f aca="false">J1349/(1+H1349)^1+K1349/(1+H1349)^2+L1349/(1+H1349)^3+M1349/(1+H1349)^4+N1349/(1+H1349)^5</f>
        <v>112.04062865897</v>
      </c>
      <c r="P1349" s="24" t="n">
        <f aca="false">N1349*(1+F1349)/(H1349-F1349)</f>
        <v>606.445342067862</v>
      </c>
      <c r="Q1349" s="24" t="n">
        <f aca="false">O1349+P1349/(1+H1349)^5</f>
        <v>519.401333419112</v>
      </c>
      <c r="R1349" s="24" t="n">
        <f aca="false">Q1349-'DCF Base Case'!$B$5</f>
        <v>334.401333419112</v>
      </c>
      <c r="S1349" s="32" t="n">
        <f aca="false">R1349/'DCF Base Case'!$B$6</f>
        <v>13.3760533367645</v>
      </c>
    </row>
    <row r="1350" customFormat="false" ht="15" hidden="false" customHeight="true" outlineLevel="0" collapsed="false">
      <c r="A1350" s="6" t="n">
        <v>1349</v>
      </c>
      <c r="B1350" s="30" t="n">
        <v>0.0997624432922061</v>
      </c>
      <c r="C1350" s="30" t="n">
        <v>0.409845912759451</v>
      </c>
      <c r="D1350" s="30" t="n">
        <v>0.0983650442099014</v>
      </c>
      <c r="E1350" s="30" t="n">
        <v>0.349469866183027</v>
      </c>
      <c r="F1350" s="30" t="n">
        <v>0.0218328926411213</v>
      </c>
      <c r="G1350" s="30" t="n">
        <v>0.167447039118472</v>
      </c>
      <c r="H1350" s="31" t="n">
        <f aca="false">MAX(D1350,F1350+0.015)</f>
        <v>0.0983650442099014</v>
      </c>
      <c r="I1350" s="25" t="n">
        <f aca="false">(C1350-'DCF Base Case'!$B$3)*(1-E1350)+'DCF Base Case'!$B$3-G1350</f>
        <v>0.144601159957067</v>
      </c>
      <c r="J1350" s="24" t="n">
        <f aca="false">'DCF Base Case'!$B$2*(1+B1350)^1*$I1350-'DCF Base Case'!$B$2*(1+B1350)^0*B1350*'DCF Base Case'!$B$4</f>
        <v>22.6249374933832</v>
      </c>
      <c r="K1350" s="24" t="n">
        <f aca="false">'DCF Base Case'!$B$2*(1+B1350)^2*$I1350-'DCF Base Case'!$B$2*(1+B1350)^1*B1350*'DCF Base Case'!$B$4</f>
        <v>24.8820565370565</v>
      </c>
      <c r="L1350" s="24" t="n">
        <f aca="false">'DCF Base Case'!$B$2*(1+B1350)^3*$I1350-'DCF Base Case'!$B$2*(1+B1350)^2*B1350*'DCF Base Case'!$B$4</f>
        <v>27.3643512913281</v>
      </c>
      <c r="M1350" s="24" t="n">
        <f aca="false">'DCF Base Case'!$B$2*(1+B1350)^4*$I1350-'DCF Base Case'!$B$2*(1+B1350)^3*B1350*'DCF Base Case'!$B$4</f>
        <v>30.0942858352572</v>
      </c>
      <c r="N1350" s="24" t="n">
        <f aca="false">'DCF Base Case'!$B$2*(1+B1350)^5*$I1350-'DCF Base Case'!$B$2*(1+B1350)^4*B1350*'DCF Base Case'!$B$4</f>
        <v>33.0965653193165</v>
      </c>
      <c r="O1350" s="24" t="n">
        <f aca="false">J1350/(1+H1350)^1+K1350/(1+H1350)^2+L1350/(1+H1350)^3+M1350/(1+H1350)^4+N1350/(1+H1350)^5</f>
        <v>103.256108827252</v>
      </c>
      <c r="P1350" s="24" t="n">
        <f aca="false">N1350*(1+F1350)/(H1350-F1350)</f>
        <v>441.894790404911</v>
      </c>
      <c r="Q1350" s="24" t="n">
        <f aca="false">O1350+P1350/(1+H1350)^5</f>
        <v>379.686231896705</v>
      </c>
      <c r="R1350" s="24" t="n">
        <f aca="false">Q1350-'DCF Base Case'!$B$5</f>
        <v>194.686231896705</v>
      </c>
      <c r="S1350" s="32" t="n">
        <f aca="false">R1350/'DCF Base Case'!$B$6</f>
        <v>7.78744927586821</v>
      </c>
    </row>
    <row r="1351" customFormat="false" ht="15" hidden="false" customHeight="true" outlineLevel="0" collapsed="false">
      <c r="A1351" s="6" t="n">
        <v>1350</v>
      </c>
      <c r="B1351" s="30" t="n">
        <v>0.0620416892653721</v>
      </c>
      <c r="C1351" s="30" t="n">
        <v>0.3896514316593</v>
      </c>
      <c r="D1351" s="30" t="n">
        <v>0.0826491874265797</v>
      </c>
      <c r="E1351" s="30" t="n">
        <v>0.266543336224103</v>
      </c>
      <c r="F1351" s="30" t="n">
        <v>0.019293953731465</v>
      </c>
      <c r="G1351" s="30" t="n">
        <v>0.204959932065751</v>
      </c>
      <c r="H1351" s="31" t="n">
        <f aca="false">MAX(D1351,F1351+0.015)</f>
        <v>0.0826491874265797</v>
      </c>
      <c r="I1351" s="25" t="n">
        <f aca="false">(C1351-'DCF Base Case'!$B$3)*(1-E1351)+'DCF Base Case'!$B$3-G1351</f>
        <v>0.115483140743714</v>
      </c>
      <c r="J1351" s="24" t="n">
        <f aca="false">'DCF Base Case'!$B$2*(1+B1351)^1*$I1351-'DCF Base Case'!$B$2*(1+B1351)^0*B1351*'DCF Base Case'!$B$4</f>
        <v>17.5140655838788</v>
      </c>
      <c r="K1351" s="24" t="n">
        <f aca="false">'DCF Base Case'!$B$2*(1+B1351)^2*$I1351-'DCF Base Case'!$B$2*(1+B1351)^1*B1351*'DCF Base Case'!$B$4</f>
        <v>18.6006677986072</v>
      </c>
      <c r="L1351" s="24" t="n">
        <f aca="false">'DCF Base Case'!$B$2*(1+B1351)^3*$I1351-'DCF Base Case'!$B$2*(1+B1351)^2*B1351*'DCF Base Case'!$B$4</f>
        <v>19.7546846502968</v>
      </c>
      <c r="M1351" s="24" t="n">
        <f aca="false">'DCF Base Case'!$B$2*(1+B1351)^4*$I1351-'DCF Base Case'!$B$2*(1+B1351)^3*B1351*'DCF Base Case'!$B$4</f>
        <v>20.9802986569059</v>
      </c>
      <c r="N1351" s="24" t="n">
        <f aca="false">'DCF Base Case'!$B$2*(1+B1351)^5*$I1351-'DCF Base Case'!$B$2*(1+B1351)^4*B1351*'DCF Base Case'!$B$4</f>
        <v>22.2819518268723</v>
      </c>
      <c r="O1351" s="24" t="n">
        <f aca="false">J1351/(1+H1351)^1+K1351/(1+H1351)^2+L1351/(1+H1351)^3+M1351/(1+H1351)^4+N1351/(1+H1351)^5</f>
        <v>77.8640923538889</v>
      </c>
      <c r="P1351" s="24" t="n">
        <f aca="false">N1351*(1+F1351)/(H1351-F1351)</f>
        <v>358.48433428189</v>
      </c>
      <c r="Q1351" s="24" t="n">
        <f aca="false">O1351+P1351/(1+H1351)^5</f>
        <v>318.872065542358</v>
      </c>
      <c r="R1351" s="24" t="n">
        <f aca="false">Q1351-'DCF Base Case'!$B$5</f>
        <v>133.872065542358</v>
      </c>
      <c r="S1351" s="32" t="n">
        <f aca="false">R1351/'DCF Base Case'!$B$6</f>
        <v>5.3548826216943</v>
      </c>
    </row>
    <row r="1352" customFormat="false" ht="15" hidden="false" customHeight="true" outlineLevel="0" collapsed="false">
      <c r="A1352" s="6" t="n">
        <v>1351</v>
      </c>
      <c r="B1352" s="30" t="n">
        <v>0.116960018417874</v>
      </c>
      <c r="C1352" s="30" t="n">
        <v>0.420666563632094</v>
      </c>
      <c r="D1352" s="30" t="n">
        <v>0.0717089206086755</v>
      </c>
      <c r="E1352" s="30" t="n">
        <v>0.320059088659647</v>
      </c>
      <c r="F1352" s="30" t="n">
        <v>0.0191693322466654</v>
      </c>
      <c r="G1352" s="30" t="n">
        <v>0.132981326805523</v>
      </c>
      <c r="H1352" s="31" t="n">
        <f aca="false">MAX(D1352,F1352+0.015)</f>
        <v>0.0717089206086755</v>
      </c>
      <c r="I1352" s="25" t="n">
        <f aca="false">(C1352-'DCF Base Case'!$B$3)*(1-E1352)+'DCF Base Case'!$B$3-G1352</f>
        <v>0.194654761366652</v>
      </c>
      <c r="J1352" s="24" t="n">
        <f aca="false">'DCF Base Case'!$B$2*(1+B1352)^1*$I1352-'DCF Base Case'!$B$2*(1+B1352)^0*B1352*'DCF Base Case'!$B$4</f>
        <v>31.0173538668595</v>
      </c>
      <c r="K1352" s="24" t="n">
        <f aca="false">'DCF Base Case'!$B$2*(1+B1352)^2*$I1352-'DCF Base Case'!$B$2*(1+B1352)^1*B1352*'DCF Base Case'!$B$4</f>
        <v>34.6451441464011</v>
      </c>
      <c r="L1352" s="24" t="n">
        <f aca="false">'DCF Base Case'!$B$2*(1+B1352)^3*$I1352-'DCF Base Case'!$B$2*(1+B1352)^2*B1352*'DCF Base Case'!$B$4</f>
        <v>38.697240843854</v>
      </c>
      <c r="M1352" s="24" t="n">
        <f aca="false">'DCF Base Case'!$B$2*(1+B1352)^4*$I1352-'DCF Base Case'!$B$2*(1+B1352)^3*B1352*'DCF Base Case'!$B$4</f>
        <v>43.2232708456721</v>
      </c>
      <c r="N1352" s="24" t="n">
        <f aca="false">'DCF Base Case'!$B$2*(1+B1352)^5*$I1352-'DCF Base Case'!$B$2*(1+B1352)^4*B1352*'DCF Base Case'!$B$4</f>
        <v>48.2786653998627</v>
      </c>
      <c r="O1352" s="24" t="n">
        <f aca="false">J1352/(1+H1352)^1+K1352/(1+H1352)^2+L1352/(1+H1352)^3+M1352/(1+H1352)^4+N1352/(1+H1352)^5</f>
        <v>157.457003719708</v>
      </c>
      <c r="P1352" s="24" t="n">
        <f aca="false">N1352*(1+F1352)/(H1352-F1352)</f>
        <v>936.515429818563</v>
      </c>
      <c r="Q1352" s="24" t="n">
        <f aca="false">O1352+P1352/(1+H1352)^5</f>
        <v>819.872843383759</v>
      </c>
      <c r="R1352" s="24" t="n">
        <f aca="false">Q1352-'DCF Base Case'!$B$5</f>
        <v>634.872843383759</v>
      </c>
      <c r="S1352" s="32" t="n">
        <f aca="false">R1352/'DCF Base Case'!$B$6</f>
        <v>25.3949137353504</v>
      </c>
    </row>
    <row r="1353" customFormat="false" ht="15" hidden="false" customHeight="true" outlineLevel="0" collapsed="false">
      <c r="A1353" s="6" t="n">
        <v>1352</v>
      </c>
      <c r="B1353" s="30" t="n">
        <v>0.105496432412805</v>
      </c>
      <c r="C1353" s="30" t="n">
        <v>0.438729520638079</v>
      </c>
      <c r="D1353" s="30" t="n">
        <v>0.0583150075457186</v>
      </c>
      <c r="E1353" s="30" t="n">
        <v>0.26127368588553</v>
      </c>
      <c r="F1353" s="30" t="n">
        <v>0.0189333261177285</v>
      </c>
      <c r="G1353" s="30" t="n">
        <v>0.182745305830923</v>
      </c>
      <c r="H1353" s="31" t="n">
        <f aca="false">MAX(D1353,F1353+0.015)</f>
        <v>0.0583150075457186</v>
      </c>
      <c r="I1353" s="25" t="n">
        <f aca="false">(C1353-'DCF Base Case'!$B$3)*(1-E1353)+'DCF Base Case'!$B$3-G1353</f>
        <v>0.175321315008372</v>
      </c>
      <c r="J1353" s="24" t="n">
        <f aca="false">'DCF Base Case'!$B$2*(1+B1353)^1*$I1353-'DCF Base Case'!$B$2*(1+B1353)^0*B1353*'DCF Base Case'!$B$4</f>
        <v>27.6445683178175</v>
      </c>
      <c r="K1353" s="24" t="n">
        <f aca="false">'DCF Base Case'!$B$2*(1+B1353)^2*$I1353-'DCF Base Case'!$B$2*(1+B1353)^1*B1353*'DCF Base Case'!$B$4</f>
        <v>30.5609716509393</v>
      </c>
      <c r="L1353" s="24" t="n">
        <f aca="false">'DCF Base Case'!$B$2*(1+B1353)^3*$I1353-'DCF Base Case'!$B$2*(1+B1353)^2*B1353*'DCF Base Case'!$B$4</f>
        <v>33.7850451311823</v>
      </c>
      <c r="M1353" s="24" t="n">
        <f aca="false">'DCF Base Case'!$B$2*(1+B1353)^4*$I1353-'DCF Base Case'!$B$2*(1+B1353)^3*B1353*'DCF Base Case'!$B$4</f>
        <v>37.3492468614276</v>
      </c>
      <c r="N1353" s="24" t="n">
        <f aca="false">'DCF Base Case'!$B$2*(1+B1353)^5*$I1353-'DCF Base Case'!$B$2*(1+B1353)^4*B1353*'DCF Base Case'!$B$4</f>
        <v>41.2894591586133</v>
      </c>
      <c r="O1353" s="24" t="n">
        <f aca="false">J1353/(1+H1353)^1+K1353/(1+H1353)^2+L1353/(1+H1353)^3+M1353/(1+H1353)^4+N1353/(1+H1353)^5</f>
        <v>142.782671484789</v>
      </c>
      <c r="P1353" s="24" t="n">
        <f aca="false">N1353*(1+F1353)/(H1353-F1353)</f>
        <v>1068.29379621629</v>
      </c>
      <c r="Q1353" s="24" t="n">
        <f aca="false">O1353+P1353/(1+H1353)^5</f>
        <v>947.449193055278</v>
      </c>
      <c r="R1353" s="24" t="n">
        <f aca="false">Q1353-'DCF Base Case'!$B$5</f>
        <v>762.449193055278</v>
      </c>
      <c r="S1353" s="32" t="n">
        <f aca="false">R1353/'DCF Base Case'!$B$6</f>
        <v>30.4979677222111</v>
      </c>
    </row>
    <row r="1354" customFormat="false" ht="15" hidden="false" customHeight="true" outlineLevel="0" collapsed="false">
      <c r="A1354" s="6" t="n">
        <v>1353</v>
      </c>
      <c r="B1354" s="30" t="n">
        <v>0.0789240097453274</v>
      </c>
      <c r="C1354" s="30" t="n">
        <v>0.39179835649491</v>
      </c>
      <c r="D1354" s="30" t="n">
        <v>0.0929988617464831</v>
      </c>
      <c r="E1354" s="30" t="n">
        <v>0.267937783676768</v>
      </c>
      <c r="F1354" s="30" t="n">
        <v>0.0212892738894569</v>
      </c>
      <c r="G1354" s="30" t="n">
        <v>0.143080141046159</v>
      </c>
      <c r="H1354" s="31" t="n">
        <f aca="false">MAX(D1354,F1354+0.015)</f>
        <v>0.0929988617464831</v>
      </c>
      <c r="I1354" s="25" t="n">
        <f aca="false">(C1354-'DCF Base Case'!$B$3)*(1-E1354)+'DCF Base Case'!$B$3-G1354</f>
        <v>0.178572544039284</v>
      </c>
      <c r="J1354" s="24" t="n">
        <f aca="false">'DCF Base Case'!$B$2*(1+B1354)^1*$I1354-'DCF Base Case'!$B$2*(1+B1354)^0*B1354*'DCF Base Case'!$B$4</f>
        <v>27.5932803181747</v>
      </c>
      <c r="K1354" s="24" t="n">
        <f aca="false">'DCF Base Case'!$B$2*(1+B1354)^2*$I1354-'DCF Base Case'!$B$2*(1+B1354)^1*B1354*'DCF Base Case'!$B$4</f>
        <v>29.7710526429119</v>
      </c>
      <c r="L1354" s="24" t="n">
        <f aca="false">'DCF Base Case'!$B$2*(1+B1354)^3*$I1354-'DCF Base Case'!$B$2*(1+B1354)^2*B1354*'DCF Base Case'!$B$4</f>
        <v>32.1207034918297</v>
      </c>
      <c r="M1354" s="24" t="n">
        <f aca="false">'DCF Base Case'!$B$2*(1+B1354)^4*$I1354-'DCF Base Case'!$B$2*(1+B1354)^3*B1354*'DCF Base Case'!$B$4</f>
        <v>34.6557982072457</v>
      </c>
      <c r="N1354" s="24" t="n">
        <f aca="false">'DCF Base Case'!$B$2*(1+B1354)^5*$I1354-'DCF Base Case'!$B$2*(1+B1354)^4*B1354*'DCF Base Case'!$B$4</f>
        <v>37.3909727626864</v>
      </c>
      <c r="O1354" s="24" t="n">
        <f aca="false">J1354/(1+H1354)^1+K1354/(1+H1354)^2+L1354/(1+H1354)^3+M1354/(1+H1354)^4+N1354/(1+H1354)^5</f>
        <v>123.018060629094</v>
      </c>
      <c r="P1354" s="24" t="n">
        <f aca="false">N1354*(1+F1354)/(H1354-F1354)</f>
        <v>532.522924256116</v>
      </c>
      <c r="Q1354" s="24" t="n">
        <f aca="false">O1354+P1354/(1+H1354)^5</f>
        <v>464.399385736664</v>
      </c>
      <c r="R1354" s="24" t="n">
        <f aca="false">Q1354-'DCF Base Case'!$B$5</f>
        <v>279.399385736664</v>
      </c>
      <c r="S1354" s="32" t="n">
        <f aca="false">R1354/'DCF Base Case'!$B$6</f>
        <v>11.1759754294666</v>
      </c>
    </row>
    <row r="1355" customFormat="false" ht="15" hidden="false" customHeight="true" outlineLevel="0" collapsed="false">
      <c r="A1355" s="6" t="n">
        <v>1354</v>
      </c>
      <c r="B1355" s="30" t="n">
        <v>0.0609921893832047</v>
      </c>
      <c r="C1355" s="30" t="n">
        <v>0.419627745242986</v>
      </c>
      <c r="D1355" s="30" t="n">
        <v>0.0877777190134894</v>
      </c>
      <c r="E1355" s="30" t="n">
        <v>0.308004285868823</v>
      </c>
      <c r="F1355" s="30" t="n">
        <v>0.0172112823383794</v>
      </c>
      <c r="G1355" s="30" t="n">
        <v>0.149207952700349</v>
      </c>
      <c r="H1355" s="31" t="n">
        <f aca="false">MAX(D1355,F1355+0.015)</f>
        <v>0.0877777190134894</v>
      </c>
      <c r="I1355" s="25" t="n">
        <f aca="false">(C1355-'DCF Base Case'!$B$3)*(1-E1355)+'DCF Base Case'!$B$3-G1355</f>
        <v>0.181213205701274</v>
      </c>
      <c r="J1355" s="24" t="n">
        <f aca="false">'DCF Base Case'!$B$2*(1+B1355)^1*$I1355-'DCF Base Case'!$B$2*(1+B1355)^0*B1355*'DCF Base Case'!$B$4</f>
        <v>27.6132243761939</v>
      </c>
      <c r="K1355" s="24" t="n">
        <f aca="false">'DCF Base Case'!$B$2*(1+B1355)^2*$I1355-'DCF Base Case'!$B$2*(1+B1355)^1*B1355*'DCF Base Case'!$B$4</f>
        <v>29.2974153868276</v>
      </c>
      <c r="L1355" s="24" t="n">
        <f aca="false">'DCF Base Case'!$B$2*(1+B1355)^3*$I1355-'DCF Base Case'!$B$2*(1+B1355)^2*B1355*'DCF Base Case'!$B$4</f>
        <v>31.0843288945394</v>
      </c>
      <c r="M1355" s="24" t="n">
        <f aca="false">'DCF Base Case'!$B$2*(1+B1355)^4*$I1355-'DCF Base Case'!$B$2*(1+B1355)^3*B1355*'DCF Base Case'!$B$4</f>
        <v>32.980230169325</v>
      </c>
      <c r="N1355" s="24" t="n">
        <f aca="false">'DCF Base Case'!$B$2*(1+B1355)^5*$I1355-'DCF Base Case'!$B$2*(1+B1355)^4*B1355*'DCF Base Case'!$B$4</f>
        <v>34.9917666137141</v>
      </c>
      <c r="O1355" s="24" t="n">
        <f aca="false">J1355/(1+H1355)^1+K1355/(1+H1355)^2+L1355/(1+H1355)^3+M1355/(1+H1355)^4+N1355/(1+H1355)^5</f>
        <v>120.826154428895</v>
      </c>
      <c r="P1355" s="24" t="n">
        <f aca="false">N1355*(1+F1355)/(H1355-F1355)</f>
        <v>504.404380687342</v>
      </c>
      <c r="Q1355" s="24" t="n">
        <f aca="false">O1355+P1355/(1+H1355)^5</f>
        <v>452.016795037841</v>
      </c>
      <c r="R1355" s="24" t="n">
        <f aca="false">Q1355-'DCF Base Case'!$B$5</f>
        <v>267.016795037841</v>
      </c>
      <c r="S1355" s="32" t="n">
        <f aca="false">R1355/'DCF Base Case'!$B$6</f>
        <v>10.6806718015137</v>
      </c>
    </row>
    <row r="1356" customFormat="false" ht="15" hidden="false" customHeight="true" outlineLevel="0" collapsed="false">
      <c r="A1356" s="6" t="n">
        <v>1355</v>
      </c>
      <c r="B1356" s="30" t="n">
        <v>0.11916718073421</v>
      </c>
      <c r="C1356" s="30" t="n">
        <v>0.392027461450302</v>
      </c>
      <c r="D1356" s="30" t="n">
        <v>0.0987660678009869</v>
      </c>
      <c r="E1356" s="30" t="n">
        <v>0.319602639940999</v>
      </c>
      <c r="F1356" s="30" t="n">
        <v>0.0224426619779007</v>
      </c>
      <c r="G1356" s="30" t="n">
        <v>0.151355191015207</v>
      </c>
      <c r="H1356" s="31" t="n">
        <f aca="false">MAX(D1356,F1356+0.015)</f>
        <v>0.0987660678009869</v>
      </c>
      <c r="I1356" s="25" t="n">
        <f aca="false">(C1356-'DCF Base Case'!$B$3)*(1-E1356)+'DCF Base Case'!$B$3-G1356</f>
        <v>0.15692760201854</v>
      </c>
      <c r="J1356" s="24" t="n">
        <f aca="false">'DCF Base Case'!$B$2*(1+B1356)^1*$I1356-'DCF Base Case'!$B$2*(1+B1356)^0*B1356*'DCF Base Case'!$B$4</f>
        <v>24.9477149437243</v>
      </c>
      <c r="K1356" s="24" t="n">
        <f aca="false">'DCF Base Case'!$B$2*(1+B1356)^2*$I1356-'DCF Base Case'!$B$2*(1+B1356)^1*B1356*'DCF Base Case'!$B$4</f>
        <v>27.9206637993286</v>
      </c>
      <c r="L1356" s="24" t="n">
        <f aca="false">'DCF Base Case'!$B$2*(1+B1356)^3*$I1356-'DCF Base Case'!$B$2*(1+B1356)^2*B1356*'DCF Base Case'!$B$4</f>
        <v>31.2478905885224</v>
      </c>
      <c r="M1356" s="24" t="n">
        <f aca="false">'DCF Base Case'!$B$2*(1+B1356)^4*$I1356-'DCF Base Case'!$B$2*(1+B1356)^3*B1356*'DCF Base Case'!$B$4</f>
        <v>34.9716136138476</v>
      </c>
      <c r="N1356" s="24" t="n">
        <f aca="false">'DCF Base Case'!$B$2*(1+B1356)^5*$I1356-'DCF Base Case'!$B$2*(1+B1356)^4*B1356*'DCF Base Case'!$B$4</f>
        <v>39.139082213936</v>
      </c>
      <c r="O1356" s="24" t="n">
        <f aca="false">J1356/(1+H1356)^1+K1356/(1+H1356)^2+L1356/(1+H1356)^3+M1356/(1+H1356)^4+N1356/(1+H1356)^5</f>
        <v>117.820800469955</v>
      </c>
      <c r="P1356" s="24" t="n">
        <f aca="false">N1356*(1+F1356)/(H1356-F1356)</f>
        <v>524.31448747121</v>
      </c>
      <c r="Q1356" s="24" t="n">
        <f aca="false">O1356+P1356/(1+H1356)^5</f>
        <v>445.21099111892</v>
      </c>
      <c r="R1356" s="24" t="n">
        <f aca="false">Q1356-'DCF Base Case'!$B$5</f>
        <v>260.21099111892</v>
      </c>
      <c r="S1356" s="32" t="n">
        <f aca="false">R1356/'DCF Base Case'!$B$6</f>
        <v>10.4084396447568</v>
      </c>
    </row>
    <row r="1357" customFormat="false" ht="15" hidden="false" customHeight="true" outlineLevel="0" collapsed="false">
      <c r="A1357" s="6" t="n">
        <v>1356</v>
      </c>
      <c r="B1357" s="30" t="n">
        <v>0.0721792089719334</v>
      </c>
      <c r="C1357" s="30" t="n">
        <v>0.403453876923782</v>
      </c>
      <c r="D1357" s="30" t="n">
        <v>0.0707545635548546</v>
      </c>
      <c r="E1357" s="30" t="n">
        <v>0.259230800076626</v>
      </c>
      <c r="F1357" s="30" t="n">
        <v>0.021663400179024</v>
      </c>
      <c r="G1357" s="30" t="n">
        <v>0.180651070658941</v>
      </c>
      <c r="H1357" s="31" t="n">
        <f aca="false">MAX(D1357,F1357+0.015)</f>
        <v>0.0707545635548546</v>
      </c>
      <c r="I1357" s="25" t="n">
        <f aca="false">(C1357-'DCF Base Case'!$B$3)*(1-E1357)+'DCF Base Case'!$B$3-G1357</f>
        <v>0.151915138965834</v>
      </c>
      <c r="J1357" s="24" t="n">
        <f aca="false">'DCF Base Case'!$B$2*(1+B1357)^1*$I1357-'DCF Base Case'!$B$2*(1+B1357)^0*B1357*'DCF Base Case'!$B$4</f>
        <v>23.3036572024232</v>
      </c>
      <c r="K1357" s="24" t="n">
        <f aca="false">'DCF Base Case'!$B$2*(1+B1357)^2*$I1357-'DCF Base Case'!$B$2*(1+B1357)^1*B1357*'DCF Base Case'!$B$4</f>
        <v>24.9856967454472</v>
      </c>
      <c r="L1357" s="24" t="n">
        <f aca="false">'DCF Base Case'!$B$2*(1+B1357)^3*$I1357-'DCF Base Case'!$B$2*(1+B1357)^2*B1357*'DCF Base Case'!$B$4</f>
        <v>26.7891445721462</v>
      </c>
      <c r="M1357" s="24" t="n">
        <f aca="false">'DCF Base Case'!$B$2*(1+B1357)^4*$I1357-'DCF Base Case'!$B$2*(1+B1357)^3*B1357*'DCF Base Case'!$B$4</f>
        <v>28.7227638363985</v>
      </c>
      <c r="N1357" s="24" t="n">
        <f aca="false">'DCF Base Case'!$B$2*(1+B1357)^5*$I1357-'DCF Base Case'!$B$2*(1+B1357)^4*B1357*'DCF Base Case'!$B$4</f>
        <v>30.7959502095973</v>
      </c>
      <c r="O1357" s="24" t="n">
        <f aca="false">J1357/(1+H1357)^1+K1357/(1+H1357)^2+L1357/(1+H1357)^3+M1357/(1+H1357)^4+N1357/(1+H1357)^5</f>
        <v>109.108809210348</v>
      </c>
      <c r="P1357" s="24" t="n">
        <f aca="false">N1357*(1+F1357)/(H1357-F1357)</f>
        <v>640.911582437087</v>
      </c>
      <c r="Q1357" s="24" t="n">
        <f aca="false">O1357+P1357/(1+H1357)^5</f>
        <v>564.462069013488</v>
      </c>
      <c r="R1357" s="24" t="n">
        <f aca="false">Q1357-'DCF Base Case'!$B$5</f>
        <v>379.462069013488</v>
      </c>
      <c r="S1357" s="32" t="n">
        <f aca="false">R1357/'DCF Base Case'!$B$6</f>
        <v>15.1784827605395</v>
      </c>
    </row>
    <row r="1358" customFormat="false" ht="15" hidden="false" customHeight="true" outlineLevel="0" collapsed="false">
      <c r="A1358" s="6" t="n">
        <v>1357</v>
      </c>
      <c r="B1358" s="30" t="n">
        <v>0.067106901148932</v>
      </c>
      <c r="C1358" s="30" t="n">
        <v>0.420244881623066</v>
      </c>
      <c r="D1358" s="30" t="n">
        <v>0.0899973363631379</v>
      </c>
      <c r="E1358" s="30" t="n">
        <v>0.324528277824466</v>
      </c>
      <c r="F1358" s="30" t="n">
        <v>0.0213878874009422</v>
      </c>
      <c r="G1358" s="30" t="n">
        <v>0.190514887526374</v>
      </c>
      <c r="H1358" s="31" t="n">
        <f aca="false">MAX(D1358,F1358+0.015)</f>
        <v>0.0899973363631379</v>
      </c>
      <c r="I1358" s="25" t="n">
        <f aca="false">(C1358-'DCF Base Case'!$B$3)*(1-E1358)+'DCF Base Case'!$B$3-G1358</f>
        <v>0.135537322516192</v>
      </c>
      <c r="J1358" s="24" t="n">
        <f aca="false">'DCF Base Case'!$B$2*(1+B1358)^1*$I1358-'DCF Base Case'!$B$2*(1+B1358)^0*B1358*'DCF Base Case'!$B$4</f>
        <v>20.6798427519424</v>
      </c>
      <c r="K1358" s="24" t="n">
        <f aca="false">'DCF Base Case'!$B$2*(1+B1358)^2*$I1358-'DCF Base Case'!$B$2*(1+B1358)^1*B1358*'DCF Base Case'!$B$4</f>
        <v>22.0676029152724</v>
      </c>
      <c r="L1358" s="24" t="n">
        <f aca="false">'DCF Base Case'!$B$2*(1+B1358)^3*$I1358-'DCF Base Case'!$B$2*(1+B1358)^2*B1358*'DCF Base Case'!$B$4</f>
        <v>23.5484913627015</v>
      </c>
      <c r="M1358" s="24" t="n">
        <f aca="false">'DCF Base Case'!$B$2*(1+B1358)^4*$I1358-'DCF Base Case'!$B$2*(1+B1358)^3*B1358*'DCF Base Case'!$B$4</f>
        <v>25.1287576447848</v>
      </c>
      <c r="N1358" s="24" t="n">
        <f aca="false">'DCF Base Case'!$B$2*(1+B1358)^5*$I1358-'DCF Base Case'!$B$2*(1+B1358)^4*B1358*'DCF Base Case'!$B$4</f>
        <v>26.8150707000488</v>
      </c>
      <c r="O1358" s="24" t="n">
        <f aca="false">J1358/(1+H1358)^1+K1358/(1+H1358)^2+L1358/(1+H1358)^3+M1358/(1+H1358)^4+N1358/(1+H1358)^5</f>
        <v>90.9604076009463</v>
      </c>
      <c r="P1358" s="24" t="n">
        <f aca="false">N1358*(1+F1358)/(H1358-F1358)</f>
        <v>399.195574765818</v>
      </c>
      <c r="Q1358" s="24" t="n">
        <f aca="false">O1358+P1358/(1+H1358)^5</f>
        <v>350.413311027063</v>
      </c>
      <c r="R1358" s="24" t="n">
        <f aca="false">Q1358-'DCF Base Case'!$B$5</f>
        <v>165.413311027063</v>
      </c>
      <c r="S1358" s="32" t="n">
        <f aca="false">R1358/'DCF Base Case'!$B$6</f>
        <v>6.6165324410825</v>
      </c>
    </row>
    <row r="1359" customFormat="false" ht="15" hidden="false" customHeight="true" outlineLevel="0" collapsed="false">
      <c r="A1359" s="6" t="n">
        <v>1358</v>
      </c>
      <c r="B1359" s="30" t="n">
        <v>0.100209710003414</v>
      </c>
      <c r="C1359" s="30" t="n">
        <v>0.436422270154566</v>
      </c>
      <c r="D1359" s="30" t="n">
        <v>0.0708417112777545</v>
      </c>
      <c r="E1359" s="30" t="n">
        <v>0.276313854401605</v>
      </c>
      <c r="F1359" s="30" t="n">
        <v>0.0192075572832382</v>
      </c>
      <c r="G1359" s="30" t="n">
        <v>0.160185900183499</v>
      </c>
      <c r="H1359" s="31" t="n">
        <f aca="false">MAX(D1359,F1359+0.015)</f>
        <v>0.0708417112777545</v>
      </c>
      <c r="I1359" s="25" t="n">
        <f aca="false">(C1359-'DCF Base Case'!$B$3)*(1-E1359)+'DCF Base Case'!$B$3-G1359</f>
        <v>0.191567651430169</v>
      </c>
      <c r="J1359" s="24" t="n">
        <f aca="false">'DCF Base Case'!$B$2*(1+B1359)^1*$I1359-'DCF Base Case'!$B$2*(1+B1359)^0*B1359*'DCF Base Case'!$B$4</f>
        <v>30.1249533442582</v>
      </c>
      <c r="K1359" s="24" t="n">
        <f aca="false">'DCF Base Case'!$B$2*(1+B1359)^2*$I1359-'DCF Base Case'!$B$2*(1+B1359)^1*B1359*'DCF Base Case'!$B$4</f>
        <v>33.1437661827527</v>
      </c>
      <c r="L1359" s="24" t="n">
        <f aca="false">'DCF Base Case'!$B$2*(1+B1359)^3*$I1359-'DCF Base Case'!$B$2*(1+B1359)^2*B1359*'DCF Base Case'!$B$4</f>
        <v>36.4650933803474</v>
      </c>
      <c r="M1359" s="24" t="n">
        <f aca="false">'DCF Base Case'!$B$2*(1+B1359)^4*$I1359-'DCF Base Case'!$B$2*(1+B1359)^3*B1359*'DCF Base Case'!$B$4</f>
        <v>40.1192498132394</v>
      </c>
      <c r="N1359" s="24" t="n">
        <f aca="false">'DCF Base Case'!$B$2*(1+B1359)^5*$I1359-'DCF Base Case'!$B$2*(1+B1359)^4*B1359*'DCF Base Case'!$B$4</f>
        <v>44.1395882025786</v>
      </c>
      <c r="O1359" s="24" t="n">
        <f aca="false">J1359/(1+H1359)^1+K1359/(1+H1359)^2+L1359/(1+H1359)^3+M1359/(1+H1359)^4+N1359/(1+H1359)^5</f>
        <v>148.589922732458</v>
      </c>
      <c r="P1359" s="24" t="n">
        <f aca="false">N1359*(1+F1359)/(H1359-F1359)</f>
        <v>871.272179190076</v>
      </c>
      <c r="Q1359" s="24" t="n">
        <f aca="false">O1359+P1359/(1+H1359)^5</f>
        <v>767.357358235773</v>
      </c>
      <c r="R1359" s="24" t="n">
        <f aca="false">Q1359-'DCF Base Case'!$B$5</f>
        <v>582.357358235773</v>
      </c>
      <c r="S1359" s="32" t="n">
        <f aca="false">R1359/'DCF Base Case'!$B$6</f>
        <v>23.2942943294309</v>
      </c>
    </row>
    <row r="1360" customFormat="false" ht="15" hidden="false" customHeight="true" outlineLevel="0" collapsed="false">
      <c r="A1360" s="6" t="n">
        <v>1359</v>
      </c>
      <c r="B1360" s="30" t="n">
        <v>0.0994683903858435</v>
      </c>
      <c r="C1360" s="30" t="n">
        <v>0.429884009214698</v>
      </c>
      <c r="D1360" s="30" t="n">
        <v>0.0893148278477826</v>
      </c>
      <c r="E1360" s="30" t="n">
        <v>0.274865352382172</v>
      </c>
      <c r="F1360" s="30" t="n">
        <v>0.0163573430579072</v>
      </c>
      <c r="G1360" s="30" t="n">
        <v>0.191404892404601</v>
      </c>
      <c r="H1360" s="31" t="n">
        <f aca="false">MAX(D1360,F1360+0.015)</f>
        <v>0.0893148278477826</v>
      </c>
      <c r="I1360" s="25" t="n">
        <f aca="false">(C1360-'DCF Base Case'!$B$3)*(1-E1360)+'DCF Base Case'!$B$3-G1360</f>
        <v>0.156051392943521</v>
      </c>
      <c r="J1360" s="24" t="n">
        <f aca="false">'DCF Base Case'!$B$2*(1+B1360)^1*$I1360-'DCF Base Case'!$B$2*(1+B1360)^0*B1360*'DCF Base Case'!$B$4</f>
        <v>24.4454807052984</v>
      </c>
      <c r="K1360" s="24" t="n">
        <f aca="false">'DCF Base Case'!$B$2*(1+B1360)^2*$I1360-'DCF Base Case'!$B$2*(1+B1360)^1*B1360*'DCF Base Case'!$B$4</f>
        <v>26.8770333232626</v>
      </c>
      <c r="L1360" s="24" t="n">
        <f aca="false">'DCF Base Case'!$B$2*(1+B1360)^3*$I1360-'DCF Base Case'!$B$2*(1+B1360)^2*B1360*'DCF Base Case'!$B$4</f>
        <v>29.5504485662742</v>
      </c>
      <c r="M1360" s="24" t="n">
        <f aca="false">'DCF Base Case'!$B$2*(1+B1360)^4*$I1360-'DCF Base Case'!$B$2*(1+B1360)^3*B1360*'DCF Base Case'!$B$4</f>
        <v>32.4897841203412</v>
      </c>
      <c r="N1360" s="24" t="n">
        <f aca="false">'DCF Base Case'!$B$2*(1+B1360)^5*$I1360-'DCF Base Case'!$B$2*(1+B1360)^4*B1360*'DCF Base Case'!$B$4</f>
        <v>35.721490650775</v>
      </c>
      <c r="O1360" s="24" t="n">
        <f aca="false">J1360/(1+H1360)^1+K1360/(1+H1360)^2+L1360/(1+H1360)^3+M1360/(1+H1360)^4+N1360/(1+H1360)^5</f>
        <v>114.317105348548</v>
      </c>
      <c r="P1360" s="24" t="n">
        <f aca="false">N1360*(1+F1360)/(H1360-F1360)</f>
        <v>497.629536331382</v>
      </c>
      <c r="Q1360" s="24" t="n">
        <f aca="false">O1360+P1360/(1+H1360)^5</f>
        <v>438.76060173164</v>
      </c>
      <c r="R1360" s="24" t="n">
        <f aca="false">Q1360-'DCF Base Case'!$B$5</f>
        <v>253.76060173164</v>
      </c>
      <c r="S1360" s="32" t="n">
        <f aca="false">R1360/'DCF Base Case'!$B$6</f>
        <v>10.1504240692656</v>
      </c>
    </row>
    <row r="1361" customFormat="false" ht="15" hidden="false" customHeight="true" outlineLevel="0" collapsed="false">
      <c r="A1361" s="6" t="n">
        <v>1360</v>
      </c>
      <c r="B1361" s="30" t="n">
        <v>0.0973813649035061</v>
      </c>
      <c r="C1361" s="30" t="n">
        <v>0.394879791350488</v>
      </c>
      <c r="D1361" s="30" t="n">
        <v>0.0828694370418542</v>
      </c>
      <c r="E1361" s="30" t="n">
        <v>0.249455654911401</v>
      </c>
      <c r="F1361" s="30" t="n">
        <v>0.0194851927268359</v>
      </c>
      <c r="G1361" s="30" t="n">
        <v>0.161078386200204</v>
      </c>
      <c r="H1361" s="31" t="n">
        <f aca="false">MAX(D1361,F1361+0.015)</f>
        <v>0.0828694370418542</v>
      </c>
      <c r="I1361" s="25" t="n">
        <f aca="false">(C1361-'DCF Base Case'!$B$3)*(1-E1361)+'DCF Base Case'!$B$3-G1361</f>
        <v>0.167725643326153</v>
      </c>
      <c r="J1361" s="24" t="n">
        <f aca="false">'DCF Base Case'!$B$2*(1+B1361)^1*$I1361-'DCF Base Case'!$B$2*(1+B1361)^0*B1361*'DCF Base Case'!$B$4</f>
        <v>26.2649453960427</v>
      </c>
      <c r="K1361" s="24" t="n">
        <f aca="false">'DCF Base Case'!$B$2*(1+B1361)^2*$I1361-'DCF Base Case'!$B$2*(1+B1361)^1*B1361*'DCF Base Case'!$B$4</f>
        <v>28.8226616278254</v>
      </c>
      <c r="L1361" s="24" t="n">
        <f aca="false">'DCF Base Case'!$B$2*(1+B1361)^3*$I1361-'DCF Base Case'!$B$2*(1+B1361)^2*B1361*'DCF Base Case'!$B$4</f>
        <v>31.629451757295</v>
      </c>
      <c r="M1361" s="24" t="n">
        <f aca="false">'DCF Base Case'!$B$2*(1+B1361)^4*$I1361-'DCF Base Case'!$B$2*(1+B1361)^3*B1361*'DCF Base Case'!$B$4</f>
        <v>34.7095709405699</v>
      </c>
      <c r="N1361" s="24" t="n">
        <f aca="false">'DCF Base Case'!$B$2*(1+B1361)^5*$I1361-'DCF Base Case'!$B$2*(1+B1361)^4*B1361*'DCF Base Case'!$B$4</f>
        <v>38.0896363339777</v>
      </c>
      <c r="O1361" s="24" t="n">
        <f aca="false">J1361/(1+H1361)^1+K1361/(1+H1361)^2+L1361/(1+H1361)^3+M1361/(1+H1361)^4+N1361/(1+H1361)^5</f>
        <v>124.569104323805</v>
      </c>
      <c r="P1361" s="24" t="n">
        <f aca="false">N1361*(1+F1361)/(H1361-F1361)</f>
        <v>612.64152722003</v>
      </c>
      <c r="Q1361" s="24" t="n">
        <f aca="false">O1361+P1361/(1+H1361)^5</f>
        <v>536.027520417434</v>
      </c>
      <c r="R1361" s="24" t="n">
        <f aca="false">Q1361-'DCF Base Case'!$B$5</f>
        <v>351.027520417434</v>
      </c>
      <c r="S1361" s="32" t="n">
        <f aca="false">R1361/'DCF Base Case'!$B$6</f>
        <v>14.0411008166973</v>
      </c>
    </row>
    <row r="1362" customFormat="false" ht="15" hidden="false" customHeight="true" outlineLevel="0" collapsed="false">
      <c r="A1362" s="6" t="n">
        <v>1361</v>
      </c>
      <c r="B1362" s="30" t="n">
        <v>0.0776049152037197</v>
      </c>
      <c r="C1362" s="30" t="n">
        <v>0.440030854863046</v>
      </c>
      <c r="D1362" s="30" t="n">
        <v>0.0722823046850368</v>
      </c>
      <c r="E1362" s="30" t="n">
        <v>0.301258623079086</v>
      </c>
      <c r="F1362" s="30" t="n">
        <v>0.0261260907224386</v>
      </c>
      <c r="G1362" s="30" t="n">
        <v>0.190946914263322</v>
      </c>
      <c r="H1362" s="31" t="n">
        <f aca="false">MAX(D1362,F1362+0.015)</f>
        <v>0.0722823046850368</v>
      </c>
      <c r="I1362" s="25" t="n">
        <f aca="false">(C1362-'DCF Base Case'!$B$3)*(1-E1362)+'DCF Base Case'!$B$3-G1362</f>
        <v>0.155684472151651</v>
      </c>
      <c r="J1362" s="24" t="n">
        <f aca="false">'DCF Base Case'!$B$2*(1+B1362)^1*$I1362-'DCF Base Case'!$B$2*(1+B1362)^0*B1362*'DCF Base Case'!$B$4</f>
        <v>23.9885397185336</v>
      </c>
      <c r="K1362" s="24" t="n">
        <f aca="false">'DCF Base Case'!$B$2*(1+B1362)^2*$I1362-'DCF Base Case'!$B$2*(1+B1362)^1*B1362*'DCF Base Case'!$B$4</f>
        <v>25.8501683092514</v>
      </c>
      <c r="L1362" s="24" t="n">
        <f aca="false">'DCF Base Case'!$B$2*(1+B1362)^3*$I1362-'DCF Base Case'!$B$2*(1+B1362)^2*B1362*'DCF Base Case'!$B$4</f>
        <v>27.8562684288928</v>
      </c>
      <c r="M1362" s="24" t="n">
        <f aca="false">'DCF Base Case'!$B$2*(1+B1362)^4*$I1362-'DCF Base Case'!$B$2*(1+B1362)^3*B1362*'DCF Base Case'!$B$4</f>
        <v>30.0180517782091</v>
      </c>
      <c r="N1362" s="24" t="n">
        <f aca="false">'DCF Base Case'!$B$2*(1+B1362)^5*$I1362-'DCF Base Case'!$B$2*(1+B1362)^4*B1362*'DCF Base Case'!$B$4</f>
        <v>32.3476001410378</v>
      </c>
      <c r="O1362" s="24" t="n">
        <f aca="false">J1362/(1+H1362)^1+K1362/(1+H1362)^2+L1362/(1+H1362)^3+M1362/(1+H1362)^4+N1362/(1+H1362)^5</f>
        <v>112.973393313362</v>
      </c>
      <c r="P1362" s="24" t="n">
        <f aca="false">N1362*(1+F1362)/(H1362-F1362)</f>
        <v>719.138630041728</v>
      </c>
      <c r="Q1362" s="24" t="n">
        <f aca="false">O1362+P1362/(1+H1362)^5</f>
        <v>620.275800238002</v>
      </c>
      <c r="R1362" s="24" t="n">
        <f aca="false">Q1362-'DCF Base Case'!$B$5</f>
        <v>435.275800238002</v>
      </c>
      <c r="S1362" s="32" t="n">
        <f aca="false">R1362/'DCF Base Case'!$B$6</f>
        <v>17.4110320095201</v>
      </c>
    </row>
    <row r="1363" customFormat="false" ht="15" hidden="false" customHeight="true" outlineLevel="0" collapsed="false">
      <c r="A1363" s="6" t="n">
        <v>1362</v>
      </c>
      <c r="B1363" s="30" t="n">
        <v>0.0893669895749206</v>
      </c>
      <c r="C1363" s="30" t="n">
        <v>0.389142854308997</v>
      </c>
      <c r="D1363" s="30" t="n">
        <v>0.070017316057571</v>
      </c>
      <c r="E1363" s="30" t="n">
        <v>0.269187295647806</v>
      </c>
      <c r="F1363" s="30" t="n">
        <v>0.0165617984020921</v>
      </c>
      <c r="G1363" s="30" t="n">
        <v>0.150718203409511</v>
      </c>
      <c r="H1363" s="31" t="n">
        <f aca="false">MAX(D1363,F1363+0.015)</f>
        <v>0.070017316057571</v>
      </c>
      <c r="I1363" s="25" t="n">
        <f aca="false">(C1363-'DCF Base Case'!$B$3)*(1-E1363)+'DCF Base Case'!$B$3-G1363</f>
        <v>0.168666686761594</v>
      </c>
      <c r="J1363" s="24" t="n">
        <f aca="false">'DCF Base Case'!$B$2*(1+B1363)^1*$I1363-'DCF Base Case'!$B$2*(1+B1363)^0*B1363*'DCF Base Case'!$B$4</f>
        <v>26.2535421112118</v>
      </c>
      <c r="K1363" s="24" t="n">
        <f aca="false">'DCF Base Case'!$B$2*(1+B1363)^2*$I1363-'DCF Base Case'!$B$2*(1+B1363)^1*B1363*'DCF Base Case'!$B$4</f>
        <v>28.5997421353692</v>
      </c>
      <c r="L1363" s="24" t="n">
        <f aca="false">'DCF Base Case'!$B$2*(1+B1363)^3*$I1363-'DCF Base Case'!$B$2*(1+B1363)^2*B1363*'DCF Base Case'!$B$4</f>
        <v>31.1556149926262</v>
      </c>
      <c r="M1363" s="24" t="n">
        <f aca="false">'DCF Base Case'!$B$2*(1+B1363)^4*$I1363-'DCF Base Case'!$B$2*(1+B1363)^3*B1363*'DCF Base Case'!$B$4</f>
        <v>33.9398985128725</v>
      </c>
      <c r="N1363" s="24" t="n">
        <f aca="false">'DCF Base Case'!$B$2*(1+B1363)^5*$I1363-'DCF Base Case'!$B$2*(1+B1363)^4*B1363*'DCF Base Case'!$B$4</f>
        <v>36.9730050694462</v>
      </c>
      <c r="O1363" s="24" t="n">
        <f aca="false">J1363/(1+H1363)^1+K1363/(1+H1363)^2+L1363/(1+H1363)^3+M1363/(1+H1363)^4+N1363/(1+H1363)^5</f>
        <v>127.195983902708</v>
      </c>
      <c r="P1363" s="24" t="n">
        <f aca="false">N1363*(1+F1363)/(H1363-F1363)</f>
        <v>703.114405662735</v>
      </c>
      <c r="Q1363" s="24" t="n">
        <f aca="false">O1363+P1363/(1+H1363)^5</f>
        <v>628.466275557723</v>
      </c>
      <c r="R1363" s="24" t="n">
        <f aca="false">Q1363-'DCF Base Case'!$B$5</f>
        <v>443.466275557723</v>
      </c>
      <c r="S1363" s="32" t="n">
        <f aca="false">R1363/'DCF Base Case'!$B$6</f>
        <v>17.7386510223089</v>
      </c>
    </row>
    <row r="1364" customFormat="false" ht="15" hidden="false" customHeight="true" outlineLevel="0" collapsed="false">
      <c r="A1364" s="6" t="n">
        <v>1363</v>
      </c>
      <c r="B1364" s="30" t="n">
        <v>0.0831331429681272</v>
      </c>
      <c r="C1364" s="30" t="n">
        <v>0.410010271640899</v>
      </c>
      <c r="D1364" s="30" t="n">
        <v>0.0903373314240983</v>
      </c>
      <c r="E1364" s="30" t="n">
        <v>0.255406842429966</v>
      </c>
      <c r="F1364" s="30" t="n">
        <v>0.0165817870281594</v>
      </c>
      <c r="G1364" s="30" t="n">
        <v>0.161857228997714</v>
      </c>
      <c r="H1364" s="31" t="n">
        <f aca="false">MAX(D1364,F1364+0.015)</f>
        <v>0.0903373314240983</v>
      </c>
      <c r="I1364" s="25" t="n">
        <f aca="false">(C1364-'DCF Base Case'!$B$3)*(1-E1364)+'DCF Base Case'!$B$3-G1364</f>
        <v>0.176636503315426</v>
      </c>
      <c r="J1364" s="24" t="n">
        <f aca="false">'DCF Base Case'!$B$2*(1+B1364)^1*$I1364-'DCF Base Case'!$B$2*(1+B1364)^0*B1364*'DCF Base Case'!$B$4</f>
        <v>27.3798942229346</v>
      </c>
      <c r="K1364" s="24" t="n">
        <f aca="false">'DCF Base Case'!$B$2*(1+B1364)^2*$I1364-'DCF Base Case'!$B$2*(1+B1364)^1*B1364*'DCF Base Case'!$B$4</f>
        <v>29.656070883822</v>
      </c>
      <c r="L1364" s="24" t="n">
        <f aca="false">'DCF Base Case'!$B$2*(1+B1364)^3*$I1364-'DCF Base Case'!$B$2*(1+B1364)^2*B1364*'DCF Base Case'!$B$4</f>
        <v>32.1214732644797</v>
      </c>
      <c r="M1364" s="24" t="n">
        <f aca="false">'DCF Base Case'!$B$2*(1+B1364)^4*$I1364-'DCF Base Case'!$B$2*(1+B1364)^3*B1364*'DCF Base Case'!$B$4</f>
        <v>34.7918322937225</v>
      </c>
      <c r="N1364" s="24" t="n">
        <f aca="false">'DCF Base Case'!$B$2*(1+B1364)^5*$I1364-'DCF Base Case'!$B$2*(1+B1364)^4*B1364*'DCF Base Case'!$B$4</f>
        <v>37.6841866619197</v>
      </c>
      <c r="O1364" s="24" t="n">
        <f aca="false">J1364/(1+H1364)^1+K1364/(1+H1364)^2+L1364/(1+H1364)^3+M1364/(1+H1364)^4+N1364/(1+H1364)^5</f>
        <v>123.908728489176</v>
      </c>
      <c r="P1364" s="24" t="n">
        <f aca="false">N1364*(1+F1364)/(H1364-F1364)</f>
        <v>519.405803770142</v>
      </c>
      <c r="Q1364" s="24" t="n">
        <f aca="false">O1364+P1364/(1+H1364)^5</f>
        <v>460.964981562854</v>
      </c>
      <c r="R1364" s="24" t="n">
        <f aca="false">Q1364-'DCF Base Case'!$B$5</f>
        <v>275.964981562854</v>
      </c>
      <c r="S1364" s="32" t="n">
        <f aca="false">R1364/'DCF Base Case'!$B$6</f>
        <v>11.0385992625142</v>
      </c>
    </row>
    <row r="1365" customFormat="false" ht="15" hidden="false" customHeight="true" outlineLevel="0" collapsed="false">
      <c r="A1365" s="6" t="n">
        <v>1364</v>
      </c>
      <c r="B1365" s="30" t="n">
        <v>0.0859622978106303</v>
      </c>
      <c r="C1365" s="30" t="n">
        <v>0.445959684689572</v>
      </c>
      <c r="D1365" s="30" t="n">
        <v>0.0875547125199624</v>
      </c>
      <c r="E1365" s="30" t="n">
        <v>0.25082950003322</v>
      </c>
      <c r="F1365" s="30" t="n">
        <v>0.0208403958073643</v>
      </c>
      <c r="G1365" s="30" t="n">
        <v>0.1780966428672</v>
      </c>
      <c r="H1365" s="31" t="n">
        <f aca="false">MAX(D1365,F1365+0.015)</f>
        <v>0.0875547125199624</v>
      </c>
      <c r="I1365" s="25" t="n">
        <f aca="false">(C1365-'DCF Base Case'!$B$3)*(1-E1365)+'DCF Base Case'!$B$3-G1365</f>
        <v>0.188611032081033</v>
      </c>
      <c r="J1365" s="24" t="n">
        <f aca="false">'DCF Base Case'!$B$2*(1+B1365)^1*$I1365-'DCF Base Case'!$B$2*(1+B1365)^0*B1365*'DCF Base Case'!$B$4</f>
        <v>29.3256121242409</v>
      </c>
      <c r="K1365" s="24" t="n">
        <f aca="false">'DCF Base Case'!$B$2*(1+B1365)^2*$I1365-'DCF Base Case'!$B$2*(1+B1365)^1*B1365*'DCF Base Case'!$B$4</f>
        <v>31.846509127144</v>
      </c>
      <c r="L1365" s="24" t="n">
        <f aca="false">'DCF Base Case'!$B$2*(1+B1365)^3*$I1365-'DCF Base Case'!$B$2*(1+B1365)^2*B1365*'DCF Base Case'!$B$4</f>
        <v>34.5841082289605</v>
      </c>
      <c r="M1365" s="24" t="n">
        <f aca="false">'DCF Base Case'!$B$2*(1+B1365)^4*$I1365-'DCF Base Case'!$B$2*(1+B1365)^3*B1365*'DCF Base Case'!$B$4</f>
        <v>37.5570376400534</v>
      </c>
      <c r="N1365" s="24" t="n">
        <f aca="false">'DCF Base Case'!$B$2*(1+B1365)^5*$I1365-'DCF Base Case'!$B$2*(1+B1365)^4*B1365*'DCF Base Case'!$B$4</f>
        <v>40.7855268945527</v>
      </c>
      <c r="O1365" s="24" t="n">
        <f aca="false">J1365/(1+H1365)^1+K1365/(1+H1365)^2+L1365/(1+H1365)^3+M1365/(1+H1365)^4+N1365/(1+H1365)^5</f>
        <v>134.429373505924</v>
      </c>
      <c r="P1365" s="24" t="n">
        <f aca="false">N1365*(1+F1365)/(H1365-F1365)</f>
        <v>624.086634921419</v>
      </c>
      <c r="Q1365" s="24" t="n">
        <f aca="false">O1365+P1365/(1+H1365)^5</f>
        <v>544.623378770975</v>
      </c>
      <c r="R1365" s="24" t="n">
        <f aca="false">Q1365-'DCF Base Case'!$B$5</f>
        <v>359.623378770975</v>
      </c>
      <c r="S1365" s="32" t="n">
        <f aca="false">R1365/'DCF Base Case'!$B$6</f>
        <v>14.384935150839</v>
      </c>
    </row>
    <row r="1366" customFormat="false" ht="15" hidden="false" customHeight="true" outlineLevel="0" collapsed="false">
      <c r="A1366" s="6" t="n">
        <v>1365</v>
      </c>
      <c r="B1366" s="30" t="n">
        <v>0.0874452893958546</v>
      </c>
      <c r="C1366" s="30" t="n">
        <v>0.386710883065222</v>
      </c>
      <c r="D1366" s="30" t="n">
        <v>0.104338601648448</v>
      </c>
      <c r="E1366" s="30" t="n">
        <v>0.257695726072614</v>
      </c>
      <c r="F1366" s="30" t="n">
        <v>0.0217218280899827</v>
      </c>
      <c r="G1366" s="30" t="n">
        <v>0.169757356858573</v>
      </c>
      <c r="H1366" s="31" t="n">
        <f aca="false">MAX(D1366,F1366+0.015)</f>
        <v>0.104338601648448</v>
      </c>
      <c r="I1366" s="25" t="n">
        <f aca="false">(C1366-'DCF Base Case'!$B$3)*(1-E1366)+'DCF Base Case'!$B$3-G1366</f>
        <v>0.150800228804415</v>
      </c>
      <c r="J1366" s="24" t="n">
        <f aca="false">'DCF Base Case'!$B$2*(1+B1366)^1*$I1366-'DCF Base Case'!$B$2*(1+B1366)^0*B1366*'DCF Base Case'!$B$4</f>
        <v>23.3977277668388</v>
      </c>
      <c r="K1366" s="24" t="n">
        <f aca="false">'DCF Base Case'!$B$2*(1+B1366)^2*$I1366-'DCF Base Case'!$B$2*(1+B1366)^1*B1366*'DCF Base Case'!$B$4</f>
        <v>25.4437488426155</v>
      </c>
      <c r="L1366" s="24" t="n">
        <f aca="false">'DCF Base Case'!$B$2*(1+B1366)^3*$I1366-'DCF Base Case'!$B$2*(1+B1366)^2*B1366*'DCF Base Case'!$B$4</f>
        <v>27.6686848234734</v>
      </c>
      <c r="M1366" s="24" t="n">
        <f aca="false">'DCF Base Case'!$B$2*(1+B1366)^4*$I1366-'DCF Base Case'!$B$2*(1+B1366)^3*B1366*'DCF Base Case'!$B$4</f>
        <v>30.0881809750647</v>
      </c>
      <c r="N1366" s="24" t="n">
        <f aca="false">'DCF Base Case'!$B$2*(1+B1366)^5*$I1366-'DCF Base Case'!$B$2*(1+B1366)^4*B1366*'DCF Base Case'!$B$4</f>
        <v>32.7192506678241</v>
      </c>
      <c r="O1366" s="24" t="n">
        <f aca="false">J1366/(1+H1366)^1+K1366/(1+H1366)^2+L1366/(1+H1366)^3+M1366/(1+H1366)^4+N1366/(1+H1366)^5</f>
        <v>102.743642906965</v>
      </c>
      <c r="P1366" s="24" t="n">
        <f aca="false">N1366*(1+F1366)/(H1366-F1366)</f>
        <v>404.639048054888</v>
      </c>
      <c r="Q1366" s="24" t="n">
        <f aca="false">O1366+P1366/(1+H1366)^5</f>
        <v>349.09588845751</v>
      </c>
      <c r="R1366" s="24" t="n">
        <f aca="false">Q1366-'DCF Base Case'!$B$5</f>
        <v>164.09588845751</v>
      </c>
      <c r="S1366" s="32" t="n">
        <f aca="false">R1366/'DCF Base Case'!$B$6</f>
        <v>6.56383553830038</v>
      </c>
    </row>
    <row r="1367" customFormat="false" ht="15" hidden="false" customHeight="true" outlineLevel="0" collapsed="false">
      <c r="A1367" s="6" t="n">
        <v>1366</v>
      </c>
      <c r="B1367" s="30" t="n">
        <v>0.102987631218202</v>
      </c>
      <c r="C1367" s="30" t="n">
        <v>0.448132171195148</v>
      </c>
      <c r="D1367" s="30" t="n">
        <v>0.0911780275935514</v>
      </c>
      <c r="E1367" s="30" t="n">
        <v>0.266054392276625</v>
      </c>
      <c r="F1367" s="30" t="n">
        <v>0.0233005479814667</v>
      </c>
      <c r="G1367" s="30" t="n">
        <v>0.152495399696291</v>
      </c>
      <c r="H1367" s="31" t="n">
        <f aca="false">MAX(D1367,F1367+0.015)</f>
        <v>0.0911780275935514</v>
      </c>
      <c r="I1367" s="25" t="n">
        <f aca="false">(C1367-'DCF Base Case'!$B$3)*(1-E1367)+'DCF Base Case'!$B$3-G1367</f>
        <v>0.210996310027889</v>
      </c>
      <c r="J1367" s="24" t="n">
        <f aca="false">'DCF Base Case'!$B$2*(1+B1367)^1*$I1367-'DCF Base Case'!$B$2*(1+B1367)^0*B1367*'DCF Base Case'!$B$4</f>
        <v>33.29732023225</v>
      </c>
      <c r="K1367" s="24" t="n">
        <f aca="false">'DCF Base Case'!$B$2*(1+B1367)^2*$I1367-'DCF Base Case'!$B$2*(1+B1367)^1*B1367*'DCF Base Case'!$B$4</f>
        <v>36.7265323688833</v>
      </c>
      <c r="L1367" s="24" t="n">
        <f aca="false">'DCF Base Case'!$B$2*(1+B1367)^3*$I1367-'DCF Base Case'!$B$2*(1+B1367)^2*B1367*'DCF Base Case'!$B$4</f>
        <v>40.5089109404132</v>
      </c>
      <c r="M1367" s="24" t="n">
        <f aca="false">'DCF Base Case'!$B$2*(1+B1367)^4*$I1367-'DCF Base Case'!$B$2*(1+B1367)^3*B1367*'DCF Base Case'!$B$4</f>
        <v>44.6808277213955</v>
      </c>
      <c r="N1367" s="24" t="n">
        <f aca="false">'DCF Base Case'!$B$2*(1+B1367)^5*$I1367-'DCF Base Case'!$B$2*(1+B1367)^4*B1367*'DCF Base Case'!$B$4</f>
        <v>49.2824003292906</v>
      </c>
      <c r="O1367" s="24" t="n">
        <f aca="false">J1367/(1+H1367)^1+K1367/(1+H1367)^2+L1367/(1+H1367)^3+M1367/(1+H1367)^4+N1367/(1+H1367)^5</f>
        <v>155.913621371553</v>
      </c>
      <c r="P1367" s="24" t="n">
        <f aca="false">N1367*(1+F1367)/(H1367-F1367)</f>
        <v>742.966703404623</v>
      </c>
      <c r="Q1367" s="24" t="n">
        <f aca="false">O1367+P1367/(1+H1367)^5</f>
        <v>636.190068908379</v>
      </c>
      <c r="R1367" s="24" t="n">
        <f aca="false">Q1367-'DCF Base Case'!$B$5</f>
        <v>451.190068908379</v>
      </c>
      <c r="S1367" s="32" t="n">
        <f aca="false">R1367/'DCF Base Case'!$B$6</f>
        <v>18.0476027563352</v>
      </c>
    </row>
    <row r="1368" customFormat="false" ht="15" hidden="false" customHeight="true" outlineLevel="0" collapsed="false">
      <c r="A1368" s="6" t="n">
        <v>1367</v>
      </c>
      <c r="B1368" s="30" t="n">
        <v>0.0933609846393542</v>
      </c>
      <c r="C1368" s="30" t="n">
        <v>0.387302720511447</v>
      </c>
      <c r="D1368" s="30" t="n">
        <v>0.0736339064992957</v>
      </c>
      <c r="E1368" s="30" t="n">
        <v>0.281100535846432</v>
      </c>
      <c r="F1368" s="30" t="n">
        <v>0.0206605509619065</v>
      </c>
      <c r="G1368" s="30" t="n">
        <v>0.13331782014721</v>
      </c>
      <c r="H1368" s="31" t="n">
        <f aca="false">MAX(D1368,F1368+0.015)</f>
        <v>0.0736339064992957</v>
      </c>
      <c r="I1368" s="25" t="n">
        <f aca="false">(C1368-'DCF Base Case'!$B$3)*(1-E1368)+'DCF Base Case'!$B$3-G1368</f>
        <v>0.181656967753724</v>
      </c>
      <c r="J1368" s="24" t="n">
        <f aca="false">'DCF Base Case'!$B$2*(1+B1368)^1*$I1368-'DCF Base Case'!$B$2*(1+B1368)^0*B1368*'DCF Base Case'!$B$4</f>
        <v>28.3932926806415</v>
      </c>
      <c r="K1368" s="24" t="n">
        <f aca="false">'DCF Base Case'!$B$2*(1+B1368)^2*$I1368-'DCF Base Case'!$B$2*(1+B1368)^1*B1368*'DCF Base Case'!$B$4</f>
        <v>31.0441184424595</v>
      </c>
      <c r="L1368" s="24" t="n">
        <f aca="false">'DCF Base Case'!$B$2*(1+B1368)^3*$I1368-'DCF Base Case'!$B$2*(1+B1368)^2*B1368*'DCF Base Case'!$B$4</f>
        <v>33.9424279075083</v>
      </c>
      <c r="M1368" s="24" t="n">
        <f aca="false">'DCF Base Case'!$B$2*(1+B1368)^4*$I1368-'DCF Base Case'!$B$2*(1+B1368)^3*B1368*'DCF Base Case'!$B$4</f>
        <v>37.1113263980036</v>
      </c>
      <c r="N1368" s="24" t="n">
        <f aca="false">'DCF Base Case'!$B$2*(1+B1368)^5*$I1368-'DCF Base Case'!$B$2*(1+B1368)^4*B1368*'DCF Base Case'!$B$4</f>
        <v>40.5760763717937</v>
      </c>
      <c r="O1368" s="24" t="n">
        <f aca="false">J1368/(1+H1368)^1+K1368/(1+H1368)^2+L1368/(1+H1368)^3+M1368/(1+H1368)^4+N1368/(1+H1368)^5</f>
        <v>137.179183848496</v>
      </c>
      <c r="P1368" s="24" t="n">
        <f aca="false">N1368*(1+F1368)/(H1368-F1368)</f>
        <v>781.796811725029</v>
      </c>
      <c r="Q1368" s="24" t="n">
        <f aca="false">O1368+P1368/(1+H1368)^5</f>
        <v>685.219871235369</v>
      </c>
      <c r="R1368" s="24" t="n">
        <f aca="false">Q1368-'DCF Base Case'!$B$5</f>
        <v>500.219871235369</v>
      </c>
      <c r="S1368" s="32" t="n">
        <f aca="false">R1368/'DCF Base Case'!$B$6</f>
        <v>20.0087948494148</v>
      </c>
    </row>
    <row r="1369" customFormat="false" ht="15" hidden="false" customHeight="true" outlineLevel="0" collapsed="false">
      <c r="A1369" s="6" t="n">
        <v>1368</v>
      </c>
      <c r="B1369" s="30" t="n">
        <v>0.100662155042844</v>
      </c>
      <c r="C1369" s="30" t="n">
        <v>0.400723959307638</v>
      </c>
      <c r="D1369" s="30" t="n">
        <v>0.0990765681723828</v>
      </c>
      <c r="E1369" s="30" t="n">
        <v>0.270552416336149</v>
      </c>
      <c r="F1369" s="30" t="n">
        <v>0.0147804460200542</v>
      </c>
      <c r="G1369" s="30" t="n">
        <v>0.166908345575753</v>
      </c>
      <c r="H1369" s="31" t="n">
        <f aca="false">MAX(D1369,F1369+0.015)</f>
        <v>0.0990765681723828</v>
      </c>
      <c r="I1369" s="25" t="n">
        <f aca="false">(C1369-'DCF Base Case'!$B$3)*(1-E1369)+'DCF Base Case'!$B$3-G1369</f>
        <v>0.160570592381114</v>
      </c>
      <c r="J1369" s="24" t="n">
        <f aca="false">'DCF Base Case'!$B$2*(1+B1369)^1*$I1369-'DCF Base Case'!$B$2*(1+B1369)^0*B1369*'DCF Base Case'!$B$4</f>
        <v>25.1885458913356</v>
      </c>
      <c r="K1369" s="24" t="n">
        <f aca="false">'DCF Base Case'!$B$2*(1+B1369)^2*$I1369-'DCF Base Case'!$B$2*(1+B1369)^1*B1369*'DCF Base Case'!$B$4</f>
        <v>27.724079203153</v>
      </c>
      <c r="L1369" s="24" t="n">
        <f aca="false">'DCF Base Case'!$B$2*(1+B1369)^3*$I1369-'DCF Base Case'!$B$2*(1+B1369)^2*B1369*'DCF Base Case'!$B$4</f>
        <v>30.5148447623209</v>
      </c>
      <c r="M1369" s="24" t="n">
        <f aca="false">'DCF Base Case'!$B$2*(1+B1369)^4*$I1369-'DCF Base Case'!$B$2*(1+B1369)^3*B1369*'DCF Base Case'!$B$4</f>
        <v>33.5865347968939</v>
      </c>
      <c r="N1369" s="24" t="n">
        <f aca="false">'DCF Base Case'!$B$2*(1+B1369)^5*$I1369-'DCF Base Case'!$B$2*(1+B1369)^4*B1369*'DCF Base Case'!$B$4</f>
        <v>36.9674277699708</v>
      </c>
      <c r="O1369" s="24" t="n">
        <f aca="false">J1369/(1+H1369)^1+K1369/(1+H1369)^2+L1369/(1+H1369)^3+M1369/(1+H1369)^4+N1369/(1+H1369)^5</f>
        <v>114.920689983522</v>
      </c>
      <c r="P1369" s="24" t="n">
        <f aca="false">N1369*(1+F1369)/(H1369-F1369)</f>
        <v>445.024301032913</v>
      </c>
      <c r="Q1369" s="24" t="n">
        <f aca="false">O1369+P1369/(1+H1369)^5</f>
        <v>392.408546223762</v>
      </c>
      <c r="R1369" s="24" t="n">
        <f aca="false">Q1369-'DCF Base Case'!$B$5</f>
        <v>207.408546223762</v>
      </c>
      <c r="S1369" s="32" t="n">
        <f aca="false">R1369/'DCF Base Case'!$B$6</f>
        <v>8.29634184895047</v>
      </c>
    </row>
    <row r="1370" customFormat="false" ht="15" hidden="false" customHeight="true" outlineLevel="0" collapsed="false">
      <c r="A1370" s="6" t="n">
        <v>1369</v>
      </c>
      <c r="B1370" s="30" t="n">
        <v>0.0699809794402044</v>
      </c>
      <c r="C1370" s="30" t="n">
        <v>0.432236953133909</v>
      </c>
      <c r="D1370" s="30" t="n">
        <v>0.0850058322828641</v>
      </c>
      <c r="E1370" s="30" t="n">
        <v>0.275523412267019</v>
      </c>
      <c r="F1370" s="30" t="n">
        <v>0.021470473521621</v>
      </c>
      <c r="G1370" s="30" t="n">
        <v>0.145096699372547</v>
      </c>
      <c r="H1370" s="31" t="n">
        <f aca="false">MAX(D1370,F1370+0.015)</f>
        <v>0.0850058322828641</v>
      </c>
      <c r="I1370" s="25" t="n">
        <f aca="false">(C1370-'DCF Base Case'!$B$3)*(1-E1370)+'DCF Base Case'!$B$3-G1370</f>
        <v>0.20386689712072</v>
      </c>
      <c r="J1370" s="24" t="n">
        <f aca="false">'DCF Base Case'!$B$2*(1+B1370)^1*$I1370-'DCF Base Case'!$B$2*(1+B1370)^0*B1370*'DCF Base Case'!$B$4</f>
        <v>31.3249695666514</v>
      </c>
      <c r="K1370" s="24" t="n">
        <f aca="false">'DCF Base Case'!$B$2*(1+B1370)^2*$I1370-'DCF Base Case'!$B$2*(1+B1370)^1*B1370*'DCF Base Case'!$B$4</f>
        <v>33.5171216178602</v>
      </c>
      <c r="L1370" s="24" t="n">
        <f aca="false">'DCF Base Case'!$B$2*(1+B1370)^3*$I1370-'DCF Base Case'!$B$2*(1+B1370)^2*B1370*'DCF Base Case'!$B$4</f>
        <v>35.8626826166945</v>
      </c>
      <c r="M1370" s="24" t="n">
        <f aca="false">'DCF Base Case'!$B$2*(1+B1370)^4*$I1370-'DCF Base Case'!$B$2*(1+B1370)^3*B1370*'DCF Base Case'!$B$4</f>
        <v>38.372388271564</v>
      </c>
      <c r="N1370" s="24" t="n">
        <f aca="false">'DCF Base Case'!$B$2*(1+B1370)^5*$I1370-'DCF Base Case'!$B$2*(1+B1370)^4*B1370*'DCF Base Case'!$B$4</f>
        <v>41.0577255862679</v>
      </c>
      <c r="O1370" s="24" t="n">
        <f aca="false">J1370/(1+H1370)^1+K1370/(1+H1370)^2+L1370/(1+H1370)^3+M1370/(1+H1370)^4+N1370/(1+H1370)^5</f>
        <v>140.410958342598</v>
      </c>
      <c r="P1370" s="24" t="n">
        <f aca="false">N1370*(1+F1370)/(H1370-F1370)</f>
        <v>660.093138907543</v>
      </c>
      <c r="Q1370" s="24" t="n">
        <f aca="false">O1370+P1370/(1+H1370)^5</f>
        <v>579.391080774436</v>
      </c>
      <c r="R1370" s="24" t="n">
        <f aca="false">Q1370-'DCF Base Case'!$B$5</f>
        <v>394.391080774436</v>
      </c>
      <c r="S1370" s="32" t="n">
        <f aca="false">R1370/'DCF Base Case'!$B$6</f>
        <v>15.7756432309774</v>
      </c>
    </row>
    <row r="1371" customFormat="false" ht="15" hidden="false" customHeight="true" outlineLevel="0" collapsed="false">
      <c r="A1371" s="6" t="n">
        <v>1370</v>
      </c>
      <c r="B1371" s="30" t="n">
        <v>0.0622117465099678</v>
      </c>
      <c r="C1371" s="30" t="n">
        <v>0.41325158849997</v>
      </c>
      <c r="D1371" s="30" t="n">
        <v>0.0729036222119031</v>
      </c>
      <c r="E1371" s="30" t="n">
        <v>0.257276008441567</v>
      </c>
      <c r="F1371" s="30" t="n">
        <v>0.0223590722950177</v>
      </c>
      <c r="G1371" s="30" t="n">
        <v>0.17758990835052</v>
      </c>
      <c r="H1371" s="31" t="n">
        <f aca="false">MAX(D1371,F1371+0.015)</f>
        <v>0.0729036222119031</v>
      </c>
      <c r="I1371" s="25" t="n">
        <f aca="false">(C1371-'DCF Base Case'!$B$3)*(1-E1371)+'DCF Base Case'!$B$3-G1371</f>
        <v>0.162787842075444</v>
      </c>
      <c r="J1371" s="24" t="n">
        <f aca="false">'DCF Base Case'!$B$2*(1+B1371)^1*$I1371-'DCF Base Case'!$B$2*(1+B1371)^0*B1371*'DCF Base Case'!$B$4</f>
        <v>24.8020768187059</v>
      </c>
      <c r="K1371" s="24" t="n">
        <f aca="false">'DCF Base Case'!$B$2*(1+B1371)^2*$I1371-'DCF Base Case'!$B$2*(1+B1371)^1*B1371*'DCF Base Case'!$B$4</f>
        <v>26.345057334672</v>
      </c>
      <c r="L1371" s="24" t="n">
        <f aca="false">'DCF Base Case'!$B$2*(1+B1371)^3*$I1371-'DCF Base Case'!$B$2*(1+B1371)^2*B1371*'DCF Base Case'!$B$4</f>
        <v>27.9840293633672</v>
      </c>
      <c r="M1371" s="24" t="n">
        <f aca="false">'DCF Base Case'!$B$2*(1+B1371)^4*$I1371-'DCF Base Case'!$B$2*(1+B1371)^3*B1371*'DCF Base Case'!$B$4</f>
        <v>29.7249647044485</v>
      </c>
      <c r="N1371" s="24" t="n">
        <f aca="false">'DCF Base Case'!$B$2*(1+B1371)^5*$I1371-'DCF Base Case'!$B$2*(1+B1371)^4*B1371*'DCF Base Case'!$B$4</f>
        <v>31.5742066736594</v>
      </c>
      <c r="O1371" s="24" t="n">
        <f aca="false">J1371/(1+H1371)^1+K1371/(1+H1371)^2+L1371/(1+H1371)^3+M1371/(1+H1371)^4+N1371/(1+H1371)^5</f>
        <v>113.303070561942</v>
      </c>
      <c r="P1371" s="24" t="n">
        <f aca="false">N1371*(1+F1371)/(H1371-F1371)</f>
        <v>638.648018360328</v>
      </c>
      <c r="Q1371" s="24" t="n">
        <f aca="false">O1371+P1371/(1+H1371)^5</f>
        <v>562.521961622814</v>
      </c>
      <c r="R1371" s="24" t="n">
        <f aca="false">Q1371-'DCF Base Case'!$B$5</f>
        <v>377.521961622814</v>
      </c>
      <c r="S1371" s="32" t="n">
        <f aca="false">R1371/'DCF Base Case'!$B$6</f>
        <v>15.1008784649126</v>
      </c>
    </row>
    <row r="1372" customFormat="false" ht="15" hidden="false" customHeight="true" outlineLevel="0" collapsed="false">
      <c r="A1372" s="6" t="n">
        <v>1371</v>
      </c>
      <c r="B1372" s="30" t="n">
        <v>0.0629076389457665</v>
      </c>
      <c r="C1372" s="30" t="n">
        <v>0.39041169527756</v>
      </c>
      <c r="D1372" s="30" t="n">
        <v>0.0750589528845905</v>
      </c>
      <c r="E1372" s="30" t="n">
        <v>0.330644961745688</v>
      </c>
      <c r="F1372" s="30" t="n">
        <v>0.0226062741069197</v>
      </c>
      <c r="G1372" s="30" t="n">
        <v>0.156711534477223</v>
      </c>
      <c r="H1372" s="31" t="n">
        <f aca="false">MAX(D1372,F1372+0.015)</f>
        <v>0.0750589528845905</v>
      </c>
      <c r="I1372" s="25" t="n">
        <f aca="false">(C1372-'DCF Base Case'!$B$3)*(1-E1372)+'DCF Base Case'!$B$3-G1372</f>
        <v>0.147596345777158</v>
      </c>
      <c r="J1372" s="24" t="n">
        <f aca="false">'DCF Base Case'!$B$2*(1+B1372)^1*$I1372-'DCF Base Case'!$B$2*(1+B1372)^0*B1372*'DCF Base Case'!$B$4</f>
        <v>22.4741378646042</v>
      </c>
      <c r="K1372" s="24" t="n">
        <f aca="false">'DCF Base Case'!$B$2*(1+B1372)^2*$I1372-'DCF Base Case'!$B$2*(1+B1372)^1*B1372*'DCF Base Case'!$B$4</f>
        <v>23.8879328150081</v>
      </c>
      <c r="L1372" s="24" t="n">
        <f aca="false">'DCF Base Case'!$B$2*(1+B1372)^3*$I1372-'DCF Base Case'!$B$2*(1+B1372)^2*B1372*'DCF Base Case'!$B$4</f>
        <v>25.3906662676953</v>
      </c>
      <c r="M1372" s="24" t="n">
        <f aca="false">'DCF Base Case'!$B$2*(1+B1372)^4*$I1372-'DCF Base Case'!$B$2*(1+B1372)^3*B1372*'DCF Base Case'!$B$4</f>
        <v>26.987933133856</v>
      </c>
      <c r="N1372" s="24" t="n">
        <f aca="false">'DCF Base Case'!$B$2*(1+B1372)^5*$I1372-'DCF Base Case'!$B$2*(1+B1372)^4*B1372*'DCF Base Case'!$B$4</f>
        <v>28.685680287333</v>
      </c>
      <c r="O1372" s="24" t="n">
        <f aca="false">J1372/(1+H1372)^1+K1372/(1+H1372)^2+L1372/(1+H1372)^3+M1372/(1+H1372)^4+N1372/(1+H1372)^5</f>
        <v>102.18881821208</v>
      </c>
      <c r="P1372" s="24" t="n">
        <f aca="false">N1372*(1+F1372)/(H1372-F1372)</f>
        <v>559.249924359241</v>
      </c>
      <c r="Q1372" s="24" t="n">
        <f aca="false">O1372+P1372/(1+H1372)^5</f>
        <v>491.63238373622</v>
      </c>
      <c r="R1372" s="24" t="n">
        <f aca="false">Q1372-'DCF Base Case'!$B$5</f>
        <v>306.63238373622</v>
      </c>
      <c r="S1372" s="32" t="n">
        <f aca="false">R1372/'DCF Base Case'!$B$6</f>
        <v>12.2652953494488</v>
      </c>
    </row>
    <row r="1373" customFormat="false" ht="15" hidden="false" customHeight="true" outlineLevel="0" collapsed="false">
      <c r="A1373" s="6" t="n">
        <v>1372</v>
      </c>
      <c r="B1373" s="30" t="n">
        <v>0.102433938375404</v>
      </c>
      <c r="C1373" s="30" t="n">
        <v>0.389249992582894</v>
      </c>
      <c r="D1373" s="30" t="n">
        <v>0.0776008923369156</v>
      </c>
      <c r="E1373" s="30" t="n">
        <v>0.282645732701355</v>
      </c>
      <c r="F1373" s="30" t="n">
        <v>0.0209632868711124</v>
      </c>
      <c r="G1373" s="30" t="n">
        <v>0.163141274885155</v>
      </c>
      <c r="H1373" s="31" t="n">
        <f aca="false">MAX(D1373,F1373+0.015)</f>
        <v>0.0776008923369156</v>
      </c>
      <c r="I1373" s="25" t="n">
        <f aca="false">(C1373-'DCF Base Case'!$B$3)*(1-E1373)+'DCF Base Case'!$B$3-G1373</f>
        <v>0.152832813591326</v>
      </c>
      <c r="J1373" s="24" t="n">
        <f aca="false">'DCF Base Case'!$B$2*(1+B1373)^1*$I1373-'DCF Base Case'!$B$2*(1+B1373)^0*B1373*'DCF Base Case'!$B$4</f>
        <v>23.9851840551365</v>
      </c>
      <c r="K1373" s="24" t="n">
        <f aca="false">'DCF Base Case'!$B$2*(1+B1373)^2*$I1373-'DCF Base Case'!$B$2*(1+B1373)^1*B1373*'DCF Base Case'!$B$4</f>
        <v>26.4420809205631</v>
      </c>
      <c r="L1373" s="24" t="n">
        <f aca="false">'DCF Base Case'!$B$2*(1+B1373)^3*$I1373-'DCF Base Case'!$B$2*(1+B1373)^2*B1373*'DCF Base Case'!$B$4</f>
        <v>29.1506474080975</v>
      </c>
      <c r="M1373" s="24" t="n">
        <f aca="false">'DCF Base Case'!$B$2*(1+B1373)^4*$I1373-'DCF Base Case'!$B$2*(1+B1373)^3*B1373*'DCF Base Case'!$B$4</f>
        <v>32.1366630283017</v>
      </c>
      <c r="N1373" s="24" t="n">
        <f aca="false">'DCF Base Case'!$B$2*(1+B1373)^5*$I1373-'DCF Base Case'!$B$2*(1+B1373)^4*B1373*'DCF Base Case'!$B$4</f>
        <v>35.4285479885339</v>
      </c>
      <c r="O1373" s="24" t="n">
        <f aca="false">J1373/(1+H1373)^1+K1373/(1+H1373)^2+L1373/(1+H1373)^3+M1373/(1+H1373)^4+N1373/(1+H1373)^5</f>
        <v>116.538597746852</v>
      </c>
      <c r="P1373" s="24" t="n">
        <f aca="false">N1373*(1+F1373)/(H1373-F1373)</f>
        <v>638.643645082843</v>
      </c>
      <c r="Q1373" s="24" t="n">
        <f aca="false">O1373+P1373/(1+H1373)^5</f>
        <v>556.048721661521</v>
      </c>
      <c r="R1373" s="24" t="n">
        <f aca="false">Q1373-'DCF Base Case'!$B$5</f>
        <v>371.048721661521</v>
      </c>
      <c r="S1373" s="32" t="n">
        <f aca="false">R1373/'DCF Base Case'!$B$6</f>
        <v>14.8419488664608</v>
      </c>
    </row>
    <row r="1374" customFormat="false" ht="15" hidden="false" customHeight="true" outlineLevel="0" collapsed="false">
      <c r="A1374" s="6" t="n">
        <v>1373</v>
      </c>
      <c r="B1374" s="30" t="n">
        <v>0.0951635206196302</v>
      </c>
      <c r="C1374" s="30" t="n">
        <v>0.418153222056551</v>
      </c>
      <c r="D1374" s="30" t="n">
        <v>0.0832006485777545</v>
      </c>
      <c r="E1374" s="30" t="n">
        <v>0.271879826811187</v>
      </c>
      <c r="F1374" s="30" t="n">
        <v>0.0176562098637044</v>
      </c>
      <c r="G1374" s="30" t="n">
        <v>0.170504953245014</v>
      </c>
      <c r="H1374" s="31" t="n">
        <f aca="false">MAX(D1374,F1374+0.015)</f>
        <v>0.0832006485777545</v>
      </c>
      <c r="I1374" s="25" t="n">
        <f aca="false">(C1374-'DCF Base Case'!$B$3)*(1-E1374)+'DCF Base Case'!$B$3-G1374</f>
        <v>0.169305220703716</v>
      </c>
      <c r="J1374" s="24" t="n">
        <f aca="false">'DCF Base Case'!$B$2*(1+B1374)^1*$I1374-'DCF Base Case'!$B$2*(1+B1374)^0*B1374*'DCF Base Case'!$B$4</f>
        <v>26.4714894122536</v>
      </c>
      <c r="K1374" s="24" t="n">
        <f aca="false">'DCF Base Case'!$B$2*(1+B1374)^2*$I1374-'DCF Base Case'!$B$2*(1+B1374)^1*B1374*'DCF Base Case'!$B$4</f>
        <v>28.9906095407689</v>
      </c>
      <c r="L1374" s="24" t="n">
        <f aca="false">'DCF Base Case'!$B$2*(1+B1374)^3*$I1374-'DCF Base Case'!$B$2*(1+B1374)^2*B1374*'DCF Base Case'!$B$4</f>
        <v>31.7494580095775</v>
      </c>
      <c r="M1374" s="24" t="n">
        <f aca="false">'DCF Base Case'!$B$2*(1+B1374)^4*$I1374-'DCF Base Case'!$B$2*(1+B1374)^3*B1374*'DCF Base Case'!$B$4</f>
        <v>34.770848211534</v>
      </c>
      <c r="N1374" s="24" t="n">
        <f aca="false">'DCF Base Case'!$B$2*(1+B1374)^5*$I1374-'DCF Base Case'!$B$2*(1+B1374)^4*B1374*'DCF Base Case'!$B$4</f>
        <v>38.0797645422744</v>
      </c>
      <c r="O1374" s="24" t="n">
        <f aca="false">J1374/(1+H1374)^1+K1374/(1+H1374)^2+L1374/(1+H1374)^3+M1374/(1+H1374)^4+N1374/(1+H1374)^5</f>
        <v>124.920000270864</v>
      </c>
      <c r="P1374" s="24" t="n">
        <f aca="false">N1374*(1+F1374)/(H1374-F1374)</f>
        <v>591.234124769251</v>
      </c>
      <c r="Q1374" s="24" t="n">
        <f aca="false">O1374+P1374/(1+H1374)^5</f>
        <v>521.394204187017</v>
      </c>
      <c r="R1374" s="24" t="n">
        <f aca="false">Q1374-'DCF Base Case'!$B$5</f>
        <v>336.394204187017</v>
      </c>
      <c r="S1374" s="32" t="n">
        <f aca="false">R1374/'DCF Base Case'!$B$6</f>
        <v>13.4557681674807</v>
      </c>
    </row>
    <row r="1375" customFormat="false" ht="15" hidden="false" customHeight="true" outlineLevel="0" collapsed="false">
      <c r="A1375" s="6" t="n">
        <v>1374</v>
      </c>
      <c r="B1375" s="30" t="n">
        <v>0.098732344344939</v>
      </c>
      <c r="C1375" s="30" t="n">
        <v>0.421484977683013</v>
      </c>
      <c r="D1375" s="30" t="n">
        <v>0.0720354324499884</v>
      </c>
      <c r="E1375" s="30" t="n">
        <v>0.258697930570209</v>
      </c>
      <c r="F1375" s="30" t="n">
        <v>0.0207709616652299</v>
      </c>
      <c r="G1375" s="30" t="n">
        <v>0.199425079282849</v>
      </c>
      <c r="H1375" s="31" t="n">
        <f aca="false">MAX(D1375,F1375+0.015)</f>
        <v>0.0720354324499884</v>
      </c>
      <c r="I1375" s="25" t="n">
        <f aca="false">(C1375-'DCF Base Case'!$B$3)*(1-E1375)+'DCF Base Case'!$B$3-G1375</f>
        <v>0.146653337881265</v>
      </c>
      <c r="J1375" s="24" t="n">
        <f aca="false">'DCF Base Case'!$B$2*(1+B1375)^1*$I1375-'DCF Base Case'!$B$2*(1+B1375)^0*B1375*'DCF Base Case'!$B$4</f>
        <v>22.934765333862</v>
      </c>
      <c r="K1375" s="24" t="n">
        <f aca="false">'DCF Base Case'!$B$2*(1+B1375)^2*$I1375-'DCF Base Case'!$B$2*(1+B1375)^1*B1375*'DCF Base Case'!$B$4</f>
        <v>25.1991684822752</v>
      </c>
      <c r="L1375" s="24" t="n">
        <f aca="false">'DCF Base Case'!$B$2*(1+B1375)^3*$I1375-'DCF Base Case'!$B$2*(1+B1375)^2*B1375*'DCF Base Case'!$B$4</f>
        <v>27.6871414620733</v>
      </c>
      <c r="M1375" s="24" t="n">
        <f aca="false">'DCF Base Case'!$B$2*(1+B1375)^4*$I1375-'DCF Base Case'!$B$2*(1+B1375)^3*B1375*'DCF Base Case'!$B$4</f>
        <v>30.4207578468338</v>
      </c>
      <c r="N1375" s="24" t="n">
        <f aca="false">'DCF Base Case'!$B$2*(1+B1375)^5*$I1375-'DCF Base Case'!$B$2*(1+B1375)^4*B1375*'DCF Base Case'!$B$4</f>
        <v>33.4242705858014</v>
      </c>
      <c r="O1375" s="24" t="n">
        <f aca="false">J1375/(1+H1375)^1+K1375/(1+H1375)^2+L1375/(1+H1375)^3+M1375/(1+H1375)^4+N1375/(1+H1375)^5</f>
        <v>112.430319558703</v>
      </c>
      <c r="P1375" s="24" t="n">
        <f aca="false">N1375*(1+F1375)/(H1375-F1375)</f>
        <v>665.539394175725</v>
      </c>
      <c r="Q1375" s="24" t="n">
        <f aca="false">O1375+P1375/(1+H1375)^5</f>
        <v>582.463015037474</v>
      </c>
      <c r="R1375" s="24" t="n">
        <f aca="false">Q1375-'DCF Base Case'!$B$5</f>
        <v>397.463015037474</v>
      </c>
      <c r="S1375" s="32" t="n">
        <f aca="false">R1375/'DCF Base Case'!$B$6</f>
        <v>15.898520601499</v>
      </c>
    </row>
    <row r="1376" customFormat="false" ht="15" hidden="false" customHeight="true" outlineLevel="0" collapsed="false">
      <c r="A1376" s="6" t="n">
        <v>1375</v>
      </c>
      <c r="B1376" s="30" t="n">
        <v>0.0931262530037567</v>
      </c>
      <c r="C1376" s="30" t="n">
        <v>0.407106502047645</v>
      </c>
      <c r="D1376" s="30" t="n">
        <v>0.0874677450098705</v>
      </c>
      <c r="E1376" s="30" t="n">
        <v>0.256768250968448</v>
      </c>
      <c r="F1376" s="30" t="n">
        <v>0.023963747686941</v>
      </c>
      <c r="G1376" s="30" t="n">
        <v>0.169443728634681</v>
      </c>
      <c r="H1376" s="31" t="n">
        <f aca="false">MAX(D1376,F1376+0.015)</f>
        <v>0.0874677450098705</v>
      </c>
      <c r="I1376" s="25" t="n">
        <f aca="false">(C1376-'DCF Base Case'!$B$3)*(1-E1376)+'DCF Base Case'!$B$3-G1376</f>
        <v>0.166510621550206</v>
      </c>
      <c r="J1376" s="24" t="n">
        <f aca="false">'DCF Base Case'!$B$2*(1+B1376)^1*$I1376-'DCF Base Case'!$B$2*(1+B1376)^0*B1376*'DCF Base Case'!$B$4</f>
        <v>25.9873849134066</v>
      </c>
      <c r="K1376" s="24" t="n">
        <f aca="false">'DCF Base Case'!$B$2*(1+B1376)^2*$I1376-'DCF Base Case'!$B$2*(1+B1376)^1*B1376*'DCF Base Case'!$B$4</f>
        <v>28.4074926957585</v>
      </c>
      <c r="L1376" s="24" t="n">
        <f aca="false">'DCF Base Case'!$B$2*(1+B1376)^3*$I1376-'DCF Base Case'!$B$2*(1+B1376)^2*B1376*'DCF Base Case'!$B$4</f>
        <v>31.052976047746</v>
      </c>
      <c r="M1376" s="24" t="n">
        <f aca="false">'DCF Base Case'!$B$2*(1+B1376)^4*$I1376-'DCF Base Case'!$B$2*(1+B1376)^3*B1376*'DCF Base Case'!$B$4</f>
        <v>33.944823351688</v>
      </c>
      <c r="N1376" s="24" t="n">
        <f aca="false">'DCF Base Case'!$B$2*(1+B1376)^5*$I1376-'DCF Base Case'!$B$2*(1+B1376)^4*B1376*'DCF Base Case'!$B$4</f>
        <v>37.1059775593052</v>
      </c>
      <c r="O1376" s="24" t="n">
        <f aca="false">J1376/(1+H1376)^1+K1376/(1+H1376)^2+L1376/(1+H1376)^3+M1376/(1+H1376)^4+N1376/(1+H1376)^5</f>
        <v>120.735720235818</v>
      </c>
      <c r="P1376" s="24" t="n">
        <f aca="false">N1376*(1+F1376)/(H1376-F1376)</f>
        <v>598.311562184049</v>
      </c>
      <c r="Q1376" s="24" t="n">
        <f aca="false">O1376+P1376/(1+H1376)^5</f>
        <v>514.145791568533</v>
      </c>
      <c r="R1376" s="24" t="n">
        <f aca="false">Q1376-'DCF Base Case'!$B$5</f>
        <v>329.145791568533</v>
      </c>
      <c r="S1376" s="32" t="n">
        <f aca="false">R1376/'DCF Base Case'!$B$6</f>
        <v>13.1658316627413</v>
      </c>
    </row>
    <row r="1377" customFormat="false" ht="15" hidden="false" customHeight="true" outlineLevel="0" collapsed="false">
      <c r="A1377" s="6" t="n">
        <v>1376</v>
      </c>
      <c r="B1377" s="30" t="n">
        <v>0.0754684319400403</v>
      </c>
      <c r="C1377" s="30" t="n">
        <v>0.405698765731446</v>
      </c>
      <c r="D1377" s="30" t="n">
        <v>0.0792026014473002</v>
      </c>
      <c r="E1377" s="30" t="n">
        <v>0.319362180568211</v>
      </c>
      <c r="F1377" s="30" t="n">
        <v>0.0185718312193772</v>
      </c>
      <c r="G1377" s="30" t="n">
        <v>0.168720384551141</v>
      </c>
      <c r="H1377" s="31" t="n">
        <f aca="false">MAX(D1377,F1377+0.015)</f>
        <v>0.0792026014473002</v>
      </c>
      <c r="I1377" s="25" t="n">
        <f aca="false">(C1377-'DCF Base Case'!$B$3)*(1-E1377)+'DCF Base Case'!$B$3-G1377</f>
        <v>0.148930622176346</v>
      </c>
      <c r="J1377" s="24" t="n">
        <f aca="false">'DCF Base Case'!$B$2*(1+B1377)^1*$I1377-'DCF Base Case'!$B$2*(1+B1377)^0*B1377*'DCF Base Case'!$B$4</f>
        <v>22.896388812539</v>
      </c>
      <c r="K1377" s="24" t="n">
        <f aca="false">'DCF Base Case'!$B$2*(1+B1377)^2*$I1377-'DCF Base Case'!$B$2*(1+B1377)^1*B1377*'DCF Base Case'!$B$4</f>
        <v>24.6243433733108</v>
      </c>
      <c r="L1377" s="24" t="n">
        <f aca="false">'DCF Base Case'!$B$2*(1+B1377)^3*$I1377-'DCF Base Case'!$B$2*(1+B1377)^2*B1377*'DCF Base Case'!$B$4</f>
        <v>26.4827039552477</v>
      </c>
      <c r="M1377" s="24" t="n">
        <f aca="false">'DCF Base Case'!$B$2*(1+B1377)^4*$I1377-'DCF Base Case'!$B$2*(1+B1377)^3*B1377*'DCF Base Case'!$B$4</f>
        <v>28.4813120962825</v>
      </c>
      <c r="N1377" s="24" t="n">
        <f aca="false">'DCF Base Case'!$B$2*(1+B1377)^5*$I1377-'DCF Base Case'!$B$2*(1+B1377)^4*B1377*'DCF Base Case'!$B$4</f>
        <v>30.6307520597839</v>
      </c>
      <c r="O1377" s="24" t="n">
        <f aca="false">J1377/(1+H1377)^1+K1377/(1+H1377)^2+L1377/(1+H1377)^3+M1377/(1+H1377)^4+N1377/(1+H1377)^5</f>
        <v>105.348558377172</v>
      </c>
      <c r="P1377" s="24" t="n">
        <f aca="false">N1377*(1+F1377)/(H1377-F1377)</f>
        <v>514.58394969873</v>
      </c>
      <c r="Q1377" s="24" t="n">
        <f aca="false">O1377+P1377/(1+H1377)^5</f>
        <v>456.86149945483</v>
      </c>
      <c r="R1377" s="24" t="n">
        <f aca="false">Q1377-'DCF Base Case'!$B$5</f>
        <v>271.86149945483</v>
      </c>
      <c r="S1377" s="32" t="n">
        <f aca="false">R1377/'DCF Base Case'!$B$6</f>
        <v>10.8744599781932</v>
      </c>
    </row>
    <row r="1378" customFormat="false" ht="15" hidden="false" customHeight="true" outlineLevel="0" collapsed="false">
      <c r="A1378" s="6" t="n">
        <v>1377</v>
      </c>
      <c r="B1378" s="30" t="n">
        <v>0.102378432974003</v>
      </c>
      <c r="C1378" s="30" t="n">
        <v>0.40319499383033</v>
      </c>
      <c r="D1378" s="30" t="n">
        <v>0.0871308041274867</v>
      </c>
      <c r="E1378" s="30" t="n">
        <v>0.287713869427172</v>
      </c>
      <c r="F1378" s="30" t="n">
        <v>0.0132426056551571</v>
      </c>
      <c r="G1378" s="30" t="n">
        <v>0.170994813701066</v>
      </c>
      <c r="H1378" s="31" t="n">
        <f aca="false">MAX(D1378,F1378+0.015)</f>
        <v>0.0871308041274867</v>
      </c>
      <c r="I1378" s="25" t="n">
        <f aca="false">(C1378-'DCF Base Case'!$B$3)*(1-E1378)+'DCF Base Case'!$B$3-G1378</f>
        <v>0.153598191346207</v>
      </c>
      <c r="J1378" s="24" t="n">
        <f aca="false">'DCF Base Case'!$B$2*(1+B1378)^1*$I1378-'DCF Base Case'!$B$2*(1+B1378)^0*B1378*'DCF Base Case'!$B$4</f>
        <v>24.1065371717247</v>
      </c>
      <c r="K1378" s="24" t="n">
        <f aca="false">'DCF Base Case'!$B$2*(1+B1378)^2*$I1378-'DCF Base Case'!$B$2*(1+B1378)^1*B1378*'DCF Base Case'!$B$4</f>
        <v>26.5745266717954</v>
      </c>
      <c r="L1378" s="24" t="n">
        <f aca="false">'DCF Base Case'!$B$2*(1+B1378)^3*$I1378-'DCF Base Case'!$B$2*(1+B1378)^2*B1378*'DCF Base Case'!$B$4</f>
        <v>29.2951850694797</v>
      </c>
      <c r="M1378" s="24" t="n">
        <f aca="false">'DCF Base Case'!$B$2*(1+B1378)^4*$I1378-'DCF Base Case'!$B$2*(1+B1378)^3*B1378*'DCF Base Case'!$B$4</f>
        <v>32.2943802105764</v>
      </c>
      <c r="N1378" s="24" t="n">
        <f aca="false">'DCF Base Case'!$B$2*(1+B1378)^5*$I1378-'DCF Base Case'!$B$2*(1+B1378)^4*B1378*'DCF Base Case'!$B$4</f>
        <v>35.6006282504019</v>
      </c>
      <c r="O1378" s="24" t="n">
        <f aca="false">J1378/(1+H1378)^1+K1378/(1+H1378)^2+L1378/(1+H1378)^3+M1378/(1+H1378)^4+N1378/(1+H1378)^5</f>
        <v>114.026315516422</v>
      </c>
      <c r="P1378" s="24" t="n">
        <f aca="false">N1378*(1+F1378)/(H1378-F1378)</f>
        <v>488.198035372407</v>
      </c>
      <c r="Q1378" s="24" t="n">
        <f aca="false">O1378+P1378/(1+H1378)^5</f>
        <v>435.53078781498</v>
      </c>
      <c r="R1378" s="24" t="n">
        <f aca="false">Q1378-'DCF Base Case'!$B$5</f>
        <v>250.53078781498</v>
      </c>
      <c r="S1378" s="32" t="n">
        <f aca="false">R1378/'DCF Base Case'!$B$6</f>
        <v>10.0212315125992</v>
      </c>
    </row>
    <row r="1379" customFormat="false" ht="15" hidden="false" customHeight="true" outlineLevel="0" collapsed="false">
      <c r="A1379" s="6" t="n">
        <v>1378</v>
      </c>
      <c r="B1379" s="30" t="n">
        <v>0.0890790152434292</v>
      </c>
      <c r="C1379" s="30" t="n">
        <v>0.417031642748882</v>
      </c>
      <c r="D1379" s="30" t="n">
        <v>0.0853919268483962</v>
      </c>
      <c r="E1379" s="30" t="n">
        <v>0.287248540523944</v>
      </c>
      <c r="F1379" s="30" t="n">
        <v>0.0240524813379793</v>
      </c>
      <c r="G1379" s="30" t="n">
        <v>0.14182641459289</v>
      </c>
      <c r="H1379" s="31" t="n">
        <f aca="false">MAX(D1379,F1379+0.015)</f>
        <v>0.0853919268483962</v>
      </c>
      <c r="I1379" s="25" t="n">
        <f aca="false">(C1379-'DCF Base Case'!$B$3)*(1-E1379)+'DCF Base Case'!$B$3-G1379</f>
        <v>0.192755807692186</v>
      </c>
      <c r="J1379" s="24" t="n">
        <f aca="false">'DCF Base Case'!$B$2*(1+B1379)^1*$I1379-'DCF Base Case'!$B$2*(1+B1379)^0*B1379*'DCF Base Case'!$B$4</f>
        <v>30.0518205411504</v>
      </c>
      <c r="K1379" s="24" t="n">
        <f aca="false">'DCF Base Case'!$B$2*(1+B1379)^2*$I1379-'DCF Base Case'!$B$2*(1+B1379)^1*B1379*'DCF Base Case'!$B$4</f>
        <v>32.7288071212283</v>
      </c>
      <c r="L1379" s="24" t="n">
        <f aca="false">'DCF Base Case'!$B$2*(1+B1379)^3*$I1379-'DCF Base Case'!$B$2*(1+B1379)^2*B1379*'DCF Base Case'!$B$4</f>
        <v>35.6442570296795</v>
      </c>
      <c r="M1379" s="24" t="n">
        <f aca="false">'DCF Base Case'!$B$2*(1+B1379)^4*$I1379-'DCF Base Case'!$B$2*(1+B1379)^3*B1379*'DCF Base Case'!$B$4</f>
        <v>38.819412344967</v>
      </c>
      <c r="N1379" s="24" t="n">
        <f aca="false">'DCF Base Case'!$B$2*(1+B1379)^5*$I1379-'DCF Base Case'!$B$2*(1+B1379)^4*B1379*'DCF Base Case'!$B$4</f>
        <v>42.2774073689853</v>
      </c>
      <c r="O1379" s="24" t="n">
        <f aca="false">J1379/(1+H1379)^1+K1379/(1+H1379)^2+L1379/(1+H1379)^3+M1379/(1+H1379)^4+N1379/(1+H1379)^5</f>
        <v>139.381394328353</v>
      </c>
      <c r="P1379" s="24" t="n">
        <f aca="false">N1379*(1+F1379)/(H1379-F1379)</f>
        <v>705.814725915537</v>
      </c>
      <c r="Q1379" s="24" t="n">
        <f aca="false">O1379+P1379/(1+H1379)^5</f>
        <v>607.933377356607</v>
      </c>
      <c r="R1379" s="24" t="n">
        <f aca="false">Q1379-'DCF Base Case'!$B$5</f>
        <v>422.933377356607</v>
      </c>
      <c r="S1379" s="32" t="n">
        <f aca="false">R1379/'DCF Base Case'!$B$6</f>
        <v>16.9173350942643</v>
      </c>
    </row>
    <row r="1380" customFormat="false" ht="15" hidden="false" customHeight="true" outlineLevel="0" collapsed="false">
      <c r="A1380" s="6" t="n">
        <v>1379</v>
      </c>
      <c r="B1380" s="30" t="n">
        <v>0.0827854021105273</v>
      </c>
      <c r="C1380" s="30" t="n">
        <v>0.424963775339794</v>
      </c>
      <c r="D1380" s="30" t="n">
        <v>0.090290184545007</v>
      </c>
      <c r="E1380" s="30" t="n">
        <v>0.293454287011511</v>
      </c>
      <c r="F1380" s="30" t="n">
        <v>0.0268780310692784</v>
      </c>
      <c r="G1380" s="30" t="n">
        <v>0.179783370033846</v>
      </c>
      <c r="H1380" s="31" t="n">
        <f aca="false">MAX(D1380,F1380+0.015)</f>
        <v>0.090290184545007</v>
      </c>
      <c r="I1380" s="25" t="n">
        <f aca="false">(C1380-'DCF Base Case'!$B$3)*(1-E1380)+'DCF Base Case'!$B$3-G1380</f>
        <v>0.158622020919385</v>
      </c>
      <c r="J1380" s="24" t="n">
        <f aca="false">'DCF Base Case'!$B$2*(1+B1380)^1*$I1380-'DCF Base Case'!$B$2*(1+B1380)^0*B1380*'DCF Base Case'!$B$4</f>
        <v>24.5441567630125</v>
      </c>
      <c r="K1380" s="24" t="n">
        <f aca="false">'DCF Base Case'!$B$2*(1+B1380)^2*$I1380-'DCF Base Case'!$B$2*(1+B1380)^1*B1380*'DCF Base Case'!$B$4</f>
        <v>26.5760546501023</v>
      </c>
      <c r="L1380" s="24" t="n">
        <f aca="false">'DCF Base Case'!$B$2*(1+B1380)^3*$I1380-'DCF Base Case'!$B$2*(1+B1380)^2*B1380*'DCF Base Case'!$B$4</f>
        <v>28.7761640208223</v>
      </c>
      <c r="M1380" s="24" t="n">
        <f aca="false">'DCF Base Case'!$B$2*(1+B1380)^4*$I1380-'DCF Base Case'!$B$2*(1+B1380)^3*B1380*'DCF Base Case'!$B$4</f>
        <v>31.1584103304846</v>
      </c>
      <c r="N1380" s="24" t="n">
        <f aca="false">'DCF Base Case'!$B$2*(1+B1380)^5*$I1380-'DCF Base Case'!$B$2*(1+B1380)^4*B1380*'DCF Base Case'!$B$4</f>
        <v>33.7378718588185</v>
      </c>
      <c r="O1380" s="24" t="n">
        <f aca="false">J1380/(1+H1380)^1+K1380/(1+H1380)^2+L1380/(1+H1380)^3+M1380/(1+H1380)^4+N1380/(1+H1380)^5</f>
        <v>111.019001418555</v>
      </c>
      <c r="P1380" s="24" t="n">
        <f aca="false">N1380*(1+F1380)/(H1380-F1380)</f>
        <v>546.341316733734</v>
      </c>
      <c r="Q1380" s="24" t="n">
        <f aca="false">O1380+P1380/(1+H1380)^5</f>
        <v>465.631087529358</v>
      </c>
      <c r="R1380" s="24" t="n">
        <f aca="false">Q1380-'DCF Base Case'!$B$5</f>
        <v>280.631087529358</v>
      </c>
      <c r="S1380" s="32" t="n">
        <f aca="false">R1380/'DCF Base Case'!$B$6</f>
        <v>11.2252435011743</v>
      </c>
    </row>
    <row r="1381" customFormat="false" ht="15" hidden="false" customHeight="true" outlineLevel="0" collapsed="false">
      <c r="A1381" s="6" t="n">
        <v>1380</v>
      </c>
      <c r="B1381" s="30" t="n">
        <v>0.114599149935546</v>
      </c>
      <c r="C1381" s="30" t="n">
        <v>0.417082728279909</v>
      </c>
      <c r="D1381" s="30" t="n">
        <v>0.0740779638871299</v>
      </c>
      <c r="E1381" s="30" t="n">
        <v>0.271442605768477</v>
      </c>
      <c r="F1381" s="30" t="n">
        <v>0.0219080755110839</v>
      </c>
      <c r="G1381" s="30" t="n">
        <v>0.174696542289002</v>
      </c>
      <c r="H1381" s="31" t="n">
        <f aca="false">MAX(D1381,F1381+0.015)</f>
        <v>0.0740779638871299</v>
      </c>
      <c r="I1381" s="25" t="n">
        <f aca="false">(C1381-'DCF Base Case'!$B$3)*(1-E1381)+'DCF Base Case'!$B$3-G1381</f>
        <v>0.164459702155485</v>
      </c>
      <c r="J1381" s="24" t="n">
        <f aca="false">'DCF Base Case'!$B$2*(1+B1381)^1*$I1381-'DCF Base Case'!$B$2*(1+B1381)^0*B1381*'DCF Base Case'!$B$4</f>
        <v>26.0809571098481</v>
      </c>
      <c r="K1381" s="24" t="n">
        <f aca="false">'DCF Base Case'!$B$2*(1+B1381)^2*$I1381-'DCF Base Case'!$B$2*(1+B1381)^1*B1381*'DCF Base Case'!$B$4</f>
        <v>29.0698126241421</v>
      </c>
      <c r="L1381" s="24" t="n">
        <f aca="false">'DCF Base Case'!$B$2*(1+B1381)^3*$I1381-'DCF Base Case'!$B$2*(1+B1381)^2*B1381*'DCF Base Case'!$B$4</f>
        <v>32.4011884396544</v>
      </c>
      <c r="M1381" s="24" t="n">
        <f aca="false">'DCF Base Case'!$B$2*(1+B1381)^4*$I1381-'DCF Base Case'!$B$2*(1+B1381)^3*B1381*'DCF Base Case'!$B$4</f>
        <v>36.1143370917402</v>
      </c>
      <c r="N1381" s="24" t="n">
        <f aca="false">'DCF Base Case'!$B$2*(1+B1381)^5*$I1381-'DCF Base Case'!$B$2*(1+B1381)^4*B1381*'DCF Base Case'!$B$4</f>
        <v>40.2530094229394</v>
      </c>
      <c r="O1381" s="24" t="n">
        <f aca="false">J1381/(1+H1381)^1+K1381/(1+H1381)^2+L1381/(1+H1381)^3+M1381/(1+H1381)^4+N1381/(1+H1381)^5</f>
        <v>130.923899996187</v>
      </c>
      <c r="P1381" s="24" t="n">
        <f aca="false">N1381*(1+F1381)/(H1381-F1381)</f>
        <v>788.479267895325</v>
      </c>
      <c r="Q1381" s="24" t="n">
        <f aca="false">O1381+P1381/(1+H1381)^5</f>
        <v>682.507373985529</v>
      </c>
      <c r="R1381" s="24" t="n">
        <f aca="false">Q1381-'DCF Base Case'!$B$5</f>
        <v>497.507373985529</v>
      </c>
      <c r="S1381" s="32" t="n">
        <f aca="false">R1381/'DCF Base Case'!$B$6</f>
        <v>19.9002949594212</v>
      </c>
    </row>
    <row r="1382" customFormat="false" ht="15" hidden="false" customHeight="true" outlineLevel="0" collapsed="false">
      <c r="A1382" s="6" t="n">
        <v>1381</v>
      </c>
      <c r="B1382" s="30" t="n">
        <v>0.0985644080481401</v>
      </c>
      <c r="C1382" s="30" t="n">
        <v>0.413453769094217</v>
      </c>
      <c r="D1382" s="30" t="n">
        <v>0.0808881711930573</v>
      </c>
      <c r="E1382" s="30" t="n">
        <v>0.274790027105368</v>
      </c>
      <c r="F1382" s="30" t="n">
        <v>0.0219535338483923</v>
      </c>
      <c r="G1382" s="30" t="n">
        <v>0.185337311796257</v>
      </c>
      <c r="H1382" s="31" t="n">
        <f aca="false">MAX(D1382,F1382+0.015)</f>
        <v>0.0808881711930573</v>
      </c>
      <c r="I1382" s="25" t="n">
        <f aca="false">(C1382-'DCF Base Case'!$B$3)*(1-E1382)+'DCF Base Case'!$B$3-G1382</f>
        <v>0.150226188405441</v>
      </c>
      <c r="J1382" s="24" t="n">
        <f aca="false">'DCF Base Case'!$B$2*(1+B1382)^1*$I1382-'DCF Base Case'!$B$2*(1+B1382)^0*B1382*'DCF Base Case'!$B$4</f>
        <v>23.5010506671386</v>
      </c>
      <c r="K1382" s="24" t="n">
        <f aca="false">'DCF Base Case'!$B$2*(1+B1382)^2*$I1382-'DCF Base Case'!$B$2*(1+B1382)^1*B1382*'DCF Base Case'!$B$4</f>
        <v>25.8174178146545</v>
      </c>
      <c r="L1382" s="24" t="n">
        <f aca="false">'DCF Base Case'!$B$2*(1+B1382)^3*$I1382-'DCF Base Case'!$B$2*(1+B1382)^2*B1382*'DCF Base Case'!$B$4</f>
        <v>28.3620963188874</v>
      </c>
      <c r="M1382" s="24" t="n">
        <f aca="false">'DCF Base Case'!$B$2*(1+B1382)^4*$I1382-'DCF Base Case'!$B$2*(1+B1382)^3*B1382*'DCF Base Case'!$B$4</f>
        <v>31.1575895535629</v>
      </c>
      <c r="N1382" s="24" t="n">
        <f aca="false">'DCF Base Case'!$B$2*(1+B1382)^5*$I1382-'DCF Base Case'!$B$2*(1+B1382)^4*B1382*'DCF Base Case'!$B$4</f>
        <v>34.2286189241167</v>
      </c>
      <c r="O1382" s="24" t="n">
        <f aca="false">J1382/(1+H1382)^1+K1382/(1+H1382)^2+L1382/(1+H1382)^3+M1382/(1+H1382)^4+N1382/(1+H1382)^5</f>
        <v>112.326003504124</v>
      </c>
      <c r="P1382" s="24" t="n">
        <f aca="false">N1382*(1+F1382)/(H1382-F1382)</f>
        <v>593.539888328804</v>
      </c>
      <c r="Q1382" s="24" t="n">
        <f aca="false">O1382+P1382/(1+H1382)^5</f>
        <v>514.622351430753</v>
      </c>
      <c r="R1382" s="24" t="n">
        <f aca="false">Q1382-'DCF Base Case'!$B$5</f>
        <v>329.622351430753</v>
      </c>
      <c r="S1382" s="32" t="n">
        <f aca="false">R1382/'DCF Base Case'!$B$6</f>
        <v>13.1848940572301</v>
      </c>
    </row>
    <row r="1383" customFormat="false" ht="15" hidden="false" customHeight="true" outlineLevel="0" collapsed="false">
      <c r="A1383" s="6" t="n">
        <v>1382</v>
      </c>
      <c r="B1383" s="30" t="n">
        <v>0.0680312032187841</v>
      </c>
      <c r="C1383" s="30" t="n">
        <v>0.422121320588189</v>
      </c>
      <c r="D1383" s="30" t="n">
        <v>0.0778420664616815</v>
      </c>
      <c r="E1383" s="30" t="n">
        <v>0.293753471981143</v>
      </c>
      <c r="F1383" s="30" t="n">
        <v>0.0186127690662851</v>
      </c>
      <c r="G1383" s="30" t="n">
        <v>0.201233157337973</v>
      </c>
      <c r="H1383" s="31" t="n">
        <f aca="false">MAX(D1383,F1383+0.015)</f>
        <v>0.0778420664616815</v>
      </c>
      <c r="I1383" s="25" t="n">
        <f aca="false">(C1383-'DCF Base Case'!$B$3)*(1-E1383)+'DCF Base Case'!$B$3-G1383</f>
        <v>0.135076511087719</v>
      </c>
      <c r="J1383" s="24" t="n">
        <f aca="false">'DCF Base Case'!$B$2*(1+B1383)^1*$I1383-'DCF Base Case'!$B$2*(1+B1383)^0*B1383*'DCF Base Case'!$B$4</f>
        <v>20.622623922222</v>
      </c>
      <c r="K1383" s="24" t="n">
        <f aca="false">'DCF Base Case'!$B$2*(1+B1383)^2*$I1383-'DCF Base Case'!$B$2*(1+B1383)^1*B1383*'DCF Base Case'!$B$4</f>
        <v>22.0256058411793</v>
      </c>
      <c r="L1383" s="24" t="n">
        <f aca="false">'DCF Base Case'!$B$2*(1+B1383)^3*$I1383-'DCF Base Case'!$B$2*(1+B1383)^2*B1383*'DCF Base Case'!$B$4</f>
        <v>23.5240343081774</v>
      </c>
      <c r="M1383" s="24" t="n">
        <f aca="false">'DCF Base Case'!$B$2*(1+B1383)^4*$I1383-'DCF Base Case'!$B$2*(1+B1383)^3*B1383*'DCF Base Case'!$B$4</f>
        <v>25.1244026667226</v>
      </c>
      <c r="N1383" s="24" t="n">
        <f aca="false">'DCF Base Case'!$B$2*(1+B1383)^5*$I1383-'DCF Base Case'!$B$2*(1+B1383)^4*B1383*'DCF Base Case'!$B$4</f>
        <v>26.833646010293</v>
      </c>
      <c r="O1383" s="24" t="n">
        <f aca="false">J1383/(1+H1383)^1+K1383/(1+H1383)^2+L1383/(1+H1383)^3+M1383/(1+H1383)^4+N1383/(1+H1383)^5</f>
        <v>93.9404707348794</v>
      </c>
      <c r="P1383" s="24" t="n">
        <f aca="false">N1383*(1+F1383)/(H1383-F1383)</f>
        <v>461.479296035234</v>
      </c>
      <c r="Q1383" s="24" t="n">
        <f aca="false">O1383+P1383/(1+H1383)^5</f>
        <v>411.172167705164</v>
      </c>
      <c r="R1383" s="24" t="n">
        <f aca="false">Q1383-'DCF Base Case'!$B$5</f>
        <v>226.172167705164</v>
      </c>
      <c r="S1383" s="32" t="n">
        <f aca="false">R1383/'DCF Base Case'!$B$6</f>
        <v>9.04688670820654</v>
      </c>
    </row>
    <row r="1384" customFormat="false" ht="15" hidden="false" customHeight="true" outlineLevel="0" collapsed="false">
      <c r="A1384" s="6" t="n">
        <v>1383</v>
      </c>
      <c r="B1384" s="30" t="n">
        <v>0.0811063423941135</v>
      </c>
      <c r="C1384" s="30" t="n">
        <v>0.415228936581194</v>
      </c>
      <c r="D1384" s="30" t="n">
        <v>0.0916725247331537</v>
      </c>
      <c r="E1384" s="30" t="n">
        <v>0.26051031503972</v>
      </c>
      <c r="F1384" s="30" t="n">
        <v>0.0190784353519613</v>
      </c>
      <c r="G1384" s="30" t="n">
        <v>0.159743900032901</v>
      </c>
      <c r="H1384" s="31" t="n">
        <f aca="false">MAX(D1384,F1384+0.015)</f>
        <v>0.0916725247331537</v>
      </c>
      <c r="I1384" s="25" t="n">
        <f aca="false">(C1384-'DCF Base Case'!$B$3)*(1-E1384)+'DCF Base Case'!$B$3-G1384</f>
        <v>0.181179956421082</v>
      </c>
      <c r="J1384" s="24" t="n">
        <f aca="false">'DCF Base Case'!$B$2*(1+B1384)^1*$I1384-'DCF Base Case'!$B$2*(1+B1384)^0*B1384*'DCF Base Case'!$B$4</f>
        <v>28.0490334108061</v>
      </c>
      <c r="K1384" s="24" t="n">
        <f aca="false">'DCF Base Case'!$B$2*(1+B1384)^2*$I1384-'DCF Base Case'!$B$2*(1+B1384)^1*B1384*'DCF Base Case'!$B$4</f>
        <v>30.3239879184469</v>
      </c>
      <c r="L1384" s="24" t="n">
        <f aca="false">'DCF Base Case'!$B$2*(1+B1384)^3*$I1384-'DCF Base Case'!$B$2*(1+B1384)^2*B1384*'DCF Base Case'!$B$4</f>
        <v>32.7834556653154</v>
      </c>
      <c r="M1384" s="24" t="n">
        <f aca="false">'DCF Base Case'!$B$2*(1+B1384)^4*$I1384-'DCF Base Case'!$B$2*(1+B1384)^3*B1384*'DCF Base Case'!$B$4</f>
        <v>35.4424018453687</v>
      </c>
      <c r="N1384" s="24" t="n">
        <f aca="false">'DCF Base Case'!$B$2*(1+B1384)^5*$I1384-'DCF Base Case'!$B$2*(1+B1384)^4*B1384*'DCF Base Case'!$B$4</f>
        <v>38.3170054247089</v>
      </c>
      <c r="O1384" s="24" t="n">
        <f aca="false">J1384/(1+H1384)^1+K1384/(1+H1384)^2+L1384/(1+H1384)^3+M1384/(1+H1384)^4+N1384/(1+H1384)^5</f>
        <v>126.005260275166</v>
      </c>
      <c r="P1384" s="24" t="n">
        <f aca="false">N1384*(1+F1384)/(H1384-F1384)</f>
        <v>537.895499047358</v>
      </c>
      <c r="Q1384" s="24" t="n">
        <f aca="false">O1384+P1384/(1+H1384)^5</f>
        <v>472.930590022818</v>
      </c>
      <c r="R1384" s="24" t="n">
        <f aca="false">Q1384-'DCF Base Case'!$B$5</f>
        <v>287.930590022818</v>
      </c>
      <c r="S1384" s="32" t="n">
        <f aca="false">R1384/'DCF Base Case'!$B$6</f>
        <v>11.5172236009127</v>
      </c>
    </row>
    <row r="1385" customFormat="false" ht="15" hidden="false" customHeight="true" outlineLevel="0" collapsed="false">
      <c r="A1385" s="6" t="n">
        <v>1384</v>
      </c>
      <c r="B1385" s="30" t="n">
        <v>0.0789673709683491</v>
      </c>
      <c r="C1385" s="30" t="n">
        <v>0.400768417378641</v>
      </c>
      <c r="D1385" s="30" t="n">
        <v>0.0972321605795048</v>
      </c>
      <c r="E1385" s="30" t="n">
        <v>0.265264464116864</v>
      </c>
      <c r="F1385" s="30" t="n">
        <v>0.0213779478303682</v>
      </c>
      <c r="G1385" s="30" t="n">
        <v>0.172468878371247</v>
      </c>
      <c r="H1385" s="31" t="n">
        <f aca="false">MAX(D1385,F1385+0.015)</f>
        <v>0.0972321605795048</v>
      </c>
      <c r="I1385" s="25" t="n">
        <f aca="false">(C1385-'DCF Base Case'!$B$3)*(1-E1385)+'DCF Base Case'!$B$3-G1385</f>
        <v>0.156474299871677</v>
      </c>
      <c r="J1385" s="24" t="n">
        <f aca="false">'DCF Base Case'!$B$2*(1+B1385)^1*$I1385-'DCF Base Case'!$B$2*(1+B1385)^0*B1385*'DCF Base Case'!$B$4</f>
        <v>24.1369382100029</v>
      </c>
      <c r="K1385" s="24" t="n">
        <f aca="false">'DCF Base Case'!$B$2*(1+B1385)^2*$I1385-'DCF Base Case'!$B$2*(1+B1385)^1*B1385*'DCF Base Case'!$B$4</f>
        <v>26.0429687636724</v>
      </c>
      <c r="L1385" s="24" t="n">
        <f aca="false">'DCF Base Case'!$B$2*(1+B1385)^3*$I1385-'DCF Base Case'!$B$2*(1+B1385)^2*B1385*'DCF Base Case'!$B$4</f>
        <v>28.0995135391504</v>
      </c>
      <c r="M1385" s="24" t="n">
        <f aca="false">'DCF Base Case'!$B$2*(1+B1385)^4*$I1385-'DCF Base Case'!$B$2*(1+B1385)^3*B1385*'DCF Base Case'!$B$4</f>
        <v>30.3184582488266</v>
      </c>
      <c r="N1385" s="24" t="n">
        <f aca="false">'DCF Base Case'!$B$2*(1+B1385)^5*$I1385-'DCF Base Case'!$B$2*(1+B1385)^4*B1385*'DCF Base Case'!$B$4</f>
        <v>32.7126271885501</v>
      </c>
      <c r="O1385" s="24" t="n">
        <f aca="false">J1385/(1+H1385)^1+K1385/(1+H1385)^2+L1385/(1+H1385)^3+M1385/(1+H1385)^4+N1385/(1+H1385)^5</f>
        <v>106.388721205433</v>
      </c>
      <c r="P1385" s="24" t="n">
        <f aca="false">N1385*(1+F1385)/(H1385-F1385)</f>
        <v>440.475944776865</v>
      </c>
      <c r="Q1385" s="24" t="n">
        <f aca="false">O1385+P1385/(1+H1385)^5</f>
        <v>383.356694385038</v>
      </c>
      <c r="R1385" s="24" t="n">
        <f aca="false">Q1385-'DCF Base Case'!$B$5</f>
        <v>198.356694385038</v>
      </c>
      <c r="S1385" s="32" t="n">
        <f aca="false">R1385/'DCF Base Case'!$B$6</f>
        <v>7.93426777540151</v>
      </c>
    </row>
    <row r="1386" customFormat="false" ht="15" hidden="false" customHeight="true" outlineLevel="0" collapsed="false">
      <c r="A1386" s="6" t="n">
        <v>1385</v>
      </c>
      <c r="B1386" s="30" t="n">
        <v>0.0601506544971937</v>
      </c>
      <c r="C1386" s="30" t="n">
        <v>0.414715168270633</v>
      </c>
      <c r="D1386" s="30" t="n">
        <v>0.0694513546926654</v>
      </c>
      <c r="E1386" s="30" t="n">
        <v>0.298782603141539</v>
      </c>
      <c r="F1386" s="30" t="n">
        <v>0.0173179082619806</v>
      </c>
      <c r="G1386" s="30" t="n">
        <v>0.165410880872388</v>
      </c>
      <c r="H1386" s="31" t="n">
        <f aca="false">MAX(D1386,F1386+0.015)</f>
        <v>0.0694513546926654</v>
      </c>
      <c r="I1386" s="25" t="n">
        <f aca="false">(C1386-'DCF Base Case'!$B$3)*(1-E1386)+'DCF Base Case'!$B$3-G1386</f>
        <v>0.164236348268464</v>
      </c>
      <c r="J1386" s="24" t="n">
        <f aca="false">'DCF Base Case'!$B$2*(1+B1386)^1*$I1386-'DCF Base Case'!$B$2*(1+B1386)^0*B1386*'DCF Base Case'!$B$4</f>
        <v>24.9850591087482</v>
      </c>
      <c r="K1386" s="24" t="n">
        <f aca="false">'DCF Base Case'!$B$2*(1+B1386)^2*$I1386-'DCF Base Case'!$B$2*(1+B1386)^1*B1386*'DCF Base Case'!$B$4</f>
        <v>26.4879267667904</v>
      </c>
      <c r="L1386" s="24" t="n">
        <f aca="false">'DCF Base Case'!$B$2*(1+B1386)^3*$I1386-'DCF Base Case'!$B$2*(1+B1386)^2*B1386*'DCF Base Case'!$B$4</f>
        <v>28.0811928980866</v>
      </c>
      <c r="M1386" s="24" t="n">
        <f aca="false">'DCF Base Case'!$B$2*(1+B1386)^4*$I1386-'DCF Base Case'!$B$2*(1+B1386)^3*B1386*'DCF Base Case'!$B$4</f>
        <v>29.7702950299685</v>
      </c>
      <c r="N1386" s="24" t="n">
        <f aca="false">'DCF Base Case'!$B$2*(1+B1386)^5*$I1386-'DCF Base Case'!$B$2*(1+B1386)^4*B1386*'DCF Base Case'!$B$4</f>
        <v>31.5609977605956</v>
      </c>
      <c r="O1386" s="24" t="n">
        <f aca="false">J1386/(1+H1386)^1+K1386/(1+H1386)^2+L1386/(1+H1386)^3+M1386/(1+H1386)^4+N1386/(1+H1386)^5</f>
        <v>114.798334298375</v>
      </c>
      <c r="P1386" s="24" t="n">
        <f aca="false">N1386*(1+F1386)/(H1386-F1386)</f>
        <v>615.872734735839</v>
      </c>
      <c r="Q1386" s="24" t="n">
        <f aca="false">O1386+P1386/(1+H1386)^5</f>
        <v>555.034587099221</v>
      </c>
      <c r="R1386" s="24" t="n">
        <f aca="false">Q1386-'DCF Base Case'!$B$5</f>
        <v>370.034587099221</v>
      </c>
      <c r="S1386" s="32" t="n">
        <f aca="false">R1386/'DCF Base Case'!$B$6</f>
        <v>14.8013834839688</v>
      </c>
    </row>
    <row r="1387" customFormat="false" ht="15" hidden="false" customHeight="true" outlineLevel="0" collapsed="false">
      <c r="A1387" s="6" t="n">
        <v>1386</v>
      </c>
      <c r="B1387" s="30" t="n">
        <v>0.0621115772609097</v>
      </c>
      <c r="C1387" s="30" t="n">
        <v>0.406960450696547</v>
      </c>
      <c r="D1387" s="30" t="n">
        <v>0.0951964545976768</v>
      </c>
      <c r="E1387" s="30" t="n">
        <v>0.261554806164746</v>
      </c>
      <c r="F1387" s="30" t="n">
        <v>0.0168976266111275</v>
      </c>
      <c r="G1387" s="30" t="n">
        <v>0.175862196229624</v>
      </c>
      <c r="H1387" s="31" t="n">
        <f aca="false">MAX(D1387,F1387+0.015)</f>
        <v>0.0951964545976768</v>
      </c>
      <c r="I1387" s="25" t="n">
        <f aca="false">(C1387-'DCF Base Case'!$B$3)*(1-E1387)+'DCF Base Case'!$B$3-G1387</f>
        <v>0.158657917469687</v>
      </c>
      <c r="J1387" s="24" t="n">
        <f aca="false">'DCF Base Case'!$B$2*(1+B1387)^1*$I1387-'DCF Base Case'!$B$2*(1+B1387)^0*B1387*'DCF Base Case'!$B$4</f>
        <v>24.1641142293708</v>
      </c>
      <c r="K1387" s="24" t="n">
        <f aca="false">'DCF Base Case'!$B$2*(1+B1387)^2*$I1387-'DCF Base Case'!$B$2*(1+B1387)^1*B1387*'DCF Base Case'!$B$4</f>
        <v>25.6649854772698</v>
      </c>
      <c r="L1387" s="24" t="n">
        <f aca="false">'DCF Base Case'!$B$2*(1+B1387)^3*$I1387-'DCF Base Case'!$B$2*(1+B1387)^2*B1387*'DCF Base Case'!$B$4</f>
        <v>27.2590782056414</v>
      </c>
      <c r="M1387" s="24" t="n">
        <f aca="false">'DCF Base Case'!$B$2*(1+B1387)^4*$I1387-'DCF Base Case'!$B$2*(1+B1387)^3*B1387*'DCF Base Case'!$B$4</f>
        <v>28.9521825476723</v>
      </c>
      <c r="N1387" s="24" t="n">
        <f aca="false">'DCF Base Case'!$B$2*(1+B1387)^5*$I1387-'DCF Base Case'!$B$2*(1+B1387)^4*B1387*'DCF Base Case'!$B$4</f>
        <v>30.750448270854</v>
      </c>
      <c r="O1387" s="24" t="n">
        <f aca="false">J1387/(1+H1387)^1+K1387/(1+H1387)^2+L1387/(1+H1387)^3+M1387/(1+H1387)^4+N1387/(1+H1387)^5</f>
        <v>103.851708324926</v>
      </c>
      <c r="P1387" s="24" t="n">
        <f aca="false">N1387*(1+F1387)/(H1387-F1387)</f>
        <v>399.368147237548</v>
      </c>
      <c r="Q1387" s="24" t="n">
        <f aca="false">O1387+P1387/(1+H1387)^5</f>
        <v>357.313953426539</v>
      </c>
      <c r="R1387" s="24" t="n">
        <f aca="false">Q1387-'DCF Base Case'!$B$5</f>
        <v>172.313953426539</v>
      </c>
      <c r="S1387" s="32" t="n">
        <f aca="false">R1387/'DCF Base Case'!$B$6</f>
        <v>6.89255813706156</v>
      </c>
    </row>
    <row r="1388" customFormat="false" ht="15" hidden="false" customHeight="true" outlineLevel="0" collapsed="false">
      <c r="A1388" s="6" t="n">
        <v>1387</v>
      </c>
      <c r="B1388" s="30" t="n">
        <v>0.100266550155892</v>
      </c>
      <c r="C1388" s="30" t="n">
        <v>0.370196530781541</v>
      </c>
      <c r="D1388" s="30" t="n">
        <v>0.107169470001611</v>
      </c>
      <c r="E1388" s="30" t="n">
        <v>0.295633462325253</v>
      </c>
      <c r="F1388" s="30" t="n">
        <v>0.0218533949213281</v>
      </c>
      <c r="G1388" s="30" t="n">
        <v>0.16218642123543</v>
      </c>
      <c r="H1388" s="31" t="n">
        <f aca="false">MAX(D1388,F1388+0.015)</f>
        <v>0.107169470001611</v>
      </c>
      <c r="I1388" s="25" t="n">
        <f aca="false">(C1388-'DCF Base Case'!$B$3)*(1-E1388)+'DCF Base Case'!$B$3-G1388</f>
        <v>0.13699997751265</v>
      </c>
      <c r="J1388" s="24" t="n">
        <f aca="false">'DCF Base Case'!$B$2*(1+B1388)^1*$I1388-'DCF Base Case'!$B$2*(1+B1388)^0*B1388*'DCF Base Case'!$B$4</f>
        <v>21.4206319380672</v>
      </c>
      <c r="K1388" s="24" t="n">
        <f aca="false">'DCF Base Case'!$B$2*(1+B1388)^2*$I1388-'DCF Base Case'!$B$2*(1+B1388)^1*B1388*'DCF Base Case'!$B$4</f>
        <v>23.5684048046563</v>
      </c>
      <c r="L1388" s="24" t="n">
        <f aca="false">'DCF Base Case'!$B$2*(1+B1388)^3*$I1388-'DCF Base Case'!$B$2*(1+B1388)^2*B1388*'DCF Base Case'!$B$4</f>
        <v>25.9315274470967</v>
      </c>
      <c r="M1388" s="24" t="n">
        <f aca="false">'DCF Base Case'!$B$2*(1+B1388)^4*$I1388-'DCF Base Case'!$B$2*(1+B1388)^3*B1388*'DCF Base Case'!$B$4</f>
        <v>28.5315922444899</v>
      </c>
      <c r="N1388" s="24" t="n">
        <f aca="false">'DCF Base Case'!$B$2*(1+B1388)^5*$I1388-'DCF Base Case'!$B$2*(1+B1388)^4*B1388*'DCF Base Case'!$B$4</f>
        <v>31.3923565692995</v>
      </c>
      <c r="O1388" s="24" t="n">
        <f aca="false">J1388/(1+H1388)^1+K1388/(1+H1388)^2+L1388/(1+H1388)^3+M1388/(1+H1388)^4+N1388/(1+H1388)^5</f>
        <v>95.5372609067221</v>
      </c>
      <c r="P1388" s="24" t="n">
        <f aca="false">N1388*(1+F1388)/(H1388-F1388)</f>
        <v>375.994630610159</v>
      </c>
      <c r="Q1388" s="24" t="n">
        <f aca="false">O1388+P1388/(1+H1388)^5</f>
        <v>321.53866358329</v>
      </c>
      <c r="R1388" s="24" t="n">
        <f aca="false">Q1388-'DCF Base Case'!$B$5</f>
        <v>136.53866358329</v>
      </c>
      <c r="S1388" s="32" t="n">
        <f aca="false">R1388/'DCF Base Case'!$B$6</f>
        <v>5.46154654333159</v>
      </c>
    </row>
    <row r="1389" customFormat="false" ht="15" hidden="false" customHeight="true" outlineLevel="0" collapsed="false">
      <c r="A1389" s="6" t="n">
        <v>1388</v>
      </c>
      <c r="B1389" s="30" t="n">
        <v>0.0526041423531388</v>
      </c>
      <c r="C1389" s="30" t="n">
        <v>0.414392322523955</v>
      </c>
      <c r="D1389" s="30" t="n">
        <v>0.0787829316894603</v>
      </c>
      <c r="E1389" s="30" t="n">
        <v>0.296119410123993</v>
      </c>
      <c r="F1389" s="30" t="n">
        <v>0.0185056121854077</v>
      </c>
      <c r="G1389" s="30" t="n">
        <v>0.170648691453517</v>
      </c>
      <c r="H1389" s="31" t="n">
        <f aca="false">MAX(D1389,F1389+0.015)</f>
        <v>0.0787829316894603</v>
      </c>
      <c r="I1389" s="25" t="n">
        <f aca="false">(C1389-'DCF Base Case'!$B$3)*(1-E1389)+'DCF Base Case'!$B$3-G1389</f>
        <v>0.159529544280852</v>
      </c>
      <c r="J1389" s="24" t="n">
        <f aca="false">'DCF Base Case'!$B$2*(1+B1389)^1*$I1389-'DCF Base Case'!$B$2*(1+B1389)^0*B1389*'DCF Base Case'!$B$4</f>
        <v>24.1197835557352</v>
      </c>
      <c r="K1389" s="24" t="n">
        <f aca="false">'DCF Base Case'!$B$2*(1+B1389)^2*$I1389-'DCF Base Case'!$B$2*(1+B1389)^1*B1389*'DCF Base Case'!$B$4</f>
        <v>25.388584083428</v>
      </c>
      <c r="L1389" s="24" t="n">
        <f aca="false">'DCF Base Case'!$B$2*(1+B1389)^3*$I1389-'DCF Base Case'!$B$2*(1+B1389)^2*B1389*'DCF Base Case'!$B$4</f>
        <v>26.7241287746973</v>
      </c>
      <c r="M1389" s="24" t="n">
        <f aca="false">'DCF Base Case'!$B$2*(1+B1389)^4*$I1389-'DCF Base Case'!$B$2*(1+B1389)^3*B1389*'DCF Base Case'!$B$4</f>
        <v>28.129928649025</v>
      </c>
      <c r="N1389" s="24" t="n">
        <f aca="false">'DCF Base Case'!$B$2*(1+B1389)^5*$I1389-'DCF Base Case'!$B$2*(1+B1389)^4*B1389*'DCF Base Case'!$B$4</f>
        <v>29.609679420062</v>
      </c>
      <c r="O1389" s="24" t="n">
        <f aca="false">J1389/(1+H1389)^1+K1389/(1+H1389)^2+L1389/(1+H1389)^3+M1389/(1+H1389)^4+N1389/(1+H1389)^5</f>
        <v>106.49603130513</v>
      </c>
      <c r="P1389" s="24" t="n">
        <f aca="false">N1389*(1+F1389)/(H1389-F1389)</f>
        <v>500.314627665491</v>
      </c>
      <c r="Q1389" s="24" t="n">
        <f aca="false">O1389+P1389/(1+H1389)^5</f>
        <v>448.926868775427</v>
      </c>
      <c r="R1389" s="24" t="n">
        <f aca="false">Q1389-'DCF Base Case'!$B$5</f>
        <v>263.926868775427</v>
      </c>
      <c r="S1389" s="32" t="n">
        <f aca="false">R1389/'DCF Base Case'!$B$6</f>
        <v>10.5570747510171</v>
      </c>
    </row>
    <row r="1390" customFormat="false" ht="15" hidden="false" customHeight="true" outlineLevel="0" collapsed="false">
      <c r="A1390" s="6" t="n">
        <v>1389</v>
      </c>
      <c r="B1390" s="30" t="n">
        <v>0.0731036930653109</v>
      </c>
      <c r="C1390" s="30" t="n">
        <v>0.425641465665329</v>
      </c>
      <c r="D1390" s="30" t="n">
        <v>0.0719278305659656</v>
      </c>
      <c r="E1390" s="30" t="n">
        <v>0.338935578483108</v>
      </c>
      <c r="F1390" s="30" t="n">
        <v>0.0262133953313241</v>
      </c>
      <c r="G1390" s="30" t="n">
        <v>0.202461568370573</v>
      </c>
      <c r="H1390" s="31" t="n">
        <f aca="false">MAX(D1390,F1390+0.015)</f>
        <v>0.0719278305659656</v>
      </c>
      <c r="I1390" s="25" t="n">
        <f aca="false">(C1390-'DCF Base Case'!$B$3)*(1-E1390)+'DCF Base Case'!$B$3-G1390</f>
        <v>0.122976486105884</v>
      </c>
      <c r="J1390" s="24" t="n">
        <f aca="false">'DCF Base Case'!$B$2*(1+B1390)^1*$I1390-'DCF Base Case'!$B$2*(1+B1390)^0*B1390*'DCF Base Case'!$B$4</f>
        <v>18.8171445382266</v>
      </c>
      <c r="K1390" s="24" t="n">
        <f aca="false">'DCF Base Case'!$B$2*(1+B1390)^2*$I1390-'DCF Base Case'!$B$2*(1+B1390)^1*B1390*'DCF Base Case'!$B$4</f>
        <v>20.1927472969147</v>
      </c>
      <c r="L1390" s="24" t="n">
        <f aca="false">'DCF Base Case'!$B$2*(1+B1390)^3*$I1390-'DCF Base Case'!$B$2*(1+B1390)^2*B1390*'DCF Base Case'!$B$4</f>
        <v>21.6689116974538</v>
      </c>
      <c r="M1390" s="24" t="n">
        <f aca="false">'DCF Base Case'!$B$2*(1+B1390)^4*$I1390-'DCF Base Case'!$B$2*(1+B1390)^3*B1390*'DCF Base Case'!$B$4</f>
        <v>23.2529891672438</v>
      </c>
      <c r="N1390" s="24" t="n">
        <f aca="false">'DCF Base Case'!$B$2*(1+B1390)^5*$I1390-'DCF Base Case'!$B$2*(1+B1390)^4*B1390*'DCF Base Case'!$B$4</f>
        <v>24.9528685501769</v>
      </c>
      <c r="O1390" s="24" t="n">
        <f aca="false">J1390/(1+H1390)^1+K1390/(1+H1390)^2+L1390/(1+H1390)^3+M1390/(1+H1390)^4+N1390/(1+H1390)^5</f>
        <v>87.9652185549723</v>
      </c>
      <c r="P1390" s="24" t="n">
        <f aca="false">N1390*(1+F1390)/(H1390-F1390)</f>
        <v>560.150591967258</v>
      </c>
      <c r="Q1390" s="24" t="n">
        <f aca="false">O1390+P1390/(1+H1390)^5</f>
        <v>483.766381374095</v>
      </c>
      <c r="R1390" s="24" t="n">
        <f aca="false">Q1390-'DCF Base Case'!$B$5</f>
        <v>298.766381374095</v>
      </c>
      <c r="S1390" s="32" t="n">
        <f aca="false">R1390/'DCF Base Case'!$B$6</f>
        <v>11.9506552549638</v>
      </c>
    </row>
    <row r="1391" customFormat="false" ht="15" hidden="false" customHeight="true" outlineLevel="0" collapsed="false">
      <c r="A1391" s="6" t="n">
        <v>1390</v>
      </c>
      <c r="B1391" s="30" t="n">
        <v>0.117520022383323</v>
      </c>
      <c r="C1391" s="30" t="n">
        <v>0.422225480473013</v>
      </c>
      <c r="D1391" s="30" t="n">
        <v>0.0978320137632193</v>
      </c>
      <c r="E1391" s="30" t="n">
        <v>0.276998170980894</v>
      </c>
      <c r="F1391" s="30" t="n">
        <v>0.0132444121033295</v>
      </c>
      <c r="G1391" s="30" t="n">
        <v>0.200041008566167</v>
      </c>
      <c r="H1391" s="31" t="n">
        <f aca="false">MAX(D1391,F1391+0.015)</f>
        <v>0.0978320137632193</v>
      </c>
      <c r="I1391" s="25" t="n">
        <f aca="false">(C1391-'DCF Base Case'!$B$3)*(1-E1391)+'DCF Base Case'!$B$3-G1391</f>
        <v>0.141238548301808</v>
      </c>
      <c r="J1391" s="24" t="n">
        <f aca="false">'DCF Base Case'!$B$2*(1+B1391)^1*$I1391-'DCF Base Case'!$B$2*(1+B1391)^0*B1391*'DCF Base Case'!$B$4</f>
        <v>22.3751392232782</v>
      </c>
      <c r="K1391" s="24" t="n">
        <f aca="false">'DCF Base Case'!$B$2*(1+B1391)^2*$I1391-'DCF Base Case'!$B$2*(1+B1391)^1*B1391*'DCF Base Case'!$B$4</f>
        <v>25.0046660856278</v>
      </c>
      <c r="L1391" s="24" t="n">
        <f aca="false">'DCF Base Case'!$B$2*(1+B1391)^3*$I1391-'DCF Base Case'!$B$2*(1+B1391)^2*B1391*'DCF Base Case'!$B$4</f>
        <v>27.9432150036983</v>
      </c>
      <c r="M1391" s="24" t="n">
        <f aca="false">'DCF Base Case'!$B$2*(1+B1391)^4*$I1391-'DCF Base Case'!$B$2*(1+B1391)^3*B1391*'DCF Base Case'!$B$4</f>
        <v>31.2271022563949</v>
      </c>
      <c r="N1391" s="24" t="n">
        <f aca="false">'DCF Base Case'!$B$2*(1+B1391)^5*$I1391-'DCF Base Case'!$B$2*(1+B1391)^4*B1391*'DCF Base Case'!$B$4</f>
        <v>34.8969120125328</v>
      </c>
      <c r="O1391" s="24" t="n">
        <f aca="false">J1391/(1+H1391)^1+K1391/(1+H1391)^2+L1391/(1+H1391)^3+M1391/(1+H1391)^4+N1391/(1+H1391)^5</f>
        <v>105.627233194632</v>
      </c>
      <c r="P1391" s="24" t="n">
        <f aca="false">N1391*(1+F1391)/(H1391-F1391)</f>
        <v>418.017539243309</v>
      </c>
      <c r="Q1391" s="24" t="n">
        <f aca="false">O1391+P1391/(1+H1391)^5</f>
        <v>367.756220164376</v>
      </c>
      <c r="R1391" s="24" t="n">
        <f aca="false">Q1391-'DCF Base Case'!$B$5</f>
        <v>182.756220164376</v>
      </c>
      <c r="S1391" s="32" t="n">
        <f aca="false">R1391/'DCF Base Case'!$B$6</f>
        <v>7.31024880657505</v>
      </c>
    </row>
    <row r="1392" customFormat="false" ht="15" hidden="false" customHeight="true" outlineLevel="0" collapsed="false">
      <c r="A1392" s="6" t="n">
        <v>1391</v>
      </c>
      <c r="B1392" s="30" t="n">
        <v>0.114555359559454</v>
      </c>
      <c r="C1392" s="30" t="n">
        <v>0.422196155819324</v>
      </c>
      <c r="D1392" s="30" t="n">
        <v>0.0715229731693574</v>
      </c>
      <c r="E1392" s="30" t="n">
        <v>0.265506309715379</v>
      </c>
      <c r="F1392" s="30" t="n">
        <v>0.0124497272974086</v>
      </c>
      <c r="G1392" s="30" t="n">
        <v>0.187846418558796</v>
      </c>
      <c r="H1392" s="31" t="n">
        <f aca="false">MAX(D1392,F1392+0.015)</f>
        <v>0.0715229731693574</v>
      </c>
      <c r="I1392" s="25" t="n">
        <f aca="false">(C1392-'DCF Base Case'!$B$3)*(1-E1392)+'DCF Base Case'!$B$3-G1392</f>
        <v>0.156769814215919</v>
      </c>
      <c r="J1392" s="24" t="n">
        <f aca="false">'DCF Base Case'!$B$2*(1+B1392)^1*$I1392-'DCF Base Case'!$B$2*(1+B1392)^0*B1392*'DCF Base Case'!$B$4</f>
        <v>24.8373365003828</v>
      </c>
      <c r="K1392" s="24" t="n">
        <f aca="false">'DCF Base Case'!$B$2*(1+B1392)^2*$I1392-'DCF Base Case'!$B$2*(1+B1392)^1*B1392*'DCF Base Case'!$B$4</f>
        <v>27.6825865136834</v>
      </c>
      <c r="L1392" s="24" t="n">
        <f aca="false">'DCF Base Case'!$B$2*(1+B1392)^3*$I1392-'DCF Base Case'!$B$2*(1+B1392)^2*B1392*'DCF Base Case'!$B$4</f>
        <v>30.853775165294</v>
      </c>
      <c r="M1392" s="24" t="n">
        <f aca="false">'DCF Base Case'!$B$2*(1+B1392)^4*$I1392-'DCF Base Case'!$B$2*(1+B1392)^3*B1392*'DCF Base Case'!$B$4</f>
        <v>34.3882404731208</v>
      </c>
      <c r="N1392" s="24" t="n">
        <f aca="false">'DCF Base Case'!$B$2*(1+B1392)^5*$I1392-'DCF Base Case'!$B$2*(1+B1392)^4*B1392*'DCF Base Case'!$B$4</f>
        <v>38.3275977251362</v>
      </c>
      <c r="O1392" s="24" t="n">
        <f aca="false">J1392/(1+H1392)^1+K1392/(1+H1392)^2+L1392/(1+H1392)^3+M1392/(1+H1392)^4+N1392/(1+H1392)^5</f>
        <v>125.587651794503</v>
      </c>
      <c r="P1392" s="24" t="n">
        <f aca="false">N1392*(1+F1392)/(H1392-F1392)</f>
        <v>656.892393366952</v>
      </c>
      <c r="Q1392" s="24" t="n">
        <f aca="false">O1392+P1392/(1+H1392)^5</f>
        <v>590.623893059947</v>
      </c>
      <c r="R1392" s="24" t="n">
        <f aca="false">Q1392-'DCF Base Case'!$B$5</f>
        <v>405.623893059947</v>
      </c>
      <c r="S1392" s="32" t="n">
        <f aca="false">R1392/'DCF Base Case'!$B$6</f>
        <v>16.2249557223979</v>
      </c>
    </row>
    <row r="1393" customFormat="false" ht="15" hidden="false" customHeight="true" outlineLevel="0" collapsed="false">
      <c r="A1393" s="6" t="n">
        <v>1392</v>
      </c>
      <c r="B1393" s="30" t="n">
        <v>0.0564974587268454</v>
      </c>
      <c r="C1393" s="30" t="n">
        <v>0.408060204355197</v>
      </c>
      <c r="D1393" s="30" t="n">
        <v>0.0757193731744234</v>
      </c>
      <c r="E1393" s="30" t="n">
        <v>0.253001228075198</v>
      </c>
      <c r="F1393" s="30" t="n">
        <v>0.0202019438425916</v>
      </c>
      <c r="G1393" s="30" t="n">
        <v>0.15843256294597</v>
      </c>
      <c r="H1393" s="31" t="n">
        <f aca="false">MAX(D1393,F1393+0.015)</f>
        <v>0.0757193731744234</v>
      </c>
      <c r="I1393" s="25" t="n">
        <f aca="false">(C1393-'DCF Base Case'!$B$3)*(1-E1393)+'DCF Base Case'!$B$3-G1393</f>
        <v>0.179278068228522</v>
      </c>
      <c r="J1393" s="24" t="n">
        <f aca="false">'DCF Base Case'!$B$2*(1+B1393)^1*$I1393-'DCF Base Case'!$B$2*(1+B1393)^0*B1393*'DCF Base Case'!$B$4</f>
        <v>27.2182254604274</v>
      </c>
      <c r="K1393" s="24" t="n">
        <f aca="false">'DCF Base Case'!$B$2*(1+B1393)^2*$I1393-'DCF Base Case'!$B$2*(1+B1393)^1*B1393*'DCF Base Case'!$B$4</f>
        <v>28.7559860299959</v>
      </c>
      <c r="L1393" s="24" t="n">
        <f aca="false">'DCF Base Case'!$B$2*(1+B1393)^3*$I1393-'DCF Base Case'!$B$2*(1+B1393)^2*B1393*'DCF Base Case'!$B$4</f>
        <v>30.3806261638753</v>
      </c>
      <c r="M1393" s="24" t="n">
        <f aca="false">'DCF Base Case'!$B$2*(1+B1393)^4*$I1393-'DCF Base Case'!$B$2*(1+B1393)^3*B1393*'DCF Base Case'!$B$4</f>
        <v>32.0970543366646</v>
      </c>
      <c r="N1393" s="24" t="n">
        <f aca="false">'DCF Base Case'!$B$2*(1+B1393)^5*$I1393-'DCF Base Case'!$B$2*(1+B1393)^4*B1393*'DCF Base Case'!$B$4</f>
        <v>33.9104563393036</v>
      </c>
      <c r="O1393" s="24" t="n">
        <f aca="false">J1393/(1+H1393)^1+K1393/(1+H1393)^2+L1393/(1+H1393)^3+M1393/(1+H1393)^4+N1393/(1+H1393)^5</f>
        <v>122.070558877171</v>
      </c>
      <c r="P1393" s="24" t="n">
        <f aca="false">N1393*(1+F1393)/(H1393-F1393)</f>
        <v>623.146890810937</v>
      </c>
      <c r="Q1393" s="24" t="n">
        <f aca="false">O1393+P1393/(1+H1393)^5</f>
        <v>554.679490710187</v>
      </c>
      <c r="R1393" s="24" t="n">
        <f aca="false">Q1393-'DCF Base Case'!$B$5</f>
        <v>369.679490710187</v>
      </c>
      <c r="S1393" s="32" t="n">
        <f aca="false">R1393/'DCF Base Case'!$B$6</f>
        <v>14.7871796284075</v>
      </c>
    </row>
    <row r="1394" customFormat="false" ht="15" hidden="false" customHeight="true" outlineLevel="0" collapsed="false">
      <c r="A1394" s="6" t="n">
        <v>1393</v>
      </c>
      <c r="B1394" s="30" t="n">
        <v>0.108301241949532</v>
      </c>
      <c r="C1394" s="30" t="n">
        <v>0.39337461739394</v>
      </c>
      <c r="D1394" s="30" t="n">
        <v>0.076669538899788</v>
      </c>
      <c r="E1394" s="30" t="n">
        <v>0.244318856923397</v>
      </c>
      <c r="F1394" s="30" t="n">
        <v>0.0115912160458063</v>
      </c>
      <c r="G1394" s="30" t="n">
        <v>0.205288114810882</v>
      </c>
      <c r="H1394" s="31" t="n">
        <f aca="false">MAX(D1394,F1394+0.015)</f>
        <v>0.076669538899788</v>
      </c>
      <c r="I1394" s="25" t="n">
        <f aca="false">(C1394-'DCF Base Case'!$B$3)*(1-E1394)+'DCF Base Case'!$B$3-G1394</f>
        <v>0.123739117118734</v>
      </c>
      <c r="J1394" s="24" t="n">
        <f aca="false">'DCF Base Case'!$B$2*(1+B1394)^1*$I1394-'DCF Base Case'!$B$2*(1+B1394)^0*B1394*'DCF Base Case'!$B$4</f>
        <v>19.414221088682</v>
      </c>
      <c r="K1394" s="24" t="n">
        <f aca="false">'DCF Base Case'!$B$2*(1+B1394)^2*$I1394-'DCF Base Case'!$B$2*(1+B1394)^1*B1394*'DCF Base Case'!$B$4</f>
        <v>21.5168053440691</v>
      </c>
      <c r="L1394" s="24" t="n">
        <f aca="false">'DCF Base Case'!$B$2*(1+B1394)^3*$I1394-'DCF Base Case'!$B$2*(1+B1394)^2*B1394*'DCF Base Case'!$B$4</f>
        <v>23.8471020856181</v>
      </c>
      <c r="M1394" s="24" t="n">
        <f aca="false">'DCF Base Case'!$B$2*(1+B1394)^4*$I1394-'DCF Base Case'!$B$2*(1+B1394)^3*B1394*'DCF Base Case'!$B$4</f>
        <v>26.4297728583878</v>
      </c>
      <c r="N1394" s="24" t="n">
        <f aca="false">'DCF Base Case'!$B$2*(1+B1394)^5*$I1394-'DCF Base Case'!$B$2*(1+B1394)^4*B1394*'DCF Base Case'!$B$4</f>
        <v>29.2921500833952</v>
      </c>
      <c r="O1394" s="24" t="n">
        <f aca="false">J1394/(1+H1394)^1+K1394/(1+H1394)^2+L1394/(1+H1394)^3+M1394/(1+H1394)^4+N1394/(1+H1394)^5</f>
        <v>95.6142015139141</v>
      </c>
      <c r="P1394" s="24" t="n">
        <f aca="false">N1394*(1+F1394)/(H1394-F1394)</f>
        <v>455.323376878406</v>
      </c>
      <c r="Q1394" s="24" t="n">
        <f aca="false">O1394+P1394/(1+H1394)^5</f>
        <v>410.322226307476</v>
      </c>
      <c r="R1394" s="24" t="n">
        <f aca="false">Q1394-'DCF Base Case'!$B$5</f>
        <v>225.322226307476</v>
      </c>
      <c r="S1394" s="32" t="n">
        <f aca="false">R1394/'DCF Base Case'!$B$6</f>
        <v>9.01288905229903</v>
      </c>
    </row>
    <row r="1395" customFormat="false" ht="15" hidden="false" customHeight="true" outlineLevel="0" collapsed="false">
      <c r="A1395" s="6" t="n">
        <v>1394</v>
      </c>
      <c r="B1395" s="30" t="n">
        <v>0.130356773507974</v>
      </c>
      <c r="C1395" s="30" t="n">
        <v>0.4312100314114</v>
      </c>
      <c r="D1395" s="30" t="n">
        <v>0.0759378835750284</v>
      </c>
      <c r="E1395" s="30" t="n">
        <v>0.271824138852575</v>
      </c>
      <c r="F1395" s="30" t="n">
        <v>0.022490835341197</v>
      </c>
      <c r="G1395" s="30" t="n">
        <v>0.154841929753916</v>
      </c>
      <c r="H1395" s="31" t="n">
        <f aca="false">MAX(D1395,F1395+0.015)</f>
        <v>0.0759378835750284</v>
      </c>
      <c r="I1395" s="25" t="n">
        <f aca="false">(C1395-'DCF Base Case'!$B$3)*(1-E1395)+'DCF Base Case'!$B$3-G1395</f>
        <v>0.194491944255323</v>
      </c>
      <c r="J1395" s="24" t="n">
        <f aca="false">'DCF Base Case'!$B$2*(1+B1395)^1*$I1395-'DCF Base Case'!$B$2*(1+B1395)^0*B1395*'DCF Base Case'!$B$4</f>
        <v>31.3105145895926</v>
      </c>
      <c r="K1395" s="24" t="n">
        <f aca="false">'DCF Base Case'!$B$2*(1+B1395)^2*$I1395-'DCF Base Case'!$B$2*(1+B1395)^1*B1395*'DCF Base Case'!$B$4</f>
        <v>35.3920522483662</v>
      </c>
      <c r="L1395" s="24" t="n">
        <f aca="false">'DCF Base Case'!$B$2*(1+B1395)^3*$I1395-'DCF Base Case'!$B$2*(1+B1395)^2*B1395*'DCF Base Case'!$B$4</f>
        <v>40.0056459872889</v>
      </c>
      <c r="M1395" s="24" t="n">
        <f aca="false">'DCF Base Case'!$B$2*(1+B1395)^4*$I1395-'DCF Base Case'!$B$2*(1+B1395)^3*B1395*'DCF Base Case'!$B$4</f>
        <v>45.2206529202941</v>
      </c>
      <c r="N1395" s="24" t="n">
        <f aca="false">'DCF Base Case'!$B$2*(1+B1395)^5*$I1395-'DCF Base Case'!$B$2*(1+B1395)^4*B1395*'DCF Base Case'!$B$4</f>
        <v>51.1154713309076</v>
      </c>
      <c r="O1395" s="24" t="n">
        <f aca="false">J1395/(1+H1395)^1+K1395/(1+H1395)^2+L1395/(1+H1395)^3+M1395/(1+H1395)^4+N1395/(1+H1395)^5</f>
        <v>160.985375123093</v>
      </c>
      <c r="P1395" s="24" t="n">
        <f aca="false">N1395*(1+F1395)/(H1395-F1395)</f>
        <v>977.885640219799</v>
      </c>
      <c r="Q1395" s="24" t="n">
        <f aca="false">O1395+P1395/(1+H1395)^5</f>
        <v>839.176454103008</v>
      </c>
      <c r="R1395" s="24" t="n">
        <f aca="false">Q1395-'DCF Base Case'!$B$5</f>
        <v>654.176454103008</v>
      </c>
      <c r="S1395" s="32" t="n">
        <f aca="false">R1395/'DCF Base Case'!$B$6</f>
        <v>26.1670581641203</v>
      </c>
    </row>
    <row r="1396" customFormat="false" ht="15" hidden="false" customHeight="true" outlineLevel="0" collapsed="false">
      <c r="A1396" s="6" t="n">
        <v>1395</v>
      </c>
      <c r="B1396" s="30" t="n">
        <v>0.0949398990038781</v>
      </c>
      <c r="C1396" s="30" t="n">
        <v>0.41630575707517</v>
      </c>
      <c r="D1396" s="30" t="n">
        <v>0.0787430606290886</v>
      </c>
      <c r="E1396" s="30" t="n">
        <v>0.266716350664093</v>
      </c>
      <c r="F1396" s="30" t="n">
        <v>0.0203948049521371</v>
      </c>
      <c r="G1396" s="30" t="n">
        <v>0.145636869376994</v>
      </c>
      <c r="H1396" s="31" t="n">
        <f aca="false">MAX(D1396,F1396+0.015)</f>
        <v>0.0787430606290886</v>
      </c>
      <c r="I1396" s="25" t="n">
        <f aca="false">(C1396-'DCF Base Case'!$B$3)*(1-E1396)+'DCF Base Case'!$B$3-G1396</f>
        <v>0.194306460996966</v>
      </c>
      <c r="J1396" s="24" t="n">
        <f aca="false">'DCF Base Case'!$B$2*(1+B1396)^1*$I1396-'DCF Base Case'!$B$2*(1+B1396)^0*B1396*'DCF Base Case'!$B$4</f>
        <v>30.4363264724069</v>
      </c>
      <c r="K1396" s="24" t="n">
        <f aca="false">'DCF Base Case'!$B$2*(1+B1396)^2*$I1396-'DCF Base Case'!$B$2*(1+B1396)^1*B1396*'DCF Base Case'!$B$4</f>
        <v>33.3259482337463</v>
      </c>
      <c r="L1396" s="24" t="n">
        <f aca="false">'DCF Base Case'!$B$2*(1+B1396)^3*$I1396-'DCF Base Case'!$B$2*(1+B1396)^2*B1396*'DCF Base Case'!$B$4</f>
        <v>36.4899103932666</v>
      </c>
      <c r="M1396" s="24" t="n">
        <f aca="false">'DCF Base Case'!$B$2*(1+B1396)^4*$I1396-'DCF Base Case'!$B$2*(1+B1396)^3*B1396*'DCF Base Case'!$B$4</f>
        <v>39.9542588006639</v>
      </c>
      <c r="N1396" s="24" t="n">
        <f aca="false">'DCF Base Case'!$B$2*(1+B1396)^5*$I1396-'DCF Base Case'!$B$2*(1+B1396)^4*B1396*'DCF Base Case'!$B$4</f>
        <v>43.7475120959738</v>
      </c>
      <c r="O1396" s="24" t="n">
        <f aca="false">J1396/(1+H1396)^1+K1396/(1+H1396)^2+L1396/(1+H1396)^3+M1396/(1+H1396)^4+N1396/(1+H1396)^5</f>
        <v>145.373486891953</v>
      </c>
      <c r="P1396" s="24" t="n">
        <f aca="false">N1396*(1+F1396)/(H1396-F1396)</f>
        <v>765.056873670104</v>
      </c>
      <c r="Q1396" s="24" t="n">
        <f aca="false">O1396+P1396/(1+H1396)^5</f>
        <v>669.098898173158</v>
      </c>
      <c r="R1396" s="24" t="n">
        <f aca="false">Q1396-'DCF Base Case'!$B$5</f>
        <v>484.098898173158</v>
      </c>
      <c r="S1396" s="32" t="n">
        <f aca="false">R1396/'DCF Base Case'!$B$6</f>
        <v>19.3639559269263</v>
      </c>
    </row>
    <row r="1397" customFormat="false" ht="15" hidden="false" customHeight="true" outlineLevel="0" collapsed="false">
      <c r="A1397" s="6" t="n">
        <v>1396</v>
      </c>
      <c r="B1397" s="30" t="n">
        <v>0.0996433408588482</v>
      </c>
      <c r="C1397" s="30" t="n">
        <v>0.408270535888911</v>
      </c>
      <c r="D1397" s="30" t="n">
        <v>0.0864010403511305</v>
      </c>
      <c r="E1397" s="30" t="n">
        <v>0.321302768594058</v>
      </c>
      <c r="F1397" s="30" t="n">
        <v>0.0187070556099126</v>
      </c>
      <c r="G1397" s="30" t="n">
        <v>0.187242939010669</v>
      </c>
      <c r="H1397" s="31" t="n">
        <f aca="false">MAX(D1397,F1397+0.015)</f>
        <v>0.0864010403511305</v>
      </c>
      <c r="I1397" s="25" t="n">
        <f aca="false">(C1397-'DCF Base Case'!$B$3)*(1-E1397)+'DCF Base Case'!$B$3-G1397</f>
        <v>0.131618503278983</v>
      </c>
      <c r="J1397" s="24" t="n">
        <f aca="false">'DCF Base Case'!$B$2*(1+B1397)^1*$I1397-'DCF Base Case'!$B$2*(1+B1397)^0*B1397*'DCF Base Case'!$B$4</f>
        <v>20.5528960136226</v>
      </c>
      <c r="K1397" s="24" t="n">
        <f aca="false">'DCF Base Case'!$B$2*(1+B1397)^2*$I1397-'DCF Base Case'!$B$2*(1+B1397)^1*B1397*'DCF Base Case'!$B$4</f>
        <v>22.6008552367444</v>
      </c>
      <c r="L1397" s="24" t="n">
        <f aca="false">'DCF Base Case'!$B$2*(1+B1397)^3*$I1397-'DCF Base Case'!$B$2*(1+B1397)^2*B1397*'DCF Base Case'!$B$4</f>
        <v>24.8528799588008</v>
      </c>
      <c r="M1397" s="24" t="n">
        <f aca="false">'DCF Base Case'!$B$2*(1+B1397)^4*$I1397-'DCF Base Case'!$B$2*(1+B1397)^3*B1397*'DCF Base Case'!$B$4</f>
        <v>27.3293039478597</v>
      </c>
      <c r="N1397" s="24" t="n">
        <f aca="false">'DCF Base Case'!$B$2*(1+B1397)^5*$I1397-'DCF Base Case'!$B$2*(1+B1397)^4*B1397*'DCF Base Case'!$B$4</f>
        <v>30.0524870965713</v>
      </c>
      <c r="O1397" s="24" t="n">
        <f aca="false">J1397/(1+H1397)^1+K1397/(1+H1397)^2+L1397/(1+H1397)^3+M1397/(1+H1397)^4+N1397/(1+H1397)^5</f>
        <v>96.9259248360719</v>
      </c>
      <c r="P1397" s="24" t="n">
        <f aca="false">N1397*(1+F1397)/(H1397-F1397)</f>
        <v>452.251123359595</v>
      </c>
      <c r="Q1397" s="24" t="n">
        <f aca="false">O1397+P1397/(1+H1397)^5</f>
        <v>395.759086834663</v>
      </c>
      <c r="R1397" s="24" t="n">
        <f aca="false">Q1397-'DCF Base Case'!$B$5</f>
        <v>210.759086834663</v>
      </c>
      <c r="S1397" s="32" t="n">
        <f aca="false">R1397/'DCF Base Case'!$B$6</f>
        <v>8.43036347338652</v>
      </c>
    </row>
    <row r="1398" customFormat="false" ht="15" hidden="false" customHeight="true" outlineLevel="0" collapsed="false">
      <c r="A1398" s="6" t="n">
        <v>1397</v>
      </c>
      <c r="B1398" s="30" t="n">
        <v>0.0535210671853482</v>
      </c>
      <c r="C1398" s="30" t="n">
        <v>0.389271143634971</v>
      </c>
      <c r="D1398" s="30" t="n">
        <v>0.0853045748318368</v>
      </c>
      <c r="E1398" s="30" t="n">
        <v>0.333584435939928</v>
      </c>
      <c r="F1398" s="30" t="n">
        <v>0.012091679164301</v>
      </c>
      <c r="G1398" s="30" t="n">
        <v>0.163167453826893</v>
      </c>
      <c r="H1398" s="31" t="n">
        <f aca="false">MAX(D1398,F1398+0.015)</f>
        <v>0.0853045748318368</v>
      </c>
      <c r="I1398" s="25" t="n">
        <f aca="false">(C1398-'DCF Base Case'!$B$3)*(1-E1398)+'DCF Base Case'!$B$3-G1398</f>
        <v>0.139614871603106</v>
      </c>
      <c r="J1398" s="24" t="n">
        <f aca="false">'DCF Base Case'!$B$2*(1+B1398)^1*$I1398-'DCF Base Case'!$B$2*(1+B1398)^0*B1398*'DCF Base Case'!$B$4</f>
        <v>21.09482859405</v>
      </c>
      <c r="K1398" s="24" t="n">
        <f aca="false">'DCF Base Case'!$B$2*(1+B1398)^2*$I1398-'DCF Base Case'!$B$2*(1+B1398)^1*B1398*'DCF Base Case'!$B$4</f>
        <v>22.2238463324955</v>
      </c>
      <c r="L1398" s="24" t="n">
        <f aca="false">'DCF Base Case'!$B$2*(1+B1398)^3*$I1398-'DCF Base Case'!$B$2*(1+B1398)^2*B1398*'DCF Base Case'!$B$4</f>
        <v>23.4132903051738</v>
      </c>
      <c r="M1398" s="24" t="n">
        <f aca="false">'DCF Base Case'!$B$2*(1+B1398)^4*$I1398-'DCF Base Case'!$B$2*(1+B1398)^3*B1398*'DCF Base Case'!$B$4</f>
        <v>24.6663945886271</v>
      </c>
      <c r="N1398" s="24" t="n">
        <f aca="false">'DCF Base Case'!$B$2*(1+B1398)^5*$I1398-'DCF Base Case'!$B$2*(1+B1398)^4*B1398*'DCF Base Case'!$B$4</f>
        <v>25.9865663506253</v>
      </c>
      <c r="O1398" s="24" t="n">
        <f aca="false">J1398/(1+H1398)^1+K1398/(1+H1398)^2+L1398/(1+H1398)^3+M1398/(1+H1398)^4+N1398/(1+H1398)^5</f>
        <v>91.6560533451185</v>
      </c>
      <c r="P1398" s="24" t="n">
        <f aca="false">N1398*(1+F1398)/(H1398-F1398)</f>
        <v>359.237089773807</v>
      </c>
      <c r="Q1398" s="24" t="n">
        <f aca="false">O1398+P1398/(1+H1398)^5</f>
        <v>330.229992345091</v>
      </c>
      <c r="R1398" s="24" t="n">
        <f aca="false">Q1398-'DCF Base Case'!$B$5</f>
        <v>145.229992345091</v>
      </c>
      <c r="S1398" s="32" t="n">
        <f aca="false">R1398/'DCF Base Case'!$B$6</f>
        <v>5.80919969380364</v>
      </c>
    </row>
    <row r="1399" customFormat="false" ht="15" hidden="false" customHeight="true" outlineLevel="0" collapsed="false">
      <c r="A1399" s="6" t="n">
        <v>1398</v>
      </c>
      <c r="B1399" s="30" t="n">
        <v>0.120947290957946</v>
      </c>
      <c r="C1399" s="30" t="n">
        <v>0.409645836323773</v>
      </c>
      <c r="D1399" s="30" t="n">
        <v>0.0826587730853176</v>
      </c>
      <c r="E1399" s="30" t="n">
        <v>0.289473745503774</v>
      </c>
      <c r="F1399" s="30" t="n">
        <v>0.0200154524045822</v>
      </c>
      <c r="G1399" s="30" t="n">
        <v>0.201232819029481</v>
      </c>
      <c r="H1399" s="31" t="n">
        <f aca="false">MAX(D1399,F1399+0.015)</f>
        <v>0.0826587730853176</v>
      </c>
      <c r="I1399" s="25" t="n">
        <f aca="false">(C1399-'DCF Base Case'!$B$3)*(1-E1399)+'DCF Base Case'!$B$3-G1399</f>
        <v>0.127462889639114</v>
      </c>
      <c r="J1399" s="24" t="n">
        <f aca="false">'DCF Base Case'!$B$2*(1+B1399)^1*$I1399-'DCF Base Case'!$B$2*(1+B1399)^0*B1399*'DCF Base Case'!$B$4</f>
        <v>20.1913605059352</v>
      </c>
      <c r="K1399" s="24" t="n">
        <f aca="false">'DCF Base Case'!$B$2*(1+B1399)^2*$I1399-'DCF Base Case'!$B$2*(1+B1399)^1*B1399*'DCF Base Case'!$B$4</f>
        <v>22.6334508598834</v>
      </c>
      <c r="L1399" s="24" t="n">
        <f aca="false">'DCF Base Case'!$B$2*(1+B1399)^3*$I1399-'DCF Base Case'!$B$2*(1+B1399)^2*B1399*'DCF Base Case'!$B$4</f>
        <v>25.3709054264161</v>
      </c>
      <c r="M1399" s="24" t="n">
        <f aca="false">'DCF Base Case'!$B$2*(1+B1399)^4*$I1399-'DCF Base Case'!$B$2*(1+B1399)^3*B1399*'DCF Base Case'!$B$4</f>
        <v>28.4394477068913</v>
      </c>
      <c r="N1399" s="24" t="n">
        <f aca="false">'DCF Base Case'!$B$2*(1+B1399)^5*$I1399-'DCF Base Case'!$B$2*(1+B1399)^4*B1399*'DCF Base Case'!$B$4</f>
        <v>31.87912186338</v>
      </c>
      <c r="O1399" s="24" t="n">
        <f aca="false">J1399/(1+H1399)^1+K1399/(1+H1399)^2+L1399/(1+H1399)^3+M1399/(1+H1399)^4+N1399/(1+H1399)^5</f>
        <v>100.081913945782</v>
      </c>
      <c r="P1399" s="24" t="n">
        <f aca="false">N1399*(1+F1399)/(H1399-F1399)</f>
        <v>519.084821117032</v>
      </c>
      <c r="Q1399" s="24" t="n">
        <f aca="false">O1399+P1399/(1+H1399)^5</f>
        <v>449.045677676746</v>
      </c>
      <c r="R1399" s="24" t="n">
        <f aca="false">Q1399-'DCF Base Case'!$B$5</f>
        <v>264.045677676746</v>
      </c>
      <c r="S1399" s="32" t="n">
        <f aca="false">R1399/'DCF Base Case'!$B$6</f>
        <v>10.5618271070698</v>
      </c>
    </row>
    <row r="1400" customFormat="false" ht="15" hidden="false" customHeight="true" outlineLevel="0" collapsed="false">
      <c r="A1400" s="6" t="n">
        <v>1399</v>
      </c>
      <c r="B1400" s="30" t="n">
        <v>0.0995707011140567</v>
      </c>
      <c r="C1400" s="30" t="n">
        <v>0.442039663561175</v>
      </c>
      <c r="D1400" s="30" t="n">
        <v>0.081039908069591</v>
      </c>
      <c r="E1400" s="30" t="n">
        <v>0.262661332605402</v>
      </c>
      <c r="F1400" s="30" t="n">
        <v>0.0184778513102902</v>
      </c>
      <c r="G1400" s="30" t="n">
        <v>0.142199737166882</v>
      </c>
      <c r="H1400" s="31" t="n">
        <f aca="false">MAX(D1400,F1400+0.015)</f>
        <v>0.081039908069591</v>
      </c>
      <c r="I1400" s="25" t="n">
        <f aca="false">(C1400-'DCF Base Case'!$B$3)*(1-E1400)+'DCF Base Case'!$B$3-G1400</f>
        <v>0.217879172537574</v>
      </c>
      <c r="J1400" s="24" t="n">
        <f aca="false">'DCF Base Case'!$B$2*(1+B1400)^1*$I1400-'DCF Base Case'!$B$2*(1+B1400)^0*B1400*'DCF Base Case'!$B$4</f>
        <v>34.3050328534209</v>
      </c>
      <c r="K1400" s="24" t="n">
        <f aca="false">'DCF Base Case'!$B$2*(1+B1400)^2*$I1400-'DCF Base Case'!$B$2*(1+B1400)^1*B1400*'DCF Base Case'!$B$4</f>
        <v>37.7208090263768</v>
      </c>
      <c r="L1400" s="24" t="n">
        <f aca="false">'DCF Base Case'!$B$2*(1+B1400)^3*$I1400-'DCF Base Case'!$B$2*(1+B1400)^2*B1400*'DCF Base Case'!$B$4</f>
        <v>41.4766964277226</v>
      </c>
      <c r="M1400" s="24" t="n">
        <f aca="false">'DCF Base Case'!$B$2*(1+B1400)^4*$I1400-'DCF Base Case'!$B$2*(1+B1400)^3*B1400*'DCF Base Case'!$B$4</f>
        <v>45.6065601709258</v>
      </c>
      <c r="N1400" s="24" t="n">
        <f aca="false">'DCF Base Case'!$B$2*(1+B1400)^5*$I1400-'DCF Base Case'!$B$2*(1+B1400)^4*B1400*'DCF Base Case'!$B$4</f>
        <v>50.1476373425453</v>
      </c>
      <c r="O1400" s="24" t="n">
        <f aca="false">J1400/(1+H1400)^1+K1400/(1+H1400)^2+L1400/(1+H1400)^3+M1400/(1+H1400)^4+N1400/(1+H1400)^5</f>
        <v>164.200483515716</v>
      </c>
      <c r="P1400" s="24" t="n">
        <f aca="false">N1400*(1+F1400)/(H1400-F1400)</f>
        <v>816.377538951839</v>
      </c>
      <c r="Q1400" s="24" t="n">
        <f aca="false">O1400+P1400/(1+H1400)^5</f>
        <v>717.146092105892</v>
      </c>
      <c r="R1400" s="24" t="n">
        <f aca="false">Q1400-'DCF Base Case'!$B$5</f>
        <v>532.146092105892</v>
      </c>
      <c r="S1400" s="32" t="n">
        <f aca="false">R1400/'DCF Base Case'!$B$6</f>
        <v>21.2858436842357</v>
      </c>
    </row>
    <row r="1401" customFormat="false" ht="15" hidden="false" customHeight="true" outlineLevel="0" collapsed="false">
      <c r="A1401" s="6" t="n">
        <v>1400</v>
      </c>
      <c r="B1401" s="30" t="n">
        <v>0.100353674286348</v>
      </c>
      <c r="C1401" s="30" t="n">
        <v>0.41042477248263</v>
      </c>
      <c r="D1401" s="30" t="n">
        <v>0.0776103221002478</v>
      </c>
      <c r="E1401" s="30" t="n">
        <v>0.29468997159218</v>
      </c>
      <c r="F1401" s="30" t="n">
        <v>0.0147026464553518</v>
      </c>
      <c r="G1401" s="30" t="n">
        <v>0.183626848818095</v>
      </c>
      <c r="H1401" s="31" t="n">
        <f aca="false">MAX(D1401,F1401+0.015)</f>
        <v>0.0776103221002478</v>
      </c>
      <c r="I1401" s="25" t="n">
        <f aca="false">(C1401-'DCF Base Case'!$B$3)*(1-E1401)+'DCF Base Case'!$B$3-G1401</f>
        <v>0.144159555427885</v>
      </c>
      <c r="J1401" s="24" t="n">
        <f aca="false">'DCF Base Case'!$B$2*(1+B1401)^1*$I1401-'DCF Base Case'!$B$2*(1+B1401)^0*B1401*'DCF Base Case'!$B$4</f>
        <v>22.5643035091456</v>
      </c>
      <c r="K1401" s="24" t="n">
        <f aca="false">'DCF Base Case'!$B$2*(1+B1401)^2*$I1401-'DCF Base Case'!$B$2*(1+B1401)^1*B1401*'DCF Base Case'!$B$4</f>
        <v>24.8287142740007</v>
      </c>
      <c r="L1401" s="24" t="n">
        <f aca="false">'DCF Base Case'!$B$2*(1+B1401)^3*$I1401-'DCF Base Case'!$B$2*(1+B1401)^2*B1401*'DCF Base Case'!$B$4</f>
        <v>27.3203669792025</v>
      </c>
      <c r="M1401" s="24" t="n">
        <f aca="false">'DCF Base Case'!$B$2*(1+B1401)^4*$I1401-'DCF Base Case'!$B$2*(1+B1401)^3*B1401*'DCF Base Case'!$B$4</f>
        <v>30.0620661884169</v>
      </c>
      <c r="N1401" s="24" t="n">
        <f aca="false">'DCF Base Case'!$B$2*(1+B1401)^5*$I1401-'DCF Base Case'!$B$2*(1+B1401)^4*B1401*'DCF Base Case'!$B$4</f>
        <v>33.078904987064</v>
      </c>
      <c r="O1401" s="24" t="n">
        <f aca="false">J1401/(1+H1401)^1+K1401/(1+H1401)^2+L1401/(1+H1401)^3+M1401/(1+H1401)^4+N1401/(1+H1401)^5</f>
        <v>109.209578799335</v>
      </c>
      <c r="P1401" s="24" t="n">
        <f aca="false">N1401*(1+F1401)/(H1401-F1401)</f>
        <v>533.563704081034</v>
      </c>
      <c r="Q1401" s="24" t="n">
        <f aca="false">O1401+P1401/(1+H1401)^5</f>
        <v>476.388351004847</v>
      </c>
      <c r="R1401" s="24" t="n">
        <f aca="false">Q1401-'DCF Base Case'!$B$5</f>
        <v>291.388351004847</v>
      </c>
      <c r="S1401" s="32" t="n">
        <f aca="false">R1401/'DCF Base Case'!$B$6</f>
        <v>11.6555340401939</v>
      </c>
    </row>
    <row r="1402" customFormat="false" ht="15" hidden="false" customHeight="true" outlineLevel="0" collapsed="false">
      <c r="A1402" s="6" t="n">
        <v>1401</v>
      </c>
      <c r="B1402" s="30" t="n">
        <v>0.0797621078823653</v>
      </c>
      <c r="C1402" s="30" t="n">
        <v>0.433225843646417</v>
      </c>
      <c r="D1402" s="30" t="n">
        <v>0.0806798866394748</v>
      </c>
      <c r="E1402" s="30" t="n">
        <v>0.298903451809348</v>
      </c>
      <c r="F1402" s="30" t="n">
        <v>0.0199984542423798</v>
      </c>
      <c r="G1402" s="30" t="n">
        <v>0.182975582040629</v>
      </c>
      <c r="H1402" s="31" t="n">
        <f aca="false">MAX(D1402,F1402+0.015)</f>
        <v>0.0806798866394748</v>
      </c>
      <c r="I1402" s="25" t="n">
        <f aca="false">(C1402-'DCF Base Case'!$B$3)*(1-E1402)+'DCF Base Case'!$B$3-G1402</f>
        <v>0.159615010262072</v>
      </c>
      <c r="J1402" s="24" t="n">
        <f aca="false">'DCF Base Case'!$B$2*(1+B1402)^1*$I1402-'DCF Base Case'!$B$2*(1+B1402)^0*B1402*'DCF Base Case'!$B$4</f>
        <v>24.6432396205966</v>
      </c>
      <c r="K1402" s="24" t="n">
        <f aca="false">'DCF Base Case'!$B$2*(1+B1402)^2*$I1402-'DCF Base Case'!$B$2*(1+B1402)^1*B1402*'DCF Base Case'!$B$4</f>
        <v>26.6088363577856</v>
      </c>
      <c r="L1402" s="24" t="n">
        <f aca="false">'DCF Base Case'!$B$2*(1+B1402)^3*$I1402-'DCF Base Case'!$B$2*(1+B1402)^2*B1402*'DCF Base Case'!$B$4</f>
        <v>28.7312132339795</v>
      </c>
      <c r="M1402" s="24" t="n">
        <f aca="false">'DCF Base Case'!$B$2*(1+B1402)^4*$I1402-'DCF Base Case'!$B$2*(1+B1402)^3*B1402*'DCF Base Case'!$B$4</f>
        <v>31.0228753635394</v>
      </c>
      <c r="N1402" s="24" t="n">
        <f aca="false">'DCF Base Case'!$B$2*(1+B1402)^5*$I1402-'DCF Base Case'!$B$2*(1+B1402)^4*B1402*'DCF Base Case'!$B$4</f>
        <v>33.4973252951072</v>
      </c>
      <c r="O1402" s="24" t="n">
        <f aca="false">J1402/(1+H1402)^1+K1402/(1+H1402)^2+L1402/(1+H1402)^3+M1402/(1+H1402)^4+N1402/(1+H1402)^5</f>
        <v>113.82379924184</v>
      </c>
      <c r="P1402" s="24" t="n">
        <f aca="false">N1402*(1+F1402)/(H1402-F1402)</f>
        <v>563.058890875806</v>
      </c>
      <c r="Q1402" s="24" t="n">
        <f aca="false">O1402+P1402/(1+H1402)^5</f>
        <v>495.828298196809</v>
      </c>
      <c r="R1402" s="24" t="n">
        <f aca="false">Q1402-'DCF Base Case'!$B$5</f>
        <v>310.828298196809</v>
      </c>
      <c r="S1402" s="32" t="n">
        <f aca="false">R1402/'DCF Base Case'!$B$6</f>
        <v>12.4331319278724</v>
      </c>
    </row>
    <row r="1403" customFormat="false" ht="15" hidden="false" customHeight="true" outlineLevel="0" collapsed="false">
      <c r="A1403" s="6" t="n">
        <v>1402</v>
      </c>
      <c r="B1403" s="30" t="n">
        <v>0.0922388365566368</v>
      </c>
      <c r="C1403" s="30" t="n">
        <v>0.379640645095797</v>
      </c>
      <c r="D1403" s="30" t="n">
        <v>0.0960967289316635</v>
      </c>
      <c r="E1403" s="30" t="n">
        <v>0.277227319903351</v>
      </c>
      <c r="F1403" s="30" t="n">
        <v>0.0221890387012514</v>
      </c>
      <c r="G1403" s="30" t="n">
        <v>0.181657887371616</v>
      </c>
      <c r="H1403" s="31" t="n">
        <f aca="false">MAX(D1403,F1403+0.015)</f>
        <v>0.0960967289316635</v>
      </c>
      <c r="I1403" s="25" t="n">
        <f aca="false">(C1403-'DCF Base Case'!$B$3)*(1-E1403)+'DCF Base Case'!$B$3-G1403</f>
        <v>0.12877555074533</v>
      </c>
      <c r="J1403" s="24" t="n">
        <f aca="false">'DCF Base Case'!$B$2*(1+B1403)^1*$I1403-'DCF Base Case'!$B$2*(1+B1403)^0*B1403*'DCF Base Case'!$B$4</f>
        <v>19.9935414308164</v>
      </c>
      <c r="K1403" s="24" t="n">
        <f aca="false">'DCF Base Case'!$B$2*(1+B1403)^2*$I1403-'DCF Base Case'!$B$2*(1+B1403)^1*B1403*'DCF Base Case'!$B$4</f>
        <v>21.8377224310418</v>
      </c>
      <c r="L1403" s="24" t="n">
        <f aca="false">'DCF Base Case'!$B$2*(1+B1403)^3*$I1403-'DCF Base Case'!$B$2*(1+B1403)^2*B1403*'DCF Base Case'!$B$4</f>
        <v>23.8520085411279</v>
      </c>
      <c r="M1403" s="24" t="n">
        <f aca="false">'DCF Base Case'!$B$2*(1+B1403)^4*$I1403-'DCF Base Case'!$B$2*(1+B1403)^3*B1403*'DCF Base Case'!$B$4</f>
        <v>26.0520900585005</v>
      </c>
      <c r="N1403" s="24" t="n">
        <f aca="false">'DCF Base Case'!$B$2*(1+B1403)^5*$I1403-'DCF Base Case'!$B$2*(1+B1403)^4*B1403*'DCF Base Case'!$B$4</f>
        <v>28.4551045353653</v>
      </c>
      <c r="O1403" s="24" t="n">
        <f aca="false">J1403/(1+H1403)^1+K1403/(1+H1403)^2+L1403/(1+H1403)^3+M1403/(1+H1403)^4+N1403/(1+H1403)^5</f>
        <v>90.5636076386561</v>
      </c>
      <c r="P1403" s="24" t="n">
        <f aca="false">N1403*(1+F1403)/(H1403-F1403)</f>
        <v>393.551684005678</v>
      </c>
      <c r="Q1403" s="24" t="n">
        <f aca="false">O1403+P1403/(1+H1403)^5</f>
        <v>339.310329825289</v>
      </c>
      <c r="R1403" s="24" t="n">
        <f aca="false">Q1403-'DCF Base Case'!$B$5</f>
        <v>154.310329825289</v>
      </c>
      <c r="S1403" s="32" t="n">
        <f aca="false">R1403/'DCF Base Case'!$B$6</f>
        <v>6.17241319301155</v>
      </c>
    </row>
    <row r="1404" customFormat="false" ht="15" hidden="false" customHeight="true" outlineLevel="0" collapsed="false">
      <c r="A1404" s="6" t="n">
        <v>1403</v>
      </c>
      <c r="B1404" s="30" t="n">
        <v>0.0731416255598805</v>
      </c>
      <c r="C1404" s="30" t="n">
        <v>0.387901285943377</v>
      </c>
      <c r="D1404" s="30" t="n">
        <v>0.0922089061159391</v>
      </c>
      <c r="E1404" s="30" t="n">
        <v>0.271708336524887</v>
      </c>
      <c r="F1404" s="30" t="n">
        <v>0.0227139211044902</v>
      </c>
      <c r="G1404" s="30" t="n">
        <v>0.161482442872531</v>
      </c>
      <c r="H1404" s="31" t="n">
        <f aca="false">MAX(D1404,F1404+0.015)</f>
        <v>0.0922089061159391</v>
      </c>
      <c r="I1404" s="25" t="n">
        <f aca="false">(C1404-'DCF Base Case'!$B$3)*(1-E1404)+'DCF Base Case'!$B$3-G1404</f>
        <v>0.156344913679542</v>
      </c>
      <c r="J1404" s="24" t="n">
        <f aca="false">'DCF Base Case'!$B$2*(1+B1404)^1*$I1404-'DCF Base Case'!$B$2*(1+B1404)^0*B1404*'DCF Base Case'!$B$4</f>
        <v>24.0099679768565</v>
      </c>
      <c r="K1404" s="24" t="n">
        <f aca="false">'DCF Base Case'!$B$2*(1+B1404)^2*$I1404-'DCF Base Case'!$B$2*(1+B1404)^1*B1404*'DCF Base Case'!$B$4</f>
        <v>25.7660960643245</v>
      </c>
      <c r="L1404" s="24" t="n">
        <f aca="false">'DCF Base Case'!$B$2*(1+B1404)^3*$I1404-'DCF Base Case'!$B$2*(1+B1404)^2*B1404*'DCF Base Case'!$B$4</f>
        <v>27.6506702148012</v>
      </c>
      <c r="M1404" s="24" t="n">
        <f aca="false">'DCF Base Case'!$B$2*(1+B1404)^4*$I1404-'DCF Base Case'!$B$2*(1+B1404)^3*B1404*'DCF Base Case'!$B$4</f>
        <v>29.6730851821319</v>
      </c>
      <c r="N1404" s="24" t="n">
        <f aca="false">'DCF Base Case'!$B$2*(1+B1404)^5*$I1404-'DCF Base Case'!$B$2*(1+B1404)^4*B1404*'DCF Base Case'!$B$4</f>
        <v>31.8434228677299</v>
      </c>
      <c r="O1404" s="24" t="n">
        <f aca="false">J1404/(1+H1404)^1+K1404/(1+H1404)^2+L1404/(1+H1404)^3+M1404/(1+H1404)^4+N1404/(1+H1404)^5</f>
        <v>106.143455846717</v>
      </c>
      <c r="P1404" s="24" t="n">
        <f aca="false">N1404*(1+F1404)/(H1404-F1404)</f>
        <v>468.619596897233</v>
      </c>
      <c r="Q1404" s="24" t="n">
        <f aca="false">O1404+P1404/(1+H1404)^5</f>
        <v>407.646622868603</v>
      </c>
      <c r="R1404" s="24" t="n">
        <f aca="false">Q1404-'DCF Base Case'!$B$5</f>
        <v>222.646622868603</v>
      </c>
      <c r="S1404" s="32" t="n">
        <f aca="false">R1404/'DCF Base Case'!$B$6</f>
        <v>8.90586491474413</v>
      </c>
    </row>
    <row r="1405" customFormat="false" ht="15" hidden="false" customHeight="true" outlineLevel="0" collapsed="false">
      <c r="A1405" s="6" t="n">
        <v>1404</v>
      </c>
      <c r="B1405" s="30" t="n">
        <v>0.112336208754771</v>
      </c>
      <c r="C1405" s="30" t="n">
        <v>0.429986178492162</v>
      </c>
      <c r="D1405" s="30" t="n">
        <v>0.0881677249308557</v>
      </c>
      <c r="E1405" s="30" t="n">
        <v>0.270041011281325</v>
      </c>
      <c r="F1405" s="30" t="n">
        <v>0.0201812902505331</v>
      </c>
      <c r="G1405" s="30" t="n">
        <v>0.193565530421976</v>
      </c>
      <c r="H1405" s="31" t="n">
        <f aca="false">MAX(D1405,F1405+0.015)</f>
        <v>0.0881677249308557</v>
      </c>
      <c r="I1405" s="25" t="n">
        <f aca="false">(C1405-'DCF Base Case'!$B$3)*(1-E1405)+'DCF Base Case'!$B$3-G1405</f>
        <v>0.155412077059742</v>
      </c>
      <c r="J1405" s="24" t="n">
        <f aca="false">'DCF Base Case'!$B$2*(1+B1405)^1*$I1405-'DCF Base Case'!$B$2*(1+B1405)^0*B1405*'DCF Base Case'!$B$4</f>
        <v>24.5775571776608</v>
      </c>
      <c r="K1405" s="24" t="n">
        <f aca="false">'DCF Base Case'!$B$2*(1+B1405)^2*$I1405-'DCF Base Case'!$B$2*(1+B1405)^1*B1405*'DCF Base Case'!$B$4</f>
        <v>27.3385067714528</v>
      </c>
      <c r="L1405" s="24" t="n">
        <f aca="false">'DCF Base Case'!$B$2*(1+B1405)^3*$I1405-'DCF Base Case'!$B$2*(1+B1405)^2*B1405*'DCF Base Case'!$B$4</f>
        <v>30.4096109751745</v>
      </c>
      <c r="M1405" s="24" t="n">
        <f aca="false">'DCF Base Case'!$B$2*(1+B1405)^4*$I1405-'DCF Base Case'!$B$2*(1+B1405)^3*B1405*'DCF Base Case'!$B$4</f>
        <v>33.825711381833</v>
      </c>
      <c r="N1405" s="24" t="n">
        <f aca="false">'DCF Base Case'!$B$2*(1+B1405)^5*$I1405-'DCF Base Case'!$B$2*(1+B1405)^4*B1405*'DCF Base Case'!$B$4</f>
        <v>37.6255635569013</v>
      </c>
      <c r="O1405" s="24" t="n">
        <f aca="false">J1405/(1+H1405)^1+K1405/(1+H1405)^2+L1405/(1+H1405)^3+M1405/(1+H1405)^4+N1405/(1+H1405)^5</f>
        <v>118.060032175965</v>
      </c>
      <c r="P1405" s="24" t="n">
        <f aca="false">N1405*(1+F1405)/(H1405-F1405)</f>
        <v>564.596395683517</v>
      </c>
      <c r="Q1405" s="24" t="n">
        <f aca="false">O1405+P1405/(1+H1405)^5</f>
        <v>488.108745452694</v>
      </c>
      <c r="R1405" s="24" t="n">
        <f aca="false">Q1405-'DCF Base Case'!$B$5</f>
        <v>303.108745452694</v>
      </c>
      <c r="S1405" s="32" t="n">
        <f aca="false">R1405/'DCF Base Case'!$B$6</f>
        <v>12.1243498181078</v>
      </c>
    </row>
    <row r="1406" customFormat="false" ht="15" hidden="false" customHeight="true" outlineLevel="0" collapsed="false">
      <c r="A1406" s="6" t="n">
        <v>1405</v>
      </c>
      <c r="B1406" s="30" t="n">
        <v>0.0889071442778562</v>
      </c>
      <c r="C1406" s="30" t="n">
        <v>0.424440986201901</v>
      </c>
      <c r="D1406" s="30" t="n">
        <v>0.0855099608387468</v>
      </c>
      <c r="E1406" s="30" t="n">
        <v>0.283223183011623</v>
      </c>
      <c r="F1406" s="30" t="n">
        <v>0.0251407762854124</v>
      </c>
      <c r="G1406" s="30" t="n">
        <v>0.193762537740996</v>
      </c>
      <c r="H1406" s="31" t="n">
        <f aca="false">MAX(D1406,F1406+0.015)</f>
        <v>0.0855099608387468</v>
      </c>
      <c r="I1406" s="25" t="n">
        <f aca="false">(C1406-'DCF Base Case'!$B$3)*(1-E1406)+'DCF Base Case'!$B$3-G1406</f>
        <v>0.147285935139721</v>
      </c>
      <c r="J1406" s="24" t="n">
        <f aca="false">'DCF Base Case'!$B$2*(1+B1406)^1*$I1406-'DCF Base Case'!$B$2*(1+B1406)^0*B1406*'DCF Base Case'!$B$4</f>
        <v>22.868456441058</v>
      </c>
      <c r="K1406" s="24" t="n">
        <f aca="false">'DCF Base Case'!$B$2*(1+B1406)^2*$I1406-'DCF Base Case'!$B$2*(1+B1406)^1*B1406*'DCF Base Case'!$B$4</f>
        <v>24.901625597275</v>
      </c>
      <c r="L1406" s="24" t="n">
        <f aca="false">'DCF Base Case'!$B$2*(1+B1406)^3*$I1406-'DCF Base Case'!$B$2*(1+B1406)^2*B1406*'DCF Base Case'!$B$4</f>
        <v>27.1155580170051</v>
      </c>
      <c r="M1406" s="24" t="n">
        <f aca="false">'DCF Base Case'!$B$2*(1+B1406)^4*$I1406-'DCF Base Case'!$B$2*(1+B1406)^3*B1406*'DCF Base Case'!$B$4</f>
        <v>29.5263248457976</v>
      </c>
      <c r="N1406" s="24" t="n">
        <f aca="false">'DCF Base Case'!$B$2*(1+B1406)^5*$I1406-'DCF Base Case'!$B$2*(1+B1406)^4*B1406*'DCF Base Case'!$B$4</f>
        <v>32.1514260688577</v>
      </c>
      <c r="O1406" s="24" t="n">
        <f aca="false">J1406/(1+H1406)^1+K1406/(1+H1406)^2+L1406/(1+H1406)^3+M1406/(1+H1406)^4+N1406/(1+H1406)^5</f>
        <v>105.996457751906</v>
      </c>
      <c r="P1406" s="24" t="n">
        <f aca="false">N1406*(1+F1406)/(H1406-F1406)</f>
        <v>545.969572436296</v>
      </c>
      <c r="Q1406" s="24" t="n">
        <f aca="false">O1406+P1406/(1+H1406)^5</f>
        <v>468.238934637539</v>
      </c>
      <c r="R1406" s="24" t="n">
        <f aca="false">Q1406-'DCF Base Case'!$B$5</f>
        <v>283.238934637539</v>
      </c>
      <c r="S1406" s="32" t="n">
        <f aca="false">R1406/'DCF Base Case'!$B$6</f>
        <v>11.3295573855016</v>
      </c>
    </row>
    <row r="1407" customFormat="false" ht="15" hidden="false" customHeight="true" outlineLevel="0" collapsed="false">
      <c r="A1407" s="6" t="n">
        <v>1406</v>
      </c>
      <c r="B1407" s="30" t="n">
        <v>0.0916080731387425</v>
      </c>
      <c r="C1407" s="30" t="n">
        <v>0.419520162394041</v>
      </c>
      <c r="D1407" s="30" t="n">
        <v>0.0772794244609393</v>
      </c>
      <c r="E1407" s="30" t="n">
        <v>0.274968241901653</v>
      </c>
      <c r="F1407" s="30" t="n">
        <v>0.020451640701436</v>
      </c>
      <c r="G1407" s="30" t="n">
        <v>0.185576866588358</v>
      </c>
      <c r="H1407" s="31" t="n">
        <f aca="false">MAX(D1407,F1407+0.015)</f>
        <v>0.0772794244609393</v>
      </c>
      <c r="I1407" s="25" t="n">
        <f aca="false">(C1407-'DCF Base Case'!$B$3)*(1-E1407)+'DCF Base Case'!$B$3-G1407</f>
        <v>0.154334445757112</v>
      </c>
      <c r="J1407" s="24" t="n">
        <f aca="false">'DCF Base Case'!$B$2*(1+B1407)^1*$I1407-'DCF Base Case'!$B$2*(1+B1407)^0*B1407*'DCF Base Case'!$B$4</f>
        <v>24.0300502898658</v>
      </c>
      <c r="K1407" s="24" t="n">
        <f aca="false">'DCF Base Case'!$B$2*(1+B1407)^2*$I1407-'DCF Base Case'!$B$2*(1+B1407)^1*B1407*'DCF Base Case'!$B$4</f>
        <v>26.2313968943475</v>
      </c>
      <c r="L1407" s="24" t="n">
        <f aca="false">'DCF Base Case'!$B$2*(1+B1407)^3*$I1407-'DCF Base Case'!$B$2*(1+B1407)^2*B1407*'DCF Base Case'!$B$4</f>
        <v>28.6344046195762</v>
      </c>
      <c r="M1407" s="24" t="n">
        <f aca="false">'DCF Base Case'!$B$2*(1+B1407)^4*$I1407-'DCF Base Case'!$B$2*(1+B1407)^3*B1407*'DCF Base Case'!$B$4</f>
        <v>31.2575472522507</v>
      </c>
      <c r="N1407" s="24" t="n">
        <f aca="false">'DCF Base Case'!$B$2*(1+B1407)^5*$I1407-'DCF Base Case'!$B$2*(1+B1407)^4*B1407*'DCF Base Case'!$B$4</f>
        <v>34.1209909270726</v>
      </c>
      <c r="O1407" s="24" t="n">
        <f aca="false">J1407/(1+H1407)^1+K1407/(1+H1407)^2+L1407/(1+H1407)^3+M1407/(1+H1407)^4+N1407/(1+H1407)^5</f>
        <v>114.537812719908</v>
      </c>
      <c r="P1407" s="24" t="n">
        <f aca="false">N1407*(1+F1407)/(H1407-F1407)</f>
        <v>612.707708631472</v>
      </c>
      <c r="Q1407" s="24" t="n">
        <f aca="false">O1407+P1407/(1+H1407)^5</f>
        <v>536.828514330323</v>
      </c>
      <c r="R1407" s="24" t="n">
        <f aca="false">Q1407-'DCF Base Case'!$B$5</f>
        <v>351.828514330323</v>
      </c>
      <c r="S1407" s="32" t="n">
        <f aca="false">R1407/'DCF Base Case'!$B$6</f>
        <v>14.0731405732129</v>
      </c>
    </row>
    <row r="1408" customFormat="false" ht="15" hidden="false" customHeight="true" outlineLevel="0" collapsed="false">
      <c r="A1408" s="6" t="n">
        <v>1407</v>
      </c>
      <c r="B1408" s="30" t="n">
        <v>0.106320478179115</v>
      </c>
      <c r="C1408" s="30" t="n">
        <v>0.396217468821249</v>
      </c>
      <c r="D1408" s="30" t="n">
        <v>0.095746810037465</v>
      </c>
      <c r="E1408" s="30" t="n">
        <v>0.277197842001036</v>
      </c>
      <c r="F1408" s="30" t="n">
        <v>0.0153215694752553</v>
      </c>
      <c r="G1408" s="30" t="n">
        <v>0.196670390978934</v>
      </c>
      <c r="H1408" s="31" t="n">
        <f aca="false">MAX(D1408,F1408+0.015)</f>
        <v>0.095746810037465</v>
      </c>
      <c r="I1408" s="25" t="n">
        <f aca="false">(C1408-'DCF Base Case'!$B$3)*(1-E1408)+'DCF Base Case'!$B$3-G1408</f>
        <v>0.125752169982087</v>
      </c>
      <c r="J1408" s="24" t="n">
        <f aca="false">'DCF Base Case'!$B$2*(1+B1408)^1*$I1408-'DCF Base Case'!$B$2*(1+B1408)^0*B1408*'DCF Base Case'!$B$4</f>
        <v>19.7102250397842</v>
      </c>
      <c r="K1408" s="24" t="n">
        <f aca="false">'DCF Base Case'!$B$2*(1+B1408)^2*$I1408-'DCF Base Case'!$B$2*(1+B1408)^1*B1408*'DCF Base Case'!$B$4</f>
        <v>21.805825591032</v>
      </c>
      <c r="L1408" s="24" t="n">
        <f aca="false">'DCF Base Case'!$B$2*(1+B1408)^3*$I1408-'DCF Base Case'!$B$2*(1+B1408)^2*B1408*'DCF Base Case'!$B$4</f>
        <v>24.1242313949609</v>
      </c>
      <c r="M1408" s="24" t="n">
        <f aca="false">'DCF Base Case'!$B$2*(1+B1408)^4*$I1408-'DCF Base Case'!$B$2*(1+B1408)^3*B1408*'DCF Base Case'!$B$4</f>
        <v>26.6891312125767</v>
      </c>
      <c r="N1408" s="24" t="n">
        <f aca="false">'DCF Base Case'!$B$2*(1+B1408)^5*$I1408-'DCF Base Case'!$B$2*(1+B1408)^4*B1408*'DCF Base Case'!$B$4</f>
        <v>29.526732405283</v>
      </c>
      <c r="O1408" s="24" t="n">
        <f aca="false">J1408/(1+H1408)^1+K1408/(1+H1408)^2+L1408/(1+H1408)^3+M1408/(1+H1408)^4+N1408/(1+H1408)^5</f>
        <v>91.6923065287729</v>
      </c>
      <c r="P1408" s="24" t="n">
        <f aca="false">N1408*(1+F1408)/(H1408-F1408)</f>
        <v>372.757707376936</v>
      </c>
      <c r="Q1408" s="24" t="n">
        <f aca="false">O1408+P1408/(1+H1408)^5</f>
        <v>327.672502234907</v>
      </c>
      <c r="R1408" s="24" t="n">
        <f aca="false">Q1408-'DCF Base Case'!$B$5</f>
        <v>142.672502234907</v>
      </c>
      <c r="S1408" s="32" t="n">
        <f aca="false">R1408/'DCF Base Case'!$B$6</f>
        <v>5.70690008939628</v>
      </c>
    </row>
    <row r="1409" customFormat="false" ht="15" hidden="false" customHeight="true" outlineLevel="0" collapsed="false">
      <c r="A1409" s="6" t="n">
        <v>1408</v>
      </c>
      <c r="B1409" s="30" t="n">
        <v>0.121066494483835</v>
      </c>
      <c r="C1409" s="30" t="n">
        <v>0.430075915498184</v>
      </c>
      <c r="D1409" s="30" t="n">
        <v>0.0927967296209576</v>
      </c>
      <c r="E1409" s="30" t="n">
        <v>0.303181929996316</v>
      </c>
      <c r="F1409" s="30" t="n">
        <v>0.0242315688533271</v>
      </c>
      <c r="G1409" s="30" t="n">
        <v>0.182587235879047</v>
      </c>
      <c r="H1409" s="31" t="n">
        <f aca="false">MAX(D1409,F1409+0.015)</f>
        <v>0.0927967296209576</v>
      </c>
      <c r="I1409" s="25" t="n">
        <f aca="false">(C1409-'DCF Base Case'!$B$3)*(1-E1409)+'DCF Base Case'!$B$3-G1409</f>
        <v>0.156511084412986</v>
      </c>
      <c r="J1409" s="24" t="n">
        <f aca="false">'DCF Base Case'!$B$2*(1+B1409)^1*$I1409-'DCF Base Case'!$B$2*(1+B1409)^0*B1409*'DCF Base Case'!$B$4</f>
        <v>24.9149639978512</v>
      </c>
      <c r="K1409" s="24" t="n">
        <f aca="false">'DCF Base Case'!$B$2*(1+B1409)^2*$I1409-'DCF Base Case'!$B$2*(1+B1409)^1*B1409*'DCF Base Case'!$B$4</f>
        <v>27.931331349262</v>
      </c>
      <c r="L1409" s="24" t="n">
        <f aca="false">'DCF Base Case'!$B$2*(1+B1409)^3*$I1409-'DCF Base Case'!$B$2*(1+B1409)^2*B1409*'DCF Base Case'!$B$4</f>
        <v>31.3128797219836</v>
      </c>
      <c r="M1409" s="24" t="n">
        <f aca="false">'DCF Base Case'!$B$2*(1+B1409)^4*$I1409-'DCF Base Case'!$B$2*(1+B1409)^3*B1409*'DCF Base Case'!$B$4</f>
        <v>35.1038203021181</v>
      </c>
      <c r="N1409" s="24" t="n">
        <f aca="false">'DCF Base Case'!$B$2*(1+B1409)^5*$I1409-'DCF Base Case'!$B$2*(1+B1409)^4*B1409*'DCF Base Case'!$B$4</f>
        <v>39.353716769086</v>
      </c>
      <c r="O1409" s="24" t="n">
        <f aca="false">J1409/(1+H1409)^1+K1409/(1+H1409)^2+L1409/(1+H1409)^3+M1409/(1+H1409)^4+N1409/(1+H1409)^5</f>
        <v>120.048878220408</v>
      </c>
      <c r="P1409" s="24" t="n">
        <f aca="false">N1409*(1+F1409)/(H1409-F1409)</f>
        <v>587.868804146952</v>
      </c>
      <c r="Q1409" s="24" t="n">
        <f aca="false">O1409+P1409/(1+H1409)^5</f>
        <v>497.259124694359</v>
      </c>
      <c r="R1409" s="24" t="n">
        <f aca="false">Q1409-'DCF Base Case'!$B$5</f>
        <v>312.259124694359</v>
      </c>
      <c r="S1409" s="32" t="n">
        <f aca="false">R1409/'DCF Base Case'!$B$6</f>
        <v>12.4903649877744</v>
      </c>
    </row>
    <row r="1410" customFormat="false" ht="15" hidden="false" customHeight="true" outlineLevel="0" collapsed="false">
      <c r="A1410" s="6" t="n">
        <v>1409</v>
      </c>
      <c r="B1410" s="30" t="n">
        <v>0.061463987732907</v>
      </c>
      <c r="C1410" s="30" t="n">
        <v>0.442325614049459</v>
      </c>
      <c r="D1410" s="30" t="n">
        <v>0.0967222257842805</v>
      </c>
      <c r="E1410" s="30" t="n">
        <v>0.267062704044657</v>
      </c>
      <c r="F1410" s="30" t="n">
        <v>0.0151506095348257</v>
      </c>
      <c r="G1410" s="30" t="n">
        <v>0.177092312511491</v>
      </c>
      <c r="H1410" s="31" t="n">
        <f aca="false">MAX(D1410,F1410+0.015)</f>
        <v>0.0967222257842805</v>
      </c>
      <c r="I1410" s="25" t="n">
        <f aca="false">(C1410-'DCF Base Case'!$B$3)*(1-E1410)+'DCF Base Case'!$B$3-G1410</f>
        <v>0.181822778507512</v>
      </c>
      <c r="J1410" s="24" t="n">
        <f aca="false">'DCF Base Case'!$B$2*(1+B1410)^1*$I1410-'DCF Base Case'!$B$2*(1+B1410)^0*B1410*'DCF Base Case'!$B$4</f>
        <v>27.7173897259746</v>
      </c>
      <c r="K1410" s="24" t="n">
        <f aca="false">'DCF Base Case'!$B$2*(1+B1410)^2*$I1410-'DCF Base Case'!$B$2*(1+B1410)^1*B1410*'DCF Base Case'!$B$4</f>
        <v>29.4210110280801</v>
      </c>
      <c r="L1410" s="24" t="n">
        <f aca="false">'DCF Base Case'!$B$2*(1+B1410)^3*$I1410-'DCF Base Case'!$B$2*(1+B1410)^2*B1410*'DCF Base Case'!$B$4</f>
        <v>31.2293436889998</v>
      </c>
      <c r="M1410" s="24" t="n">
        <f aca="false">'DCF Base Case'!$B$2*(1+B1410)^4*$I1410-'DCF Base Case'!$B$2*(1+B1410)^3*B1410*'DCF Base Case'!$B$4</f>
        <v>33.1488236864072</v>
      </c>
      <c r="N1410" s="24" t="n">
        <f aca="false">'DCF Base Case'!$B$2*(1+B1410)^5*$I1410-'DCF Base Case'!$B$2*(1+B1410)^4*B1410*'DCF Base Case'!$B$4</f>
        <v>35.1862825788288</v>
      </c>
      <c r="O1410" s="24" t="n">
        <f aca="false">J1410/(1+H1410)^1+K1410/(1+H1410)^2+L1410/(1+H1410)^3+M1410/(1+H1410)^4+N1410/(1+H1410)^5</f>
        <v>118.49678015403</v>
      </c>
      <c r="P1410" s="24" t="n">
        <f aca="false">N1410*(1+F1410)/(H1410-F1410)</f>
        <v>437.889769131569</v>
      </c>
      <c r="Q1410" s="24" t="n">
        <f aca="false">O1410+P1410/(1+H1410)^5</f>
        <v>394.47929918771</v>
      </c>
      <c r="R1410" s="24" t="n">
        <f aca="false">Q1410-'DCF Base Case'!$B$5</f>
        <v>209.47929918771</v>
      </c>
      <c r="S1410" s="32" t="n">
        <f aca="false">R1410/'DCF Base Case'!$B$6</f>
        <v>8.3791719675084</v>
      </c>
    </row>
    <row r="1411" customFormat="false" ht="15" hidden="false" customHeight="true" outlineLevel="0" collapsed="false">
      <c r="A1411" s="6" t="n">
        <v>1410</v>
      </c>
      <c r="B1411" s="30" t="n">
        <v>0.0841818047930215</v>
      </c>
      <c r="C1411" s="30" t="n">
        <v>0.419186583934027</v>
      </c>
      <c r="D1411" s="30" t="n">
        <v>0.0931774752540609</v>
      </c>
      <c r="E1411" s="30" t="n">
        <v>0.265898349962155</v>
      </c>
      <c r="F1411" s="30" t="n">
        <v>0.014809666541436</v>
      </c>
      <c r="G1411" s="30" t="n">
        <v>0.174186319174868</v>
      </c>
      <c r="H1411" s="31" t="n">
        <f aca="false">MAX(D1411,F1411+0.015)</f>
        <v>0.0931774752540609</v>
      </c>
      <c r="I1411" s="25" t="n">
        <f aca="false">(C1411-'DCF Base Case'!$B$3)*(1-E1411)+'DCF Base Case'!$B$3-G1411</f>
        <v>0.168106029259909</v>
      </c>
      <c r="J1411" s="24" t="n">
        <f aca="false">'DCF Base Case'!$B$2*(1+B1411)^1*$I1411-'DCF Base Case'!$B$2*(1+B1411)^0*B1411*'DCF Base Case'!$B$4</f>
        <v>26.0611463880919</v>
      </c>
      <c r="K1411" s="24" t="n">
        <f aca="false">'DCF Base Case'!$B$2*(1+B1411)^2*$I1411-'DCF Base Case'!$B$2*(1+B1411)^1*B1411*'DCF Base Case'!$B$4</f>
        <v>28.2550207260166</v>
      </c>
      <c r="L1411" s="24" t="n">
        <f aca="false">'DCF Base Case'!$B$2*(1+B1411)^3*$I1411-'DCF Base Case'!$B$2*(1+B1411)^2*B1411*'DCF Base Case'!$B$4</f>
        <v>30.6335793651969</v>
      </c>
      <c r="M1411" s="24" t="n">
        <f aca="false">'DCF Base Case'!$B$2*(1+B1411)^4*$I1411-'DCF Base Case'!$B$2*(1+B1411)^3*B1411*'DCF Base Case'!$B$4</f>
        <v>33.2123693634294</v>
      </c>
      <c r="N1411" s="24" t="n">
        <f aca="false">'DCF Base Case'!$B$2*(1+B1411)^5*$I1411-'DCF Base Case'!$B$2*(1+B1411)^4*B1411*'DCF Base Case'!$B$4</f>
        <v>36.0082465578953</v>
      </c>
      <c r="O1411" s="24" t="n">
        <f aca="false">J1411/(1+H1411)^1+K1411/(1+H1411)^2+L1411/(1+H1411)^3+M1411/(1+H1411)^4+N1411/(1+H1411)^5</f>
        <v>117.253381717088</v>
      </c>
      <c r="P1411" s="24" t="n">
        <f aca="false">N1411*(1+F1411)/(H1411-F1411)</f>
        <v>466.282230962428</v>
      </c>
      <c r="Q1411" s="24" t="n">
        <f aca="false">O1411+P1411/(1+H1411)^5</f>
        <v>415.926057649363</v>
      </c>
      <c r="R1411" s="24" t="n">
        <f aca="false">Q1411-'DCF Base Case'!$B$5</f>
        <v>230.926057649363</v>
      </c>
      <c r="S1411" s="32" t="n">
        <f aca="false">R1411/'DCF Base Case'!$B$6</f>
        <v>9.23704230597451</v>
      </c>
    </row>
    <row r="1412" customFormat="false" ht="15" hidden="false" customHeight="true" outlineLevel="0" collapsed="false">
      <c r="A1412" s="6" t="n">
        <v>1411</v>
      </c>
      <c r="B1412" s="30" t="n">
        <v>0.0785280781604349</v>
      </c>
      <c r="C1412" s="30" t="n">
        <v>0.413672825773733</v>
      </c>
      <c r="D1412" s="30" t="n">
        <v>0.0702234091934151</v>
      </c>
      <c r="E1412" s="30" t="n">
        <v>0.272957506277711</v>
      </c>
      <c r="F1412" s="30" t="n">
        <v>0.0219189454983448</v>
      </c>
      <c r="G1412" s="30" t="n">
        <v>0.179581208383522</v>
      </c>
      <c r="H1412" s="31" t="n">
        <f aca="false">MAX(D1412,F1412+0.015)</f>
        <v>0.0702234091934151</v>
      </c>
      <c r="I1412" s="25" t="n">
        <f aca="false">(C1412-'DCF Base Case'!$B$3)*(1-E1412)+'DCF Base Case'!$B$3-G1412</f>
        <v>0.156660990268261</v>
      </c>
      <c r="J1412" s="24" t="n">
        <f aca="false">'DCF Base Case'!$B$2*(1+B1412)^1*$I1412-'DCF Base Case'!$B$2*(1+B1412)^0*B1412*'DCF Base Case'!$B$4</f>
        <v>24.1580779897292</v>
      </c>
      <c r="K1412" s="24" t="n">
        <f aca="false">'DCF Base Case'!$B$2*(1+B1412)^2*$I1412-'DCF Base Case'!$B$2*(1+B1412)^1*B1412*'DCF Base Case'!$B$4</f>
        <v>26.0551654263125</v>
      </c>
      <c r="L1412" s="24" t="n">
        <f aca="false">'DCF Base Case'!$B$2*(1+B1412)^3*$I1412-'DCF Base Case'!$B$2*(1+B1412)^2*B1412*'DCF Base Case'!$B$4</f>
        <v>28.1012274933931</v>
      </c>
      <c r="M1412" s="24" t="n">
        <f aca="false">'DCF Base Case'!$B$2*(1+B1412)^4*$I1412-'DCF Base Case'!$B$2*(1+B1412)^3*B1412*'DCF Base Case'!$B$4</f>
        <v>30.3079628823984</v>
      </c>
      <c r="N1412" s="24" t="n">
        <f aca="false">'DCF Base Case'!$B$2*(1+B1412)^5*$I1412-'DCF Base Case'!$B$2*(1+B1412)^4*B1412*'DCF Base Case'!$B$4</f>
        <v>32.6879889605109</v>
      </c>
      <c r="O1412" s="24" t="n">
        <f aca="false">J1412/(1+H1412)^1+K1412/(1+H1412)^2+L1412/(1+H1412)^3+M1412/(1+H1412)^4+N1412/(1+H1412)^5</f>
        <v>114.629897844283</v>
      </c>
      <c r="P1412" s="24" t="n">
        <f aca="false">N1412*(1+F1412)/(H1412-F1412)</f>
        <v>691.540132188569</v>
      </c>
      <c r="Q1412" s="24" t="n">
        <f aca="false">O1412+P1412/(1+H1412)^5</f>
        <v>607.174039466889</v>
      </c>
      <c r="R1412" s="24" t="n">
        <f aca="false">Q1412-'DCF Base Case'!$B$5</f>
        <v>422.174039466889</v>
      </c>
      <c r="S1412" s="32" t="n">
        <f aca="false">R1412/'DCF Base Case'!$B$6</f>
        <v>16.8869615786756</v>
      </c>
    </row>
    <row r="1413" customFormat="false" ht="15" hidden="false" customHeight="true" outlineLevel="0" collapsed="false">
      <c r="A1413" s="6" t="n">
        <v>1412</v>
      </c>
      <c r="B1413" s="30" t="n">
        <v>0.0728057673118762</v>
      </c>
      <c r="C1413" s="30" t="n">
        <v>0.382622621733563</v>
      </c>
      <c r="D1413" s="30" t="n">
        <v>0.0851734005872697</v>
      </c>
      <c r="E1413" s="30" t="n">
        <v>0.296660173061724</v>
      </c>
      <c r="F1413" s="30" t="n">
        <v>0.0207935841544049</v>
      </c>
      <c r="G1413" s="30" t="n">
        <v>0.154886649141786</v>
      </c>
      <c r="H1413" s="31" t="n">
        <f aca="false">MAX(D1413,F1413+0.015)</f>
        <v>0.0851734005872697</v>
      </c>
      <c r="I1413" s="25" t="n">
        <f aca="false">(C1413-'DCF Base Case'!$B$3)*(1-E1413)+'DCF Base Case'!$B$3-G1413</f>
        <v>0.152792901908992</v>
      </c>
      <c r="J1413" s="24" t="n">
        <f aca="false">'DCF Base Case'!$B$2*(1+B1413)^1*$I1413-'DCF Base Case'!$B$2*(1+B1413)^0*B1413*'DCF Base Case'!$B$4</f>
        <v>23.4512753361745</v>
      </c>
      <c r="K1413" s="24" t="n">
        <f aca="false">'DCF Base Case'!$B$2*(1+B1413)^2*$I1413-'DCF Base Case'!$B$2*(1+B1413)^1*B1413*'DCF Base Case'!$B$4</f>
        <v>25.1586634314668</v>
      </c>
      <c r="L1413" s="24" t="n">
        <f aca="false">'DCF Base Case'!$B$2*(1+B1413)^3*$I1413-'DCF Base Case'!$B$2*(1+B1413)^2*B1413*'DCF Base Case'!$B$4</f>
        <v>26.990359227136</v>
      </c>
      <c r="M1413" s="24" t="n">
        <f aca="false">'DCF Base Case'!$B$2*(1+B1413)^4*$I1413-'DCF Base Case'!$B$2*(1+B1413)^3*B1413*'DCF Base Case'!$B$4</f>
        <v>28.9554130406908</v>
      </c>
      <c r="N1413" s="24" t="n">
        <f aca="false">'DCF Base Case'!$B$2*(1+B1413)^5*$I1413-'DCF Base Case'!$B$2*(1+B1413)^4*B1413*'DCF Base Case'!$B$4</f>
        <v>31.0635341049506</v>
      </c>
      <c r="O1413" s="24" t="n">
        <f aca="false">J1413/(1+H1413)^1+K1413/(1+H1413)^2+L1413/(1+H1413)^3+M1413/(1+H1413)^4+N1413/(1+H1413)^5</f>
        <v>105.618089607987</v>
      </c>
      <c r="P1413" s="24" t="n">
        <f aca="false">N1413*(1+F1413)/(H1413-F1413)</f>
        <v>492.537227852486</v>
      </c>
      <c r="Q1413" s="24" t="n">
        <f aca="false">O1413+P1413/(1+H1413)^5</f>
        <v>432.916097546217</v>
      </c>
      <c r="R1413" s="24" t="n">
        <f aca="false">Q1413-'DCF Base Case'!$B$5</f>
        <v>247.916097546217</v>
      </c>
      <c r="S1413" s="32" t="n">
        <f aca="false">R1413/'DCF Base Case'!$B$6</f>
        <v>9.91664390184868</v>
      </c>
    </row>
    <row r="1414" customFormat="false" ht="15" hidden="false" customHeight="true" outlineLevel="0" collapsed="false">
      <c r="A1414" s="6" t="n">
        <v>1413</v>
      </c>
      <c r="B1414" s="30" t="n">
        <v>0.0962439387563432</v>
      </c>
      <c r="C1414" s="30" t="n">
        <v>0.44383563225183</v>
      </c>
      <c r="D1414" s="30" t="n">
        <v>0.0872565915603993</v>
      </c>
      <c r="E1414" s="30" t="n">
        <v>0.250615162532427</v>
      </c>
      <c r="F1414" s="30" t="n">
        <v>0.0200798948330812</v>
      </c>
      <c r="G1414" s="30" t="n">
        <v>0.20891517278245</v>
      </c>
      <c r="H1414" s="31" t="n">
        <f aca="false">MAX(D1414,F1414+0.015)</f>
        <v>0.0872565915603993</v>
      </c>
      <c r="I1414" s="25" t="n">
        <f aca="false">(C1414-'DCF Base Case'!$B$3)*(1-E1414)+'DCF Base Case'!$B$3-G1414</f>
        <v>0.156268491484121</v>
      </c>
      <c r="J1414" s="24" t="n">
        <f aca="false">'DCF Base Case'!$B$2*(1+B1414)^1*$I1414-'DCF Base Case'!$B$2*(1+B1414)^0*B1414*'DCF Base Case'!$B$4</f>
        <v>24.4210549245793</v>
      </c>
      <c r="K1414" s="24" t="n">
        <f aca="false">'DCF Base Case'!$B$2*(1+B1414)^2*$I1414-'DCF Base Case'!$B$2*(1+B1414)^1*B1414*'DCF Base Case'!$B$4</f>
        <v>26.7714334391058</v>
      </c>
      <c r="L1414" s="24" t="n">
        <f aca="false">'DCF Base Case'!$B$2*(1+B1414)^3*$I1414-'DCF Base Case'!$B$2*(1+B1414)^2*B1414*'DCF Base Case'!$B$4</f>
        <v>29.3480216394386</v>
      </c>
      <c r="M1414" s="24" t="n">
        <f aca="false">'DCF Base Case'!$B$2*(1+B1414)^4*$I1414-'DCF Base Case'!$B$2*(1+B1414)^3*B1414*'DCF Base Case'!$B$4</f>
        <v>32.1725908367245</v>
      </c>
      <c r="N1414" s="24" t="n">
        <f aca="false">'DCF Base Case'!$B$2*(1+B1414)^5*$I1414-'DCF Base Case'!$B$2*(1+B1414)^4*B1414*'DCF Base Case'!$B$4</f>
        <v>35.2690076988471</v>
      </c>
      <c r="O1414" s="24" t="n">
        <f aca="false">J1414/(1+H1414)^1+K1414/(1+H1414)^2+L1414/(1+H1414)^3+M1414/(1+H1414)^4+N1414/(1+H1414)^5</f>
        <v>114.177917529428</v>
      </c>
      <c r="P1414" s="24" t="n">
        <f aca="false">N1414*(1+F1414)/(H1414-F1414)</f>
        <v>535.560803329536</v>
      </c>
      <c r="Q1414" s="24" t="n">
        <f aca="false">O1414+P1414/(1+H1414)^5</f>
        <v>466.669327482881</v>
      </c>
      <c r="R1414" s="24" t="n">
        <f aca="false">Q1414-'DCF Base Case'!$B$5</f>
        <v>281.669327482881</v>
      </c>
      <c r="S1414" s="32" t="n">
        <f aca="false">R1414/'DCF Base Case'!$B$6</f>
        <v>11.2667730993152</v>
      </c>
    </row>
    <row r="1415" customFormat="false" ht="15" hidden="false" customHeight="true" outlineLevel="0" collapsed="false">
      <c r="A1415" s="6" t="n">
        <v>1414</v>
      </c>
      <c r="B1415" s="30" t="n">
        <v>0.0622462415247653</v>
      </c>
      <c r="C1415" s="30" t="n">
        <v>0.404916033351586</v>
      </c>
      <c r="D1415" s="30" t="n">
        <v>0.0825103102366465</v>
      </c>
      <c r="E1415" s="30" t="n">
        <v>0.282384269823599</v>
      </c>
      <c r="F1415" s="30" t="n">
        <v>0.0200490043844259</v>
      </c>
      <c r="G1415" s="30" t="n">
        <v>0.192379465662956</v>
      </c>
      <c r="H1415" s="31" t="n">
        <f aca="false">MAX(D1415,F1415+0.015)</f>
        <v>0.0825103102366465</v>
      </c>
      <c r="I1415" s="25" t="n">
        <f aca="false">(C1415-'DCF Base Case'!$B$3)*(1-E1415)+'DCF Base Case'!$B$3-G1415</f>
        <v>0.134904604347842</v>
      </c>
      <c r="J1415" s="24" t="n">
        <f aca="false">'DCF Base Case'!$B$2*(1+B1415)^1*$I1415-'DCF Base Case'!$B$2*(1+B1415)^0*B1415*'DCF Base Case'!$B$4</f>
        <v>20.508005644635</v>
      </c>
      <c r="K1415" s="24" t="n">
        <f aca="false">'DCF Base Case'!$B$2*(1+B1415)^2*$I1415-'DCF Base Case'!$B$2*(1+B1415)^1*B1415*'DCF Base Case'!$B$4</f>
        <v>21.7845519171822</v>
      </c>
      <c r="L1415" s="24" t="n">
        <f aca="false">'DCF Base Case'!$B$2*(1+B1415)^3*$I1415-'DCF Base Case'!$B$2*(1+B1415)^2*B1415*'DCF Base Case'!$B$4</f>
        <v>23.1405583973279</v>
      </c>
      <c r="M1415" s="24" t="n">
        <f aca="false">'DCF Base Case'!$B$2*(1+B1415)^4*$I1415-'DCF Base Case'!$B$2*(1+B1415)^3*B1415*'DCF Base Case'!$B$4</f>
        <v>24.5809711843459</v>
      </c>
      <c r="N1415" s="24" t="n">
        <f aca="false">'DCF Base Case'!$B$2*(1+B1415)^5*$I1415-'DCF Base Case'!$B$2*(1+B1415)^4*B1415*'DCF Base Case'!$B$4</f>
        <v>26.1110442536</v>
      </c>
      <c r="O1415" s="24" t="n">
        <f aca="false">J1415/(1+H1415)^1+K1415/(1+H1415)^2+L1415/(1+H1415)^3+M1415/(1+H1415)^4+N1415/(1+H1415)^5</f>
        <v>91.243678747759</v>
      </c>
      <c r="P1415" s="24" t="n">
        <f aca="false">N1415*(1+F1415)/(H1415-F1415)</f>
        <v>426.416712409728</v>
      </c>
      <c r="Q1415" s="24" t="n">
        <f aca="false">O1415+P1415/(1+H1415)^5</f>
        <v>378.106331594907</v>
      </c>
      <c r="R1415" s="24" t="n">
        <f aca="false">Q1415-'DCF Base Case'!$B$5</f>
        <v>193.106331594907</v>
      </c>
      <c r="S1415" s="32" t="n">
        <f aca="false">R1415/'DCF Base Case'!$B$6</f>
        <v>7.72425326379627</v>
      </c>
    </row>
    <row r="1416" customFormat="false" ht="15" hidden="false" customHeight="true" outlineLevel="0" collapsed="false">
      <c r="A1416" s="6" t="n">
        <v>1415</v>
      </c>
      <c r="B1416" s="30" t="n">
        <v>0.0917186971693004</v>
      </c>
      <c r="C1416" s="30" t="n">
        <v>0.439016983495772</v>
      </c>
      <c r="D1416" s="30" t="n">
        <v>0.0837057877533487</v>
      </c>
      <c r="E1416" s="30" t="n">
        <v>0.270595141626591</v>
      </c>
      <c r="F1416" s="30" t="n">
        <v>0.0166366890465458</v>
      </c>
      <c r="G1416" s="30" t="n">
        <v>0.131764674966507</v>
      </c>
      <c r="H1416" s="31" t="n">
        <f aca="false">MAX(D1416,F1416+0.015)</f>
        <v>0.0837057877533487</v>
      </c>
      <c r="I1416" s="25" t="n">
        <f aca="false">(C1416-'DCF Base Case'!$B$3)*(1-E1416)+'DCF Base Case'!$B$3-G1416</f>
        <v>0.223633814115205</v>
      </c>
      <c r="J1416" s="24" t="n">
        <f aca="false">'DCF Base Case'!$B$2*(1+B1416)^1*$I1416-'DCF Base Case'!$B$2*(1+B1416)^0*B1416*'DCF Base Case'!$B$4</f>
        <v>35.0020800146972</v>
      </c>
      <c r="K1416" s="24" t="n">
        <f aca="false">'DCF Base Case'!$B$2*(1+B1416)^2*$I1416-'DCF Base Case'!$B$2*(1+B1416)^1*B1416*'DCF Base Case'!$B$4</f>
        <v>38.2124251918608</v>
      </c>
      <c r="L1416" s="24" t="n">
        <f aca="false">'DCF Base Case'!$B$2*(1+B1416)^3*$I1416-'DCF Base Case'!$B$2*(1+B1416)^2*B1416*'DCF Base Case'!$B$4</f>
        <v>41.7172190461377</v>
      </c>
      <c r="M1416" s="24" t="n">
        <f aca="false">'DCF Base Case'!$B$2*(1+B1416)^4*$I1416-'DCF Base Case'!$B$2*(1+B1416)^3*B1416*'DCF Base Case'!$B$4</f>
        <v>45.5434680265757</v>
      </c>
      <c r="N1416" s="24" t="n">
        <f aca="false">'DCF Base Case'!$B$2*(1+B1416)^5*$I1416-'DCF Base Case'!$B$2*(1+B1416)^4*B1416*'DCF Base Case'!$B$4</f>
        <v>49.7206555785449</v>
      </c>
      <c r="O1416" s="24" t="n">
        <f aca="false">J1416/(1+H1416)^1+K1416/(1+H1416)^2+L1416/(1+H1416)^3+M1416/(1+H1416)^4+N1416/(1+H1416)^5</f>
        <v>163.898411481397</v>
      </c>
      <c r="P1416" s="24" t="n">
        <f aca="false">N1416*(1+F1416)/(H1416-F1416)</f>
        <v>753.668136880278</v>
      </c>
      <c r="Q1416" s="24" t="n">
        <f aca="false">O1416+P1416/(1+H1416)^5</f>
        <v>668.122036966032</v>
      </c>
      <c r="R1416" s="24" t="n">
        <f aca="false">Q1416-'DCF Base Case'!$B$5</f>
        <v>483.122036966032</v>
      </c>
      <c r="S1416" s="32" t="n">
        <f aca="false">R1416/'DCF Base Case'!$B$6</f>
        <v>19.3248814786413</v>
      </c>
    </row>
    <row r="1417" customFormat="false" ht="15" hidden="false" customHeight="true" outlineLevel="0" collapsed="false">
      <c r="A1417" s="6" t="n">
        <v>1416</v>
      </c>
      <c r="B1417" s="30" t="n">
        <v>0.0957643819584362</v>
      </c>
      <c r="C1417" s="30" t="n">
        <v>0.450691896365073</v>
      </c>
      <c r="D1417" s="30" t="n">
        <v>0.0900405902501445</v>
      </c>
      <c r="E1417" s="30" t="n">
        <v>0.300638095106611</v>
      </c>
      <c r="F1417" s="30" t="n">
        <v>0.0177112625777817</v>
      </c>
      <c r="G1417" s="30" t="n">
        <v>0.160174569566828</v>
      </c>
      <c r="H1417" s="31" t="n">
        <f aca="false">MAX(D1417,F1417+0.015)</f>
        <v>0.0900405902501445</v>
      </c>
      <c r="I1417" s="25" t="n">
        <f aca="false">(C1417-'DCF Base Case'!$B$3)*(1-E1417)+'DCF Base Case'!$B$3-G1417</f>
        <v>0.194105125958923</v>
      </c>
      <c r="J1417" s="24" t="n">
        <f aca="false">'DCF Base Case'!$B$2*(1+B1417)^1*$I1417-'DCF Base Case'!$B$2*(1+B1417)^0*B1417*'DCF Base Case'!$B$4</f>
        <v>30.4239800287756</v>
      </c>
      <c r="K1417" s="24" t="n">
        <f aca="false">'DCF Base Case'!$B$2*(1+B1417)^2*$I1417-'DCF Base Case'!$B$2*(1+B1417)^1*B1417*'DCF Base Case'!$B$4</f>
        <v>33.3375136729471</v>
      </c>
      <c r="L1417" s="24" t="n">
        <f aca="false">'DCF Base Case'!$B$2*(1+B1417)^3*$I1417-'DCF Base Case'!$B$2*(1+B1417)^2*B1417*'DCF Base Case'!$B$4</f>
        <v>36.5300600658678</v>
      </c>
      <c r="M1417" s="24" t="n">
        <f aca="false">'DCF Base Case'!$B$2*(1+B1417)^4*$I1417-'DCF Base Case'!$B$2*(1+B1417)^3*B1417*'DCF Base Case'!$B$4</f>
        <v>40.0283386909802</v>
      </c>
      <c r="N1417" s="24" t="n">
        <f aca="false">'DCF Base Case'!$B$2*(1+B1417)^5*$I1417-'DCF Base Case'!$B$2*(1+B1417)^4*B1417*'DCF Base Case'!$B$4</f>
        <v>43.8616278065449</v>
      </c>
      <c r="O1417" s="24" t="n">
        <f aca="false">J1417/(1+H1417)^1+K1417/(1+H1417)^2+L1417/(1+H1417)^3+M1417/(1+H1417)^4+N1417/(1+H1417)^5</f>
        <v>141.02765744531</v>
      </c>
      <c r="P1417" s="24" t="n">
        <f aca="false">N1417*(1+F1417)/(H1417-F1417)</f>
        <v>617.155917941319</v>
      </c>
      <c r="Q1417" s="24" t="n">
        <f aca="false">O1417+P1417/(1+H1417)^5</f>
        <v>542.061983085457</v>
      </c>
      <c r="R1417" s="24" t="n">
        <f aca="false">Q1417-'DCF Base Case'!$B$5</f>
        <v>357.061983085457</v>
      </c>
      <c r="S1417" s="32" t="n">
        <f aca="false">R1417/'DCF Base Case'!$B$6</f>
        <v>14.2824793234183</v>
      </c>
    </row>
    <row r="1418" customFormat="false" ht="15" hidden="false" customHeight="true" outlineLevel="0" collapsed="false">
      <c r="A1418" s="6" t="n">
        <v>1417</v>
      </c>
      <c r="B1418" s="30" t="n">
        <v>0.111504377397716</v>
      </c>
      <c r="C1418" s="30" t="n">
        <v>0.452789416580906</v>
      </c>
      <c r="D1418" s="30" t="n">
        <v>0.101367427293765</v>
      </c>
      <c r="E1418" s="30" t="n">
        <v>0.304367131272724</v>
      </c>
      <c r="F1418" s="30" t="n">
        <v>0.0194843834219026</v>
      </c>
      <c r="G1418" s="30" t="n">
        <v>0.169983390887965</v>
      </c>
      <c r="H1418" s="31" t="n">
        <f aca="false">MAX(D1418,F1418+0.015)</f>
        <v>0.101367427293765</v>
      </c>
      <c r="I1418" s="25" t="n">
        <f aca="false">(C1418-'DCF Base Case'!$B$3)*(1-E1418)+'DCF Base Case'!$B$3-G1418</f>
        <v>0.184559536963014</v>
      </c>
      <c r="J1418" s="24" t="n">
        <f aca="false">'DCF Base Case'!$B$2*(1+B1418)^1*$I1418-'DCF Base Case'!$B$2*(1+B1418)^0*B1418*'DCF Base Case'!$B$4</f>
        <v>29.2600722759284</v>
      </c>
      <c r="K1418" s="24" t="n">
        <f aca="false">'DCF Base Case'!$B$2*(1+B1418)^2*$I1418-'DCF Base Case'!$B$2*(1+B1418)^1*B1418*'DCF Base Case'!$B$4</f>
        <v>32.522698417668</v>
      </c>
      <c r="L1418" s="24" t="n">
        <f aca="false">'DCF Base Case'!$B$2*(1+B1418)^3*$I1418-'DCF Base Case'!$B$2*(1+B1418)^2*B1418*'DCF Base Case'!$B$4</f>
        <v>36.1491216560237</v>
      </c>
      <c r="M1418" s="24" t="n">
        <f aca="false">'DCF Base Case'!$B$2*(1+B1418)^4*$I1418-'DCF Base Case'!$B$2*(1+B1418)^3*B1418*'DCF Base Case'!$B$4</f>
        <v>40.179906959753</v>
      </c>
      <c r="N1418" s="24" t="n">
        <f aca="false">'DCF Base Case'!$B$2*(1+B1418)^5*$I1418-'DCF Base Case'!$B$2*(1+B1418)^4*B1418*'DCF Base Case'!$B$4</f>
        <v>44.6601424691984</v>
      </c>
      <c r="O1418" s="24" t="n">
        <f aca="false">J1418/(1+H1418)^1+K1418/(1+H1418)^2+L1418/(1+H1418)^3+M1418/(1+H1418)^4+N1418/(1+H1418)^5</f>
        <v>135.30303023846</v>
      </c>
      <c r="P1418" s="24" t="n">
        <f aca="false">N1418*(1+F1418)/(H1418-F1418)</f>
        <v>556.040856028688</v>
      </c>
      <c r="Q1418" s="24" t="n">
        <f aca="false">O1418+P1418/(1+H1418)^5</f>
        <v>478.42265826969</v>
      </c>
      <c r="R1418" s="24" t="n">
        <f aca="false">Q1418-'DCF Base Case'!$B$5</f>
        <v>293.42265826969</v>
      </c>
      <c r="S1418" s="32" t="n">
        <f aca="false">R1418/'DCF Base Case'!$B$6</f>
        <v>11.7369063307876</v>
      </c>
    </row>
    <row r="1419" customFormat="false" ht="15" hidden="false" customHeight="true" outlineLevel="0" collapsed="false">
      <c r="A1419" s="6" t="n">
        <v>1418</v>
      </c>
      <c r="B1419" s="30" t="n">
        <v>0.0735836684488476</v>
      </c>
      <c r="C1419" s="30" t="n">
        <v>0.377762454817516</v>
      </c>
      <c r="D1419" s="30" t="n">
        <v>0.0726052180646407</v>
      </c>
      <c r="E1419" s="30" t="n">
        <v>0.281055133556493</v>
      </c>
      <c r="F1419" s="30" t="n">
        <v>0.0182097866791453</v>
      </c>
      <c r="G1419" s="30" t="n">
        <v>0.136835261956318</v>
      </c>
      <c r="H1419" s="31" t="n">
        <f aca="false">MAX(D1419,F1419+0.015)</f>
        <v>0.0726052180646407</v>
      </c>
      <c r="I1419" s="25" t="n">
        <f aca="false">(C1419-'DCF Base Case'!$B$3)*(1-E1419)+'DCF Base Case'!$B$3-G1419</f>
        <v>0.171292283032176</v>
      </c>
      <c r="J1419" s="24" t="n">
        <f aca="false">'DCF Base Case'!$B$2*(1+B1419)^1*$I1419-'DCF Base Case'!$B$2*(1+B1419)^0*B1419*'DCF Base Case'!$B$4</f>
        <v>26.3449176934736</v>
      </c>
      <c r="K1419" s="24" t="n">
        <f aca="false">'DCF Base Case'!$B$2*(1+B1419)^2*$I1419-'DCF Base Case'!$B$2*(1+B1419)^1*B1419*'DCF Base Case'!$B$4</f>
        <v>28.2834733823423</v>
      </c>
      <c r="L1419" s="24" t="n">
        <f aca="false">'DCF Base Case'!$B$2*(1+B1419)^3*$I1419-'DCF Base Case'!$B$2*(1+B1419)^2*B1419*'DCF Base Case'!$B$4</f>
        <v>30.3646751102904</v>
      </c>
      <c r="M1419" s="24" t="n">
        <f aca="false">'DCF Base Case'!$B$2*(1+B1419)^4*$I1419-'DCF Base Case'!$B$2*(1+B1419)^3*B1419*'DCF Base Case'!$B$4</f>
        <v>32.5990192961629</v>
      </c>
      <c r="N1419" s="24" t="n">
        <f aca="false">'DCF Base Case'!$B$2*(1+B1419)^5*$I1419-'DCF Base Case'!$B$2*(1+B1419)^4*B1419*'DCF Base Case'!$B$4</f>
        <v>34.9977747238094</v>
      </c>
      <c r="O1419" s="24" t="n">
        <f aca="false">J1419/(1+H1419)^1+K1419/(1+H1419)^2+L1419/(1+H1419)^3+M1419/(1+H1419)^4+N1419/(1+H1419)^5</f>
        <v>123.032341070289</v>
      </c>
      <c r="P1419" s="24" t="n">
        <f aca="false">N1419*(1+F1419)/(H1419-F1419)</f>
        <v>655.11157514741</v>
      </c>
      <c r="Q1419" s="24" t="n">
        <f aca="false">O1419+P1419/(1+H1419)^5</f>
        <v>584.47288006041</v>
      </c>
      <c r="R1419" s="24" t="n">
        <f aca="false">Q1419-'DCF Base Case'!$B$5</f>
        <v>399.47288006041</v>
      </c>
      <c r="S1419" s="32" t="n">
        <f aca="false">R1419/'DCF Base Case'!$B$6</f>
        <v>15.9789152024164</v>
      </c>
    </row>
    <row r="1420" customFormat="false" ht="15" hidden="false" customHeight="true" outlineLevel="0" collapsed="false">
      <c r="A1420" s="6" t="n">
        <v>1419</v>
      </c>
      <c r="B1420" s="30" t="n">
        <v>0.0892500549413752</v>
      </c>
      <c r="C1420" s="30" t="n">
        <v>0.407608796861756</v>
      </c>
      <c r="D1420" s="30" t="n">
        <v>0.0720986625918751</v>
      </c>
      <c r="E1420" s="30" t="n">
        <v>0.270129374093454</v>
      </c>
      <c r="F1420" s="30" t="n">
        <v>0.0180914476892084</v>
      </c>
      <c r="G1420" s="30" t="n">
        <v>0.152786402413998</v>
      </c>
      <c r="H1420" s="31" t="n">
        <f aca="false">MAX(D1420,F1420+0.015)</f>
        <v>0.0720986625918751</v>
      </c>
      <c r="I1420" s="25" t="n">
        <f aca="false">(C1420-'DCF Base Case'!$B$3)*(1-E1420)+'DCF Base Case'!$B$3-G1420</f>
        <v>0.179832103908655</v>
      </c>
      <c r="J1420" s="24" t="n">
        <f aca="false">'DCF Base Case'!$B$2*(1+B1420)^1*$I1420-'DCF Base Case'!$B$2*(1+B1420)^0*B1420*'DCF Base Case'!$B$4</f>
        <v>28.0146709751002</v>
      </c>
      <c r="K1420" s="24" t="n">
        <f aca="false">'DCF Base Case'!$B$2*(1+B1420)^2*$I1420-'DCF Base Case'!$B$2*(1+B1420)^1*B1420*'DCF Base Case'!$B$4</f>
        <v>30.5149818987925</v>
      </c>
      <c r="L1420" s="24" t="n">
        <f aca="false">'DCF Base Case'!$B$2*(1+B1420)^3*$I1420-'DCF Base Case'!$B$2*(1+B1420)^2*B1420*'DCF Base Case'!$B$4</f>
        <v>33.2384457097948</v>
      </c>
      <c r="M1420" s="24" t="n">
        <f aca="false">'DCF Base Case'!$B$2*(1+B1420)^4*$I1420-'DCF Base Case'!$B$2*(1+B1420)^3*B1420*'DCF Base Case'!$B$4</f>
        <v>36.2049788155599</v>
      </c>
      <c r="N1420" s="24" t="n">
        <f aca="false">'DCF Base Case'!$B$2*(1+B1420)^5*$I1420-'DCF Base Case'!$B$2*(1+B1420)^4*B1420*'DCF Base Case'!$B$4</f>
        <v>39.4362751639999</v>
      </c>
      <c r="O1420" s="24" t="n">
        <f aca="false">J1420/(1+H1420)^1+K1420/(1+H1420)^2+L1420/(1+H1420)^3+M1420/(1+H1420)^4+N1420/(1+H1420)^5</f>
        <v>134.901208843273</v>
      </c>
      <c r="P1420" s="24" t="n">
        <f aca="false">N1420*(1+F1420)/(H1420-F1420)</f>
        <v>743.414274288086</v>
      </c>
      <c r="Q1420" s="24" t="n">
        <f aca="false">O1420+P1420/(1+H1420)^5</f>
        <v>659.777703670136</v>
      </c>
      <c r="R1420" s="24" t="n">
        <f aca="false">Q1420-'DCF Base Case'!$B$5</f>
        <v>474.777703670136</v>
      </c>
      <c r="S1420" s="32" t="n">
        <f aca="false">R1420/'DCF Base Case'!$B$6</f>
        <v>18.9911081468054</v>
      </c>
    </row>
    <row r="1421" customFormat="false" ht="15" hidden="false" customHeight="true" outlineLevel="0" collapsed="false">
      <c r="A1421" s="6" t="n">
        <v>1420</v>
      </c>
      <c r="B1421" s="30" t="n">
        <v>0.11024694080146</v>
      </c>
      <c r="C1421" s="30" t="n">
        <v>0.38084105882902</v>
      </c>
      <c r="D1421" s="30" t="n">
        <v>0.0631562111021793</v>
      </c>
      <c r="E1421" s="30" t="n">
        <v>0.279736049614507</v>
      </c>
      <c r="F1421" s="30" t="n">
        <v>0.0197057090795925</v>
      </c>
      <c r="G1421" s="30" t="n">
        <v>0.174633012300739</v>
      </c>
      <c r="H1421" s="31" t="n">
        <f aca="false">MAX(D1421,F1421+0.015)</f>
        <v>0.0631562111021793</v>
      </c>
      <c r="I1421" s="25" t="n">
        <f aca="false">(C1421-'DCF Base Case'!$B$3)*(1-E1421)+'DCF Base Case'!$B$3-G1421</f>
        <v>0.136038759650331</v>
      </c>
      <c r="J1421" s="24" t="n">
        <f aca="false">'DCF Base Case'!$B$2*(1+B1421)^1*$I1421-'DCF Base Case'!$B$2*(1+B1421)^0*B1421*'DCF Base Case'!$B$4</f>
        <v>21.4207352336834</v>
      </c>
      <c r="K1421" s="24" t="n">
        <f aca="false">'DCF Base Case'!$B$2*(1+B1421)^2*$I1421-'DCF Base Case'!$B$2*(1+B1421)^1*B1421*'DCF Base Case'!$B$4</f>
        <v>23.782305762915</v>
      </c>
      <c r="L1421" s="24" t="n">
        <f aca="false">'DCF Base Case'!$B$2*(1+B1421)^3*$I1421-'DCF Base Case'!$B$2*(1+B1421)^2*B1421*'DCF Base Case'!$B$4</f>
        <v>26.4042322184813</v>
      </c>
      <c r="M1421" s="24" t="n">
        <f aca="false">'DCF Base Case'!$B$2*(1+B1421)^4*$I1421-'DCF Base Case'!$B$2*(1+B1421)^3*B1421*'DCF Base Case'!$B$4</f>
        <v>29.3152180447802</v>
      </c>
      <c r="N1421" s="24" t="n">
        <f aca="false">'DCF Base Case'!$B$2*(1+B1421)^5*$I1421-'DCF Base Case'!$B$2*(1+B1421)^4*B1421*'DCF Base Case'!$B$4</f>
        <v>32.547131153145</v>
      </c>
      <c r="O1421" s="24" t="n">
        <f aca="false">J1421/(1+H1421)^1+K1421/(1+H1421)^2+L1421/(1+H1421)^3+M1421/(1+H1421)^4+N1421/(1+H1421)^5</f>
        <v>110.069691482923</v>
      </c>
      <c r="P1421" s="24" t="n">
        <f aca="false">N1421*(1+F1421)/(H1421-F1421)</f>
        <v>763.823060865255</v>
      </c>
      <c r="Q1421" s="24" t="n">
        <f aca="false">O1421+P1421/(1+H1421)^5</f>
        <v>672.420549997702</v>
      </c>
      <c r="R1421" s="24" t="n">
        <f aca="false">Q1421-'DCF Base Case'!$B$5</f>
        <v>487.420549997702</v>
      </c>
      <c r="S1421" s="32" t="n">
        <f aca="false">R1421/'DCF Base Case'!$B$6</f>
        <v>19.4968219999081</v>
      </c>
    </row>
    <row r="1422" customFormat="false" ht="15" hidden="false" customHeight="true" outlineLevel="0" collapsed="false">
      <c r="A1422" s="6" t="n">
        <v>1421</v>
      </c>
      <c r="B1422" s="30" t="n">
        <v>0.0784026409960527</v>
      </c>
      <c r="C1422" s="30" t="n">
        <v>0.389718970420704</v>
      </c>
      <c r="D1422" s="30" t="n">
        <v>0.0849195225403556</v>
      </c>
      <c r="E1422" s="30" t="n">
        <v>0.268520142480929</v>
      </c>
      <c r="F1422" s="30" t="n">
        <v>0.0246834329216364</v>
      </c>
      <c r="G1422" s="30" t="n">
        <v>0.158620357144612</v>
      </c>
      <c r="H1422" s="31" t="n">
        <f aca="false">MAX(D1422,F1422+0.015)</f>
        <v>0.0849195225403556</v>
      </c>
      <c r="I1422" s="25" t="n">
        <f aca="false">(C1422-'DCF Base Case'!$B$3)*(1-E1422)+'DCF Base Case'!$B$3-G1422</f>
        <v>0.161358838333724</v>
      </c>
      <c r="J1422" s="24" t="n">
        <f aca="false">'DCF Base Case'!$B$2*(1+B1422)^1*$I1422-'DCF Base Case'!$B$2*(1+B1422)^0*B1422*'DCF Base Case'!$B$4</f>
        <v>24.890369135703</v>
      </c>
      <c r="K1422" s="24" t="n">
        <f aca="false">'DCF Base Case'!$B$2*(1+B1422)^2*$I1422-'DCF Base Case'!$B$2*(1+B1422)^1*B1422*'DCF Base Case'!$B$4</f>
        <v>26.8418398113087</v>
      </c>
      <c r="L1422" s="24" t="n">
        <f aca="false">'DCF Base Case'!$B$2*(1+B1422)^3*$I1422-'DCF Base Case'!$B$2*(1+B1422)^2*B1422*'DCF Base Case'!$B$4</f>
        <v>28.9463109417083</v>
      </c>
      <c r="M1422" s="24" t="n">
        <f aca="false">'DCF Base Case'!$B$2*(1+B1422)^4*$I1422-'DCF Base Case'!$B$2*(1+B1422)^3*B1422*'DCF Base Case'!$B$4</f>
        <v>31.2157781666312</v>
      </c>
      <c r="N1422" s="24" t="n">
        <f aca="false">'DCF Base Case'!$B$2*(1+B1422)^5*$I1422-'DCF Base Case'!$B$2*(1+B1422)^4*B1422*'DCF Base Case'!$B$4</f>
        <v>33.663177615642</v>
      </c>
      <c r="O1422" s="24" t="n">
        <f aca="false">J1422/(1+H1422)^1+K1422/(1+H1422)^2+L1422/(1+H1422)^3+M1422/(1+H1422)^4+N1422/(1+H1422)^5</f>
        <v>113.340838008244</v>
      </c>
      <c r="P1422" s="24" t="n">
        <f aca="false">N1422*(1+F1422)/(H1422-F1422)</f>
        <v>572.64840099327</v>
      </c>
      <c r="Q1422" s="24" t="n">
        <f aca="false">O1422+P1422/(1+H1422)^5</f>
        <v>494.319306432832</v>
      </c>
      <c r="R1422" s="24" t="n">
        <f aca="false">Q1422-'DCF Base Case'!$B$5</f>
        <v>309.319306432832</v>
      </c>
      <c r="S1422" s="32" t="n">
        <f aca="false">R1422/'DCF Base Case'!$B$6</f>
        <v>12.3727722573133</v>
      </c>
    </row>
    <row r="1423" customFormat="false" ht="15" hidden="false" customHeight="true" outlineLevel="0" collapsed="false">
      <c r="A1423" s="6" t="n">
        <v>1422</v>
      </c>
      <c r="B1423" s="30" t="n">
        <v>0.0889281203931847</v>
      </c>
      <c r="C1423" s="30" t="n">
        <v>0.453452472621816</v>
      </c>
      <c r="D1423" s="30" t="n">
        <v>0.0828576375059625</v>
      </c>
      <c r="E1423" s="30" t="n">
        <v>0.296505954177313</v>
      </c>
      <c r="F1423" s="30" t="n">
        <v>0.0216691395959812</v>
      </c>
      <c r="G1423" s="30" t="n">
        <v>0.182669026469712</v>
      </c>
      <c r="H1423" s="31" t="n">
        <f aca="false">MAX(D1423,F1423+0.015)</f>
        <v>0.0828576375059625</v>
      </c>
      <c r="I1423" s="25" t="n">
        <f aca="false">(C1423-'DCF Base Case'!$B$3)*(1-E1423)+'DCF Base Case'!$B$3-G1423</f>
        <v>0.174877862126361</v>
      </c>
      <c r="J1423" s="24" t="n">
        <f aca="false">'DCF Base Case'!$B$2*(1+B1423)^1*$I1423-'DCF Base Case'!$B$2*(1+B1423)^0*B1423*'DCF Base Case'!$B$4</f>
        <v>27.225428823317</v>
      </c>
      <c r="K1423" s="24" t="n">
        <f aca="false">'DCF Base Case'!$B$2*(1+B1423)^2*$I1423-'DCF Base Case'!$B$2*(1+B1423)^1*B1423*'DCF Base Case'!$B$4</f>
        <v>29.646535035473</v>
      </c>
      <c r="L1423" s="24" t="n">
        <f aca="false">'DCF Base Case'!$B$2*(1+B1423)^3*$I1423-'DCF Base Case'!$B$2*(1+B1423)^2*B1423*'DCF Base Case'!$B$4</f>
        <v>32.2829456723483</v>
      </c>
      <c r="M1423" s="24" t="n">
        <f aca="false">'DCF Base Case'!$B$2*(1+B1423)^4*$I1423-'DCF Base Case'!$B$2*(1+B1423)^3*B1423*'DCF Base Case'!$B$4</f>
        <v>35.1538073517456</v>
      </c>
      <c r="N1423" s="24" t="n">
        <f aca="false">'DCF Base Case'!$B$2*(1+B1423)^5*$I1423-'DCF Base Case'!$B$2*(1+B1423)^4*B1423*'DCF Base Case'!$B$4</f>
        <v>38.2799693642004</v>
      </c>
      <c r="O1423" s="24" t="n">
        <f aca="false">J1423/(1+H1423)^1+K1423/(1+H1423)^2+L1423/(1+H1423)^3+M1423/(1+H1423)^4+N1423/(1+H1423)^5</f>
        <v>127.128417225361</v>
      </c>
      <c r="P1423" s="24" t="n">
        <f aca="false">N1423*(1+F1423)/(H1423-F1423)</f>
        <v>639.163645128531</v>
      </c>
      <c r="Q1423" s="24" t="n">
        <f aca="false">O1423+P1423/(1+H1423)^5</f>
        <v>556.422838521033</v>
      </c>
      <c r="R1423" s="24" t="n">
        <f aca="false">Q1423-'DCF Base Case'!$B$5</f>
        <v>371.422838521033</v>
      </c>
      <c r="S1423" s="32" t="n">
        <f aca="false">R1423/'DCF Base Case'!$B$6</f>
        <v>14.8569135408413</v>
      </c>
    </row>
    <row r="1424" customFormat="false" ht="15" hidden="false" customHeight="true" outlineLevel="0" collapsed="false">
      <c r="A1424" s="6" t="n">
        <v>1423</v>
      </c>
      <c r="B1424" s="30" t="n">
        <v>0.0960623019591492</v>
      </c>
      <c r="C1424" s="30" t="n">
        <v>0.42057277986319</v>
      </c>
      <c r="D1424" s="30" t="n">
        <v>0.0861036771882083</v>
      </c>
      <c r="E1424" s="30" t="n">
        <v>0.26570804042423</v>
      </c>
      <c r="F1424" s="30" t="n">
        <v>0.0205088096643099</v>
      </c>
      <c r="G1424" s="30" t="n">
        <v>0.208709157304177</v>
      </c>
      <c r="H1424" s="31" t="n">
        <f aca="false">MAX(D1424,F1424+0.015)</f>
        <v>0.0861036771882083</v>
      </c>
      <c r="I1424" s="25" t="n">
        <f aca="false">(C1424-'DCF Base Case'!$B$3)*(1-E1424)+'DCF Base Case'!$B$3-G1424</f>
        <v>0.134656098620944</v>
      </c>
      <c r="J1424" s="24" t="n">
        <f aca="false">'DCF Base Case'!$B$2*(1+B1424)^1*$I1424-'DCF Base Case'!$B$2*(1+B1424)^0*B1424*'DCF Base Case'!$B$4</f>
        <v>20.9828926334376</v>
      </c>
      <c r="K1424" s="24" t="n">
        <f aca="false">'DCF Base Case'!$B$2*(1+B1424)^2*$I1424-'DCF Base Case'!$B$2*(1+B1424)^1*B1424*'DCF Base Case'!$B$4</f>
        <v>22.9985576015673</v>
      </c>
      <c r="L1424" s="24" t="n">
        <f aca="false">'DCF Base Case'!$B$2*(1+B1424)^3*$I1424-'DCF Base Case'!$B$2*(1+B1424)^2*B1424*'DCF Base Case'!$B$4</f>
        <v>25.2078519865139</v>
      </c>
      <c r="M1424" s="24" t="n">
        <f aca="false">'DCF Base Case'!$B$2*(1+B1424)^4*$I1424-'DCF Base Case'!$B$2*(1+B1424)^3*B1424*'DCF Base Case'!$B$4</f>
        <v>27.629376275784</v>
      </c>
      <c r="N1424" s="24" t="n">
        <f aca="false">'DCF Base Case'!$B$2*(1+B1424)^5*$I1424-'DCF Base Case'!$B$2*(1+B1424)^4*B1424*'DCF Base Case'!$B$4</f>
        <v>30.2835177625313</v>
      </c>
      <c r="O1424" s="24" t="n">
        <f aca="false">J1424/(1+H1424)^1+K1424/(1+H1424)^2+L1424/(1+H1424)^3+M1424/(1+H1424)^4+N1424/(1+H1424)^5</f>
        <v>98.3848373507749</v>
      </c>
      <c r="P1424" s="24" t="n">
        <f aca="false">N1424*(1+F1424)/(H1424-F1424)</f>
        <v>471.143518249034</v>
      </c>
      <c r="Q1424" s="24" t="n">
        <f aca="false">O1424+P1424/(1+H1424)^5</f>
        <v>410.127901864572</v>
      </c>
      <c r="R1424" s="24" t="n">
        <f aca="false">Q1424-'DCF Base Case'!$B$5</f>
        <v>225.127901864572</v>
      </c>
      <c r="S1424" s="32" t="n">
        <f aca="false">R1424/'DCF Base Case'!$B$6</f>
        <v>9.00511607458289</v>
      </c>
    </row>
    <row r="1425" customFormat="false" ht="15" hidden="false" customHeight="true" outlineLevel="0" collapsed="false">
      <c r="A1425" s="6" t="n">
        <v>1424</v>
      </c>
      <c r="B1425" s="30" t="n">
        <v>0.116229359573724</v>
      </c>
      <c r="C1425" s="30" t="n">
        <v>0.429058897284376</v>
      </c>
      <c r="D1425" s="30" t="n">
        <v>0.0944141277791659</v>
      </c>
      <c r="E1425" s="30" t="n">
        <v>0.26058253562964</v>
      </c>
      <c r="F1425" s="30" t="n">
        <v>0.0183376264521199</v>
      </c>
      <c r="G1425" s="30" t="n">
        <v>0.187912343425547</v>
      </c>
      <c r="H1425" s="31" t="n">
        <f aca="false">MAX(D1425,F1425+0.015)</f>
        <v>0.0944141277791659</v>
      </c>
      <c r="I1425" s="25" t="n">
        <f aca="false">(C1425-'DCF Base Case'!$B$3)*(1-E1425)+'DCF Base Case'!$B$3-G1425</f>
        <v>0.163217028101862</v>
      </c>
      <c r="J1425" s="24" t="n">
        <f aca="false">'DCF Base Case'!$B$2*(1+B1425)^1*$I1425-'DCF Base Case'!$B$2*(1+B1425)^0*B1425*'DCF Base Case'!$B$4</f>
        <v>25.9116099045562</v>
      </c>
      <c r="K1425" s="24" t="n">
        <f aca="false">'DCF Base Case'!$B$2*(1+B1425)^2*$I1425-'DCF Base Case'!$B$2*(1+B1425)^1*B1425*'DCF Base Case'!$B$4</f>
        <v>28.9232997292869</v>
      </c>
      <c r="L1425" s="24" t="n">
        <f aca="false">'DCF Base Case'!$B$2*(1+B1425)^3*$I1425-'DCF Base Case'!$B$2*(1+B1425)^2*B1425*'DCF Base Case'!$B$4</f>
        <v>32.2850363335808</v>
      </c>
      <c r="M1425" s="24" t="n">
        <f aca="false">'DCF Base Case'!$B$2*(1+B1425)^4*$I1425-'DCF Base Case'!$B$2*(1+B1425)^3*B1425*'DCF Base Case'!$B$4</f>
        <v>36.0375054304473</v>
      </c>
      <c r="N1425" s="24" t="n">
        <f aca="false">'DCF Base Case'!$B$2*(1+B1425)^5*$I1425-'DCF Base Case'!$B$2*(1+B1425)^4*B1425*'DCF Base Case'!$B$4</f>
        <v>40.2261216072628</v>
      </c>
      <c r="O1425" s="24" t="n">
        <f aca="false">J1425/(1+H1425)^1+K1425/(1+H1425)^2+L1425/(1+H1425)^3+M1425/(1+H1425)^4+N1425/(1+H1425)^5</f>
        <v>123.19565179997</v>
      </c>
      <c r="P1425" s="24" t="n">
        <f aca="false">N1425*(1+F1425)/(H1425-F1425)</f>
        <v>538.455008897094</v>
      </c>
      <c r="Q1425" s="24" t="n">
        <f aca="false">O1425+P1425/(1+H1425)^5</f>
        <v>466.153675358006</v>
      </c>
      <c r="R1425" s="24" t="n">
        <f aca="false">Q1425-'DCF Base Case'!$B$5</f>
        <v>281.153675358006</v>
      </c>
      <c r="S1425" s="32" t="n">
        <f aca="false">R1425/'DCF Base Case'!$B$6</f>
        <v>11.2461470143202</v>
      </c>
    </row>
    <row r="1426" customFormat="false" ht="15" hidden="false" customHeight="true" outlineLevel="0" collapsed="false">
      <c r="A1426" s="6" t="n">
        <v>1425</v>
      </c>
      <c r="B1426" s="30" t="n">
        <v>0.121495226402034</v>
      </c>
      <c r="C1426" s="30" t="n">
        <v>0.410206453898345</v>
      </c>
      <c r="D1426" s="30" t="n">
        <v>0.0796805285963453</v>
      </c>
      <c r="E1426" s="30" t="n">
        <v>0.337986658210636</v>
      </c>
      <c r="F1426" s="30" t="n">
        <v>0.0197061890022042</v>
      </c>
      <c r="G1426" s="30" t="n">
        <v>0.205691060227328</v>
      </c>
      <c r="H1426" s="31" t="n">
        <f aca="false">MAX(D1426,F1426+0.015)</f>
        <v>0.0796805285963453</v>
      </c>
      <c r="I1426" s="25" t="n">
        <f aca="false">(C1426-'DCF Base Case'!$B$3)*(1-E1426)+'DCF Base Case'!$B$3-G1426</f>
        <v>0.109809350708863</v>
      </c>
      <c r="J1426" s="24" t="n">
        <f aca="false">'DCF Base Case'!$B$2*(1+B1426)^1*$I1426-'DCF Base Case'!$B$2*(1+B1426)^0*B1426*'DCF Base Case'!$B$4</f>
        <v>17.3283418471241</v>
      </c>
      <c r="K1426" s="24" t="n">
        <f aca="false">'DCF Base Case'!$B$2*(1+B1426)^2*$I1426-'DCF Base Case'!$B$2*(1+B1426)^1*B1426*'DCF Base Case'!$B$4</f>
        <v>19.4336526630123</v>
      </c>
      <c r="L1426" s="24" t="n">
        <f aca="false">'DCF Base Case'!$B$2*(1+B1426)^3*$I1426-'DCF Base Case'!$B$2*(1+B1426)^2*B1426*'DCF Base Case'!$B$4</f>
        <v>21.7947486931235</v>
      </c>
      <c r="M1426" s="24" t="n">
        <f aca="false">'DCF Base Case'!$B$2*(1+B1426)^4*$I1426-'DCF Base Case'!$B$2*(1+B1426)^3*B1426*'DCF Base Case'!$B$4</f>
        <v>24.4427066199699</v>
      </c>
      <c r="N1426" s="24" t="n">
        <f aca="false">'DCF Base Case'!$B$2*(1+B1426)^5*$I1426-'DCF Base Case'!$B$2*(1+B1426)^4*B1426*'DCF Base Case'!$B$4</f>
        <v>27.4123787946417</v>
      </c>
      <c r="O1426" s="24" t="n">
        <f aca="false">J1426/(1+H1426)^1+K1426/(1+H1426)^2+L1426/(1+H1426)^3+M1426/(1+H1426)^4+N1426/(1+H1426)^5</f>
        <v>86.7087467849338</v>
      </c>
      <c r="P1426" s="24" t="n">
        <f aca="false">N1426*(1+F1426)/(H1426-F1426)</f>
        <v>466.075533325249</v>
      </c>
      <c r="Q1426" s="24" t="n">
        <f aca="false">O1426+P1426/(1+H1426)^5</f>
        <v>404.381494310013</v>
      </c>
      <c r="R1426" s="24" t="n">
        <f aca="false">Q1426-'DCF Base Case'!$B$5</f>
        <v>219.381494310013</v>
      </c>
      <c r="S1426" s="32" t="n">
        <f aca="false">R1426/'DCF Base Case'!$B$6</f>
        <v>8.77525977240053</v>
      </c>
    </row>
    <row r="1427" customFormat="false" ht="15" hidden="false" customHeight="true" outlineLevel="0" collapsed="false">
      <c r="A1427" s="6" t="n">
        <v>1426</v>
      </c>
      <c r="B1427" s="30" t="n">
        <v>0.0942801659186409</v>
      </c>
      <c r="C1427" s="30" t="n">
        <v>0.420964561653498</v>
      </c>
      <c r="D1427" s="30" t="n">
        <v>0.0816396002357411</v>
      </c>
      <c r="E1427" s="30" t="n">
        <v>0.308620693035559</v>
      </c>
      <c r="F1427" s="30" t="n">
        <v>0.0241156518856166</v>
      </c>
      <c r="G1427" s="30" t="n">
        <v>0.14452214793608</v>
      </c>
      <c r="H1427" s="31" t="n">
        <f aca="false">MAX(D1427,F1427+0.015)</f>
        <v>0.0816396002357411</v>
      </c>
      <c r="I1427" s="25" t="n">
        <f aca="false">(C1427-'DCF Base Case'!$B$3)*(1-E1427)+'DCF Base Case'!$B$3-G1427</f>
        <v>0.186644729051128</v>
      </c>
      <c r="J1427" s="24" t="n">
        <f aca="false">'DCF Base Case'!$B$2*(1+B1427)^1*$I1427-'DCF Base Case'!$B$2*(1+B1427)^0*B1427*'DCF Base Case'!$B$4</f>
        <v>29.2049169139706</v>
      </c>
      <c r="K1427" s="24" t="n">
        <f aca="false">'DCF Base Case'!$B$2*(1+B1427)^2*$I1427-'DCF Base Case'!$B$2*(1+B1427)^1*B1427*'DCF Base Case'!$B$4</f>
        <v>31.9583613262598</v>
      </c>
      <c r="L1427" s="24" t="n">
        <f aca="false">'DCF Base Case'!$B$2*(1+B1427)^3*$I1427-'DCF Base Case'!$B$2*(1+B1427)^2*B1427*'DCF Base Case'!$B$4</f>
        <v>34.9714009345875</v>
      </c>
      <c r="M1427" s="24" t="n">
        <f aca="false">'DCF Base Case'!$B$2*(1+B1427)^4*$I1427-'DCF Base Case'!$B$2*(1+B1427)^3*B1427*'DCF Base Case'!$B$4</f>
        <v>38.2685104171077</v>
      </c>
      <c r="N1427" s="24" t="n">
        <f aca="false">'DCF Base Case'!$B$2*(1+B1427)^5*$I1427-'DCF Base Case'!$B$2*(1+B1427)^4*B1427*'DCF Base Case'!$B$4</f>
        <v>41.8764719286919</v>
      </c>
      <c r="O1427" s="24" t="n">
        <f aca="false">J1427/(1+H1427)^1+K1427/(1+H1427)^2+L1427/(1+H1427)^3+M1427/(1+H1427)^4+N1427/(1+H1427)^5</f>
        <v>138.195506972789</v>
      </c>
      <c r="P1427" s="24" t="n">
        <f aca="false">N1427*(1+F1427)/(H1427-F1427)</f>
        <v>745.539059434699</v>
      </c>
      <c r="Q1427" s="24" t="n">
        <f aca="false">O1427+P1427/(1+H1427)^5</f>
        <v>641.762790588061</v>
      </c>
      <c r="R1427" s="24" t="n">
        <f aca="false">Q1427-'DCF Base Case'!$B$5</f>
        <v>456.762790588061</v>
      </c>
      <c r="S1427" s="32" t="n">
        <f aca="false">R1427/'DCF Base Case'!$B$6</f>
        <v>18.2705116235224</v>
      </c>
    </row>
    <row r="1428" customFormat="false" ht="15" hidden="false" customHeight="true" outlineLevel="0" collapsed="false">
      <c r="A1428" s="6" t="n">
        <v>1427</v>
      </c>
      <c r="B1428" s="30" t="n">
        <v>0.0825587945030354</v>
      </c>
      <c r="C1428" s="30" t="n">
        <v>0.429568268623753</v>
      </c>
      <c r="D1428" s="30" t="n">
        <v>0.0835749649843724</v>
      </c>
      <c r="E1428" s="30" t="n">
        <v>0.267402265332902</v>
      </c>
      <c r="F1428" s="30" t="n">
        <v>0.0229698894147125</v>
      </c>
      <c r="G1428" s="30" t="n">
        <v>0.19154844103481</v>
      </c>
      <c r="H1428" s="31" t="n">
        <f aca="false">MAX(D1428,F1428+0.015)</f>
        <v>0.0835749649843724</v>
      </c>
      <c r="I1428" s="25" t="n">
        <f aca="false">(C1428-'DCF Base Case'!$B$3)*(1-E1428)+'DCF Base Case'!$B$3-G1428</f>
        <v>0.157914593937096</v>
      </c>
      <c r="J1428" s="24" t="n">
        <f aca="false">'DCF Base Case'!$B$2*(1+B1428)^1*$I1428-'DCF Base Case'!$B$2*(1+B1428)^0*B1428*'DCF Base Case'!$B$4</f>
        <v>24.4288849487238</v>
      </c>
      <c r="K1428" s="24" t="n">
        <f aca="false">'DCF Base Case'!$B$2*(1+B1428)^2*$I1428-'DCF Base Case'!$B$2*(1+B1428)^1*B1428*'DCF Base Case'!$B$4</f>
        <v>26.4457042411437</v>
      </c>
      <c r="L1428" s="24" t="n">
        <f aca="false">'DCF Base Case'!$B$2*(1+B1428)^3*$I1428-'DCF Base Case'!$B$2*(1+B1428)^2*B1428*'DCF Base Case'!$B$4</f>
        <v>28.6290297030764</v>
      </c>
      <c r="M1428" s="24" t="n">
        <f aca="false">'DCF Base Case'!$B$2*(1+B1428)^4*$I1428-'DCF Base Case'!$B$2*(1+B1428)^3*B1428*'DCF Base Case'!$B$4</f>
        <v>30.992607883154</v>
      </c>
      <c r="N1428" s="24" t="n">
        <f aca="false">'DCF Base Case'!$B$2*(1+B1428)^5*$I1428-'DCF Base Case'!$B$2*(1+B1428)^4*B1428*'DCF Base Case'!$B$4</f>
        <v>33.5513202284925</v>
      </c>
      <c r="O1428" s="24" t="n">
        <f aca="false">J1428/(1+H1428)^1+K1428/(1+H1428)^2+L1428/(1+H1428)^3+M1428/(1+H1428)^4+N1428/(1+H1428)^5</f>
        <v>112.512332530102</v>
      </c>
      <c r="P1428" s="24" t="n">
        <f aca="false">N1428*(1+F1428)/(H1428-F1428)</f>
        <v>566.322045162844</v>
      </c>
      <c r="Q1428" s="24" t="n">
        <f aca="false">O1428+P1428/(1+H1428)^5</f>
        <v>491.625313605887</v>
      </c>
      <c r="R1428" s="24" t="n">
        <f aca="false">Q1428-'DCF Base Case'!$B$5</f>
        <v>306.625313605887</v>
      </c>
      <c r="S1428" s="32" t="n">
        <f aca="false">R1428/'DCF Base Case'!$B$6</f>
        <v>12.2650125442355</v>
      </c>
    </row>
    <row r="1429" customFormat="false" ht="15" hidden="false" customHeight="true" outlineLevel="0" collapsed="false">
      <c r="A1429" s="6" t="n">
        <v>1428</v>
      </c>
      <c r="B1429" s="30" t="n">
        <v>0.0804032341923111</v>
      </c>
      <c r="C1429" s="30" t="n">
        <v>0.415672709110258</v>
      </c>
      <c r="D1429" s="30" t="n">
        <v>0.0717067772450535</v>
      </c>
      <c r="E1429" s="30" t="n">
        <v>0.260189776896635</v>
      </c>
      <c r="F1429" s="30" t="n">
        <v>0.0198054250613212</v>
      </c>
      <c r="G1429" s="30" t="n">
        <v>0.165918252761664</v>
      </c>
      <c r="H1429" s="31" t="n">
        <f aca="false">MAX(D1429,F1429+0.015)</f>
        <v>0.0717067772450535</v>
      </c>
      <c r="I1429" s="25" t="n">
        <f aca="false">(C1429-'DCF Base Case'!$B$3)*(1-E1429)+'DCF Base Case'!$B$3-G1429</f>
        <v>0.175425337899739</v>
      </c>
      <c r="J1429" s="24" t="n">
        <f aca="false">'DCF Base Case'!$B$2*(1+B1429)^1*$I1429-'DCF Base Case'!$B$2*(1+B1429)^0*B1429*'DCF Base Case'!$B$4</f>
        <v>27.1321107830562</v>
      </c>
      <c r="K1429" s="24" t="n">
        <f aca="false">'DCF Base Case'!$B$2*(1+B1429)^2*$I1429-'DCF Base Case'!$B$2*(1+B1429)^1*B1429*'DCF Base Case'!$B$4</f>
        <v>29.313620240478</v>
      </c>
      <c r="L1429" s="24" t="n">
        <f aca="false">'DCF Base Case'!$B$2*(1+B1429)^3*$I1429-'DCF Base Case'!$B$2*(1+B1429)^2*B1429*'DCF Base Case'!$B$4</f>
        <v>31.6705301136976</v>
      </c>
      <c r="M1429" s="24" t="n">
        <f aca="false">'DCF Base Case'!$B$2*(1+B1429)^4*$I1429-'DCF Base Case'!$B$2*(1+B1429)^3*B1429*'DCF Base Case'!$B$4</f>
        <v>34.2169431634238</v>
      </c>
      <c r="N1429" s="24" t="n">
        <f aca="false">'DCF Base Case'!$B$2*(1+B1429)^5*$I1429-'DCF Base Case'!$B$2*(1+B1429)^4*B1429*'DCF Base Case'!$B$4</f>
        <v>36.9680960579376</v>
      </c>
      <c r="O1429" s="24" t="n">
        <f aca="false">J1429/(1+H1429)^1+K1429/(1+H1429)^2+L1429/(1+H1429)^3+M1429/(1+H1429)^4+N1429/(1+H1429)^5</f>
        <v>128.654734197249</v>
      </c>
      <c r="P1429" s="24" t="n">
        <f aca="false">N1429*(1+F1429)/(H1429-F1429)</f>
        <v>726.383096544629</v>
      </c>
      <c r="Q1429" s="24" t="n">
        <f aca="false">O1429+P1429/(1+H1429)^5</f>
        <v>642.444966668321</v>
      </c>
      <c r="R1429" s="24" t="n">
        <f aca="false">Q1429-'DCF Base Case'!$B$5</f>
        <v>457.444966668321</v>
      </c>
      <c r="S1429" s="32" t="n">
        <f aca="false">R1429/'DCF Base Case'!$B$6</f>
        <v>18.2977986667329</v>
      </c>
    </row>
    <row r="1430" customFormat="false" ht="15" hidden="false" customHeight="true" outlineLevel="0" collapsed="false">
      <c r="A1430" s="6" t="n">
        <v>1429</v>
      </c>
      <c r="B1430" s="30" t="n">
        <v>0.0688793169855672</v>
      </c>
      <c r="C1430" s="30" t="n">
        <v>0.390639635112641</v>
      </c>
      <c r="D1430" s="30" t="n">
        <v>0.0732845119304889</v>
      </c>
      <c r="E1430" s="30" t="n">
        <v>0.29331774902448</v>
      </c>
      <c r="F1430" s="30" t="n">
        <v>0.0120729416442503</v>
      </c>
      <c r="G1430" s="30" t="n">
        <v>0.144969591016681</v>
      </c>
      <c r="H1430" s="31" t="n">
        <f aca="false">MAX(D1430,F1430+0.015)</f>
        <v>0.0732845119304889</v>
      </c>
      <c r="I1430" s="25" t="n">
        <f aca="false">(C1430-'DCF Base Case'!$B$3)*(1-E1430)+'DCF Base Case'!$B$3-G1430</f>
        <v>0.169219813018158</v>
      </c>
      <c r="J1430" s="24" t="n">
        <f aca="false">'DCF Base Case'!$B$2*(1+B1430)^1*$I1430-'DCF Base Case'!$B$2*(1+B1430)^0*B1430*'DCF Base Case'!$B$4</f>
        <v>25.9273309042076</v>
      </c>
      <c r="K1430" s="24" t="n">
        <f aca="false">'DCF Base Case'!$B$2*(1+B1430)^2*$I1430-'DCF Base Case'!$B$2*(1+B1430)^1*B1430*'DCF Base Case'!$B$4</f>
        <v>27.7131877481482</v>
      </c>
      <c r="L1430" s="24" t="n">
        <f aca="false">'DCF Base Case'!$B$2*(1+B1430)^3*$I1430-'DCF Base Case'!$B$2*(1+B1430)^2*B1430*'DCF Base Case'!$B$4</f>
        <v>29.6220531917334</v>
      </c>
      <c r="M1430" s="24" t="n">
        <f aca="false">'DCF Base Case'!$B$2*(1+B1430)^4*$I1430-'DCF Base Case'!$B$2*(1+B1430)^3*B1430*'DCF Base Case'!$B$4</f>
        <v>31.6623999832902</v>
      </c>
      <c r="N1430" s="24" t="n">
        <f aca="false">'DCF Base Case'!$B$2*(1+B1430)^5*$I1430-'DCF Base Case'!$B$2*(1+B1430)^4*B1430*'DCF Base Case'!$B$4</f>
        <v>33.843284468263</v>
      </c>
      <c r="O1430" s="24" t="n">
        <f aca="false">J1430/(1+H1430)^1+K1430/(1+H1430)^2+L1430/(1+H1430)^3+M1430/(1+H1430)^4+N1430/(1+H1430)^5</f>
        <v>119.797545826669</v>
      </c>
      <c r="P1430" s="24" t="n">
        <f aca="false">N1430*(1+F1430)/(H1430-F1430)</f>
        <v>559.565329014252</v>
      </c>
      <c r="Q1430" s="24" t="n">
        <f aca="false">O1430+P1430/(1+H1430)^5</f>
        <v>512.692531356477</v>
      </c>
      <c r="R1430" s="24" t="n">
        <f aca="false">Q1430-'DCF Base Case'!$B$5</f>
        <v>327.692531356477</v>
      </c>
      <c r="S1430" s="32" t="n">
        <f aca="false">R1430/'DCF Base Case'!$B$6</f>
        <v>13.1077012542591</v>
      </c>
    </row>
    <row r="1431" customFormat="false" ht="15" hidden="false" customHeight="true" outlineLevel="0" collapsed="false">
      <c r="A1431" s="6" t="n">
        <v>1430</v>
      </c>
      <c r="B1431" s="30" t="n">
        <v>0.0524970486997505</v>
      </c>
      <c r="C1431" s="30" t="n">
        <v>0.408843836896564</v>
      </c>
      <c r="D1431" s="30" t="n">
        <v>0.0651699309493983</v>
      </c>
      <c r="E1431" s="30" t="n">
        <v>0.280539898882698</v>
      </c>
      <c r="F1431" s="30" t="n">
        <v>0.0249241581238558</v>
      </c>
      <c r="G1431" s="30" t="n">
        <v>0.203185551487138</v>
      </c>
      <c r="H1431" s="31" t="n">
        <f aca="false">MAX(D1431,F1431+0.015)</f>
        <v>0.0651699309493983</v>
      </c>
      <c r="I1431" s="25" t="n">
        <f aca="false">(C1431-'DCF Base Case'!$B$3)*(1-E1431)+'DCF Base Case'!$B$3-G1431</f>
        <v>0.1274314636024</v>
      </c>
      <c r="J1431" s="24" t="n">
        <f aca="false">'DCF Base Case'!$B$2*(1+B1431)^1*$I1431-'DCF Base Case'!$B$2*(1+B1431)^0*B1431*'DCF Base Case'!$B$4</f>
        <v>19.2192175443434</v>
      </c>
      <c r="K1431" s="24" t="n">
        <f aca="false">'DCF Base Case'!$B$2*(1+B1431)^2*$I1431-'DCF Base Case'!$B$2*(1+B1431)^1*B1431*'DCF Base Case'!$B$4</f>
        <v>20.2281697437399</v>
      </c>
      <c r="L1431" s="24" t="n">
        <f aca="false">'DCF Base Case'!$B$2*(1+B1431)^3*$I1431-'DCF Base Case'!$B$2*(1+B1431)^2*B1431*'DCF Base Case'!$B$4</f>
        <v>21.2900889558839</v>
      </c>
      <c r="M1431" s="24" t="n">
        <f aca="false">'DCF Base Case'!$B$2*(1+B1431)^4*$I1431-'DCF Base Case'!$B$2*(1+B1431)^3*B1431*'DCF Base Case'!$B$4</f>
        <v>22.4077557926229</v>
      </c>
      <c r="N1431" s="24" t="n">
        <f aca="false">'DCF Base Case'!$B$2*(1+B1431)^5*$I1431-'DCF Base Case'!$B$2*(1+B1431)^4*B1431*'DCF Base Case'!$B$4</f>
        <v>23.5840968397204</v>
      </c>
      <c r="O1431" s="24" t="n">
        <f aca="false">J1431/(1+H1431)^1+K1431/(1+H1431)^2+L1431/(1+H1431)^3+M1431/(1+H1431)^4+N1431/(1+H1431)^5</f>
        <v>88.0953526626392</v>
      </c>
      <c r="P1431" s="24" t="n">
        <f aca="false">N1431*(1+F1431)/(H1431-F1431)</f>
        <v>600.607440273103</v>
      </c>
      <c r="Q1431" s="24" t="n">
        <f aca="false">O1431+P1431/(1+H1431)^5</f>
        <v>526.11764879364</v>
      </c>
      <c r="R1431" s="24" t="n">
        <f aca="false">Q1431-'DCF Base Case'!$B$5</f>
        <v>341.11764879364</v>
      </c>
      <c r="S1431" s="32" t="n">
        <f aca="false">R1431/'DCF Base Case'!$B$6</f>
        <v>13.6447059517456</v>
      </c>
    </row>
    <row r="1432" customFormat="false" ht="15" hidden="false" customHeight="true" outlineLevel="0" collapsed="false">
      <c r="A1432" s="6" t="n">
        <v>1431</v>
      </c>
      <c r="B1432" s="30" t="n">
        <v>0.053316604164724</v>
      </c>
      <c r="C1432" s="30" t="n">
        <v>0.406618845418155</v>
      </c>
      <c r="D1432" s="30" t="n">
        <v>0.074121315739815</v>
      </c>
      <c r="E1432" s="30" t="n">
        <v>0.256003053164747</v>
      </c>
      <c r="F1432" s="30" t="n">
        <v>0.0189216071106492</v>
      </c>
      <c r="G1432" s="30" t="n">
        <v>0.194348234598102</v>
      </c>
      <c r="H1432" s="31" t="n">
        <f aca="false">MAX(D1432,F1432+0.015)</f>
        <v>0.074121315739815</v>
      </c>
      <c r="I1432" s="25" t="n">
        <f aca="false">(C1432-'DCF Base Case'!$B$3)*(1-E1432)+'DCF Base Case'!$B$3-G1432</f>
        <v>0.141455341830098</v>
      </c>
      <c r="J1432" s="24" t="n">
        <f aca="false">'DCF Base Case'!$B$2*(1+B1432)^1*$I1432-'DCF Base Case'!$B$2*(1+B1432)^0*B1432*'DCF Base Case'!$B$4</f>
        <v>21.3726755150121</v>
      </c>
      <c r="K1432" s="24" t="n">
        <f aca="false">'DCF Base Case'!$B$2*(1+B1432)^2*$I1432-'DCF Base Case'!$B$2*(1+B1432)^1*B1432*'DCF Base Case'!$B$4</f>
        <v>22.5121939953871</v>
      </c>
      <c r="L1432" s="24" t="n">
        <f aca="false">'DCF Base Case'!$B$2*(1+B1432)^3*$I1432-'DCF Base Case'!$B$2*(1+B1432)^2*B1432*'DCF Base Case'!$B$4</f>
        <v>23.7124677315187</v>
      </c>
      <c r="M1432" s="24" t="n">
        <f aca="false">'DCF Base Case'!$B$2*(1+B1432)^4*$I1432-'DCF Base Case'!$B$2*(1+B1432)^3*B1432*'DCF Base Case'!$B$4</f>
        <v>24.9767359873288</v>
      </c>
      <c r="N1432" s="24" t="n">
        <f aca="false">'DCF Base Case'!$B$2*(1+B1432)^5*$I1432-'DCF Base Case'!$B$2*(1+B1432)^4*B1432*'DCF Base Case'!$B$4</f>
        <v>26.3084107332921</v>
      </c>
      <c r="O1432" s="24" t="n">
        <f aca="false">J1432/(1+H1432)^1+K1432/(1+H1432)^2+L1432/(1+H1432)^3+M1432/(1+H1432)^4+N1432/(1+H1432)^5</f>
        <v>95.7090225241251</v>
      </c>
      <c r="P1432" s="24" t="n">
        <f aca="false">N1432*(1+F1432)/(H1432-F1432)</f>
        <v>485.622276106172</v>
      </c>
      <c r="Q1432" s="24" t="n">
        <f aca="false">O1432+P1432/(1+H1432)^5</f>
        <v>435.359261382216</v>
      </c>
      <c r="R1432" s="24" t="n">
        <f aca="false">Q1432-'DCF Base Case'!$B$5</f>
        <v>250.359261382216</v>
      </c>
      <c r="S1432" s="32" t="n">
        <f aca="false">R1432/'DCF Base Case'!$B$6</f>
        <v>10.0143704552887</v>
      </c>
    </row>
    <row r="1433" customFormat="false" ht="15" hidden="false" customHeight="true" outlineLevel="0" collapsed="false">
      <c r="A1433" s="6" t="n">
        <v>1432</v>
      </c>
      <c r="B1433" s="30" t="n">
        <v>0.102961722442586</v>
      </c>
      <c r="C1433" s="30" t="n">
        <v>0.404005562891798</v>
      </c>
      <c r="D1433" s="30" t="n">
        <v>0.09275537397151</v>
      </c>
      <c r="E1433" s="30" t="n">
        <v>0.245228411905288</v>
      </c>
      <c r="F1433" s="30" t="n">
        <v>0.016285277835834</v>
      </c>
      <c r="G1433" s="30" t="n">
        <v>0.148635683514347</v>
      </c>
      <c r="H1433" s="31" t="n">
        <f aca="false">MAX(D1433,F1433+0.015)</f>
        <v>0.09275537397151</v>
      </c>
      <c r="I1433" s="25" t="n">
        <f aca="false">(C1433-'DCF Base Case'!$B$3)*(1-E1433)+'DCF Base Case'!$B$3-G1433</f>
        <v>0.188175930336281</v>
      </c>
      <c r="J1433" s="24" t="n">
        <f aca="false">'DCF Base Case'!$B$2*(1+B1433)^1*$I1433-'DCF Base Case'!$B$2*(1+B1433)^0*B1433*'DCF Base Case'!$B$4</f>
        <v>29.6469895030361</v>
      </c>
      <c r="K1433" s="24" t="n">
        <f aca="false">'DCF Base Case'!$B$2*(1+B1433)^2*$I1433-'DCF Base Case'!$B$2*(1+B1433)^1*B1433*'DCF Base Case'!$B$4</f>
        <v>32.699494607506</v>
      </c>
      <c r="L1433" s="24" t="n">
        <f aca="false">'DCF Base Case'!$B$2*(1+B1433)^3*$I1433-'DCF Base Case'!$B$2*(1+B1433)^2*B1433*'DCF Base Case'!$B$4</f>
        <v>36.0662908952968</v>
      </c>
      <c r="M1433" s="24" t="n">
        <f aca="false">'DCF Base Case'!$B$2*(1+B1433)^4*$I1433-'DCF Base Case'!$B$2*(1+B1433)^3*B1433*'DCF Base Case'!$B$4</f>
        <v>39.779738327992</v>
      </c>
      <c r="N1433" s="24" t="n">
        <f aca="false">'DCF Base Case'!$B$2*(1+B1433)^5*$I1433-'DCF Base Case'!$B$2*(1+B1433)^4*B1433*'DCF Base Case'!$B$4</f>
        <v>43.8755287045574</v>
      </c>
      <c r="O1433" s="24" t="n">
        <f aca="false">J1433/(1+H1433)^1+K1433/(1+H1433)^2+L1433/(1+H1433)^3+M1433/(1+H1433)^4+N1433/(1+H1433)^5</f>
        <v>138.210222833129</v>
      </c>
      <c r="P1433" s="24" t="n">
        <f aca="false">N1433*(1+F1433)/(H1433-F1433)</f>
        <v>583.104456944737</v>
      </c>
      <c r="Q1433" s="24" t="n">
        <f aca="false">O1433+P1433/(1+H1433)^5</f>
        <v>512.434196701079</v>
      </c>
      <c r="R1433" s="24" t="n">
        <f aca="false">Q1433-'DCF Base Case'!$B$5</f>
        <v>327.434196701079</v>
      </c>
      <c r="S1433" s="32" t="n">
        <f aca="false">R1433/'DCF Base Case'!$B$6</f>
        <v>13.0973678680432</v>
      </c>
    </row>
    <row r="1434" customFormat="false" ht="15" hidden="false" customHeight="true" outlineLevel="0" collapsed="false">
      <c r="A1434" s="6" t="n">
        <v>1433</v>
      </c>
      <c r="B1434" s="30" t="n">
        <v>0.0915858244315124</v>
      </c>
      <c r="C1434" s="30" t="n">
        <v>0.411112927536151</v>
      </c>
      <c r="D1434" s="30" t="n">
        <v>0.0834438179701813</v>
      </c>
      <c r="E1434" s="30" t="n">
        <v>0.274922940281641</v>
      </c>
      <c r="F1434" s="30" t="n">
        <v>0.0194373846149879</v>
      </c>
      <c r="G1434" s="30" t="n">
        <v>0.177960493006133</v>
      </c>
      <c r="H1434" s="31" t="n">
        <f aca="false">MAX(D1434,F1434+0.015)</f>
        <v>0.0834438179701813</v>
      </c>
      <c r="I1434" s="25" t="n">
        <f aca="false">(C1434-'DCF Base Case'!$B$3)*(1-E1434)+'DCF Base Case'!$B$3-G1434</f>
        <v>0.155868041940599</v>
      </c>
      <c r="J1434" s="24" t="n">
        <f aca="false">'DCF Base Case'!$B$2*(1+B1434)^1*$I1434-'DCF Base Case'!$B$2*(1+B1434)^0*B1434*'DCF Base Case'!$B$4</f>
        <v>24.2723866980399</v>
      </c>
      <c r="K1434" s="24" t="n">
        <f aca="false">'DCF Base Case'!$B$2*(1+B1434)^2*$I1434-'DCF Base Case'!$B$2*(1+B1434)^1*B1434*'DCF Base Case'!$B$4</f>
        <v>26.4953932447003</v>
      </c>
      <c r="L1434" s="24" t="n">
        <f aca="false">'DCF Base Case'!$B$2*(1+B1434)^3*$I1434-'DCF Base Case'!$B$2*(1+B1434)^2*B1434*'DCF Base Case'!$B$4</f>
        <v>28.9219956786533</v>
      </c>
      <c r="M1434" s="24" t="n">
        <f aca="false">'DCF Base Case'!$B$2*(1+B1434)^4*$I1434-'DCF Base Case'!$B$2*(1+B1434)^3*B1434*'DCF Base Case'!$B$4</f>
        <v>31.5708404970874</v>
      </c>
      <c r="N1434" s="24" t="n">
        <f aca="false">'DCF Base Case'!$B$2*(1+B1434)^5*$I1434-'DCF Base Case'!$B$2*(1+B1434)^4*B1434*'DCF Base Case'!$B$4</f>
        <v>34.462281952009</v>
      </c>
      <c r="O1434" s="24" t="n">
        <f aca="false">J1434/(1+H1434)^1+K1434/(1+H1434)^2+L1434/(1+H1434)^3+M1434/(1+H1434)^4+N1434/(1+H1434)^5</f>
        <v>113.711245554817</v>
      </c>
      <c r="P1434" s="24" t="n">
        <f aca="false">N1434*(1+F1434)/(H1434-F1434)</f>
        <v>548.884490814543</v>
      </c>
      <c r="Q1434" s="24" t="n">
        <f aca="false">O1434+P1434/(1+H1434)^5</f>
        <v>481.373444393583</v>
      </c>
      <c r="R1434" s="24" t="n">
        <f aca="false">Q1434-'DCF Base Case'!$B$5</f>
        <v>296.373444393583</v>
      </c>
      <c r="S1434" s="32" t="n">
        <f aca="false">R1434/'DCF Base Case'!$B$6</f>
        <v>11.8549377757433</v>
      </c>
    </row>
    <row r="1435" customFormat="false" ht="15" hidden="false" customHeight="true" outlineLevel="0" collapsed="false">
      <c r="A1435" s="6" t="n">
        <v>1434</v>
      </c>
      <c r="B1435" s="30" t="n">
        <v>0.0930614115451622</v>
      </c>
      <c r="C1435" s="30" t="n">
        <v>0.409913983788759</v>
      </c>
      <c r="D1435" s="30" t="n">
        <v>0.0894192310778526</v>
      </c>
      <c r="E1435" s="30" t="n">
        <v>0.305019633543971</v>
      </c>
      <c r="F1435" s="30" t="n">
        <v>0.0171127984024981</v>
      </c>
      <c r="G1435" s="30" t="n">
        <v>0.163945508783151</v>
      </c>
      <c r="H1435" s="31" t="n">
        <f aca="false">MAX(D1435,F1435+0.015)</f>
        <v>0.0894192310778526</v>
      </c>
      <c r="I1435" s="25" t="n">
        <f aca="false">(C1435-'DCF Base Case'!$B$3)*(1-E1435)+'DCF Base Case'!$B$3-G1435</f>
        <v>0.160589214246528</v>
      </c>
      <c r="J1435" s="24" t="n">
        <f aca="false">'DCF Base Case'!$B$2*(1+B1435)^1*$I1435-'DCF Base Case'!$B$2*(1+B1435)^0*B1435*'DCF Base Case'!$B$4</f>
        <v>25.0475944742481</v>
      </c>
      <c r="K1435" s="24" t="n">
        <f aca="false">'DCF Base Case'!$B$2*(1+B1435)^2*$I1435-'DCF Base Case'!$B$2*(1+B1435)^1*B1435*'DCF Base Case'!$B$4</f>
        <v>27.3785589718324</v>
      </c>
      <c r="L1435" s="24" t="n">
        <f aca="false">'DCF Base Case'!$B$2*(1+B1435)^3*$I1435-'DCF Base Case'!$B$2*(1+B1435)^2*B1435*'DCF Base Case'!$B$4</f>
        <v>29.9264463158236</v>
      </c>
      <c r="M1435" s="24" t="n">
        <f aca="false">'DCF Base Case'!$B$2*(1+B1435)^4*$I1435-'DCF Base Case'!$B$2*(1+B1435)^3*B1435*'DCF Base Case'!$B$4</f>
        <v>32.7114436525046</v>
      </c>
      <c r="N1435" s="24" t="n">
        <f aca="false">'DCF Base Case'!$B$2*(1+B1435)^5*$I1435-'DCF Base Case'!$B$2*(1+B1435)^4*B1435*'DCF Base Case'!$B$4</f>
        <v>35.7556167724868</v>
      </c>
      <c r="O1435" s="24" t="n">
        <f aca="false">J1435/(1+H1435)^1+K1435/(1+H1435)^2+L1435/(1+H1435)^3+M1435/(1+H1435)^4+N1435/(1+H1435)^5</f>
        <v>115.729713679978</v>
      </c>
      <c r="P1435" s="24" t="n">
        <f aca="false">N1435*(1+F1435)/(H1435-F1435)</f>
        <v>502.963485937083</v>
      </c>
      <c r="Q1435" s="24" t="n">
        <f aca="false">O1435+P1435/(1+H1435)^5</f>
        <v>443.49372812811</v>
      </c>
      <c r="R1435" s="24" t="n">
        <f aca="false">Q1435-'DCF Base Case'!$B$5</f>
        <v>258.49372812811</v>
      </c>
      <c r="S1435" s="32" t="n">
        <f aca="false">R1435/'DCF Base Case'!$B$6</f>
        <v>10.3397491251244</v>
      </c>
    </row>
    <row r="1436" customFormat="false" ht="15" hidden="false" customHeight="true" outlineLevel="0" collapsed="false">
      <c r="A1436" s="6" t="n">
        <v>1435</v>
      </c>
      <c r="B1436" s="30" t="n">
        <v>0.115237456666255</v>
      </c>
      <c r="C1436" s="30" t="n">
        <v>0.39991577514216</v>
      </c>
      <c r="D1436" s="30" t="n">
        <v>0.104851724158815</v>
      </c>
      <c r="E1436" s="30" t="n">
        <v>0.254091566606546</v>
      </c>
      <c r="F1436" s="30" t="n">
        <v>0.0179911998075919</v>
      </c>
      <c r="G1436" s="30" t="n">
        <v>0.146153994741744</v>
      </c>
      <c r="H1436" s="31" t="n">
        <f aca="false">MAX(D1436,F1436+0.015)</f>
        <v>0.104851724158815</v>
      </c>
      <c r="I1436" s="25" t="n">
        <f aca="false">(C1436-'DCF Base Case'!$B$3)*(1-E1436)+'DCF Base Case'!$B$3-G1436</f>
        <v>0.185178458242724</v>
      </c>
      <c r="J1436" s="24" t="n">
        <f aca="false">'DCF Base Case'!$B$2*(1+B1436)^1*$I1436-'DCF Base Case'!$B$2*(1+B1436)^0*B1436*'DCF Base Case'!$B$4</f>
        <v>29.443820219501</v>
      </c>
      <c r="K1436" s="24" t="n">
        <f aca="false">'DCF Base Case'!$B$2*(1+B1436)^2*$I1436-'DCF Base Case'!$B$2*(1+B1436)^1*B1436*'DCF Base Case'!$B$4</f>
        <v>32.8368511761347</v>
      </c>
      <c r="L1436" s="24" t="n">
        <f aca="false">'DCF Base Case'!$B$2*(1+B1436)^3*$I1436-'DCF Base Case'!$B$2*(1+B1436)^2*B1436*'DCF Base Case'!$B$4</f>
        <v>36.6208863906008</v>
      </c>
      <c r="M1436" s="24" t="n">
        <f aca="false">'DCF Base Case'!$B$2*(1+B1436)^4*$I1436-'DCF Base Case'!$B$2*(1+B1436)^3*B1436*'DCF Base Case'!$B$4</f>
        <v>40.8409841991175</v>
      </c>
      <c r="N1436" s="24" t="n">
        <f aca="false">'DCF Base Case'!$B$2*(1+B1436)^5*$I1436-'DCF Base Case'!$B$2*(1+B1436)^4*B1436*'DCF Base Case'!$B$4</f>
        <v>45.5473953459705</v>
      </c>
      <c r="O1436" s="24" t="n">
        <f aca="false">J1436/(1+H1436)^1+K1436/(1+H1436)^2+L1436/(1+H1436)^3+M1436/(1+H1436)^4+N1436/(1+H1436)^5</f>
        <v>135.776584568722</v>
      </c>
      <c r="P1436" s="24" t="n">
        <f aca="false">N1436*(1+F1436)/(H1436-F1436)</f>
        <v>533.808055876678</v>
      </c>
      <c r="Q1436" s="24" t="n">
        <f aca="false">O1436+P1436/(1+H1436)^5</f>
        <v>460.015497613842</v>
      </c>
      <c r="R1436" s="24" t="n">
        <f aca="false">Q1436-'DCF Base Case'!$B$5</f>
        <v>275.015497613842</v>
      </c>
      <c r="S1436" s="32" t="n">
        <f aca="false">R1436/'DCF Base Case'!$B$6</f>
        <v>11.0006199045537</v>
      </c>
    </row>
    <row r="1437" customFormat="false" ht="15" hidden="false" customHeight="true" outlineLevel="0" collapsed="false">
      <c r="A1437" s="6" t="n">
        <v>1436</v>
      </c>
      <c r="B1437" s="30" t="n">
        <v>0.131533164635949</v>
      </c>
      <c r="C1437" s="30" t="n">
        <v>0.420793925990028</v>
      </c>
      <c r="D1437" s="30" t="n">
        <v>0.0794907472781861</v>
      </c>
      <c r="E1437" s="30" t="n">
        <v>0.270116223088371</v>
      </c>
      <c r="F1437" s="30" t="n">
        <v>0.019703831559436</v>
      </c>
      <c r="G1437" s="30" t="n">
        <v>0.158537712915472</v>
      </c>
      <c r="H1437" s="31" t="n">
        <f aca="false">MAX(D1437,F1437+0.015)</f>
        <v>0.0794907472781861</v>
      </c>
      <c r="I1437" s="25" t="n">
        <f aca="false">(C1437-'DCF Base Case'!$B$3)*(1-E1437)+'DCF Base Case'!$B$3-G1437</f>
        <v>0.18370805608909</v>
      </c>
      <c r="J1437" s="24" t="n">
        <f aca="false">'DCF Base Case'!$B$2*(1+B1437)^1*$I1437-'DCF Base Case'!$B$2*(1+B1437)^0*B1437*'DCF Base Case'!$B$4</f>
        <v>29.5692356547966</v>
      </c>
      <c r="K1437" s="24" t="n">
        <f aca="false">'DCF Base Case'!$B$2*(1+B1437)^2*$I1437-'DCF Base Case'!$B$2*(1+B1437)^1*B1437*'DCF Base Case'!$B$4</f>
        <v>33.4585707963382</v>
      </c>
      <c r="L1437" s="24" t="n">
        <f aca="false">'DCF Base Case'!$B$2*(1+B1437)^3*$I1437-'DCF Base Case'!$B$2*(1+B1437)^2*B1437*'DCF Base Case'!$B$4</f>
        <v>37.8594824973765</v>
      </c>
      <c r="M1437" s="24" t="n">
        <f aca="false">'DCF Base Case'!$B$2*(1+B1437)^4*$I1437-'DCF Base Case'!$B$2*(1+B1437)^3*B1437*'DCF Base Case'!$B$4</f>
        <v>42.8392600417357</v>
      </c>
      <c r="N1437" s="24" t="n">
        <f aca="false">'DCF Base Case'!$B$2*(1+B1437)^5*$I1437-'DCF Base Case'!$B$2*(1+B1437)^4*B1437*'DCF Base Case'!$B$4</f>
        <v>48.4740434856876</v>
      </c>
      <c r="O1437" s="24" t="n">
        <f aca="false">J1437/(1+H1437)^1+K1437/(1+H1437)^2+L1437/(1+H1437)^3+M1437/(1+H1437)^4+N1437/(1+H1437)^5</f>
        <v>150.816978474555</v>
      </c>
      <c r="P1437" s="24" t="n">
        <f aca="false">N1437*(1+F1437)/(H1437-F1437)</f>
        <v>826.755608301643</v>
      </c>
      <c r="Q1437" s="24" t="n">
        <f aca="false">O1437+P1437/(1+H1437)^5</f>
        <v>714.821426043223</v>
      </c>
      <c r="R1437" s="24" t="n">
        <f aca="false">Q1437-'DCF Base Case'!$B$5</f>
        <v>529.821426043223</v>
      </c>
      <c r="S1437" s="32" t="n">
        <f aca="false">R1437/'DCF Base Case'!$B$6</f>
        <v>21.1928570417289</v>
      </c>
    </row>
    <row r="1438" customFormat="false" ht="15" hidden="false" customHeight="true" outlineLevel="0" collapsed="false">
      <c r="A1438" s="6" t="n">
        <v>1437</v>
      </c>
      <c r="B1438" s="30" t="n">
        <v>0.0872832661396314</v>
      </c>
      <c r="C1438" s="30" t="n">
        <v>0.361550027577225</v>
      </c>
      <c r="D1438" s="30" t="n">
        <v>0.0856287581960201</v>
      </c>
      <c r="E1438" s="30" t="n">
        <v>0.280145322590693</v>
      </c>
      <c r="F1438" s="30" t="n">
        <v>0.0230703020004919</v>
      </c>
      <c r="G1438" s="30" t="n">
        <v>0.196093073840441</v>
      </c>
      <c r="H1438" s="31" t="n">
        <f aca="false">MAX(D1438,F1438+0.015)</f>
        <v>0.0856287581960201</v>
      </c>
      <c r="I1438" s="25" t="n">
        <f aca="false">(C1438-'DCF Base Case'!$B$3)*(1-E1438)+'DCF Base Case'!$B$3-G1438</f>
        <v>0.100589296565278</v>
      </c>
      <c r="J1438" s="24" t="n">
        <f aca="false">'DCF Base Case'!$B$2*(1+B1438)^1*$I1438-'DCF Base Case'!$B$2*(1+B1438)^0*B1438*'DCF Base Case'!$B$4</f>
        <v>15.4788313339793</v>
      </c>
      <c r="K1438" s="24" t="n">
        <f aca="false">'DCF Base Case'!$B$2*(1+B1438)^2*$I1438-'DCF Base Case'!$B$2*(1+B1438)^1*B1438*'DCF Base Case'!$B$4</f>
        <v>16.8298742888335</v>
      </c>
      <c r="L1438" s="24" t="n">
        <f aca="false">'DCF Base Case'!$B$2*(1+B1438)^3*$I1438-'DCF Base Case'!$B$2*(1+B1438)^2*B1438*'DCF Base Case'!$B$4</f>
        <v>18.2988406854822</v>
      </c>
      <c r="M1438" s="24" t="n">
        <f aca="false">'DCF Base Case'!$B$2*(1+B1438)^4*$I1438-'DCF Base Case'!$B$2*(1+B1438)^3*B1438*'DCF Base Case'!$B$4</f>
        <v>19.8960232670799</v>
      </c>
      <c r="N1438" s="24" t="n">
        <f aca="false">'DCF Base Case'!$B$2*(1+B1438)^5*$I1438-'DCF Base Case'!$B$2*(1+B1438)^4*B1438*'DCF Base Case'!$B$4</f>
        <v>21.6326131610207</v>
      </c>
      <c r="O1438" s="24" t="n">
        <f aca="false">J1438/(1+H1438)^1+K1438/(1+H1438)^2+L1438/(1+H1438)^3+M1438/(1+H1438)^4+N1438/(1+H1438)^5</f>
        <v>71.5073312534757</v>
      </c>
      <c r="P1438" s="24" t="n">
        <f aca="false">N1438*(1+F1438)/(H1438-F1438)</f>
        <v>353.776058835789</v>
      </c>
      <c r="Q1438" s="24" t="n">
        <f aca="false">O1438+P1438/(1+H1438)^5</f>
        <v>306.103947322354</v>
      </c>
      <c r="R1438" s="24" t="n">
        <f aca="false">Q1438-'DCF Base Case'!$B$5</f>
        <v>121.103947322354</v>
      </c>
      <c r="S1438" s="32" t="n">
        <f aca="false">R1438/'DCF Base Case'!$B$6</f>
        <v>4.84415789289414</v>
      </c>
    </row>
    <row r="1439" customFormat="false" ht="15" hidden="false" customHeight="true" outlineLevel="0" collapsed="false">
      <c r="A1439" s="6" t="n">
        <v>1438</v>
      </c>
      <c r="B1439" s="30" t="n">
        <v>0.0861276899087556</v>
      </c>
      <c r="C1439" s="30" t="n">
        <v>0.428867647085455</v>
      </c>
      <c r="D1439" s="30" t="n">
        <v>0.0728827434151071</v>
      </c>
      <c r="E1439" s="30" t="n">
        <v>0.303178572243411</v>
      </c>
      <c r="F1439" s="30" t="n">
        <v>0.0170436121212604</v>
      </c>
      <c r="G1439" s="30" t="n">
        <v>0.141731869863882</v>
      </c>
      <c r="H1439" s="31" t="n">
        <f aca="false">MAX(D1439,F1439+0.015)</f>
        <v>0.0728827434151071</v>
      </c>
      <c r="I1439" s="25" t="n">
        <f aca="false">(C1439-'DCF Base Case'!$B$3)*(1-E1439)+'DCF Base Case'!$B$3-G1439</f>
        <v>0.196525510688457</v>
      </c>
      <c r="J1439" s="24" t="n">
        <f aca="false">'DCF Base Case'!$B$2*(1+B1439)^1*$I1439-'DCF Base Case'!$B$2*(1+B1439)^0*B1439*'DCF Base Case'!$B$4</f>
        <v>30.5758553940648</v>
      </c>
      <c r="K1439" s="24" t="n">
        <f aca="false">'DCF Base Case'!$B$2*(1+B1439)^2*$I1439-'DCF Base Case'!$B$2*(1+B1439)^1*B1439*'DCF Base Case'!$B$4</f>
        <v>33.2092831861398</v>
      </c>
      <c r="L1439" s="24" t="n">
        <f aca="false">'DCF Base Case'!$B$2*(1+B1439)^3*$I1439-'DCF Base Case'!$B$2*(1+B1439)^2*B1439*'DCF Base Case'!$B$4</f>
        <v>36.0695220304877</v>
      </c>
      <c r="M1439" s="24" t="n">
        <f aca="false">'DCF Base Case'!$B$2*(1+B1439)^4*$I1439-'DCF Base Case'!$B$2*(1+B1439)^3*B1439*'DCF Base Case'!$B$4</f>
        <v>39.1761066390865</v>
      </c>
      <c r="N1439" s="24" t="n">
        <f aca="false">'DCF Base Case'!$B$2*(1+B1439)^5*$I1439-'DCF Base Case'!$B$2*(1+B1439)^4*B1439*'DCF Base Case'!$B$4</f>
        <v>42.5502542035301</v>
      </c>
      <c r="O1439" s="24" t="n">
        <f aca="false">J1439/(1+H1439)^1+K1439/(1+H1439)^2+L1439/(1+H1439)^3+M1439/(1+H1439)^4+N1439/(1+H1439)^5</f>
        <v>146.055861157594</v>
      </c>
      <c r="P1439" s="24" t="n">
        <f aca="false">N1439*(1+F1439)/(H1439-F1439)</f>
        <v>775.002462056657</v>
      </c>
      <c r="Q1439" s="24" t="n">
        <f aca="false">O1439+P1439/(1+H1439)^5</f>
        <v>691.238204597832</v>
      </c>
      <c r="R1439" s="24" t="n">
        <f aca="false">Q1439-'DCF Base Case'!$B$5</f>
        <v>506.238204597832</v>
      </c>
      <c r="S1439" s="32" t="n">
        <f aca="false">R1439/'DCF Base Case'!$B$6</f>
        <v>20.2495281839133</v>
      </c>
    </row>
    <row r="1440" customFormat="false" ht="15" hidden="false" customHeight="true" outlineLevel="0" collapsed="false">
      <c r="A1440" s="6" t="n">
        <v>1439</v>
      </c>
      <c r="B1440" s="30" t="n">
        <v>0.0861727011556437</v>
      </c>
      <c r="C1440" s="30" t="n">
        <v>0.439388307878254</v>
      </c>
      <c r="D1440" s="30" t="n">
        <v>0.0869910609040393</v>
      </c>
      <c r="E1440" s="30" t="n">
        <v>0.324194842637531</v>
      </c>
      <c r="F1440" s="30" t="n">
        <v>0.016302904344442</v>
      </c>
      <c r="G1440" s="30" t="n">
        <v>0.190265817003773</v>
      </c>
      <c r="H1440" s="31" t="n">
        <f aca="false">MAX(D1440,F1440+0.015)</f>
        <v>0.0869910609040393</v>
      </c>
      <c r="I1440" s="25" t="n">
        <f aca="false">(C1440-'DCF Base Case'!$B$3)*(1-E1440)+'DCF Base Case'!$B$3-G1440</f>
        <v>0.148820397087998</v>
      </c>
      <c r="J1440" s="24" t="n">
        <f aca="false">'DCF Base Case'!$B$2*(1+B1440)^1*$I1440-'DCF Base Case'!$B$2*(1+B1440)^0*B1440*'DCF Base Case'!$B$4</f>
        <v>23.0636233903313</v>
      </c>
      <c r="K1440" s="24" t="n">
        <f aca="false">'DCF Base Case'!$B$2*(1+B1440)^2*$I1440-'DCF Base Case'!$B$2*(1+B1440)^1*B1440*'DCF Base Case'!$B$4</f>
        <v>25.0510781163127</v>
      </c>
      <c r="L1440" s="24" t="n">
        <f aca="false">'DCF Base Case'!$B$2*(1+B1440)^3*$I1440-'DCF Base Case'!$B$2*(1+B1440)^2*B1440*'DCF Base Case'!$B$4</f>
        <v>27.2097971844564</v>
      </c>
      <c r="M1440" s="24" t="n">
        <f aca="false">'DCF Base Case'!$B$2*(1+B1440)^4*$I1440-'DCF Base Case'!$B$2*(1+B1440)^3*B1440*'DCF Base Case'!$B$4</f>
        <v>29.5545389057382</v>
      </c>
      <c r="N1440" s="24" t="n">
        <f aca="false">'DCF Base Case'!$B$2*(1+B1440)^5*$I1440-'DCF Base Case'!$B$2*(1+B1440)^4*B1440*'DCF Base Case'!$B$4</f>
        <v>32.1013333546552</v>
      </c>
      <c r="O1440" s="24" t="n">
        <f aca="false">J1440/(1+H1440)^1+K1440/(1+H1440)^2+L1440/(1+H1440)^3+M1440/(1+H1440)^4+N1440/(1+H1440)^5</f>
        <v>105.929674447694</v>
      </c>
      <c r="P1440" s="24" t="n">
        <f aca="false">N1440*(1+F1440)/(H1440-F1440)</f>
        <v>461.529624048963</v>
      </c>
      <c r="Q1440" s="24" t="n">
        <f aca="false">O1440+P1440/(1+H1440)^5</f>
        <v>410.066997610652</v>
      </c>
      <c r="R1440" s="24" t="n">
        <f aca="false">Q1440-'DCF Base Case'!$B$5</f>
        <v>225.066997610652</v>
      </c>
      <c r="S1440" s="32" t="n">
        <f aca="false">R1440/'DCF Base Case'!$B$6</f>
        <v>9.00267990442608</v>
      </c>
    </row>
    <row r="1441" customFormat="false" ht="15" hidden="false" customHeight="true" outlineLevel="0" collapsed="false">
      <c r="A1441" s="6" t="n">
        <v>1440</v>
      </c>
      <c r="B1441" s="30" t="n">
        <v>0.0758572843744206</v>
      </c>
      <c r="C1441" s="30" t="n">
        <v>0.414395591498454</v>
      </c>
      <c r="D1441" s="30" t="n">
        <v>0.0873835111152536</v>
      </c>
      <c r="E1441" s="30" t="n">
        <v>0.299839555234886</v>
      </c>
      <c r="F1441" s="30" t="n">
        <v>0.0202451938940074</v>
      </c>
      <c r="G1441" s="30" t="n">
        <v>0.150324740677214</v>
      </c>
      <c r="H1441" s="31" t="n">
        <f aca="false">MAX(D1441,F1441+0.015)</f>
        <v>0.0873835111152536</v>
      </c>
      <c r="I1441" s="25" t="n">
        <f aca="false">(C1441-'DCF Base Case'!$B$3)*(1-E1441)+'DCF Base Case'!$B$3-G1441</f>
        <v>0.178797803155581</v>
      </c>
      <c r="J1441" s="24" t="n">
        <f aca="false">'DCF Base Case'!$B$2*(1+B1441)^1*$I1441-'DCF Base Case'!$B$2*(1+B1441)^0*B1441*'DCF Base Case'!$B$4</f>
        <v>27.5623540614573</v>
      </c>
      <c r="K1441" s="24" t="n">
        <f aca="false">'DCF Base Case'!$B$2*(1+B1441)^2*$I1441-'DCF Base Case'!$B$2*(1+B1441)^1*B1441*'DCF Base Case'!$B$4</f>
        <v>29.6531593915257</v>
      </c>
      <c r="L1441" s="24" t="n">
        <f aca="false">'DCF Base Case'!$B$2*(1+B1441)^3*$I1441-'DCF Base Case'!$B$2*(1+B1441)^2*B1441*'DCF Base Case'!$B$4</f>
        <v>31.9025675360887</v>
      </c>
      <c r="M1441" s="24" t="n">
        <f aca="false">'DCF Base Case'!$B$2*(1+B1441)^4*$I1441-'DCF Base Case'!$B$2*(1+B1441)^3*B1441*'DCF Base Case'!$B$4</f>
        <v>34.3226096739479</v>
      </c>
      <c r="N1441" s="24" t="n">
        <f aca="false">'DCF Base Case'!$B$2*(1+B1441)^5*$I1441-'DCF Base Case'!$B$2*(1+B1441)^4*B1441*'DCF Base Case'!$B$4</f>
        <v>36.9262296364568</v>
      </c>
      <c r="O1441" s="24" t="n">
        <f aca="false">J1441/(1+H1441)^1+K1441/(1+H1441)^2+L1441/(1+H1441)^3+M1441/(1+H1441)^4+N1441/(1+H1441)^5</f>
        <v>124.078555742636</v>
      </c>
      <c r="P1441" s="24" t="n">
        <f aca="false">N1441*(1+F1441)/(H1441-F1441)</f>
        <v>561.137214551745</v>
      </c>
      <c r="Q1441" s="24" t="n">
        <f aca="false">O1441+P1441/(1+H1441)^5</f>
        <v>493.188168952202</v>
      </c>
      <c r="R1441" s="24" t="n">
        <f aca="false">Q1441-'DCF Base Case'!$B$5</f>
        <v>308.188168952202</v>
      </c>
      <c r="S1441" s="32" t="n">
        <f aca="false">R1441/'DCF Base Case'!$B$6</f>
        <v>12.3275267580881</v>
      </c>
    </row>
    <row r="1442" customFormat="false" ht="15" hidden="false" customHeight="true" outlineLevel="0" collapsed="false">
      <c r="A1442" s="6" t="n">
        <v>1441</v>
      </c>
      <c r="B1442" s="30" t="n">
        <v>0.109230979561971</v>
      </c>
      <c r="C1442" s="30" t="n">
        <v>0.449648422861773</v>
      </c>
      <c r="D1442" s="30" t="n">
        <v>0.0785781623551827</v>
      </c>
      <c r="E1442" s="30" t="n">
        <v>0.248550932191671</v>
      </c>
      <c r="F1442" s="30" t="n">
        <v>0.0211339180746216</v>
      </c>
      <c r="G1442" s="30" t="n">
        <v>0.158483976631128</v>
      </c>
      <c r="H1442" s="31" t="n">
        <f aca="false">MAX(D1442,F1442+0.015)</f>
        <v>0.0785781623551827</v>
      </c>
      <c r="I1442" s="25" t="n">
        <f aca="false">(C1442-'DCF Base Case'!$B$3)*(1-E1442)+'DCF Base Case'!$B$3-G1442</f>
        <v>0.211715532754754</v>
      </c>
      <c r="J1442" s="24" t="n">
        <f aca="false">'DCF Base Case'!$B$2*(1+B1442)^1*$I1442-'DCF Base Case'!$B$2*(1+B1442)^0*B1442*'DCF Base Case'!$B$4</f>
        <v>33.5768522678813</v>
      </c>
      <c r="K1442" s="24" t="n">
        <f aca="false">'DCF Base Case'!$B$2*(1+B1442)^2*$I1442-'DCF Base Case'!$B$2*(1+B1442)^1*B1442*'DCF Base Case'!$B$4</f>
        <v>37.2444847317095</v>
      </c>
      <c r="L1442" s="24" t="n">
        <f aca="false">'DCF Base Case'!$B$2*(1+B1442)^3*$I1442-'DCF Base Case'!$B$2*(1+B1442)^2*B1442*'DCF Base Case'!$B$4</f>
        <v>41.312736282235</v>
      </c>
      <c r="M1442" s="24" t="n">
        <f aca="false">'DCF Base Case'!$B$2*(1+B1442)^4*$I1442-'DCF Base Case'!$B$2*(1+B1442)^3*B1442*'DCF Base Case'!$B$4</f>
        <v>45.8253669347289</v>
      </c>
      <c r="N1442" s="24" t="n">
        <f aca="false">'DCF Base Case'!$B$2*(1+B1442)^5*$I1442-'DCF Base Case'!$B$2*(1+B1442)^4*B1442*'DCF Base Case'!$B$4</f>
        <v>50.8309166537961</v>
      </c>
      <c r="O1442" s="24" t="n">
        <f aca="false">J1442/(1+H1442)^1+K1442/(1+H1442)^2+L1442/(1+H1442)^3+M1442/(1+H1442)^4+N1442/(1+H1442)^5</f>
        <v>164.755564670476</v>
      </c>
      <c r="P1442" s="24" t="n">
        <f aca="false">N1442*(1+F1442)/(H1442-F1442)</f>
        <v>903.574826896624</v>
      </c>
      <c r="Q1442" s="24" t="n">
        <f aca="false">O1442+P1442/(1+H1442)^5</f>
        <v>783.777456422364</v>
      </c>
      <c r="R1442" s="24" t="n">
        <f aca="false">Q1442-'DCF Base Case'!$B$5</f>
        <v>598.777456422364</v>
      </c>
      <c r="S1442" s="32" t="n">
        <f aca="false">R1442/'DCF Base Case'!$B$6</f>
        <v>23.9510982568946</v>
      </c>
    </row>
    <row r="1443" customFormat="false" ht="15" hidden="false" customHeight="true" outlineLevel="0" collapsed="false">
      <c r="A1443" s="6" t="n">
        <v>1442</v>
      </c>
      <c r="B1443" s="30" t="n">
        <v>0.0873205542533969</v>
      </c>
      <c r="C1443" s="30" t="n">
        <v>0.424371186201459</v>
      </c>
      <c r="D1443" s="30" t="n">
        <v>0.0799796832719184</v>
      </c>
      <c r="E1443" s="30" t="n">
        <v>0.272545599280773</v>
      </c>
      <c r="F1443" s="30" t="n">
        <v>0.0189733954598845</v>
      </c>
      <c r="G1443" s="30" t="n">
        <v>0.199387255749003</v>
      </c>
      <c r="H1443" s="31" t="n">
        <f aca="false">MAX(D1443,F1443+0.015)</f>
        <v>0.0799796832719184</v>
      </c>
      <c r="I1443" s="25" t="n">
        <f aca="false">(C1443-'DCF Base Case'!$B$3)*(1-E1443)+'DCF Base Case'!$B$3-G1443</f>
        <v>0.144754359098187</v>
      </c>
      <c r="J1443" s="24" t="n">
        <f aca="false">'DCF Base Case'!$B$2*(1+B1443)^1*$I1443-'DCF Base Case'!$B$2*(1+B1443)^0*B1443*'DCF Base Case'!$B$4</f>
        <v>22.442342133957</v>
      </c>
      <c r="K1443" s="24" t="n">
        <f aca="false">'DCF Base Case'!$B$2*(1+B1443)^2*$I1443-'DCF Base Case'!$B$2*(1+B1443)^1*B1443*'DCF Base Case'!$B$4</f>
        <v>24.4020198878385</v>
      </c>
      <c r="L1443" s="24" t="n">
        <f aca="false">'DCF Base Case'!$B$2*(1+B1443)^3*$I1443-'DCF Base Case'!$B$2*(1+B1443)^2*B1443*'DCF Base Case'!$B$4</f>
        <v>26.5328177893469</v>
      </c>
      <c r="M1443" s="24" t="n">
        <f aca="false">'DCF Base Case'!$B$2*(1+B1443)^4*$I1443-'DCF Base Case'!$B$2*(1+B1443)^3*B1443*'DCF Base Case'!$B$4</f>
        <v>28.8496781446171</v>
      </c>
      <c r="N1443" s="24" t="n">
        <f aca="false">'DCF Base Case'!$B$2*(1+B1443)^5*$I1443-'DCF Base Case'!$B$2*(1+B1443)^4*B1443*'DCF Base Case'!$B$4</f>
        <v>31.3688480302372</v>
      </c>
      <c r="O1443" s="24" t="n">
        <f aca="false">J1443/(1+H1443)^1+K1443/(1+H1443)^2+L1443/(1+H1443)^3+M1443/(1+H1443)^4+N1443/(1+H1443)^5</f>
        <v>105.323807809446</v>
      </c>
      <c r="P1443" s="24" t="n">
        <f aca="false">N1443*(1+F1443)/(H1443-F1443)</f>
        <v>523.946346113044</v>
      </c>
      <c r="Q1443" s="24" t="n">
        <f aca="false">O1443+P1443/(1+H1443)^5</f>
        <v>461.946429400093</v>
      </c>
      <c r="R1443" s="24" t="n">
        <f aca="false">Q1443-'DCF Base Case'!$B$5</f>
        <v>276.946429400093</v>
      </c>
      <c r="S1443" s="32" t="n">
        <f aca="false">R1443/'DCF Base Case'!$B$6</f>
        <v>11.0778571760037</v>
      </c>
    </row>
    <row r="1444" customFormat="false" ht="15" hidden="false" customHeight="true" outlineLevel="0" collapsed="false">
      <c r="A1444" s="6" t="n">
        <v>1443</v>
      </c>
      <c r="B1444" s="30" t="n">
        <v>0.0906033517795038</v>
      </c>
      <c r="C1444" s="30" t="n">
        <v>0.387461867541727</v>
      </c>
      <c r="D1444" s="30" t="n">
        <v>0.0718453367074478</v>
      </c>
      <c r="E1444" s="30" t="n">
        <v>0.283653342960688</v>
      </c>
      <c r="F1444" s="30" t="n">
        <v>0.0147579161464135</v>
      </c>
      <c r="G1444" s="30" t="n">
        <v>0.135376378700523</v>
      </c>
      <c r="H1444" s="31" t="n">
        <f aca="false">MAX(D1444,F1444+0.015)</f>
        <v>0.0718453367074478</v>
      </c>
      <c r="I1444" s="25" t="n">
        <f aca="false">(C1444-'DCF Base Case'!$B$3)*(1-E1444)+'DCF Base Case'!$B$3-G1444</f>
        <v>0.179055569428091</v>
      </c>
      <c r="J1444" s="24" t="n">
        <f aca="false">'DCF Base Case'!$B$2*(1+B1444)^1*$I1444-'DCF Base Case'!$B$2*(1+B1444)^0*B1444*'DCF Base Case'!$B$4</f>
        <v>27.9212730248534</v>
      </c>
      <c r="K1444" s="24" t="n">
        <f aca="false">'DCF Base Case'!$B$2*(1+B1444)^2*$I1444-'DCF Base Case'!$B$2*(1+B1444)^1*B1444*'DCF Base Case'!$B$4</f>
        <v>30.4510339468558</v>
      </c>
      <c r="L1444" s="24" t="n">
        <f aca="false">'DCF Base Case'!$B$2*(1+B1444)^3*$I1444-'DCF Base Case'!$B$2*(1+B1444)^2*B1444*'DCF Base Case'!$B$4</f>
        <v>33.2099996875924</v>
      </c>
      <c r="M1444" s="24" t="n">
        <f aca="false">'DCF Base Case'!$B$2*(1+B1444)^4*$I1444-'DCF Base Case'!$B$2*(1+B1444)^3*B1444*'DCF Base Case'!$B$4</f>
        <v>36.2189369718845</v>
      </c>
      <c r="N1444" s="24" t="n">
        <f aca="false">'DCF Base Case'!$B$2*(1+B1444)^5*$I1444-'DCF Base Case'!$B$2*(1+B1444)^4*B1444*'DCF Base Case'!$B$4</f>
        <v>39.5004940594279</v>
      </c>
      <c r="O1444" s="24" t="n">
        <f aca="false">J1444/(1+H1444)^1+K1444/(1+H1444)^2+L1444/(1+H1444)^3+M1444/(1+H1444)^4+N1444/(1+H1444)^5</f>
        <v>134.887970619195</v>
      </c>
      <c r="P1444" s="24" t="n">
        <f aca="false">N1444*(1+F1444)/(H1444-F1444)</f>
        <v>702.141358719196</v>
      </c>
      <c r="Q1444" s="24" t="n">
        <f aca="false">O1444+P1444/(1+H1444)^5</f>
        <v>631.210445058985</v>
      </c>
      <c r="R1444" s="24" t="n">
        <f aca="false">Q1444-'DCF Base Case'!$B$5</f>
        <v>446.210445058985</v>
      </c>
      <c r="S1444" s="32" t="n">
        <f aca="false">R1444/'DCF Base Case'!$B$6</f>
        <v>17.8484178023594</v>
      </c>
    </row>
    <row r="1445" customFormat="false" ht="15" hidden="false" customHeight="true" outlineLevel="0" collapsed="false">
      <c r="A1445" s="6" t="n">
        <v>1444</v>
      </c>
      <c r="B1445" s="30" t="n">
        <v>0.103768835888374</v>
      </c>
      <c r="C1445" s="30" t="n">
        <v>0.432150943089642</v>
      </c>
      <c r="D1445" s="30" t="n">
        <v>0.0809504981271676</v>
      </c>
      <c r="E1445" s="30" t="n">
        <v>0.288302022654848</v>
      </c>
      <c r="F1445" s="30" t="n">
        <v>0.0200278836703234</v>
      </c>
      <c r="G1445" s="30" t="n">
        <v>0.179494629654146</v>
      </c>
      <c r="H1445" s="31" t="n">
        <f aca="false">MAX(D1445,F1445+0.015)</f>
        <v>0.0809504981271676</v>
      </c>
      <c r="I1445" s="25" t="n">
        <f aca="false">(C1445-'DCF Base Case'!$B$3)*(1-E1445)+'DCF Base Case'!$B$3-G1445</f>
        <v>0.165545585395682</v>
      </c>
      <c r="J1445" s="24" t="n">
        <f aca="false">'DCF Base Case'!$B$2*(1+B1445)^1*$I1445-'DCF Base Case'!$B$2*(1+B1445)^0*B1445*'DCF Base Case'!$B$4</f>
        <v>26.0435939852901</v>
      </c>
      <c r="K1445" s="24" t="n">
        <f aca="false">'DCF Base Case'!$B$2*(1+B1445)^2*$I1445-'DCF Base Case'!$B$2*(1+B1445)^1*B1445*'DCF Base Case'!$B$4</f>
        <v>28.7461074154931</v>
      </c>
      <c r="L1445" s="24" t="n">
        <f aca="false">'DCF Base Case'!$B$2*(1+B1445)^3*$I1445-'DCF Base Case'!$B$2*(1+B1445)^2*B1445*'DCF Base Case'!$B$4</f>
        <v>31.729057518321</v>
      </c>
      <c r="M1445" s="24" t="n">
        <f aca="false">'DCF Base Case'!$B$2*(1+B1445)^4*$I1445-'DCF Base Case'!$B$2*(1+B1445)^3*B1445*'DCF Base Case'!$B$4</f>
        <v>35.0215448808324</v>
      </c>
      <c r="N1445" s="24" t="n">
        <f aca="false">'DCF Base Case'!$B$2*(1+B1445)^5*$I1445-'DCF Base Case'!$B$2*(1+B1445)^4*B1445*'DCF Base Case'!$B$4</f>
        <v>38.6556898241288</v>
      </c>
      <c r="O1445" s="24" t="n">
        <f aca="false">J1445/(1+H1445)^1+K1445/(1+H1445)^2+L1445/(1+H1445)^3+M1445/(1+H1445)^4+N1445/(1+H1445)^5</f>
        <v>125.660637703809</v>
      </c>
      <c r="P1445" s="24" t="n">
        <f aca="false">N1445*(1+F1445)/(H1445-F1445)</f>
        <v>647.212563588411</v>
      </c>
      <c r="Q1445" s="24" t="n">
        <f aca="false">O1445+P1445/(1+H1445)^5</f>
        <v>564.209419707089</v>
      </c>
      <c r="R1445" s="24" t="n">
        <f aca="false">Q1445-'DCF Base Case'!$B$5</f>
        <v>379.209419707089</v>
      </c>
      <c r="S1445" s="32" t="n">
        <f aca="false">R1445/'DCF Base Case'!$B$6</f>
        <v>15.1683767882836</v>
      </c>
    </row>
    <row r="1446" customFormat="false" ht="15" hidden="false" customHeight="true" outlineLevel="0" collapsed="false">
      <c r="A1446" s="6" t="n">
        <v>1445</v>
      </c>
      <c r="B1446" s="30" t="n">
        <v>0.103076254786612</v>
      </c>
      <c r="C1446" s="30" t="n">
        <v>0.36879659108346</v>
      </c>
      <c r="D1446" s="30" t="n">
        <v>0.0823545114566937</v>
      </c>
      <c r="E1446" s="30" t="n">
        <v>0.295297172442819</v>
      </c>
      <c r="F1446" s="30" t="n">
        <v>0.017721963224506</v>
      </c>
      <c r="G1446" s="30" t="n">
        <v>0.166024428260214</v>
      </c>
      <c r="H1446" s="31" t="n">
        <f aca="false">MAX(D1446,F1446+0.015)</f>
        <v>0.0823545114566937</v>
      </c>
      <c r="I1446" s="25" t="n">
        <f aca="false">(C1446-'DCF Base Case'!$B$3)*(1-E1446)+'DCF Base Case'!$B$3-G1446</f>
        <v>0.132256204687316</v>
      </c>
      <c r="J1446" s="24" t="n">
        <f aca="false">'DCF Base Case'!$B$2*(1+B1446)^1*$I1446-'DCF Base Case'!$B$2*(1+B1446)^0*B1446*'DCF Base Case'!$B$4</f>
        <v>20.7054767378008</v>
      </c>
      <c r="K1446" s="24" t="n">
        <f aca="false">'DCF Base Case'!$B$2*(1+B1446)^2*$I1446-'DCF Base Case'!$B$2*(1+B1446)^1*B1446*'DCF Base Case'!$B$4</f>
        <v>22.8397197335046</v>
      </c>
      <c r="L1446" s="24" t="n">
        <f aca="false">'DCF Base Case'!$B$2*(1+B1446)^3*$I1446-'DCF Base Case'!$B$2*(1+B1446)^2*B1446*'DCF Base Case'!$B$4</f>
        <v>25.1939525040102</v>
      </c>
      <c r="M1446" s="24" t="n">
        <f aca="false">'DCF Base Case'!$B$2*(1+B1446)^4*$I1446-'DCF Base Case'!$B$2*(1+B1446)^3*B1446*'DCF Base Case'!$B$4</f>
        <v>27.7908507713953</v>
      </c>
      <c r="N1446" s="24" t="n">
        <f aca="false">'DCF Base Case'!$B$2*(1+B1446)^5*$I1446-'DCF Base Case'!$B$2*(1+B1446)^4*B1446*'DCF Base Case'!$B$4</f>
        <v>30.6554275862444</v>
      </c>
      <c r="O1446" s="24" t="n">
        <f aca="false">J1446/(1+H1446)^1+K1446/(1+H1446)^2+L1446/(1+H1446)^3+M1446/(1+H1446)^4+N1446/(1+H1446)^5</f>
        <v>99.3834094867925</v>
      </c>
      <c r="P1446" s="24" t="n">
        <f aca="false">N1446*(1+F1446)/(H1446-F1446)</f>
        <v>482.708833241113</v>
      </c>
      <c r="Q1446" s="24" t="n">
        <f aca="false">O1446+P1446/(1+H1446)^5</f>
        <v>424.349157273083</v>
      </c>
      <c r="R1446" s="24" t="n">
        <f aca="false">Q1446-'DCF Base Case'!$B$5</f>
        <v>239.349157273083</v>
      </c>
      <c r="S1446" s="32" t="n">
        <f aca="false">R1446/'DCF Base Case'!$B$6</f>
        <v>9.57396629092334</v>
      </c>
    </row>
    <row r="1447" customFormat="false" ht="15" hidden="false" customHeight="true" outlineLevel="0" collapsed="false">
      <c r="A1447" s="6" t="n">
        <v>1446</v>
      </c>
      <c r="B1447" s="30" t="n">
        <v>0.106353557615224</v>
      </c>
      <c r="C1447" s="30" t="n">
        <v>0.421660790629448</v>
      </c>
      <c r="D1447" s="30" t="n">
        <v>0.101587113589584</v>
      </c>
      <c r="E1447" s="30" t="n">
        <v>0.31414258719381</v>
      </c>
      <c r="F1447" s="30" t="n">
        <v>0.0189017868060828</v>
      </c>
      <c r="G1447" s="30" t="n">
        <v>0.161085034330961</v>
      </c>
      <c r="H1447" s="31" t="n">
        <f aca="false">MAX(D1447,F1447+0.015)</f>
        <v>0.101587113589584</v>
      </c>
      <c r="I1447" s="25" t="n">
        <f aca="false">(C1447-'DCF Base Case'!$B$3)*(1-E1447)+'DCF Base Case'!$B$3-G1447</f>
        <v>0.16895268094716</v>
      </c>
      <c r="J1447" s="24" t="n">
        <f aca="false">'DCF Base Case'!$B$2*(1+B1447)^1*$I1447-'DCF Base Case'!$B$2*(1+B1447)^0*B1447*'DCF Base Case'!$B$4</f>
        <v>26.6409649713792</v>
      </c>
      <c r="K1447" s="24" t="n">
        <f aca="false">'DCF Base Case'!$B$2*(1+B1447)^2*$I1447-'DCF Base Case'!$B$2*(1+B1447)^1*B1447*'DCF Base Case'!$B$4</f>
        <v>29.474326374388</v>
      </c>
      <c r="L1447" s="24" t="n">
        <f aca="false">'DCF Base Case'!$B$2*(1+B1447)^3*$I1447-'DCF Base Case'!$B$2*(1+B1447)^2*B1447*'DCF Base Case'!$B$4</f>
        <v>32.6090258426164</v>
      </c>
      <c r="M1447" s="24" t="n">
        <f aca="false">'DCF Base Case'!$B$2*(1+B1447)^4*$I1447-'DCF Base Case'!$B$2*(1+B1447)^3*B1447*'DCF Base Case'!$B$4</f>
        <v>36.0771117513454</v>
      </c>
      <c r="N1447" s="24" t="n">
        <f aca="false">'DCF Base Case'!$B$2*(1+B1447)^5*$I1447-'DCF Base Case'!$B$2*(1+B1447)^4*B1447*'DCF Base Case'!$B$4</f>
        <v>39.914040934583</v>
      </c>
      <c r="O1447" s="24" t="n">
        <f aca="false">J1447/(1+H1447)^1+K1447/(1+H1447)^2+L1447/(1+H1447)^3+M1447/(1+H1447)^4+N1447/(1+H1447)^5</f>
        <v>121.971786359375</v>
      </c>
      <c r="P1447" s="24" t="n">
        <f aca="false">N1447*(1+F1447)/(H1447-F1447)</f>
        <v>491.8464884753</v>
      </c>
      <c r="Q1447" s="24" t="n">
        <f aca="false">O1447+P1447/(1+H1447)^5</f>
        <v>425.176075590561</v>
      </c>
      <c r="R1447" s="24" t="n">
        <f aca="false">Q1447-'DCF Base Case'!$B$5</f>
        <v>240.176075590561</v>
      </c>
      <c r="S1447" s="32" t="n">
        <f aca="false">R1447/'DCF Base Case'!$B$6</f>
        <v>9.60704302362243</v>
      </c>
    </row>
    <row r="1448" customFormat="false" ht="15" hidden="false" customHeight="true" outlineLevel="0" collapsed="false">
      <c r="A1448" s="6" t="n">
        <v>1447</v>
      </c>
      <c r="B1448" s="30" t="n">
        <v>0.0433043418285445</v>
      </c>
      <c r="C1448" s="30" t="n">
        <v>0.384026005061461</v>
      </c>
      <c r="D1448" s="30" t="n">
        <v>0.0701140421801842</v>
      </c>
      <c r="E1448" s="30" t="n">
        <v>0.286099116953962</v>
      </c>
      <c r="F1448" s="30" t="n">
        <v>0.0199061208132199</v>
      </c>
      <c r="G1448" s="30" t="n">
        <v>0.181795844428752</v>
      </c>
      <c r="H1448" s="31" t="n">
        <f aca="false">MAX(D1448,F1448+0.015)</f>
        <v>0.0701140421801842</v>
      </c>
      <c r="I1448" s="25" t="n">
        <f aca="false">(C1448-'DCF Base Case'!$B$3)*(1-E1448)+'DCF Base Case'!$B$3-G1448</f>
        <v>0.129553544901282</v>
      </c>
      <c r="J1448" s="24" t="n">
        <f aca="false">'DCF Base Case'!$B$2*(1+B1448)^1*$I1448-'DCF Base Case'!$B$2*(1+B1448)^0*B1448*'DCF Base Case'!$B$4</f>
        <v>19.41037361779</v>
      </c>
      <c r="K1448" s="24" t="n">
        <f aca="false">'DCF Base Case'!$B$2*(1+B1448)^2*$I1448-'DCF Base Case'!$B$2*(1+B1448)^1*B1448*'DCF Base Case'!$B$4</f>
        <v>20.2509270719545</v>
      </c>
      <c r="L1448" s="24" t="n">
        <f aca="false">'DCF Base Case'!$B$2*(1+B1448)^3*$I1448-'DCF Base Case'!$B$2*(1+B1448)^2*B1448*'DCF Base Case'!$B$4</f>
        <v>21.1278801402234</v>
      </c>
      <c r="M1448" s="24" t="n">
        <f aca="false">'DCF Base Case'!$B$2*(1+B1448)^4*$I1448-'DCF Base Case'!$B$2*(1+B1448)^3*B1448*'DCF Base Case'!$B$4</f>
        <v>22.0428090839281</v>
      </c>
      <c r="N1448" s="24" t="n">
        <f aca="false">'DCF Base Case'!$B$2*(1+B1448)^5*$I1448-'DCF Base Case'!$B$2*(1+B1448)^4*B1448*'DCF Base Case'!$B$4</f>
        <v>22.9973584233599</v>
      </c>
      <c r="O1448" s="24" t="n">
        <f aca="false">J1448/(1+H1448)^1+K1448/(1+H1448)^2+L1448/(1+H1448)^3+M1448/(1+H1448)^4+N1448/(1+H1448)^5</f>
        <v>86.2611570988981</v>
      </c>
      <c r="P1448" s="24" t="n">
        <f aca="false">N1448*(1+F1448)/(H1448-F1448)</f>
        <v>467.160280289022</v>
      </c>
      <c r="Q1448" s="24" t="n">
        <f aca="false">O1448+P1448/(1+H1448)^5</f>
        <v>419.162537124782</v>
      </c>
      <c r="R1448" s="24" t="n">
        <f aca="false">Q1448-'DCF Base Case'!$B$5</f>
        <v>234.162537124782</v>
      </c>
      <c r="S1448" s="32" t="n">
        <f aca="false">R1448/'DCF Base Case'!$B$6</f>
        <v>9.36650148499127</v>
      </c>
    </row>
    <row r="1449" customFormat="false" ht="15" hidden="false" customHeight="true" outlineLevel="0" collapsed="false">
      <c r="A1449" s="6" t="n">
        <v>1448</v>
      </c>
      <c r="B1449" s="30" t="n">
        <v>0.119843568792633</v>
      </c>
      <c r="C1449" s="30" t="n">
        <v>0.424153514175548</v>
      </c>
      <c r="D1449" s="30" t="n">
        <v>0.110084579431155</v>
      </c>
      <c r="E1449" s="30" t="n">
        <v>0.286438001860116</v>
      </c>
      <c r="F1449" s="30" t="n">
        <v>0.0140786923296782</v>
      </c>
      <c r="G1449" s="30" t="n">
        <v>0.153884127542765</v>
      </c>
      <c r="H1449" s="31" t="n">
        <f aca="false">MAX(D1449,F1449+0.015)</f>
        <v>0.110084579431155</v>
      </c>
      <c r="I1449" s="25" t="n">
        <f aca="false">(C1449-'DCF Base Case'!$B$3)*(1-E1449)+'DCF Base Case'!$B$3-G1449</f>
        <v>0.186012641792208</v>
      </c>
      <c r="J1449" s="24" t="n">
        <f aca="false">'DCF Base Case'!$B$2*(1+B1449)^1*$I1449-'DCF Base Case'!$B$2*(1+B1449)^0*B1449*'DCF Base Case'!$B$4</f>
        <v>29.6829142663961</v>
      </c>
      <c r="K1449" s="24" t="n">
        <f aca="false">'DCF Base Case'!$B$2*(1+B1449)^2*$I1449-'DCF Base Case'!$B$2*(1+B1449)^1*B1449*'DCF Base Case'!$B$4</f>
        <v>33.2402206442468</v>
      </c>
      <c r="L1449" s="24" t="n">
        <f aca="false">'DCF Base Case'!$B$2*(1+B1449)^3*$I1449-'DCF Base Case'!$B$2*(1+B1449)^2*B1449*'DCF Base Case'!$B$4</f>
        <v>37.2238473137079</v>
      </c>
      <c r="M1449" s="24" t="n">
        <f aca="false">'DCF Base Case'!$B$2*(1+B1449)^4*$I1449-'DCF Base Case'!$B$2*(1+B1449)^3*B1449*'DCF Base Case'!$B$4</f>
        <v>41.6848860199747</v>
      </c>
      <c r="N1449" s="24" t="n">
        <f aca="false">'DCF Base Case'!$B$2*(1+B1449)^5*$I1449-'DCF Base Case'!$B$2*(1+B1449)^4*B1449*'DCF Base Case'!$B$4</f>
        <v>46.6805515253226</v>
      </c>
      <c r="O1449" s="24" t="n">
        <f aca="false">J1449/(1+H1449)^1+K1449/(1+H1449)^2+L1449/(1+H1449)^3+M1449/(1+H1449)^4+N1449/(1+H1449)^5</f>
        <v>136.068101260357</v>
      </c>
      <c r="P1449" s="24" t="n">
        <f aca="false">N1449*(1+F1449)/(H1449-F1449)</f>
        <v>493.071352988927</v>
      </c>
      <c r="Q1449" s="24" t="n">
        <f aca="false">O1449+P1449/(1+H1449)^5</f>
        <v>428.570493508236</v>
      </c>
      <c r="R1449" s="24" t="n">
        <f aca="false">Q1449-'DCF Base Case'!$B$5</f>
        <v>243.570493508236</v>
      </c>
      <c r="S1449" s="32" t="n">
        <f aca="false">R1449/'DCF Base Case'!$B$6</f>
        <v>9.74281974032943</v>
      </c>
    </row>
    <row r="1450" customFormat="false" ht="15" hidden="false" customHeight="true" outlineLevel="0" collapsed="false">
      <c r="A1450" s="6" t="n">
        <v>1449</v>
      </c>
      <c r="B1450" s="30" t="n">
        <v>0.082111072634993</v>
      </c>
      <c r="C1450" s="30" t="n">
        <v>0.423355490082516</v>
      </c>
      <c r="D1450" s="30" t="n">
        <v>0.0745802510974777</v>
      </c>
      <c r="E1450" s="30" t="n">
        <v>0.271835569310328</v>
      </c>
      <c r="F1450" s="30" t="n">
        <v>0.0187352960211836</v>
      </c>
      <c r="G1450" s="30" t="n">
        <v>0.156168107826464</v>
      </c>
      <c r="H1450" s="31" t="n">
        <f aca="false">MAX(D1450,F1450+0.015)</f>
        <v>0.0745802510974777</v>
      </c>
      <c r="I1450" s="25" t="n">
        <f aca="false">(C1450-'DCF Base Case'!$B$3)*(1-E1450)+'DCF Base Case'!$B$3-G1450</f>
        <v>0.187442925599161</v>
      </c>
      <c r="J1450" s="24" t="n">
        <f aca="false">'DCF Base Case'!$B$2*(1+B1450)^1*$I1450-'DCF Base Case'!$B$2*(1+B1450)^0*B1450*'DCF Base Case'!$B$4</f>
        <v>29.0537562993404</v>
      </c>
      <c r="K1450" s="24" t="n">
        <f aca="false">'DCF Base Case'!$B$2*(1+B1450)^2*$I1450-'DCF Base Case'!$B$2*(1+B1450)^1*B1450*'DCF Base Case'!$B$4</f>
        <v>31.4393913931549</v>
      </c>
      <c r="L1450" s="24" t="n">
        <f aca="false">'DCF Base Case'!$B$2*(1+B1450)^3*$I1450-'DCF Base Case'!$B$2*(1+B1450)^2*B1450*'DCF Base Case'!$B$4</f>
        <v>34.0209135434383</v>
      </c>
      <c r="M1450" s="24" t="n">
        <f aca="false">'DCF Base Case'!$B$2*(1+B1450)^4*$I1450-'DCF Base Case'!$B$2*(1+B1450)^3*B1450*'DCF Base Case'!$B$4</f>
        <v>36.8144072465123</v>
      </c>
      <c r="N1450" s="24" t="n">
        <f aca="false">'DCF Base Case'!$B$2*(1+B1450)^5*$I1450-'DCF Base Case'!$B$2*(1+B1450)^4*B1450*'DCF Base Case'!$B$4</f>
        <v>39.8372777139449</v>
      </c>
      <c r="O1450" s="24" t="n">
        <f aca="false">J1450/(1+H1450)^1+K1450/(1+H1450)^2+L1450/(1+H1450)^3+M1450/(1+H1450)^4+N1450/(1+H1450)^5</f>
        <v>137.094677000574</v>
      </c>
      <c r="P1450" s="24" t="n">
        <f aca="false">N1450*(1+F1450)/(H1450-F1450)</f>
        <v>726.719913180149</v>
      </c>
      <c r="Q1450" s="24" t="n">
        <f aca="false">O1450+P1450/(1+H1450)^5</f>
        <v>644.287135073581</v>
      </c>
      <c r="R1450" s="24" t="n">
        <f aca="false">Q1450-'DCF Base Case'!$B$5</f>
        <v>459.287135073581</v>
      </c>
      <c r="S1450" s="32" t="n">
        <f aca="false">R1450/'DCF Base Case'!$B$6</f>
        <v>18.3714854029432</v>
      </c>
    </row>
    <row r="1451" customFormat="false" ht="15" hidden="false" customHeight="true" outlineLevel="0" collapsed="false">
      <c r="A1451" s="6" t="n">
        <v>1450</v>
      </c>
      <c r="B1451" s="30" t="n">
        <v>0.107707308535864</v>
      </c>
      <c r="C1451" s="30" t="n">
        <v>0.432566813429931</v>
      </c>
      <c r="D1451" s="30" t="n">
        <v>0.0978322384861436</v>
      </c>
      <c r="E1451" s="30" t="n">
        <v>0.271044924494577</v>
      </c>
      <c r="F1451" s="30" t="n">
        <v>0.0236220402312516</v>
      </c>
      <c r="G1451" s="30" t="n">
        <v>0.138577862245295</v>
      </c>
      <c r="H1451" s="31" t="n">
        <f aca="false">MAX(D1451,F1451+0.015)</f>
        <v>0.0978322384861436</v>
      </c>
      <c r="I1451" s="25" t="n">
        <f aca="false">(C1451-'DCF Base Case'!$B$3)*(1-E1451)+'DCF Base Case'!$B$3-G1451</f>
        <v>0.211979752083956</v>
      </c>
      <c r="J1451" s="24" t="n">
        <f aca="false">'DCF Base Case'!$B$2*(1+B1451)^1*$I1451-'DCF Base Case'!$B$2*(1+B1451)^0*B1451*'DCF Base Case'!$B$4</f>
        <v>33.5791437013966</v>
      </c>
      <c r="K1451" s="24" t="n">
        <f aca="false">'DCF Base Case'!$B$2*(1+B1451)^2*$I1451-'DCF Base Case'!$B$2*(1+B1451)^1*B1451*'DCF Base Case'!$B$4</f>
        <v>37.1958628924131</v>
      </c>
      <c r="L1451" s="24" t="n">
        <f aca="false">'DCF Base Case'!$B$2*(1+B1451)^3*$I1451-'DCF Base Case'!$B$2*(1+B1451)^2*B1451*'DCF Base Case'!$B$4</f>
        <v>41.2021291732239</v>
      </c>
      <c r="M1451" s="24" t="n">
        <f aca="false">'DCF Base Case'!$B$2*(1+B1451)^4*$I1451-'DCF Base Case'!$B$2*(1+B1451)^3*B1451*'DCF Base Case'!$B$4</f>
        <v>45.6398996124188</v>
      </c>
      <c r="N1451" s="24" t="n">
        <f aca="false">'DCF Base Case'!$B$2*(1+B1451)^5*$I1451-'DCF Base Case'!$B$2*(1+B1451)^4*B1451*'DCF Base Case'!$B$4</f>
        <v>50.5556503615195</v>
      </c>
      <c r="O1451" s="24" t="n">
        <f aca="false">J1451/(1+H1451)^1+K1451/(1+H1451)^2+L1451/(1+H1451)^3+M1451/(1+H1451)^4+N1451/(1+H1451)^5</f>
        <v>155.710015886715</v>
      </c>
      <c r="P1451" s="24" t="n">
        <f aca="false">N1451*(1+F1451)/(H1451-F1451)</f>
        <v>697.341863857169</v>
      </c>
      <c r="Q1451" s="24" t="n">
        <f aca="false">O1451+P1451/(1+H1451)^5</f>
        <v>592.996282843486</v>
      </c>
      <c r="R1451" s="24" t="n">
        <f aca="false">Q1451-'DCF Base Case'!$B$5</f>
        <v>407.996282843486</v>
      </c>
      <c r="S1451" s="32" t="n">
        <f aca="false">R1451/'DCF Base Case'!$B$6</f>
        <v>16.3198513137394</v>
      </c>
    </row>
    <row r="1452" customFormat="false" ht="15" hidden="false" customHeight="true" outlineLevel="0" collapsed="false">
      <c r="A1452" s="6" t="n">
        <v>1451</v>
      </c>
      <c r="B1452" s="30" t="n">
        <v>0.0603113302266906</v>
      </c>
      <c r="C1452" s="30" t="n">
        <v>0.377714175874148</v>
      </c>
      <c r="D1452" s="30" t="n">
        <v>0.085101328618953</v>
      </c>
      <c r="E1452" s="30" t="n">
        <v>0.316315812825783</v>
      </c>
      <c r="F1452" s="30" t="n">
        <v>0.0169187760474816</v>
      </c>
      <c r="G1452" s="30" t="n">
        <v>0.15559720381696</v>
      </c>
      <c r="H1452" s="31" t="n">
        <f aca="false">MAX(D1452,F1452+0.015)</f>
        <v>0.085101328618953</v>
      </c>
      <c r="I1452" s="25" t="n">
        <f aca="false">(C1452-'DCF Base Case'!$B$3)*(1-E1452)+'DCF Base Case'!$B$3-G1452</f>
        <v>0.143761061167088</v>
      </c>
      <c r="J1452" s="24" t="n">
        <f aca="false">'DCF Base Case'!$B$2*(1+B1452)^1*$I1452-'DCF Base Case'!$B$2*(1+B1452)^0*B1452*'DCF Base Case'!$B$4</f>
        <v>21.8402106036409</v>
      </c>
      <c r="K1452" s="24" t="n">
        <f aca="false">'DCF Base Case'!$B$2*(1+B1452)^2*$I1452-'DCF Base Case'!$B$2*(1+B1452)^1*B1452*'DCF Base Case'!$B$4</f>
        <v>23.1574227575775</v>
      </c>
      <c r="L1452" s="24" t="n">
        <f aca="false">'DCF Base Case'!$B$2*(1+B1452)^3*$I1452-'DCF Base Case'!$B$2*(1+B1452)^2*B1452*'DCF Base Case'!$B$4</f>
        <v>24.5540777287089</v>
      </c>
      <c r="M1452" s="24" t="n">
        <f aca="false">'DCF Base Case'!$B$2*(1+B1452)^4*$I1452-'DCF Base Case'!$B$2*(1+B1452)^3*B1452*'DCF Base Case'!$B$4</f>
        <v>26.0349668190169</v>
      </c>
      <c r="N1452" s="24" t="n">
        <f aca="false">'DCF Base Case'!$B$2*(1+B1452)^5*$I1452-'DCF Base Case'!$B$2*(1+B1452)^4*B1452*'DCF Base Case'!$B$4</f>
        <v>27.6051703002795</v>
      </c>
      <c r="O1452" s="24" t="n">
        <f aca="false">J1452/(1+H1452)^1+K1452/(1+H1452)^2+L1452/(1+H1452)^3+M1452/(1+H1452)^4+N1452/(1+H1452)^5</f>
        <v>96.1423379078408</v>
      </c>
      <c r="P1452" s="24" t="n">
        <f aca="false">N1452*(1+F1452)/(H1452-F1452)</f>
        <v>411.721399912628</v>
      </c>
      <c r="Q1452" s="24" t="n">
        <f aca="false">O1452+P1452/(1+H1452)^5</f>
        <v>369.827948629794</v>
      </c>
      <c r="R1452" s="24" t="n">
        <f aca="false">Q1452-'DCF Base Case'!$B$5</f>
        <v>184.827948629794</v>
      </c>
      <c r="S1452" s="32" t="n">
        <f aca="false">R1452/'DCF Base Case'!$B$6</f>
        <v>7.39311794519175</v>
      </c>
    </row>
    <row r="1453" customFormat="false" ht="15" hidden="false" customHeight="true" outlineLevel="0" collapsed="false">
      <c r="A1453" s="6" t="n">
        <v>1452</v>
      </c>
      <c r="B1453" s="30" t="n">
        <v>0.0855239978380361</v>
      </c>
      <c r="C1453" s="30" t="n">
        <v>0.424088843716135</v>
      </c>
      <c r="D1453" s="30" t="n">
        <v>0.0797461216630997</v>
      </c>
      <c r="E1453" s="30" t="n">
        <v>0.266567618140812</v>
      </c>
      <c r="F1453" s="30" t="n">
        <v>0.0139520301247271</v>
      </c>
      <c r="G1453" s="30" t="n">
        <v>0.153690085478964</v>
      </c>
      <c r="H1453" s="31" t="n">
        <f aca="false">MAX(D1453,F1453+0.015)</f>
        <v>0.0797461216630997</v>
      </c>
      <c r="I1453" s="25" t="n">
        <f aca="false">(C1453-'DCF Base Case'!$B$3)*(1-E1453)+'DCF Base Case'!$B$3-G1453</f>
        <v>0.192004195645975</v>
      </c>
      <c r="J1453" s="24" t="n">
        <f aca="false">'DCF Base Case'!$B$2*(1+B1453)^1*$I1453-'DCF Base Case'!$B$2*(1+B1453)^0*B1453*'DCF Base Case'!$B$4</f>
        <v>29.8496191080024</v>
      </c>
      <c r="K1453" s="24" t="n">
        <f aca="false">'DCF Base Case'!$B$2*(1+B1453)^2*$I1453-'DCF Base Case'!$B$2*(1+B1453)^1*B1453*'DCF Base Case'!$B$4</f>
        <v>32.4024778680614</v>
      </c>
      <c r="L1453" s="24" t="n">
        <f aca="false">'DCF Base Case'!$B$2*(1+B1453)^3*$I1453-'DCF Base Case'!$B$2*(1+B1453)^2*B1453*'DCF Base Case'!$B$4</f>
        <v>35.1736673151965</v>
      </c>
      <c r="M1453" s="24" t="n">
        <f aca="false">'DCF Base Case'!$B$2*(1+B1453)^4*$I1453-'DCF Base Case'!$B$2*(1+B1453)^3*B1453*'DCF Base Case'!$B$4</f>
        <v>38.1818599626172</v>
      </c>
      <c r="N1453" s="24" t="n">
        <f aca="false">'DCF Base Case'!$B$2*(1+B1453)^5*$I1453-'DCF Base Case'!$B$2*(1+B1453)^4*B1453*'DCF Base Case'!$B$4</f>
        <v>41.4473252715122</v>
      </c>
      <c r="O1453" s="24" t="n">
        <f aca="false">J1453/(1+H1453)^1+K1453/(1+H1453)^2+L1453/(1+H1453)^3+M1453/(1+H1453)^4+N1453/(1+H1453)^5</f>
        <v>139.712436697161</v>
      </c>
      <c r="P1453" s="24" t="n">
        <f aca="false">N1453*(1+F1453)/(H1453-F1453)</f>
        <v>638.744279610266</v>
      </c>
      <c r="Q1453" s="24" t="n">
        <f aca="false">O1453+P1453/(1+H1453)^5</f>
        <v>574.942373174302</v>
      </c>
      <c r="R1453" s="24" t="n">
        <f aca="false">Q1453-'DCF Base Case'!$B$5</f>
        <v>389.942373174302</v>
      </c>
      <c r="S1453" s="32" t="n">
        <f aca="false">R1453/'DCF Base Case'!$B$6</f>
        <v>15.5976949269721</v>
      </c>
    </row>
    <row r="1454" customFormat="false" ht="15" hidden="false" customHeight="true" outlineLevel="0" collapsed="false">
      <c r="A1454" s="6" t="n">
        <v>1453</v>
      </c>
      <c r="B1454" s="30" t="n">
        <v>0.115555611348086</v>
      </c>
      <c r="C1454" s="30" t="n">
        <v>0.424815144935123</v>
      </c>
      <c r="D1454" s="30" t="n">
        <v>0.0768616003872729</v>
      </c>
      <c r="E1454" s="30" t="n">
        <v>0.31727073162302</v>
      </c>
      <c r="F1454" s="30" t="n">
        <v>0.0169900189293348</v>
      </c>
      <c r="G1454" s="30" t="n">
        <v>0.198393014079081</v>
      </c>
      <c r="H1454" s="31" t="n">
        <f aca="false">MAX(D1454,F1454+0.015)</f>
        <v>0.0768616003872729</v>
      </c>
      <c r="I1454" s="25" t="n">
        <f aca="false">(C1454-'DCF Base Case'!$B$3)*(1-E1454)+'DCF Base Case'!$B$3-G1454</f>
        <v>0.132885914128929</v>
      </c>
      <c r="J1454" s="24" t="n">
        <f aca="false">'DCF Base Case'!$B$2*(1+B1454)^1*$I1454-'DCF Base Case'!$B$2*(1+B1454)^0*B1454*'DCF Base Case'!$B$4</f>
        <v>20.9923690311046</v>
      </c>
      <c r="K1454" s="24" t="n">
        <f aca="false">'DCF Base Case'!$B$2*(1+B1454)^2*$I1454-'DCF Base Case'!$B$2*(1+B1454)^1*B1454*'DCF Base Case'!$B$4</f>
        <v>23.4181550681385</v>
      </c>
      <c r="L1454" s="24" t="n">
        <f aca="false">'DCF Base Case'!$B$2*(1+B1454)^3*$I1454-'DCF Base Case'!$B$2*(1+B1454)^2*B1454*'DCF Base Case'!$B$4</f>
        <v>26.1242542936815</v>
      </c>
      <c r="M1454" s="24" t="n">
        <f aca="false">'DCF Base Case'!$B$2*(1+B1454)^4*$I1454-'DCF Base Case'!$B$2*(1+B1454)^3*B1454*'DCF Base Case'!$B$4</f>
        <v>29.1430584696007</v>
      </c>
      <c r="N1454" s="24" t="n">
        <f aca="false">'DCF Base Case'!$B$2*(1+B1454)^5*$I1454-'DCF Base Case'!$B$2*(1+B1454)^4*B1454*'DCF Base Case'!$B$4</f>
        <v>32.5107024076085</v>
      </c>
      <c r="O1454" s="24" t="n">
        <f aca="false">J1454/(1+H1454)^1+K1454/(1+H1454)^2+L1454/(1+H1454)^3+M1454/(1+H1454)^4+N1454/(1+H1454)^5</f>
        <v>104.731014530479</v>
      </c>
      <c r="P1454" s="24" t="n">
        <f aca="false">N1454*(1+F1454)/(H1454-F1454)</f>
        <v>552.232946780396</v>
      </c>
      <c r="Q1454" s="24" t="n">
        <f aca="false">O1454+P1454/(1+H1454)^5</f>
        <v>486.080231938783</v>
      </c>
      <c r="R1454" s="24" t="n">
        <f aca="false">Q1454-'DCF Base Case'!$B$5</f>
        <v>301.080231938783</v>
      </c>
      <c r="S1454" s="32" t="n">
        <f aca="false">R1454/'DCF Base Case'!$B$6</f>
        <v>12.0432092775513</v>
      </c>
    </row>
    <row r="1455" customFormat="false" ht="15" hidden="false" customHeight="true" outlineLevel="0" collapsed="false">
      <c r="A1455" s="6" t="n">
        <v>1454</v>
      </c>
      <c r="B1455" s="30" t="n">
        <v>0.119972773775831</v>
      </c>
      <c r="C1455" s="30" t="n">
        <v>0.425747222625811</v>
      </c>
      <c r="D1455" s="30" t="n">
        <v>0.0685159551989115</v>
      </c>
      <c r="E1455" s="30" t="n">
        <v>0.339552565057798</v>
      </c>
      <c r="F1455" s="30" t="n">
        <v>0.0207292936021797</v>
      </c>
      <c r="G1455" s="30" t="n">
        <v>0.15862702597196</v>
      </c>
      <c r="H1455" s="31" t="n">
        <f aca="false">MAX(D1455,F1455+0.015)</f>
        <v>0.0685159551989115</v>
      </c>
      <c r="I1455" s="25" t="n">
        <f aca="false">(C1455-'DCF Base Case'!$B$3)*(1-E1455)+'DCF Base Case'!$B$3-G1455</f>
        <v>0.166698468602537</v>
      </c>
      <c r="J1455" s="24" t="n">
        <f aca="false">'DCF Base Case'!$B$2*(1+B1455)^1*$I1455-'DCF Base Case'!$B$2*(1+B1455)^0*B1455*'DCF Base Case'!$B$4</f>
        <v>26.5492916424953</v>
      </c>
      <c r="K1455" s="24" t="n">
        <f aca="false">'DCF Base Case'!$B$2*(1+B1455)^2*$I1455-'DCF Base Case'!$B$2*(1+B1455)^1*B1455*'DCF Base Case'!$B$4</f>
        <v>29.734483802629</v>
      </c>
      <c r="L1455" s="24" t="n">
        <f aca="false">'DCF Base Case'!$B$2*(1+B1455)^3*$I1455-'DCF Base Case'!$B$2*(1+B1455)^2*B1455*'DCF Base Case'!$B$4</f>
        <v>33.3018123012229</v>
      </c>
      <c r="M1455" s="24" t="n">
        <f aca="false">'DCF Base Case'!$B$2*(1+B1455)^4*$I1455-'DCF Base Case'!$B$2*(1+B1455)^3*B1455*'DCF Base Case'!$B$4</f>
        <v>37.2971230947627</v>
      </c>
      <c r="N1455" s="24" t="n">
        <f aca="false">'DCF Base Case'!$B$2*(1+B1455)^5*$I1455-'DCF Base Case'!$B$2*(1+B1455)^4*B1455*'DCF Base Case'!$B$4</f>
        <v>41.7717624063</v>
      </c>
      <c r="O1455" s="24" t="n">
        <f aca="false">J1455/(1+H1455)^1+K1455/(1+H1455)^2+L1455/(1+H1455)^3+M1455/(1+H1455)^4+N1455/(1+H1455)^5</f>
        <v>136.790239241665</v>
      </c>
      <c r="P1455" s="24" t="n">
        <f aca="false">N1455*(1+F1455)/(H1455-F1455)</f>
        <v>892.250266262934</v>
      </c>
      <c r="Q1455" s="24" t="n">
        <f aca="false">O1455+P1455/(1+H1455)^5</f>
        <v>777.382413472934</v>
      </c>
      <c r="R1455" s="24" t="n">
        <f aca="false">Q1455-'DCF Base Case'!$B$5</f>
        <v>592.382413472934</v>
      </c>
      <c r="S1455" s="32" t="n">
        <f aca="false">R1455/'DCF Base Case'!$B$6</f>
        <v>23.6952965389174</v>
      </c>
    </row>
    <row r="1456" customFormat="false" ht="15" hidden="false" customHeight="true" outlineLevel="0" collapsed="false">
      <c r="A1456" s="6" t="n">
        <v>1455</v>
      </c>
      <c r="B1456" s="30" t="n">
        <v>0.110887819851015</v>
      </c>
      <c r="C1456" s="30" t="n">
        <v>0.434664622998819</v>
      </c>
      <c r="D1456" s="30" t="n">
        <v>0.0994203218487509</v>
      </c>
      <c r="E1456" s="30" t="n">
        <v>0.264054403051824</v>
      </c>
      <c r="F1456" s="30" t="n">
        <v>0.0204838037723113</v>
      </c>
      <c r="G1456" s="30" t="n">
        <v>0.141710529761086</v>
      </c>
      <c r="H1456" s="31" t="n">
        <f aca="false">MAX(D1456,F1456+0.015)</f>
        <v>0.0994203218487509</v>
      </c>
      <c r="I1456" s="25" t="n">
        <f aca="false">(C1456-'DCF Base Case'!$B$3)*(1-E1456)+'DCF Base Case'!$B$3-G1456</f>
        <v>0.212506058080771</v>
      </c>
      <c r="J1456" s="24" t="n">
        <f aca="false">'DCF Base Case'!$B$2*(1+B1456)^1*$I1456-'DCF Base Case'!$B$2*(1+B1456)^0*B1456*'DCF Base Case'!$B$4</f>
        <v>33.7478447607878</v>
      </c>
      <c r="K1456" s="24" t="n">
        <f aca="false">'DCF Base Case'!$B$2*(1+B1456)^2*$I1456-'DCF Base Case'!$B$2*(1+B1456)^1*B1456*'DCF Base Case'!$B$4</f>
        <v>37.490069690982</v>
      </c>
      <c r="L1456" s="24" t="n">
        <f aca="false">'DCF Base Case'!$B$2*(1+B1456)^3*$I1456-'DCF Base Case'!$B$2*(1+B1456)^2*B1456*'DCF Base Case'!$B$4</f>
        <v>41.6472617850777</v>
      </c>
      <c r="M1456" s="24" t="n">
        <f aca="false">'DCF Base Case'!$B$2*(1+B1456)^4*$I1456-'DCF Base Case'!$B$2*(1+B1456)^3*B1456*'DCF Base Case'!$B$4</f>
        <v>46.2654358471894</v>
      </c>
      <c r="N1456" s="24" t="n">
        <f aca="false">'DCF Base Case'!$B$2*(1+B1456)^5*$I1456-'DCF Base Case'!$B$2*(1+B1456)^4*B1456*'DCF Base Case'!$B$4</f>
        <v>51.3957091627413</v>
      </c>
      <c r="O1456" s="24" t="n">
        <f aca="false">J1456/(1+H1456)^1+K1456/(1+H1456)^2+L1456/(1+H1456)^3+M1456/(1+H1456)^4+N1456/(1+H1456)^5</f>
        <v>156.715494078469</v>
      </c>
      <c r="P1456" s="24" t="n">
        <f aca="false">N1456*(1+F1456)/(H1456-F1456)</f>
        <v>664.438843542354</v>
      </c>
      <c r="Q1456" s="24" t="n">
        <f aca="false">O1456+P1456/(1+H1456)^5</f>
        <v>570.368526419357</v>
      </c>
      <c r="R1456" s="24" t="n">
        <f aca="false">Q1456-'DCF Base Case'!$B$5</f>
        <v>385.368526419357</v>
      </c>
      <c r="S1456" s="32" t="n">
        <f aca="false">R1456/'DCF Base Case'!$B$6</f>
        <v>15.4147410567743</v>
      </c>
    </row>
    <row r="1457" customFormat="false" ht="15" hidden="false" customHeight="true" outlineLevel="0" collapsed="false">
      <c r="A1457" s="6" t="n">
        <v>1456</v>
      </c>
      <c r="B1457" s="30" t="n">
        <v>0.104461380683377</v>
      </c>
      <c r="C1457" s="30" t="n">
        <v>0.419186404692017</v>
      </c>
      <c r="D1457" s="30" t="n">
        <v>0.0880911018103549</v>
      </c>
      <c r="E1457" s="30" t="n">
        <v>0.275663227850945</v>
      </c>
      <c r="F1457" s="30" t="n">
        <v>0.0183761262431944</v>
      </c>
      <c r="G1457" s="30" t="n">
        <v>0.147758522711319</v>
      </c>
      <c r="H1457" s="31" t="n">
        <f aca="false">MAX(D1457,F1457+0.015)</f>
        <v>0.0880911018103549</v>
      </c>
      <c r="I1457" s="25" t="n">
        <f aca="false">(C1457-'DCF Base Case'!$B$3)*(1-E1457)+'DCF Base Case'!$B$3-G1457</f>
        <v>0.191709824212687</v>
      </c>
      <c r="J1457" s="24" t="n">
        <f aca="false">'DCF Base Case'!$B$2*(1+B1457)^1*$I1457-'DCF Base Case'!$B$2*(1+B1457)^0*B1457*'DCF Base Case'!$B$4</f>
        <v>30.2473270794015</v>
      </c>
      <c r="K1457" s="24" t="n">
        <f aca="false">'DCF Base Case'!$B$2*(1+B1457)^2*$I1457-'DCF Base Case'!$B$2*(1+B1457)^1*B1457*'DCF Base Case'!$B$4</f>
        <v>33.4070046280975</v>
      </c>
      <c r="L1457" s="24" t="n">
        <f aca="false">'DCF Base Case'!$B$2*(1+B1457)^3*$I1457-'DCF Base Case'!$B$2*(1+B1457)^2*B1457*'DCF Base Case'!$B$4</f>
        <v>36.8967464560445</v>
      </c>
      <c r="M1457" s="24" t="n">
        <f aca="false">'DCF Base Case'!$B$2*(1+B1457)^4*$I1457-'DCF Base Case'!$B$2*(1+B1457)^3*B1457*'DCF Base Case'!$B$4</f>
        <v>40.7510315335674</v>
      </c>
      <c r="N1457" s="24" t="n">
        <f aca="false">'DCF Base Case'!$B$2*(1+B1457)^5*$I1457-'DCF Base Case'!$B$2*(1+B1457)^4*B1457*'DCF Base Case'!$B$4</f>
        <v>45.0079405518357</v>
      </c>
      <c r="O1457" s="24" t="n">
        <f aca="false">J1457/(1+H1457)^1+K1457/(1+H1457)^2+L1457/(1+H1457)^3+M1457/(1+H1457)^4+N1457/(1+H1457)^5</f>
        <v>143.238293825356</v>
      </c>
      <c r="P1457" s="24" t="n">
        <f aca="false">N1457*(1+F1457)/(H1457-F1457)</f>
        <v>657.462930689933</v>
      </c>
      <c r="Q1457" s="24" t="n">
        <f aca="false">O1457+P1457/(1+H1457)^5</f>
        <v>574.305492881721</v>
      </c>
      <c r="R1457" s="24" t="n">
        <f aca="false">Q1457-'DCF Base Case'!$B$5</f>
        <v>389.305492881721</v>
      </c>
      <c r="S1457" s="32" t="n">
        <f aca="false">R1457/'DCF Base Case'!$B$6</f>
        <v>15.5722197152688</v>
      </c>
    </row>
    <row r="1458" customFormat="false" ht="15" hidden="false" customHeight="true" outlineLevel="0" collapsed="false">
      <c r="A1458" s="6" t="n">
        <v>1457</v>
      </c>
      <c r="B1458" s="30" t="n">
        <v>0.107240399788823</v>
      </c>
      <c r="C1458" s="30" t="n">
        <v>0.446252373711081</v>
      </c>
      <c r="D1458" s="30" t="n">
        <v>0.0788766480519891</v>
      </c>
      <c r="E1458" s="30" t="n">
        <v>0.296423213090504</v>
      </c>
      <c r="F1458" s="30" t="n">
        <v>0.0208908758240127</v>
      </c>
      <c r="G1458" s="30" t="n">
        <v>0.16540497407377</v>
      </c>
      <c r="H1458" s="31" t="n">
        <f aca="false">MAX(D1458,F1458+0.015)</f>
        <v>0.0788766480519891</v>
      </c>
      <c r="I1458" s="25" t="n">
        <f aca="false">(C1458-'DCF Base Case'!$B$3)*(1-E1458)+'DCF Base Case'!$B$3-G1458</f>
        <v>0.187102854874374</v>
      </c>
      <c r="J1458" s="24" t="n">
        <f aca="false">'DCF Base Case'!$B$2*(1+B1458)^1*$I1458-'DCF Base Case'!$B$2*(1+B1458)^0*B1458*'DCF Base Case'!$B$4</f>
        <v>29.5728410366647</v>
      </c>
      <c r="K1458" s="24" t="n">
        <f aca="false">'DCF Base Case'!$B$2*(1+B1458)^2*$I1458-'DCF Base Case'!$B$2*(1+B1458)^1*B1458*'DCF Base Case'!$B$4</f>
        <v>32.7442443323279</v>
      </c>
      <c r="L1458" s="24" t="n">
        <f aca="false">'DCF Base Case'!$B$2*(1+B1458)^3*$I1458-'DCF Base Case'!$B$2*(1+B1458)^2*B1458*'DCF Base Case'!$B$4</f>
        <v>36.2557501853097</v>
      </c>
      <c r="M1458" s="24" t="n">
        <f aca="false">'DCF Base Case'!$B$2*(1+B1458)^4*$I1458-'DCF Base Case'!$B$2*(1+B1458)^3*B1458*'DCF Base Case'!$B$4</f>
        <v>40.143831329826</v>
      </c>
      <c r="N1458" s="24" t="n">
        <f aca="false">'DCF Base Case'!$B$2*(1+B1458)^5*$I1458-'DCF Base Case'!$B$2*(1+B1458)^4*B1458*'DCF Base Case'!$B$4</f>
        <v>44.4488718506916</v>
      </c>
      <c r="O1458" s="24" t="n">
        <f aca="false">J1458/(1+H1458)^1+K1458/(1+H1458)^2+L1458/(1+H1458)^3+M1458/(1+H1458)^4+N1458/(1+H1458)^5</f>
        <v>144.452127690398</v>
      </c>
      <c r="P1458" s="24" t="n">
        <f aca="false">N1458*(1+F1458)/(H1458-F1458)</f>
        <v>782.561755574043</v>
      </c>
      <c r="Q1458" s="24" t="n">
        <f aca="false">O1458+P1458/(1+H1458)^5</f>
        <v>679.829059657266</v>
      </c>
      <c r="R1458" s="24" t="n">
        <f aca="false">Q1458-'DCF Base Case'!$B$5</f>
        <v>494.829059657266</v>
      </c>
      <c r="S1458" s="32" t="n">
        <f aca="false">R1458/'DCF Base Case'!$B$6</f>
        <v>19.7931623862906</v>
      </c>
    </row>
    <row r="1459" customFormat="false" ht="15" hidden="false" customHeight="true" outlineLevel="0" collapsed="false">
      <c r="A1459" s="6" t="n">
        <v>1458</v>
      </c>
      <c r="B1459" s="30" t="n">
        <v>0.057808815839639</v>
      </c>
      <c r="C1459" s="30" t="n">
        <v>0.375443697496507</v>
      </c>
      <c r="D1459" s="30" t="n">
        <v>0.0764091985373327</v>
      </c>
      <c r="E1459" s="30" t="n">
        <v>0.245973174566595</v>
      </c>
      <c r="F1459" s="30" t="n">
        <v>0.0242685329445579</v>
      </c>
      <c r="G1459" s="30" t="n">
        <v>0.173747609819811</v>
      </c>
      <c r="H1459" s="31" t="n">
        <f aca="false">MAX(D1459,F1459+0.015)</f>
        <v>0.0764091985373327</v>
      </c>
      <c r="I1459" s="25" t="n">
        <f aca="false">(C1459-'DCF Base Case'!$B$3)*(1-E1459)+'DCF Base Case'!$B$3-G1459</f>
        <v>0.141323522226117</v>
      </c>
      <c r="J1459" s="24" t="n">
        <f aca="false">'DCF Base Case'!$B$2*(1+B1459)^1*$I1459-'DCF Base Case'!$B$2*(1+B1459)^0*B1459*'DCF Base Case'!$B$4</f>
        <v>21.4250554670605</v>
      </c>
      <c r="K1459" s="24" t="n">
        <f aca="false">'DCF Base Case'!$B$2*(1+B1459)^2*$I1459-'DCF Base Case'!$B$2*(1+B1459)^1*B1459*'DCF Base Case'!$B$4</f>
        <v>22.6636125529098</v>
      </c>
      <c r="L1459" s="24" t="n">
        <f aca="false">'DCF Base Case'!$B$2*(1+B1459)^3*$I1459-'DCF Base Case'!$B$2*(1+B1459)^2*B1459*'DCF Base Case'!$B$4</f>
        <v>23.9737691572419</v>
      </c>
      <c r="M1459" s="24" t="n">
        <f aca="false">'DCF Base Case'!$B$2*(1+B1459)^4*$I1459-'DCF Base Case'!$B$2*(1+B1459)^3*B1459*'DCF Base Case'!$B$4</f>
        <v>25.3596643634349</v>
      </c>
      <c r="N1459" s="24" t="n">
        <f aca="false">'DCF Base Case'!$B$2*(1+B1459)^5*$I1459-'DCF Base Case'!$B$2*(1+B1459)^4*B1459*'DCF Base Case'!$B$4</f>
        <v>26.8256765303758</v>
      </c>
      <c r="O1459" s="24" t="n">
        <f aca="false">J1459/(1+H1459)^1+K1459/(1+H1459)^2+L1459/(1+H1459)^3+M1459/(1+H1459)^4+N1459/(1+H1459)^5</f>
        <v>96.14043230772</v>
      </c>
      <c r="P1459" s="24" t="n">
        <f aca="false">N1459*(1+F1459)/(H1459-F1459)</f>
        <v>526.972489373453</v>
      </c>
      <c r="Q1459" s="24" t="n">
        <f aca="false">O1459+P1459/(1+H1459)^5</f>
        <v>460.81119169459</v>
      </c>
      <c r="R1459" s="24" t="n">
        <f aca="false">Q1459-'DCF Base Case'!$B$5</f>
        <v>275.81119169459</v>
      </c>
      <c r="S1459" s="32" t="n">
        <f aca="false">R1459/'DCF Base Case'!$B$6</f>
        <v>11.0324476677836</v>
      </c>
    </row>
    <row r="1460" customFormat="false" ht="15" hidden="false" customHeight="true" outlineLevel="0" collapsed="false">
      <c r="A1460" s="6" t="n">
        <v>1459</v>
      </c>
      <c r="B1460" s="30" t="n">
        <v>0.0893988390068159</v>
      </c>
      <c r="C1460" s="30" t="n">
        <v>0.370842933386358</v>
      </c>
      <c r="D1460" s="30" t="n">
        <v>0.0649374205947756</v>
      </c>
      <c r="E1460" s="30" t="n">
        <v>0.27957807606219</v>
      </c>
      <c r="F1460" s="30" t="n">
        <v>0.0257107725813183</v>
      </c>
      <c r="G1460" s="30" t="n">
        <v>0.151137579111016</v>
      </c>
      <c r="H1460" s="31" t="n">
        <f aca="false">MAX(D1460,F1460+0.015)</f>
        <v>0.0649374205947756</v>
      </c>
      <c r="I1460" s="25" t="n">
        <f aca="false">(C1460-'DCF Base Case'!$B$3)*(1-E1460)+'DCF Base Case'!$B$3-G1460</f>
        <v>0.15237095032601</v>
      </c>
      <c r="J1460" s="24" t="n">
        <f aca="false">'DCF Base Case'!$B$2*(1+B1460)^1*$I1460-'DCF Base Case'!$B$2*(1+B1460)^0*B1460*'DCF Base Case'!$B$4</f>
        <v>23.6800618259308</v>
      </c>
      <c r="K1460" s="24" t="n">
        <f aca="false">'DCF Base Case'!$B$2*(1+B1460)^2*$I1460-'DCF Base Case'!$B$2*(1+B1460)^1*B1460*'DCF Base Case'!$B$4</f>
        <v>25.7970318607786</v>
      </c>
      <c r="L1460" s="24" t="n">
        <f aca="false">'DCF Base Case'!$B$2*(1+B1460)^3*$I1460-'DCF Base Case'!$B$2*(1+B1460)^2*B1460*'DCF Base Case'!$B$4</f>
        <v>28.1032565589541</v>
      </c>
      <c r="M1460" s="24" t="n">
        <f aca="false">'DCF Base Case'!$B$2*(1+B1460)^4*$I1460-'DCF Base Case'!$B$2*(1+B1460)^3*B1460*'DCF Base Case'!$B$4</f>
        <v>30.6156550676353</v>
      </c>
      <c r="N1460" s="24" t="n">
        <f aca="false">'DCF Base Case'!$B$2*(1+B1460)^5*$I1460-'DCF Base Case'!$B$2*(1+B1460)^4*B1460*'DCF Base Case'!$B$4</f>
        <v>33.352659086115</v>
      </c>
      <c r="O1460" s="24" t="n">
        <f aca="false">J1460/(1+H1460)^1+K1460/(1+H1460)^2+L1460/(1+H1460)^3+M1460/(1+H1460)^4+N1460/(1+H1460)^5</f>
        <v>116.406799349459</v>
      </c>
      <c r="P1460" s="24" t="n">
        <f aca="false">N1460*(1+F1460)/(H1460-F1460)</f>
        <v>872.115856219069</v>
      </c>
      <c r="Q1460" s="24" t="n">
        <f aca="false">O1460+P1460/(1+H1460)^5</f>
        <v>753.134498660248</v>
      </c>
      <c r="R1460" s="24" t="n">
        <f aca="false">Q1460-'DCF Base Case'!$B$5</f>
        <v>568.134498660248</v>
      </c>
      <c r="S1460" s="32" t="n">
        <f aca="false">R1460/'DCF Base Case'!$B$6</f>
        <v>22.7253799464099</v>
      </c>
    </row>
    <row r="1461" customFormat="false" ht="15" hidden="false" customHeight="true" outlineLevel="0" collapsed="false">
      <c r="A1461" s="6" t="n">
        <v>1460</v>
      </c>
      <c r="B1461" s="30" t="n">
        <v>0.108867265667122</v>
      </c>
      <c r="C1461" s="30" t="n">
        <v>0.411467243774024</v>
      </c>
      <c r="D1461" s="30" t="n">
        <v>0.0856076318521775</v>
      </c>
      <c r="E1461" s="30" t="n">
        <v>0.316665196269179</v>
      </c>
      <c r="F1461" s="30" t="n">
        <v>0.0179887839059165</v>
      </c>
      <c r="G1461" s="30" t="n">
        <v>0.15130904715609</v>
      </c>
      <c r="H1461" s="31" t="n">
        <f aca="false">MAX(D1461,F1461+0.015)</f>
        <v>0.0856076318521775</v>
      </c>
      <c r="I1461" s="25" t="n">
        <f aca="false">(C1461-'DCF Base Case'!$B$3)*(1-E1461)+'DCF Base Case'!$B$3-G1461</f>
        <v>0.171027316624888</v>
      </c>
      <c r="J1461" s="24" t="n">
        <f aca="false">'DCF Base Case'!$B$2*(1+B1461)^1*$I1461-'DCF Base Case'!$B$2*(1+B1461)^0*B1461*'DCF Base Case'!$B$4</f>
        <v>27.0251833706806</v>
      </c>
      <c r="K1461" s="24" t="n">
        <f aca="false">'DCF Base Case'!$B$2*(1+B1461)^2*$I1461-'DCF Base Case'!$B$2*(1+B1461)^1*B1461*'DCF Base Case'!$B$4</f>
        <v>29.9673411883991</v>
      </c>
      <c r="L1461" s="24" t="n">
        <f aca="false">'DCF Base Case'!$B$2*(1+B1461)^3*$I1461-'DCF Base Case'!$B$2*(1+B1461)^2*B1461*'DCF Base Case'!$B$4</f>
        <v>33.2298036828939</v>
      </c>
      <c r="M1461" s="24" t="n">
        <f aca="false">'DCF Base Case'!$B$2*(1+B1461)^4*$I1461-'DCF Base Case'!$B$2*(1+B1461)^3*B1461*'DCF Base Case'!$B$4</f>
        <v>36.8474415485058</v>
      </c>
      <c r="N1461" s="24" t="n">
        <f aca="false">'DCF Base Case'!$B$2*(1+B1461)^5*$I1461-'DCF Base Case'!$B$2*(1+B1461)^4*B1461*'DCF Base Case'!$B$4</f>
        <v>40.8589217567207</v>
      </c>
      <c r="O1461" s="24" t="n">
        <f aca="false">J1461/(1+H1461)^1+K1461/(1+H1461)^2+L1461/(1+H1461)^3+M1461/(1+H1461)^4+N1461/(1+H1461)^5</f>
        <v>129.91947929703</v>
      </c>
      <c r="P1461" s="24" t="n">
        <f aca="false">N1461*(1+F1461)/(H1461-F1461)</f>
        <v>615.123228717047</v>
      </c>
      <c r="Q1461" s="24" t="n">
        <f aca="false">O1461+P1461/(1+H1461)^5</f>
        <v>537.860791605082</v>
      </c>
      <c r="R1461" s="24" t="n">
        <f aca="false">Q1461-'DCF Base Case'!$B$5</f>
        <v>352.860791605082</v>
      </c>
      <c r="S1461" s="32" t="n">
        <f aca="false">R1461/'DCF Base Case'!$B$6</f>
        <v>14.1144316642033</v>
      </c>
    </row>
    <row r="1462" customFormat="false" ht="15" hidden="false" customHeight="true" outlineLevel="0" collapsed="false">
      <c r="A1462" s="6" t="n">
        <v>1461</v>
      </c>
      <c r="B1462" s="30" t="n">
        <v>0.120240814343298</v>
      </c>
      <c r="C1462" s="30" t="n">
        <v>0.42565218534453</v>
      </c>
      <c r="D1462" s="30" t="n">
        <v>0.0970032559964478</v>
      </c>
      <c r="E1462" s="30" t="n">
        <v>0.263636089908041</v>
      </c>
      <c r="F1462" s="30" t="n">
        <v>0.0242644531208735</v>
      </c>
      <c r="G1462" s="30" t="n">
        <v>0.171491101694467</v>
      </c>
      <c r="H1462" s="31" t="n">
        <f aca="false">MAX(D1462,F1462+0.015)</f>
        <v>0.0970032559964478</v>
      </c>
      <c r="I1462" s="25" t="n">
        <f aca="false">(C1462-'DCF Base Case'!$B$3)*(1-E1462)+'DCF Base Case'!$B$3-G1462</f>
        <v>0.176216497533064</v>
      </c>
      <c r="J1462" s="24" t="n">
        <f aca="false">'DCF Base Case'!$B$2*(1+B1462)^1*$I1462-'DCF Base Case'!$B$2*(1+B1462)^0*B1462*'DCF Base Case'!$B$4</f>
        <v>28.1006647986953</v>
      </c>
      <c r="K1462" s="24" t="n">
        <f aca="false">'DCF Base Case'!$B$2*(1+B1462)^2*$I1462-'DCF Base Case'!$B$2*(1+B1462)^1*B1462*'DCF Base Case'!$B$4</f>
        <v>31.4795116176785</v>
      </c>
      <c r="L1462" s="24" t="n">
        <f aca="false">'DCF Base Case'!$B$2*(1+B1462)^3*$I1462-'DCF Base Case'!$B$2*(1+B1462)^2*B1462*'DCF Base Case'!$B$4</f>
        <v>35.2646337297174</v>
      </c>
      <c r="M1462" s="24" t="n">
        <f aca="false">'DCF Base Case'!$B$2*(1+B1462)^4*$I1462-'DCF Base Case'!$B$2*(1+B1462)^3*B1462*'DCF Base Case'!$B$4</f>
        <v>39.5048820068968</v>
      </c>
      <c r="N1462" s="24" t="n">
        <f aca="false">'DCF Base Case'!$B$2*(1+B1462)^5*$I1462-'DCF Base Case'!$B$2*(1+B1462)^4*B1462*'DCF Base Case'!$B$4</f>
        <v>44.254981189942</v>
      </c>
      <c r="O1462" s="24" t="n">
        <f aca="false">J1462/(1+H1462)^1+K1462/(1+H1462)^2+L1462/(1+H1462)^3+M1462/(1+H1462)^4+N1462/(1+H1462)^5</f>
        <v>133.621528876714</v>
      </c>
      <c r="P1462" s="24" t="n">
        <f aca="false">N1462*(1+F1462)/(H1462-F1462)</f>
        <v>623.172259020115</v>
      </c>
      <c r="Q1462" s="24" t="n">
        <f aca="false">O1462+P1462/(1+H1462)^5</f>
        <v>525.876565902661</v>
      </c>
      <c r="R1462" s="24" t="n">
        <f aca="false">Q1462-'DCF Base Case'!$B$5</f>
        <v>340.876565902661</v>
      </c>
      <c r="S1462" s="32" t="n">
        <f aca="false">R1462/'DCF Base Case'!$B$6</f>
        <v>13.6350626361064</v>
      </c>
    </row>
    <row r="1463" customFormat="false" ht="15" hidden="false" customHeight="true" outlineLevel="0" collapsed="false">
      <c r="A1463" s="6" t="n">
        <v>1462</v>
      </c>
      <c r="B1463" s="30" t="n">
        <v>0.0992655984667207</v>
      </c>
      <c r="C1463" s="30" t="n">
        <v>0.420428597192207</v>
      </c>
      <c r="D1463" s="30" t="n">
        <v>0.0794397751980385</v>
      </c>
      <c r="E1463" s="30" t="n">
        <v>0.279596546213975</v>
      </c>
      <c r="F1463" s="30" t="n">
        <v>0.0175881775060679</v>
      </c>
      <c r="G1463" s="30" t="n">
        <v>0.18819039172298</v>
      </c>
      <c r="H1463" s="31" t="n">
        <f aca="false">MAX(D1463,F1463+0.015)</f>
        <v>0.0794397751980385</v>
      </c>
      <c r="I1463" s="25" t="n">
        <f aca="false">(C1463-'DCF Base Case'!$B$3)*(1-E1463)+'DCF Base Case'!$B$3-G1463</f>
        <v>0.151035372772516</v>
      </c>
      <c r="J1463" s="24" t="n">
        <f aca="false">'DCF Base Case'!$B$2*(1+B1463)^1*$I1463-'DCF Base Case'!$B$2*(1+B1463)^0*B1463*'DCF Base Case'!$B$4</f>
        <v>23.6422531155313</v>
      </c>
      <c r="K1463" s="24" t="n">
        <f aca="false">'DCF Base Case'!$B$2*(1+B1463)^2*$I1463-'DCF Base Case'!$B$2*(1+B1463)^1*B1463*'DCF Base Case'!$B$4</f>
        <v>25.9891155201462</v>
      </c>
      <c r="L1463" s="24" t="n">
        <f aca="false">'DCF Base Case'!$B$2*(1+B1463)^3*$I1463-'DCF Base Case'!$B$2*(1+B1463)^2*B1463*'DCF Base Case'!$B$4</f>
        <v>28.5689406258742</v>
      </c>
      <c r="M1463" s="24" t="n">
        <f aca="false">'DCF Base Case'!$B$2*(1+B1463)^4*$I1463-'DCF Base Case'!$B$2*(1+B1463)^3*B1463*'DCF Base Case'!$B$4</f>
        <v>31.4048536146619</v>
      </c>
      <c r="N1463" s="24" t="n">
        <f aca="false">'DCF Base Case'!$B$2*(1+B1463)^5*$I1463-'DCF Base Case'!$B$2*(1+B1463)^4*B1463*'DCF Base Case'!$B$4</f>
        <v>34.522275203481</v>
      </c>
      <c r="O1463" s="24" t="n">
        <f aca="false">J1463/(1+H1463)^1+K1463/(1+H1463)^2+L1463/(1+H1463)^3+M1463/(1+H1463)^4+N1463/(1+H1463)^5</f>
        <v>113.609000135093</v>
      </c>
      <c r="P1463" s="24" t="n">
        <f aca="false">N1463*(1+F1463)/(H1463-F1463)</f>
        <v>567.963648774647</v>
      </c>
      <c r="Q1463" s="24" t="n">
        <f aca="false">O1463+P1463/(1+H1463)^5</f>
        <v>501.159638003128</v>
      </c>
      <c r="R1463" s="24" t="n">
        <f aca="false">Q1463-'DCF Base Case'!$B$5</f>
        <v>316.159638003128</v>
      </c>
      <c r="S1463" s="32" t="n">
        <f aca="false">R1463/'DCF Base Case'!$B$6</f>
        <v>12.6463855201251</v>
      </c>
    </row>
    <row r="1464" customFormat="false" ht="15" hidden="false" customHeight="true" outlineLevel="0" collapsed="false">
      <c r="A1464" s="6" t="n">
        <v>1463</v>
      </c>
      <c r="B1464" s="30" t="n">
        <v>0.0858009374893352</v>
      </c>
      <c r="C1464" s="30" t="n">
        <v>0.38055031963892</v>
      </c>
      <c r="D1464" s="30" t="n">
        <v>0.0665263389151179</v>
      </c>
      <c r="E1464" s="30" t="n">
        <v>0.249624973942045</v>
      </c>
      <c r="F1464" s="30" t="n">
        <v>0.0215658596574869</v>
      </c>
      <c r="G1464" s="30" t="n">
        <v>0.14233941908752</v>
      </c>
      <c r="H1464" s="31" t="n">
        <f aca="false">MAX(D1464,F1464+0.015)</f>
        <v>0.0665263389151179</v>
      </c>
      <c r="I1464" s="25" t="n">
        <f aca="false">(C1464-'DCF Base Case'!$B$3)*(1-E1464)+'DCF Base Case'!$B$3-G1464</f>
        <v>0.175667283540364</v>
      </c>
      <c r="J1464" s="24" t="n">
        <f aca="false">'DCF Base Case'!$B$2*(1+B1464)^1*$I1464-'DCF Base Case'!$B$2*(1+B1464)^0*B1464*'DCF Base Case'!$B$4</f>
        <v>27.2840225892995</v>
      </c>
      <c r="K1464" s="24" t="n">
        <f aca="false">'DCF Base Case'!$B$2*(1+B1464)^2*$I1464-'DCF Base Case'!$B$2*(1+B1464)^1*B1464*'DCF Base Case'!$B$4</f>
        <v>29.6250173059416</v>
      </c>
      <c r="L1464" s="24" t="n">
        <f aca="false">'DCF Base Case'!$B$2*(1+B1464)^3*$I1464-'DCF Base Case'!$B$2*(1+B1464)^2*B1464*'DCF Base Case'!$B$4</f>
        <v>32.1668715639291</v>
      </c>
      <c r="M1464" s="24" t="n">
        <f aca="false">'DCF Base Case'!$B$2*(1+B1464)^4*$I1464-'DCF Base Case'!$B$2*(1+B1464)^3*B1464*'DCF Base Case'!$B$4</f>
        <v>34.9268193002133</v>
      </c>
      <c r="N1464" s="24" t="n">
        <f aca="false">'DCF Base Case'!$B$2*(1+B1464)^5*$I1464-'DCF Base Case'!$B$2*(1+B1464)^4*B1464*'DCF Base Case'!$B$4</f>
        <v>37.9235731396922</v>
      </c>
      <c r="O1464" s="24" t="n">
        <f aca="false">J1464/(1+H1464)^1+K1464/(1+H1464)^2+L1464/(1+H1464)^3+M1464/(1+H1464)^4+N1464/(1+H1464)^5</f>
        <v>132.618278633264</v>
      </c>
      <c r="P1464" s="24" t="n">
        <f aca="false">N1464*(1+F1464)/(H1464-F1464)</f>
        <v>861.677371669871</v>
      </c>
      <c r="Q1464" s="24" t="n">
        <f aca="false">O1464+P1464/(1+H1464)^5</f>
        <v>757.052594775079</v>
      </c>
      <c r="R1464" s="24" t="n">
        <f aca="false">Q1464-'DCF Base Case'!$B$5</f>
        <v>572.052594775079</v>
      </c>
      <c r="S1464" s="32" t="n">
        <f aca="false">R1464/'DCF Base Case'!$B$6</f>
        <v>22.8821037910031</v>
      </c>
    </row>
    <row r="1465" customFormat="false" ht="15" hidden="false" customHeight="true" outlineLevel="0" collapsed="false">
      <c r="A1465" s="6" t="n">
        <v>1464</v>
      </c>
      <c r="B1465" s="30" t="n">
        <v>0.0962932577070595</v>
      </c>
      <c r="C1465" s="30" t="n">
        <v>0.419604001122733</v>
      </c>
      <c r="D1465" s="30" t="n">
        <v>0.0842882054559925</v>
      </c>
      <c r="E1465" s="30" t="n">
        <v>0.292795033021352</v>
      </c>
      <c r="F1465" s="30" t="n">
        <v>0.0199250167835796</v>
      </c>
      <c r="G1465" s="30" t="n">
        <v>0.123669824291643</v>
      </c>
      <c r="H1465" s="31" t="n">
        <f aca="false">MAX(D1465,F1465+0.015)</f>
        <v>0.0842882054559925</v>
      </c>
      <c r="I1465" s="25" t="n">
        <f aca="false">(C1465-'DCF Base Case'!$B$3)*(1-E1465)+'DCF Base Case'!$B$3-G1465</f>
        <v>0.211139563759244</v>
      </c>
      <c r="J1465" s="24" t="n">
        <f aca="false">'DCF Base Case'!$B$2*(1+B1465)^1*$I1465-'DCF Base Case'!$B$2*(1+B1465)^0*B1465*'DCF Base Case'!$B$4</f>
        <v>33.1444019557222</v>
      </c>
      <c r="K1465" s="24" t="n">
        <f aca="false">'DCF Base Case'!$B$2*(1+B1465)^2*$I1465-'DCF Base Case'!$B$2*(1+B1465)^1*B1465*'DCF Base Case'!$B$4</f>
        <v>36.335984394791</v>
      </c>
      <c r="L1465" s="24" t="n">
        <f aca="false">'DCF Base Case'!$B$2*(1+B1465)^3*$I1465-'DCF Base Case'!$B$2*(1+B1465)^2*B1465*'DCF Base Case'!$B$4</f>
        <v>39.8348947041583</v>
      </c>
      <c r="M1465" s="24" t="n">
        <f aca="false">'DCF Base Case'!$B$2*(1+B1465)^4*$I1465-'DCF Base Case'!$B$2*(1+B1465)^3*B1465*'DCF Base Case'!$B$4</f>
        <v>43.6707264856394</v>
      </c>
      <c r="N1465" s="24" t="n">
        <f aca="false">'DCF Base Case'!$B$2*(1+B1465)^5*$I1465-'DCF Base Case'!$B$2*(1+B1465)^4*B1465*'DCF Base Case'!$B$4</f>
        <v>47.8759230053756</v>
      </c>
      <c r="O1465" s="24" t="n">
        <f aca="false">J1465/(1+H1465)^1+K1465/(1+H1465)^2+L1465/(1+H1465)^3+M1465/(1+H1465)^4+N1465/(1+H1465)^5</f>
        <v>156.261550787976</v>
      </c>
      <c r="P1465" s="24" t="n">
        <f aca="false">N1465*(1+F1465)/(H1465-F1465)</f>
        <v>758.661163033961</v>
      </c>
      <c r="Q1465" s="24" t="n">
        <f aca="false">O1465+P1465/(1+H1465)^5</f>
        <v>662.463932329908</v>
      </c>
      <c r="R1465" s="24" t="n">
        <f aca="false">Q1465-'DCF Base Case'!$B$5</f>
        <v>477.463932329908</v>
      </c>
      <c r="S1465" s="32" t="n">
        <f aca="false">R1465/'DCF Base Case'!$B$6</f>
        <v>19.0985572931963</v>
      </c>
    </row>
    <row r="1466" customFormat="false" ht="15" hidden="false" customHeight="true" outlineLevel="0" collapsed="false">
      <c r="A1466" s="6" t="n">
        <v>1465</v>
      </c>
      <c r="B1466" s="30" t="n">
        <v>0.0831920645516664</v>
      </c>
      <c r="C1466" s="30" t="n">
        <v>0.420612560184031</v>
      </c>
      <c r="D1466" s="30" t="n">
        <v>0.103043110918305</v>
      </c>
      <c r="E1466" s="30" t="n">
        <v>0.328693825421005</v>
      </c>
      <c r="F1466" s="30" t="n">
        <v>0.0138888390903489</v>
      </c>
      <c r="G1466" s="30" t="n">
        <v>0.158119414085722</v>
      </c>
      <c r="H1466" s="31" t="n">
        <f aca="false">MAX(D1466,F1466+0.015)</f>
        <v>0.103043110918305</v>
      </c>
      <c r="I1466" s="25" t="n">
        <f aca="false">(C1466-'DCF Base Case'!$B$3)*(1-E1466)+'DCF Base Case'!$B$3-G1466</f>
        <v>0.166970591976028</v>
      </c>
      <c r="J1466" s="24" t="n">
        <f aca="false">'DCF Base Case'!$B$2*(1+B1466)^1*$I1466-'DCF Base Case'!$B$2*(1+B1466)^0*B1466*'DCF Base Case'!$B$4</f>
        <v>25.8629914542797</v>
      </c>
      <c r="K1466" s="24" t="n">
        <f aca="false">'DCF Base Case'!$B$2*(1+B1466)^2*$I1466-'DCF Base Case'!$B$2*(1+B1466)^1*B1466*'DCF Base Case'!$B$4</f>
        <v>28.0145871088434</v>
      </c>
      <c r="L1466" s="24" t="n">
        <f aca="false">'DCF Base Case'!$B$2*(1+B1466)^3*$I1466-'DCF Base Case'!$B$2*(1+B1466)^2*B1466*'DCF Base Case'!$B$4</f>
        <v>30.3451784479905</v>
      </c>
      <c r="M1466" s="24" t="n">
        <f aca="false">'DCF Base Case'!$B$2*(1+B1466)^4*$I1466-'DCF Base Case'!$B$2*(1+B1466)^3*B1466*'DCF Base Case'!$B$4</f>
        <v>32.8696564922676</v>
      </c>
      <c r="N1466" s="24" t="n">
        <f aca="false">'DCF Base Case'!$B$2*(1+B1466)^5*$I1466-'DCF Base Case'!$B$2*(1+B1466)^4*B1466*'DCF Base Case'!$B$4</f>
        <v>35.6041510769634</v>
      </c>
      <c r="O1466" s="24" t="n">
        <f aca="false">J1466/(1+H1466)^1+K1466/(1+H1466)^2+L1466/(1+H1466)^3+M1466/(1+H1466)^4+N1466/(1+H1466)^5</f>
        <v>113.090327699825</v>
      </c>
      <c r="P1466" s="24" t="n">
        <f aca="false">N1466*(1+F1466)/(H1466-F1466)</f>
        <v>404.900972909976</v>
      </c>
      <c r="Q1466" s="24" t="n">
        <f aca="false">O1466+P1466/(1+H1466)^5</f>
        <v>361.053045297693</v>
      </c>
      <c r="R1466" s="24" t="n">
        <f aca="false">Q1466-'DCF Base Case'!$B$5</f>
        <v>176.053045297693</v>
      </c>
      <c r="S1466" s="32" t="n">
        <f aca="false">R1466/'DCF Base Case'!$B$6</f>
        <v>7.04212181190772</v>
      </c>
    </row>
    <row r="1467" customFormat="false" ht="15" hidden="false" customHeight="true" outlineLevel="0" collapsed="false">
      <c r="A1467" s="6" t="n">
        <v>1466</v>
      </c>
      <c r="B1467" s="30" t="n">
        <v>0.0571261306687471</v>
      </c>
      <c r="C1467" s="30" t="n">
        <v>0.432386917554322</v>
      </c>
      <c r="D1467" s="30" t="n">
        <v>0.0961414182896341</v>
      </c>
      <c r="E1467" s="30" t="n">
        <v>0.290056753096475</v>
      </c>
      <c r="F1467" s="30" t="n">
        <v>0.0199520248650997</v>
      </c>
      <c r="G1467" s="30" t="n">
        <v>0.197590688377449</v>
      </c>
      <c r="H1467" s="31" t="n">
        <f aca="false">MAX(D1467,F1467+0.015)</f>
        <v>0.0961414182896341</v>
      </c>
      <c r="I1467" s="25" t="n">
        <f aca="false">(C1467-'DCF Base Case'!$B$3)*(1-E1467)+'DCF Base Case'!$B$3-G1467</f>
        <v>0.147086861692215</v>
      </c>
      <c r="J1467" s="24" t="n">
        <f aca="false">'DCF Base Case'!$B$2*(1+B1467)^1*$I1467-'DCF Base Case'!$B$2*(1+B1467)^0*B1467*'DCF Base Case'!$B$4</f>
        <v>22.2974592526615</v>
      </c>
      <c r="K1467" s="24" t="n">
        <f aca="false">'DCF Base Case'!$B$2*(1+B1467)^2*$I1467-'DCF Base Case'!$B$2*(1+B1467)^1*B1467*'DCF Base Case'!$B$4</f>
        <v>23.5712268235101</v>
      </c>
      <c r="L1467" s="24" t="n">
        <f aca="false">'DCF Base Case'!$B$2*(1+B1467)^3*$I1467-'DCF Base Case'!$B$2*(1+B1467)^2*B1467*'DCF Base Case'!$B$4</f>
        <v>24.9177598070526</v>
      </c>
      <c r="M1467" s="24" t="n">
        <f aca="false">'DCF Base Case'!$B$2*(1+B1467)^4*$I1467-'DCF Base Case'!$B$2*(1+B1467)^3*B1467*'DCF Base Case'!$B$4</f>
        <v>26.3412150097628</v>
      </c>
      <c r="N1467" s="24" t="n">
        <f aca="false">'DCF Base Case'!$B$2*(1+B1467)^5*$I1467-'DCF Base Case'!$B$2*(1+B1467)^4*B1467*'DCF Base Case'!$B$4</f>
        <v>27.845986700384</v>
      </c>
      <c r="O1467" s="24" t="n">
        <f aca="false">J1467/(1+H1467)^1+K1467/(1+H1467)^2+L1467/(1+H1467)^3+M1467/(1+H1467)^4+N1467/(1+H1467)^5</f>
        <v>94.7217072040975</v>
      </c>
      <c r="P1467" s="24" t="n">
        <f aca="false">N1467*(1+F1467)/(H1467-F1467)</f>
        <v>372.775910698844</v>
      </c>
      <c r="Q1467" s="24" t="n">
        <f aca="false">O1467+P1467/(1+H1467)^5</f>
        <v>330.288950310168</v>
      </c>
      <c r="R1467" s="24" t="n">
        <f aca="false">Q1467-'DCF Base Case'!$B$5</f>
        <v>145.288950310168</v>
      </c>
      <c r="S1467" s="32" t="n">
        <f aca="false">R1467/'DCF Base Case'!$B$6</f>
        <v>5.81155801240674</v>
      </c>
    </row>
    <row r="1468" customFormat="false" ht="15" hidden="false" customHeight="true" outlineLevel="0" collapsed="false">
      <c r="A1468" s="6" t="n">
        <v>1467</v>
      </c>
      <c r="B1468" s="30" t="n">
        <v>0.11624232774634</v>
      </c>
      <c r="C1468" s="30" t="n">
        <v>0.443791381563086</v>
      </c>
      <c r="D1468" s="30" t="n">
        <v>0.0900234784576049</v>
      </c>
      <c r="E1468" s="30" t="n">
        <v>0.270616397880463</v>
      </c>
      <c r="F1468" s="30" t="n">
        <v>0.0221081214771928</v>
      </c>
      <c r="G1468" s="30" t="n">
        <v>0.184737718361382</v>
      </c>
      <c r="H1468" s="31" t="n">
        <f aca="false">MAX(D1468,F1468+0.015)</f>
        <v>0.0900234784576049</v>
      </c>
      <c r="I1468" s="25" t="n">
        <f aca="false">(C1468-'DCF Base Case'!$B$3)*(1-E1468)+'DCF Base Case'!$B$3-G1468</f>
        <v>0.174136569837168</v>
      </c>
      <c r="J1468" s="24" t="n">
        <f aca="false">'DCF Base Case'!$B$2*(1+B1468)^1*$I1468-'DCF Base Case'!$B$2*(1+B1468)^0*B1468*'DCF Base Case'!$B$4</f>
        <v>27.6792443331199</v>
      </c>
      <c r="K1468" s="24" t="n">
        <f aca="false">'DCF Base Case'!$B$2*(1+B1468)^2*$I1468-'DCF Base Case'!$B$2*(1+B1468)^1*B1468*'DCF Base Case'!$B$4</f>
        <v>30.8967441246614</v>
      </c>
      <c r="L1468" s="24" t="n">
        <f aca="false">'DCF Base Case'!$B$2*(1+B1468)^3*$I1468-'DCF Base Case'!$B$2*(1+B1468)^2*B1468*'DCF Base Case'!$B$4</f>
        <v>34.4882535814951</v>
      </c>
      <c r="M1468" s="24" t="n">
        <f aca="false">'DCF Base Case'!$B$2*(1+B1468)^4*$I1468-'DCF Base Case'!$B$2*(1+B1468)^3*B1468*'DCF Base Case'!$B$4</f>
        <v>38.4972484577142</v>
      </c>
      <c r="N1468" s="24" t="n">
        <f aca="false">'DCF Base Case'!$B$2*(1+B1468)^5*$I1468-'DCF Base Case'!$B$2*(1+B1468)^4*B1468*'DCF Base Case'!$B$4</f>
        <v>42.9722582302681</v>
      </c>
      <c r="O1468" s="24" t="n">
        <f aca="false">J1468/(1+H1468)^1+K1468/(1+H1468)^2+L1468/(1+H1468)^3+M1468/(1+H1468)^4+N1468/(1+H1468)^5</f>
        <v>133.222928478675</v>
      </c>
      <c r="P1468" s="24" t="n">
        <f aca="false">N1468*(1+F1468)/(H1468-F1468)</f>
        <v>646.721096497219</v>
      </c>
      <c r="Q1468" s="24" t="n">
        <f aca="false">O1468+P1468/(1+H1468)^5</f>
        <v>553.502001541858</v>
      </c>
      <c r="R1468" s="24" t="n">
        <f aca="false">Q1468-'DCF Base Case'!$B$5</f>
        <v>368.502001541857</v>
      </c>
      <c r="S1468" s="32" t="n">
        <f aca="false">R1468/'DCF Base Case'!$B$6</f>
        <v>14.7400800616743</v>
      </c>
    </row>
    <row r="1469" customFormat="false" ht="15" hidden="false" customHeight="true" outlineLevel="0" collapsed="false">
      <c r="A1469" s="6" t="n">
        <v>1468</v>
      </c>
      <c r="B1469" s="30" t="n">
        <v>0.0860654325940051</v>
      </c>
      <c r="C1469" s="30" t="n">
        <v>0.405572539657693</v>
      </c>
      <c r="D1469" s="30" t="n">
        <v>0.0974664459651403</v>
      </c>
      <c r="E1469" s="30" t="n">
        <v>0.328190789079164</v>
      </c>
      <c r="F1469" s="30" t="n">
        <v>0.0163001298123169</v>
      </c>
      <c r="G1469" s="30" t="n">
        <v>0.159806036387494</v>
      </c>
      <c r="H1469" s="31" t="n">
        <f aca="false">MAX(D1469,F1469+0.015)</f>
        <v>0.0974664459651403</v>
      </c>
      <c r="I1469" s="25" t="n">
        <f aca="false">(C1469-'DCF Base Case'!$B$3)*(1-E1469)+'DCF Base Case'!$B$3-G1469</f>
        <v>0.155326134031392</v>
      </c>
      <c r="J1469" s="24" t="n">
        <f aca="false">'DCF Base Case'!$B$2*(1+B1469)^1*$I1469-'DCF Base Case'!$B$2*(1+B1469)^0*B1469*'DCF Base Case'!$B$4</f>
        <v>24.0862953859599</v>
      </c>
      <c r="K1469" s="24" t="n">
        <f aca="false">'DCF Base Case'!$B$2*(1+B1469)^2*$I1469-'DCF Base Case'!$B$2*(1+B1469)^1*B1469*'DCF Base Case'!$B$4</f>
        <v>26.1592928179396</v>
      </c>
      <c r="L1469" s="24" t="n">
        <f aca="false">'DCF Base Case'!$B$2*(1+B1469)^3*$I1469-'DCF Base Case'!$B$2*(1+B1469)^2*B1469*'DCF Base Case'!$B$4</f>
        <v>28.4107036706688</v>
      </c>
      <c r="M1469" s="24" t="n">
        <f aca="false">'DCF Base Case'!$B$2*(1+B1469)^4*$I1469-'DCF Base Case'!$B$2*(1+B1469)^3*B1469*'DCF Base Case'!$B$4</f>
        <v>30.855883172385</v>
      </c>
      <c r="N1469" s="24" t="n">
        <f aca="false">'DCF Base Case'!$B$2*(1+B1469)^5*$I1469-'DCF Base Case'!$B$2*(1+B1469)^4*B1469*'DCF Base Case'!$B$4</f>
        <v>33.5115081056864</v>
      </c>
      <c r="O1469" s="24" t="n">
        <f aca="false">J1469/(1+H1469)^1+K1469/(1+H1469)^2+L1469/(1+H1469)^3+M1469/(1+H1469)^4+N1469/(1+H1469)^5</f>
        <v>107.479491144284</v>
      </c>
      <c r="P1469" s="24" t="n">
        <f aca="false">N1469*(1+F1469)/(H1469-F1469)</f>
        <v>419.604481912056</v>
      </c>
      <c r="Q1469" s="24" t="n">
        <f aca="false">O1469+P1469/(1+H1469)^5</f>
        <v>371.0421399553</v>
      </c>
      <c r="R1469" s="24" t="n">
        <f aca="false">Q1469-'DCF Base Case'!$B$5</f>
        <v>186.0421399553</v>
      </c>
      <c r="S1469" s="32" t="n">
        <f aca="false">R1469/'DCF Base Case'!$B$6</f>
        <v>7.44168559821198</v>
      </c>
    </row>
    <row r="1470" customFormat="false" ht="15" hidden="false" customHeight="true" outlineLevel="0" collapsed="false">
      <c r="A1470" s="6" t="n">
        <v>1469</v>
      </c>
      <c r="B1470" s="30" t="n">
        <v>0.0974077895555882</v>
      </c>
      <c r="C1470" s="30" t="n">
        <v>0.42644924199244</v>
      </c>
      <c r="D1470" s="30" t="n">
        <v>0.0792539700483458</v>
      </c>
      <c r="E1470" s="30" t="n">
        <v>0.332819553522602</v>
      </c>
      <c r="F1470" s="30" t="n">
        <v>0.0208544974903082</v>
      </c>
      <c r="G1470" s="30" t="n">
        <v>0.177745303816545</v>
      </c>
      <c r="H1470" s="31" t="n">
        <f aca="false">MAX(D1470,F1470+0.015)</f>
        <v>0.0792539700483458</v>
      </c>
      <c r="I1470" s="25" t="n">
        <f aca="false">(C1470-'DCF Base Case'!$B$3)*(1-E1470)+'DCF Base Case'!$B$3-G1470</f>
        <v>0.150039833813857</v>
      </c>
      <c r="J1470" s="24" t="n">
        <f aca="false">'DCF Base Case'!$B$2*(1+B1470)^1*$I1470-'DCF Base Case'!$B$2*(1+B1470)^0*B1470*'DCF Base Case'!$B$4</f>
        <v>23.4512340592214</v>
      </c>
      <c r="K1470" s="24" t="n">
        <f aca="false">'DCF Base Case'!$B$2*(1+B1470)^2*$I1470-'DCF Base Case'!$B$2*(1+B1470)^1*B1470*'DCF Base Case'!$B$4</f>
        <v>25.7355669312809</v>
      </c>
      <c r="L1470" s="24" t="n">
        <f aca="false">'DCF Base Case'!$B$2*(1+B1470)^3*$I1470-'DCF Base Case'!$B$2*(1+B1470)^2*B1470*'DCF Base Case'!$B$4</f>
        <v>28.2424116190168</v>
      </c>
      <c r="M1470" s="24" t="n">
        <f aca="false">'DCF Base Case'!$B$2*(1+B1470)^4*$I1470-'DCF Base Case'!$B$2*(1+B1470)^3*B1470*'DCF Base Case'!$B$4</f>
        <v>30.9934425065443</v>
      </c>
      <c r="N1470" s="24" t="n">
        <f aca="false">'DCF Base Case'!$B$2*(1+B1470)^5*$I1470-'DCF Base Case'!$B$2*(1+B1470)^4*B1470*'DCF Base Case'!$B$4</f>
        <v>34.012445231825</v>
      </c>
      <c r="O1470" s="24" t="n">
        <f aca="false">J1470/(1+H1470)^1+K1470/(1+H1470)^2+L1470/(1+H1470)^3+M1470/(1+H1470)^4+N1470/(1+H1470)^5</f>
        <v>112.362567138354</v>
      </c>
      <c r="P1470" s="24" t="n">
        <f aca="false">N1470*(1+F1470)/(H1470-F1470)</f>
        <v>594.556015057238</v>
      </c>
      <c r="Q1470" s="24" t="n">
        <f aca="false">O1470+P1470/(1+H1470)^5</f>
        <v>518.407881038117</v>
      </c>
      <c r="R1470" s="24" t="n">
        <f aca="false">Q1470-'DCF Base Case'!$B$5</f>
        <v>333.407881038117</v>
      </c>
      <c r="S1470" s="32" t="n">
        <f aca="false">R1470/'DCF Base Case'!$B$6</f>
        <v>13.3363152415247</v>
      </c>
    </row>
    <row r="1471" customFormat="false" ht="15" hidden="false" customHeight="true" outlineLevel="0" collapsed="false">
      <c r="A1471" s="6" t="n">
        <v>1470</v>
      </c>
      <c r="B1471" s="30" t="n">
        <v>0.125982403961619</v>
      </c>
      <c r="C1471" s="30" t="n">
        <v>0.418853260557178</v>
      </c>
      <c r="D1471" s="30" t="n">
        <v>0.0840272493591349</v>
      </c>
      <c r="E1471" s="30" t="n">
        <v>0.255201885014381</v>
      </c>
      <c r="F1471" s="30" t="n">
        <v>0.0186906084711696</v>
      </c>
      <c r="G1471" s="30" t="n">
        <v>0.136523102299464</v>
      </c>
      <c r="H1471" s="31" t="n">
        <f aca="false">MAX(D1471,F1471+0.015)</f>
        <v>0.0840272493591349</v>
      </c>
      <c r="I1471" s="25" t="n">
        <f aca="false">(C1471-'DCF Base Case'!$B$3)*(1-E1471)+'DCF Base Case'!$B$3-G1471</f>
        <v>0.208614261670972</v>
      </c>
      <c r="J1471" s="24" t="n">
        <f aca="false">'DCF Base Case'!$B$2*(1+B1471)^1*$I1471-'DCF Base Case'!$B$2*(1+B1471)^0*B1471*'DCF Base Case'!$B$4</f>
        <v>33.5118947820261</v>
      </c>
      <c r="K1471" s="24" t="n">
        <f aca="false">'DCF Base Case'!$B$2*(1+B1471)^2*$I1471-'DCF Base Case'!$B$2*(1+B1471)^1*B1471*'DCF Base Case'!$B$4</f>
        <v>37.7338038479745</v>
      </c>
      <c r="L1471" s="24" t="n">
        <f aca="false">'DCF Base Case'!$B$2*(1+B1471)^3*$I1471-'DCF Base Case'!$B$2*(1+B1471)^2*B1471*'DCF Base Case'!$B$4</f>
        <v>42.4875991673586</v>
      </c>
      <c r="M1471" s="24" t="n">
        <f aca="false">'DCF Base Case'!$B$2*(1+B1471)^4*$I1471-'DCF Base Case'!$B$2*(1+B1471)^3*B1471*'DCF Base Case'!$B$4</f>
        <v>47.8402890490201</v>
      </c>
      <c r="N1471" s="24" t="n">
        <f aca="false">'DCF Base Case'!$B$2*(1+B1471)^5*$I1471-'DCF Base Case'!$B$2*(1+B1471)^4*B1471*'DCF Base Case'!$B$4</f>
        <v>53.8673236696344</v>
      </c>
      <c r="O1471" s="24" t="n">
        <f aca="false">J1471/(1+H1471)^1+K1471/(1+H1471)^2+L1471/(1+H1471)^3+M1471/(1+H1471)^4+N1471/(1+H1471)^5</f>
        <v>167.008135709191</v>
      </c>
      <c r="P1471" s="24" t="n">
        <f aca="false">N1471*(1+F1471)/(H1471-F1471)</f>
        <v>839.867736999635</v>
      </c>
      <c r="Q1471" s="24" t="n">
        <f aca="false">O1471+P1471/(1+H1471)^5</f>
        <v>728.068904013059</v>
      </c>
      <c r="R1471" s="24" t="n">
        <f aca="false">Q1471-'DCF Base Case'!$B$5</f>
        <v>543.068904013059</v>
      </c>
      <c r="S1471" s="32" t="n">
        <f aca="false">R1471/'DCF Base Case'!$B$6</f>
        <v>21.7227561605223</v>
      </c>
    </row>
    <row r="1472" customFormat="false" ht="15" hidden="false" customHeight="true" outlineLevel="0" collapsed="false">
      <c r="A1472" s="6" t="n">
        <v>1471</v>
      </c>
      <c r="B1472" s="30" t="n">
        <v>0.106289800176337</v>
      </c>
      <c r="C1472" s="30" t="n">
        <v>0.427988987935621</v>
      </c>
      <c r="D1472" s="30" t="n">
        <v>0.0819522376225761</v>
      </c>
      <c r="E1472" s="30" t="n">
        <v>0.276883923426482</v>
      </c>
      <c r="F1472" s="30" t="n">
        <v>0.0220876445865259</v>
      </c>
      <c r="G1472" s="30" t="n">
        <v>0.142629269327812</v>
      </c>
      <c r="H1472" s="31" t="n">
        <f aca="false">MAX(D1472,F1472+0.015)</f>
        <v>0.0819522376225761</v>
      </c>
      <c r="I1472" s="25" t="n">
        <f aca="false">(C1472-'DCF Base Case'!$B$3)*(1-E1472)+'DCF Base Case'!$B$3-G1472</f>
        <v>0.202851358490308</v>
      </c>
      <c r="J1472" s="24" t="n">
        <f aca="false">'DCF Base Case'!$B$2*(1+B1472)^1*$I1472-'DCF Base Case'!$B$2*(1+B1472)^0*B1472*'DCF Base Case'!$B$4</f>
        <v>32.0774357524454</v>
      </c>
      <c r="K1472" s="24" t="n">
        <f aca="false">'DCF Base Case'!$B$2*(1+B1472)^2*$I1472-'DCF Base Case'!$B$2*(1+B1472)^1*B1472*'DCF Base Case'!$B$4</f>
        <v>35.4869399887421</v>
      </c>
      <c r="L1472" s="24" t="n">
        <f aca="false">'DCF Base Case'!$B$2*(1+B1472)^3*$I1472-'DCF Base Case'!$B$2*(1+B1472)^2*B1472*'DCF Base Case'!$B$4</f>
        <v>39.2588397490151</v>
      </c>
      <c r="M1472" s="24" t="n">
        <f aca="false">'DCF Base Case'!$B$2*(1+B1472)^4*$I1472-'DCF Base Case'!$B$2*(1+B1472)^3*B1472*'DCF Base Case'!$B$4</f>
        <v>43.4316539810928</v>
      </c>
      <c r="N1472" s="24" t="n">
        <f aca="false">'DCF Base Case'!$B$2*(1+B1472)^5*$I1472-'DCF Base Case'!$B$2*(1+B1472)^4*B1472*'DCF Base Case'!$B$4</f>
        <v>48.047995804071</v>
      </c>
      <c r="O1472" s="24" t="n">
        <f aca="false">J1472/(1+H1472)^1+K1472/(1+H1472)^2+L1472/(1+H1472)^3+M1472/(1+H1472)^4+N1472/(1+H1472)^5</f>
        <v>155.059392069079</v>
      </c>
      <c r="P1472" s="24" t="n">
        <f aca="false">N1472*(1+F1472)/(H1472-F1472)</f>
        <v>820.339041291282</v>
      </c>
      <c r="Q1472" s="24" t="n">
        <f aca="false">O1472+P1472/(1+H1472)^5</f>
        <v>708.349535687185</v>
      </c>
      <c r="R1472" s="24" t="n">
        <f aca="false">Q1472-'DCF Base Case'!$B$5</f>
        <v>523.349535687185</v>
      </c>
      <c r="S1472" s="32" t="n">
        <f aca="false">R1472/'DCF Base Case'!$B$6</f>
        <v>20.9339814274874</v>
      </c>
    </row>
    <row r="1473" customFormat="false" ht="15" hidden="false" customHeight="true" outlineLevel="0" collapsed="false">
      <c r="A1473" s="6" t="n">
        <v>1472</v>
      </c>
      <c r="B1473" s="30" t="n">
        <v>0.0942227589158106</v>
      </c>
      <c r="C1473" s="30" t="n">
        <v>0.429425669892386</v>
      </c>
      <c r="D1473" s="30" t="n">
        <v>0.0653949851485204</v>
      </c>
      <c r="E1473" s="30" t="n">
        <v>0.30058091403274</v>
      </c>
      <c r="F1473" s="30" t="n">
        <v>0.0128697305354678</v>
      </c>
      <c r="G1473" s="30" t="n">
        <v>0.16272144317117</v>
      </c>
      <c r="H1473" s="31" t="n">
        <f aca="false">MAX(D1473,F1473+0.015)</f>
        <v>0.0653949851485204</v>
      </c>
      <c r="I1473" s="25" t="n">
        <f aca="false">(C1473-'DCF Base Case'!$B$3)*(1-E1473)+'DCF Base Case'!$B$3-G1473</f>
        <v>0.176702585180097</v>
      </c>
      <c r="J1473" s="24" t="n">
        <f aca="false">'DCF Base Case'!$B$2*(1+B1473)^1*$I1473-'DCF Base Case'!$B$2*(1+B1473)^0*B1473*'DCF Base Case'!$B$4</f>
        <v>27.6261695868979</v>
      </c>
      <c r="K1473" s="24" t="n">
        <f aca="false">'DCF Base Case'!$B$2*(1+B1473)^2*$I1473-'DCF Base Case'!$B$2*(1+B1473)^1*B1473*'DCF Base Case'!$B$4</f>
        <v>30.2291835036515</v>
      </c>
      <c r="L1473" s="24" t="n">
        <f aca="false">'DCF Base Case'!$B$2*(1+B1473)^3*$I1473-'DCF Base Case'!$B$2*(1+B1473)^2*B1473*'DCF Base Case'!$B$4</f>
        <v>33.0774605731378</v>
      </c>
      <c r="M1473" s="24" t="n">
        <f aca="false">'DCF Base Case'!$B$2*(1+B1473)^4*$I1473-'DCF Base Case'!$B$2*(1+B1473)^3*B1473*'DCF Base Case'!$B$4</f>
        <v>36.1941101662679</v>
      </c>
      <c r="N1473" s="24" t="n">
        <f aca="false">'DCF Base Case'!$B$2*(1+B1473)^5*$I1473-'DCF Base Case'!$B$2*(1+B1473)^4*B1473*'DCF Base Case'!$B$4</f>
        <v>39.6044190826364</v>
      </c>
      <c r="O1473" s="24" t="n">
        <f aca="false">J1473/(1+H1473)^1+K1473/(1+H1473)^2+L1473/(1+H1473)^3+M1473/(1+H1473)^4+N1473/(1+H1473)^5</f>
        <v>136.861011759918</v>
      </c>
      <c r="P1473" s="24" t="n">
        <f aca="false">N1473*(1+F1473)/(H1473-F1473)</f>
        <v>763.711048709039</v>
      </c>
      <c r="Q1473" s="24" t="n">
        <f aca="false">O1473+P1473/(1+H1473)^5</f>
        <v>693.246549274717</v>
      </c>
      <c r="R1473" s="24" t="n">
        <f aca="false">Q1473-'DCF Base Case'!$B$5</f>
        <v>508.246549274717</v>
      </c>
      <c r="S1473" s="32" t="n">
        <f aca="false">R1473/'DCF Base Case'!$B$6</f>
        <v>20.3298619709887</v>
      </c>
    </row>
    <row r="1474" customFormat="false" ht="15" hidden="false" customHeight="true" outlineLevel="0" collapsed="false">
      <c r="A1474" s="6" t="n">
        <v>1473</v>
      </c>
      <c r="B1474" s="30" t="n">
        <v>0.0647321075320953</v>
      </c>
      <c r="C1474" s="30" t="n">
        <v>0.433521900254646</v>
      </c>
      <c r="D1474" s="30" t="n">
        <v>0.0722716684043242</v>
      </c>
      <c r="E1474" s="30" t="n">
        <v>0.250430460868724</v>
      </c>
      <c r="F1474" s="30" t="n">
        <v>0.0198378070160088</v>
      </c>
      <c r="G1474" s="30" t="n">
        <v>0.15685353834824</v>
      </c>
      <c r="H1474" s="31" t="n">
        <f aca="false">MAX(D1474,F1474+0.015)</f>
        <v>0.0722716684043242</v>
      </c>
      <c r="I1474" s="25" t="n">
        <f aca="false">(C1474-'DCF Base Case'!$B$3)*(1-E1474)+'DCF Base Case'!$B$3-G1474</f>
        <v>0.200657232541884</v>
      </c>
      <c r="J1474" s="24" t="n">
        <f aca="false">'DCF Base Case'!$B$2*(1+B1474)^1*$I1474-'DCF Base Case'!$B$2*(1+B1474)^0*B1474*'DCF Base Case'!$B$4</f>
        <v>30.6971140561377</v>
      </c>
      <c r="K1474" s="24" t="n">
        <f aca="false">'DCF Base Case'!$B$2*(1+B1474)^2*$I1474-'DCF Base Case'!$B$2*(1+B1474)^1*B1474*'DCF Base Case'!$B$4</f>
        <v>32.6842029441446</v>
      </c>
      <c r="L1474" s="24" t="n">
        <f aca="false">'DCF Base Case'!$B$2*(1+B1474)^3*$I1474-'DCF Base Case'!$B$2*(1+B1474)^2*B1474*'DCF Base Case'!$B$4</f>
        <v>34.7999202837258</v>
      </c>
      <c r="M1474" s="24" t="n">
        <f aca="false">'DCF Base Case'!$B$2*(1+B1474)^4*$I1474-'DCF Base Case'!$B$2*(1+B1474)^3*B1474*'DCF Base Case'!$B$4</f>
        <v>37.0525924656403</v>
      </c>
      <c r="N1474" s="24" t="n">
        <f aca="false">'DCF Base Case'!$B$2*(1+B1474)^5*$I1474-'DCF Base Case'!$B$2*(1+B1474)^4*B1474*'DCF Base Case'!$B$4</f>
        <v>39.451084865469</v>
      </c>
      <c r="O1474" s="24" t="n">
        <f aca="false">J1474/(1+H1474)^1+K1474/(1+H1474)^2+L1474/(1+H1474)^3+M1474/(1+H1474)^4+N1474/(1+H1474)^5</f>
        <v>141.141712753168</v>
      </c>
      <c r="P1474" s="24" t="n">
        <f aca="false">N1474*(1+F1474)/(H1474-F1474)</f>
        <v>767.323000982877</v>
      </c>
      <c r="Q1474" s="24" t="n">
        <f aca="false">O1474+P1474/(1+H1474)^5</f>
        <v>682.461697182998</v>
      </c>
      <c r="R1474" s="24" t="n">
        <f aca="false">Q1474-'DCF Base Case'!$B$5</f>
        <v>497.461697182998</v>
      </c>
      <c r="S1474" s="32" t="n">
        <f aca="false">R1474/'DCF Base Case'!$B$6</f>
        <v>19.8984678873199</v>
      </c>
    </row>
    <row r="1475" customFormat="false" ht="15" hidden="false" customHeight="true" outlineLevel="0" collapsed="false">
      <c r="A1475" s="6" t="n">
        <v>1474</v>
      </c>
      <c r="B1475" s="30" t="n">
        <v>0.0581951642760287</v>
      </c>
      <c r="C1475" s="30" t="n">
        <v>0.414023150908005</v>
      </c>
      <c r="D1475" s="30" t="n">
        <v>0.0630935103130535</v>
      </c>
      <c r="E1475" s="30" t="n">
        <v>0.258168618823744</v>
      </c>
      <c r="F1475" s="30" t="n">
        <v>0.0170320745646832</v>
      </c>
      <c r="G1475" s="30" t="n">
        <v>0.184401222252124</v>
      </c>
      <c r="H1475" s="31" t="n">
        <f aca="false">MAX(D1475,F1475+0.015)</f>
        <v>0.0630935103130535</v>
      </c>
      <c r="I1475" s="25" t="n">
        <f aca="false">(C1475-'DCF Base Case'!$B$3)*(1-E1475)+'DCF Base Case'!$B$3-G1475</f>
        <v>0.156296064071994</v>
      </c>
      <c r="J1475" s="24" t="n">
        <f aca="false">'DCF Base Case'!$B$2*(1+B1475)^1*$I1475-'DCF Base Case'!$B$2*(1+B1475)^0*B1475*'DCF Base Case'!$B$4</f>
        <v>23.7286532188715</v>
      </c>
      <c r="K1475" s="24" t="n">
        <f aca="false">'DCF Base Case'!$B$2*(1+B1475)^2*$I1475-'DCF Base Case'!$B$2*(1+B1475)^1*B1475*'DCF Base Case'!$B$4</f>
        <v>25.1095460909926</v>
      </c>
      <c r="L1475" s="24" t="n">
        <f aca="false">'DCF Base Case'!$B$2*(1+B1475)^3*$I1475-'DCF Base Case'!$B$2*(1+B1475)^2*B1475*'DCF Base Case'!$B$4</f>
        <v>26.5708002506544</v>
      </c>
      <c r="M1475" s="24" t="n">
        <f aca="false">'DCF Base Case'!$B$2*(1+B1475)^4*$I1475-'DCF Base Case'!$B$2*(1+B1475)^3*B1475*'DCF Base Case'!$B$4</f>
        <v>28.1170923361868</v>
      </c>
      <c r="N1475" s="24" t="n">
        <f aca="false">'DCF Base Case'!$B$2*(1+B1475)^5*$I1475-'DCF Base Case'!$B$2*(1+B1475)^4*B1475*'DCF Base Case'!$B$4</f>
        <v>29.7533711436555</v>
      </c>
      <c r="O1475" s="24" t="n">
        <f aca="false">J1475/(1+H1475)^1+K1475/(1+H1475)^2+L1475/(1+H1475)^3+M1475/(1+H1475)^4+N1475/(1+H1475)^5</f>
        <v>110.578196062533</v>
      </c>
      <c r="P1475" s="24" t="n">
        <f aca="false">N1475*(1+F1475)/(H1475-F1475)</f>
        <v>656.951575387998</v>
      </c>
      <c r="Q1475" s="24" t="n">
        <f aca="false">O1475+P1475/(1+H1475)^5</f>
        <v>594.38951369951</v>
      </c>
      <c r="R1475" s="24" t="n">
        <f aca="false">Q1475-'DCF Base Case'!$B$5</f>
        <v>409.38951369951</v>
      </c>
      <c r="S1475" s="32" t="n">
        <f aca="false">R1475/'DCF Base Case'!$B$6</f>
        <v>16.3755805479804</v>
      </c>
    </row>
    <row r="1476" customFormat="false" ht="15" hidden="false" customHeight="true" outlineLevel="0" collapsed="false">
      <c r="A1476" s="6" t="n">
        <v>1475</v>
      </c>
      <c r="B1476" s="30" t="n">
        <v>0.117911614653635</v>
      </c>
      <c r="C1476" s="30" t="n">
        <v>0.443437301577304</v>
      </c>
      <c r="D1476" s="30" t="n">
        <v>0.0833139883049155</v>
      </c>
      <c r="E1476" s="30" t="n">
        <v>0.244090532757306</v>
      </c>
      <c r="F1476" s="30" t="n">
        <v>0.0207421287799184</v>
      </c>
      <c r="G1476" s="30" t="n">
        <v>0.199403415560322</v>
      </c>
      <c r="H1476" s="31" t="n">
        <f aca="false">MAX(D1476,F1476+0.015)</f>
        <v>0.0833139883049155</v>
      </c>
      <c r="I1476" s="25" t="n">
        <f aca="false">(C1476-'DCF Base Case'!$B$3)*(1-E1476)+'DCF Base Case'!$B$3-G1476</f>
        <v>0.167526808088966</v>
      </c>
      <c r="J1476" s="24" t="n">
        <f aca="false">'DCF Base Case'!$B$2*(1+B1476)^1*$I1476-'DCF Base Case'!$B$2*(1+B1476)^0*B1476*'DCF Base Case'!$B$4</f>
        <v>26.6427083328899</v>
      </c>
      <c r="K1476" s="24" t="n">
        <f aca="false">'DCF Base Case'!$B$2*(1+B1476)^2*$I1476-'DCF Base Case'!$B$2*(1+B1476)^1*B1476*'DCF Base Case'!$B$4</f>
        <v>29.7841930911668</v>
      </c>
      <c r="L1476" s="24" t="n">
        <f aca="false">'DCF Base Case'!$B$2*(1+B1476)^3*$I1476-'DCF Base Case'!$B$2*(1+B1476)^2*B1476*'DCF Base Case'!$B$4</f>
        <v>33.296095389702</v>
      </c>
      <c r="M1476" s="24" t="n">
        <f aca="false">'DCF Base Case'!$B$2*(1+B1476)^4*$I1476-'DCF Base Case'!$B$2*(1+B1476)^3*B1476*'DCF Base Case'!$B$4</f>
        <v>37.2220917587632</v>
      </c>
      <c r="N1476" s="24" t="n">
        <f aca="false">'DCF Base Case'!$B$2*(1+B1476)^5*$I1476-'DCF Base Case'!$B$2*(1+B1476)^4*B1476*'DCF Base Case'!$B$4</f>
        <v>41.6110086988247</v>
      </c>
      <c r="O1476" s="24" t="n">
        <f aca="false">J1476/(1+H1476)^1+K1476/(1+H1476)^2+L1476/(1+H1476)^3+M1476/(1+H1476)^4+N1476/(1+H1476)^5</f>
        <v>131.077873122814</v>
      </c>
      <c r="P1476" s="24" t="n">
        <f aca="false">N1476*(1+F1476)/(H1476-F1476)</f>
        <v>678.805295580993</v>
      </c>
      <c r="Q1476" s="24" t="n">
        <f aca="false">O1476+P1476/(1+H1476)^5</f>
        <v>586.038136496233</v>
      </c>
      <c r="R1476" s="24" t="n">
        <f aca="false">Q1476-'DCF Base Case'!$B$5</f>
        <v>401.038136496233</v>
      </c>
      <c r="S1476" s="32" t="n">
        <f aca="false">R1476/'DCF Base Case'!$B$6</f>
        <v>16.0415254598493</v>
      </c>
    </row>
    <row r="1477" customFormat="false" ht="15" hidden="false" customHeight="true" outlineLevel="0" collapsed="false">
      <c r="A1477" s="6" t="n">
        <v>1476</v>
      </c>
      <c r="B1477" s="30" t="n">
        <v>0.116693294169051</v>
      </c>
      <c r="C1477" s="30" t="n">
        <v>0.432187495116436</v>
      </c>
      <c r="D1477" s="30" t="n">
        <v>0.071915469592277</v>
      </c>
      <c r="E1477" s="30" t="n">
        <v>0.266734643806603</v>
      </c>
      <c r="F1477" s="30" t="n">
        <v>0.0256326363939526</v>
      </c>
      <c r="G1477" s="30" t="n">
        <v>0.137695311159857</v>
      </c>
      <c r="H1477" s="31" t="n">
        <f aca="false">MAX(D1477,F1477+0.015)</f>
        <v>0.071915469592277</v>
      </c>
      <c r="I1477" s="25" t="n">
        <f aca="false">(C1477-'DCF Base Case'!$B$3)*(1-E1477)+'DCF Base Case'!$B$3-G1477</f>
        <v>0.213888310083887</v>
      </c>
      <c r="J1477" s="24" t="n">
        <f aca="false">'DCF Base Case'!$B$2*(1+B1477)^1*$I1477-'DCF Base Case'!$B$2*(1+B1477)^0*B1477*'DCF Base Case'!$B$4</f>
        <v>34.1252921982796</v>
      </c>
      <c r="K1477" s="24" t="n">
        <f aca="false">'DCF Base Case'!$B$2*(1+B1477)^2*$I1477-'DCF Base Case'!$B$2*(1+B1477)^1*B1477*'DCF Base Case'!$B$4</f>
        <v>38.1074849593782</v>
      </c>
      <c r="L1477" s="24" t="n">
        <f aca="false">'DCF Base Case'!$B$2*(1+B1477)^3*$I1477-'DCF Base Case'!$B$2*(1+B1477)^2*B1477*'DCF Base Case'!$B$4</f>
        <v>42.5543729117856</v>
      </c>
      <c r="M1477" s="24" t="n">
        <f aca="false">'DCF Base Case'!$B$2*(1+B1477)^4*$I1477-'DCF Base Case'!$B$2*(1+B1477)^3*B1477*'DCF Base Case'!$B$4</f>
        <v>47.5201828681601</v>
      </c>
      <c r="N1477" s="24" t="n">
        <f aca="false">'DCF Base Case'!$B$2*(1+B1477)^5*$I1477-'DCF Base Case'!$B$2*(1+B1477)^4*B1477*'DCF Base Case'!$B$4</f>
        <v>53.0654695465614</v>
      </c>
      <c r="O1477" s="24" t="n">
        <f aca="false">J1477/(1+H1477)^1+K1477/(1+H1477)^2+L1477/(1+H1477)^3+M1477/(1+H1477)^4+N1477/(1+H1477)^5</f>
        <v>173.045252777124</v>
      </c>
      <c r="P1477" s="24" t="n">
        <f aca="false">N1477*(1+F1477)/(H1477-F1477)</f>
        <v>1175.93659833455</v>
      </c>
      <c r="Q1477" s="24" t="n">
        <f aca="false">O1477+P1477/(1+H1477)^5</f>
        <v>1004.00734876708</v>
      </c>
      <c r="R1477" s="24" t="n">
        <f aca="false">Q1477-'DCF Base Case'!$B$5</f>
        <v>819.007348767078</v>
      </c>
      <c r="S1477" s="32" t="n">
        <f aca="false">R1477/'DCF Base Case'!$B$6</f>
        <v>32.7602939506831</v>
      </c>
    </row>
    <row r="1478" customFormat="false" ht="15" hidden="false" customHeight="true" outlineLevel="0" collapsed="false">
      <c r="A1478" s="6" t="n">
        <v>1477</v>
      </c>
      <c r="B1478" s="30" t="n">
        <v>0.065051652341627</v>
      </c>
      <c r="C1478" s="30" t="n">
        <v>0.42449278536095</v>
      </c>
      <c r="D1478" s="30" t="n">
        <v>0.0802572483071392</v>
      </c>
      <c r="E1478" s="30" t="n">
        <v>0.256156520894617</v>
      </c>
      <c r="F1478" s="30" t="n">
        <v>0.0246185325064188</v>
      </c>
      <c r="G1478" s="30" t="n">
        <v>0.176019602863536</v>
      </c>
      <c r="H1478" s="31" t="n">
        <f aca="false">MAX(D1478,F1478+0.015)</f>
        <v>0.0802572483071392</v>
      </c>
      <c r="I1478" s="25" t="n">
        <f aca="false">(C1478-'DCF Base Case'!$B$3)*(1-E1478)+'DCF Base Case'!$B$3-G1478</f>
        <v>0.173036935170788</v>
      </c>
      <c r="J1478" s="24" t="n">
        <f aca="false">'DCF Base Case'!$B$2*(1+B1478)^1*$I1478-'DCF Base Case'!$B$2*(1+B1478)^0*B1478*'DCF Base Case'!$B$4</f>
        <v>26.4395500016818</v>
      </c>
      <c r="K1478" s="24" t="n">
        <f aca="false">'DCF Base Case'!$B$2*(1+B1478)^2*$I1478-'DCF Base Case'!$B$2*(1+B1478)^1*B1478*'DCF Base Case'!$B$4</f>
        <v>28.1594864164603</v>
      </c>
      <c r="L1478" s="24" t="n">
        <f aca="false">'DCF Base Case'!$B$2*(1+B1478)^3*$I1478-'DCF Base Case'!$B$2*(1+B1478)^2*B1478*'DCF Base Case'!$B$4</f>
        <v>29.9913075369426</v>
      </c>
      <c r="M1478" s="24" t="n">
        <f aca="false">'DCF Base Case'!$B$2*(1+B1478)^4*$I1478-'DCF Base Case'!$B$2*(1+B1478)^3*B1478*'DCF Base Case'!$B$4</f>
        <v>31.9422916481066</v>
      </c>
      <c r="N1478" s="24" t="n">
        <f aca="false">'DCF Base Case'!$B$2*(1+B1478)^5*$I1478-'DCF Base Case'!$B$2*(1+B1478)^4*B1478*'DCF Base Case'!$B$4</f>
        <v>34.0201904993941</v>
      </c>
      <c r="O1478" s="24" t="n">
        <f aca="false">J1478/(1+H1478)^1+K1478/(1+H1478)^2+L1478/(1+H1478)^3+M1478/(1+H1478)^4+N1478/(1+H1478)^5</f>
        <v>118.979217381503</v>
      </c>
      <c r="P1478" s="24" t="n">
        <f aca="false">N1478*(1+F1478)/(H1478-F1478)</f>
        <v>626.501118212845</v>
      </c>
      <c r="Q1478" s="24" t="n">
        <f aca="false">O1478+P1478/(1+H1478)^5</f>
        <v>544.85790332933</v>
      </c>
      <c r="R1478" s="24" t="n">
        <f aca="false">Q1478-'DCF Base Case'!$B$5</f>
        <v>359.85790332933</v>
      </c>
      <c r="S1478" s="32" t="n">
        <f aca="false">R1478/'DCF Base Case'!$B$6</f>
        <v>14.3943161331732</v>
      </c>
    </row>
    <row r="1479" customFormat="false" ht="15" hidden="false" customHeight="true" outlineLevel="0" collapsed="false">
      <c r="A1479" s="6" t="n">
        <v>1478</v>
      </c>
      <c r="B1479" s="30" t="n">
        <v>0.0819108832832832</v>
      </c>
      <c r="C1479" s="30" t="n">
        <v>0.386122250033911</v>
      </c>
      <c r="D1479" s="30" t="n">
        <v>0.107521472202459</v>
      </c>
      <c r="E1479" s="30" t="n">
        <v>0.278960830984872</v>
      </c>
      <c r="F1479" s="30" t="n">
        <v>0.0242362723784074</v>
      </c>
      <c r="G1479" s="30" t="n">
        <v>0.186615063617015</v>
      </c>
      <c r="H1479" s="31" t="n">
        <f aca="false">MAX(D1479,F1479+0.015)</f>
        <v>0.107521472202459</v>
      </c>
      <c r="I1479" s="25" t="n">
        <f aca="false">(C1479-'DCF Base Case'!$B$3)*(1-E1479)+'DCF Base Case'!$B$3-G1479</f>
        <v>0.128059110713721</v>
      </c>
      <c r="J1479" s="24" t="n">
        <f aca="false">'DCF Base Case'!$B$2*(1+B1479)^1*$I1479-'DCF Base Case'!$B$2*(1+B1479)^0*B1479*'DCF Base Case'!$B$4</f>
        <v>19.733226767507</v>
      </c>
      <c r="K1479" s="24" t="n">
        <f aca="false">'DCF Base Case'!$B$2*(1+B1479)^2*$I1479-'DCF Base Case'!$B$2*(1+B1479)^1*B1479*'DCF Base Case'!$B$4</f>
        <v>21.3495928020628</v>
      </c>
      <c r="L1479" s="24" t="n">
        <f aca="false">'DCF Base Case'!$B$2*(1+B1479)^3*$I1479-'DCF Base Case'!$B$2*(1+B1479)^2*B1479*'DCF Base Case'!$B$4</f>
        <v>23.0983568062182</v>
      </c>
      <c r="M1479" s="24" t="n">
        <f aca="false">'DCF Base Case'!$B$2*(1+B1479)^4*$I1479-'DCF Base Case'!$B$2*(1+B1479)^3*B1479*'DCF Base Case'!$B$4</f>
        <v>24.990363614608</v>
      </c>
      <c r="N1479" s="24" t="n">
        <f aca="false">'DCF Base Case'!$B$2*(1+B1479)^5*$I1479-'DCF Base Case'!$B$2*(1+B1479)^4*B1479*'DCF Base Case'!$B$4</f>
        <v>27.0373463718509</v>
      </c>
      <c r="O1479" s="24" t="n">
        <f aca="false">J1479/(1+H1479)^1+K1479/(1+H1479)^2+L1479/(1+H1479)^3+M1479/(1+H1479)^4+N1479/(1+H1479)^5</f>
        <v>85.0613584062881</v>
      </c>
      <c r="P1479" s="24" t="n">
        <f aca="false">N1479*(1+F1479)/(H1479-F1479)</f>
        <v>332.50362515083</v>
      </c>
      <c r="Q1479" s="24" t="n">
        <f aca="false">O1479+P1479/(1+H1479)^5</f>
        <v>284.603950756691</v>
      </c>
      <c r="R1479" s="24" t="n">
        <f aca="false">Q1479-'DCF Base Case'!$B$5</f>
        <v>99.6039507566907</v>
      </c>
      <c r="S1479" s="32" t="n">
        <f aca="false">R1479/'DCF Base Case'!$B$6</f>
        <v>3.98415803026763</v>
      </c>
    </row>
    <row r="1480" customFormat="false" ht="15" hidden="false" customHeight="true" outlineLevel="0" collapsed="false">
      <c r="A1480" s="6" t="n">
        <v>1479</v>
      </c>
      <c r="B1480" s="30" t="n">
        <v>0.0788083543670703</v>
      </c>
      <c r="C1480" s="30" t="n">
        <v>0.399017316853767</v>
      </c>
      <c r="D1480" s="30" t="n">
        <v>0.100909463877273</v>
      </c>
      <c r="E1480" s="30" t="n">
        <v>0.323338838807937</v>
      </c>
      <c r="F1480" s="30" t="n">
        <v>0.0123013780546315</v>
      </c>
      <c r="G1480" s="30" t="n">
        <v>0.178197963005073</v>
      </c>
      <c r="H1480" s="31" t="n">
        <f aca="false">MAX(D1480,F1480+0.015)</f>
        <v>0.100909463877273</v>
      </c>
      <c r="I1480" s="25" t="n">
        <f aca="false">(C1480-'DCF Base Case'!$B$3)*(1-E1480)+'DCF Base Case'!$B$3-G1480</f>
        <v>0.13383560699797</v>
      </c>
      <c r="J1480" s="24" t="n">
        <f aca="false">'DCF Base Case'!$B$2*(1+B1480)^1*$I1480-'DCF Base Case'!$B$2*(1+B1480)^0*B1480*'DCF Base Case'!$B$4</f>
        <v>20.592714444977</v>
      </c>
      <c r="K1480" s="24" t="n">
        <f aca="false">'DCF Base Case'!$B$2*(1+B1480)^2*$I1480-'DCF Base Case'!$B$2*(1+B1480)^1*B1480*'DCF Base Case'!$B$4</f>
        <v>22.2155923823366</v>
      </c>
      <c r="L1480" s="24" t="n">
        <f aca="false">'DCF Base Case'!$B$2*(1+B1480)^3*$I1480-'DCF Base Case'!$B$2*(1+B1480)^2*B1480*'DCF Base Case'!$B$4</f>
        <v>23.9663666592782</v>
      </c>
      <c r="M1480" s="24" t="n">
        <f aca="false">'DCF Base Case'!$B$2*(1+B1480)^4*$I1480-'DCF Base Case'!$B$2*(1+B1480)^3*B1480*'DCF Base Case'!$B$4</f>
        <v>25.8551165758537</v>
      </c>
      <c r="N1480" s="24" t="n">
        <f aca="false">'DCF Base Case'!$B$2*(1+B1480)^5*$I1480-'DCF Base Case'!$B$2*(1+B1480)^4*B1480*'DCF Base Case'!$B$4</f>
        <v>27.8927157651655</v>
      </c>
      <c r="O1480" s="24" t="n">
        <f aca="false">J1480/(1+H1480)^1+K1480/(1+H1480)^2+L1480/(1+H1480)^3+M1480/(1+H1480)^4+N1480/(1+H1480)^5</f>
        <v>89.8454277442009</v>
      </c>
      <c r="P1480" s="24" t="n">
        <f aca="false">N1480*(1+F1480)/(H1480-F1480)</f>
        <v>318.659796615855</v>
      </c>
      <c r="Q1480" s="24" t="n">
        <f aca="false">O1480+P1480/(1+H1480)^5</f>
        <v>286.892165417352</v>
      </c>
      <c r="R1480" s="24" t="n">
        <f aca="false">Q1480-'DCF Base Case'!$B$5</f>
        <v>101.892165417352</v>
      </c>
      <c r="S1480" s="32" t="n">
        <f aca="false">R1480/'DCF Base Case'!$B$6</f>
        <v>4.07568661669408</v>
      </c>
    </row>
    <row r="1481" customFormat="false" ht="15" hidden="false" customHeight="true" outlineLevel="0" collapsed="false">
      <c r="A1481" s="6" t="n">
        <v>1480</v>
      </c>
      <c r="B1481" s="30" t="n">
        <v>0.0875268581464607</v>
      </c>
      <c r="C1481" s="30" t="n">
        <v>0.390609229593417</v>
      </c>
      <c r="D1481" s="30" t="n">
        <v>0.0878792070418892</v>
      </c>
      <c r="E1481" s="30" t="n">
        <v>0.253959222381404</v>
      </c>
      <c r="F1481" s="30" t="n">
        <v>0.0174885138545231</v>
      </c>
      <c r="G1481" s="30" t="n">
        <v>0.149140886409229</v>
      </c>
      <c r="H1481" s="31" t="n">
        <f aca="false">MAX(D1481,F1481+0.015)</f>
        <v>0.0878792070418892</v>
      </c>
      <c r="I1481" s="25" t="n">
        <f aca="false">(C1481-'DCF Base Case'!$B$3)*(1-E1481)+'DCF Base Case'!$B$3-G1481</f>
        <v>0.175284225891227</v>
      </c>
      <c r="J1481" s="24" t="n">
        <f aca="false">'DCF Base Case'!$B$2*(1+B1481)^1*$I1481-'DCF Base Case'!$B$2*(1+B1481)^0*B1481*'DCF Base Case'!$B$4</f>
        <v>27.2600721696504</v>
      </c>
      <c r="K1481" s="24" t="n">
        <f aca="false">'DCF Base Case'!$B$2*(1+B1481)^2*$I1481-'DCF Base Case'!$B$2*(1+B1481)^1*B1481*'DCF Base Case'!$B$4</f>
        <v>29.6460606395057</v>
      </c>
      <c r="L1481" s="24" t="n">
        <f aca="false">'DCF Base Case'!$B$2*(1+B1481)^3*$I1481-'DCF Base Case'!$B$2*(1+B1481)^2*B1481*'DCF Base Case'!$B$4</f>
        <v>32.240887183701</v>
      </c>
      <c r="M1481" s="24" t="n">
        <f aca="false">'DCF Base Case'!$B$2*(1+B1481)^4*$I1481-'DCF Base Case'!$B$2*(1+B1481)^3*B1481*'DCF Base Case'!$B$4</f>
        <v>35.0628307427449</v>
      </c>
      <c r="N1481" s="24" t="n">
        <f aca="false">'DCF Base Case'!$B$2*(1+B1481)^5*$I1481-'DCF Base Case'!$B$2*(1+B1481)^4*B1481*'DCF Base Case'!$B$4</f>
        <v>38.1317701553785</v>
      </c>
      <c r="O1481" s="24" t="n">
        <f aca="false">J1481/(1+H1481)^1+K1481/(1+H1481)^2+L1481/(1+H1481)^3+M1481/(1+H1481)^4+N1481/(1+H1481)^5</f>
        <v>125.208843949127</v>
      </c>
      <c r="P1481" s="24" t="n">
        <f aca="false">N1481*(1+F1481)/(H1481-F1481)</f>
        <v>551.189885895341</v>
      </c>
      <c r="Q1481" s="24" t="n">
        <f aca="false">O1481+P1481/(1+H1481)^5</f>
        <v>486.949947945556</v>
      </c>
      <c r="R1481" s="24" t="n">
        <f aca="false">Q1481-'DCF Base Case'!$B$5</f>
        <v>301.949947945556</v>
      </c>
      <c r="S1481" s="32" t="n">
        <f aca="false">R1481/'DCF Base Case'!$B$6</f>
        <v>12.0779979178222</v>
      </c>
    </row>
    <row r="1482" customFormat="false" ht="15" hidden="false" customHeight="true" outlineLevel="0" collapsed="false">
      <c r="A1482" s="6" t="n">
        <v>1481</v>
      </c>
      <c r="B1482" s="30" t="n">
        <v>0.0792817407464105</v>
      </c>
      <c r="C1482" s="30" t="n">
        <v>0.409260625401379</v>
      </c>
      <c r="D1482" s="30" t="n">
        <v>0.0738287667190397</v>
      </c>
      <c r="E1482" s="30" t="n">
        <v>0.326070875897008</v>
      </c>
      <c r="F1482" s="30" t="n">
        <v>0.0211120078597265</v>
      </c>
      <c r="G1482" s="30" t="n">
        <v>0.205229419633977</v>
      </c>
      <c r="H1482" s="31" t="n">
        <f aca="false">MAX(D1482,F1482+0.015)</f>
        <v>0.0738287667190397</v>
      </c>
      <c r="I1482" s="25" t="n">
        <f aca="false">(C1482-'DCF Base Case'!$B$3)*(1-E1482)+'DCF Base Case'!$B$3-G1482</f>
        <v>0.112972449039228</v>
      </c>
      <c r="J1482" s="24" t="n">
        <f aca="false">'DCF Base Case'!$B$2*(1+B1482)^1*$I1482-'DCF Base Case'!$B$2*(1+B1482)^0*B1482*'DCF Base Case'!$B$4</f>
        <v>17.3348441387924</v>
      </c>
      <c r="K1482" s="24" t="n">
        <f aca="false">'DCF Base Case'!$B$2*(1+B1482)^2*$I1482-'DCF Base Case'!$B$2*(1+B1482)^1*B1482*'DCF Base Case'!$B$4</f>
        <v>18.7091807576836</v>
      </c>
      <c r="L1482" s="24" t="n">
        <f aca="false">'DCF Base Case'!$B$2*(1+B1482)^3*$I1482-'DCF Base Case'!$B$2*(1+B1482)^2*B1482*'DCF Base Case'!$B$4</f>
        <v>20.192477176092</v>
      </c>
      <c r="M1482" s="24" t="n">
        <f aca="false">'DCF Base Case'!$B$2*(1+B1482)^4*$I1482-'DCF Base Case'!$B$2*(1+B1482)^3*B1482*'DCF Base Case'!$B$4</f>
        <v>21.7933719165947</v>
      </c>
      <c r="N1482" s="24" t="n">
        <f aca="false">'DCF Base Case'!$B$2*(1+B1482)^5*$I1482-'DCF Base Case'!$B$2*(1+B1482)^4*B1482*'DCF Base Case'!$B$4</f>
        <v>23.5211883788763</v>
      </c>
      <c r="O1482" s="24" t="n">
        <f aca="false">J1482/(1+H1482)^1+K1482/(1+H1482)^2+L1482/(1+H1482)^3+M1482/(1+H1482)^4+N1482/(1+H1482)^5</f>
        <v>81.5390496132908</v>
      </c>
      <c r="P1482" s="24" t="n">
        <f aca="false">N1482*(1+F1482)/(H1482-F1482)</f>
        <v>455.600238187976</v>
      </c>
      <c r="Q1482" s="24" t="n">
        <f aca="false">O1482+P1482/(1+H1482)^5</f>
        <v>400.625800739891</v>
      </c>
      <c r="R1482" s="24" t="n">
        <f aca="false">Q1482-'DCF Base Case'!$B$5</f>
        <v>215.625800739891</v>
      </c>
      <c r="S1482" s="32" t="n">
        <f aca="false">R1482/'DCF Base Case'!$B$6</f>
        <v>8.62503202959563</v>
      </c>
    </row>
    <row r="1483" customFormat="false" ht="15" hidden="false" customHeight="true" outlineLevel="0" collapsed="false">
      <c r="A1483" s="6" t="n">
        <v>1482</v>
      </c>
      <c r="B1483" s="30" t="n">
        <v>0.0867123666720264</v>
      </c>
      <c r="C1483" s="30" t="n">
        <v>0.40130152232188</v>
      </c>
      <c r="D1483" s="30" t="n">
        <v>0.104342571759423</v>
      </c>
      <c r="E1483" s="30" t="n">
        <v>0.265667074911545</v>
      </c>
      <c r="F1483" s="30" t="n">
        <v>0.0186670752764172</v>
      </c>
      <c r="G1483" s="30" t="n">
        <v>0.182390328160405</v>
      </c>
      <c r="H1483" s="31" t="n">
        <f aca="false">MAX(D1483,F1483+0.015)</f>
        <v>0.104342571759423</v>
      </c>
      <c r="I1483" s="25" t="n">
        <f aca="false">(C1483-'DCF Base Case'!$B$3)*(1-E1483)+'DCF Base Case'!$B$3-G1483</f>
        <v>0.146835312307172</v>
      </c>
      <c r="J1483" s="24" t="n">
        <f aca="false">'DCF Base Case'!$B$2*(1+B1483)^1*$I1483-'DCF Base Case'!$B$2*(1+B1483)^0*B1483*'DCF Base Case'!$B$4</f>
        <v>22.7601249184878</v>
      </c>
      <c r="K1483" s="24" t="n">
        <f aca="false">'DCF Base Case'!$B$2*(1+B1483)^2*$I1483-'DCF Base Case'!$B$2*(1+B1483)^1*B1483*'DCF Base Case'!$B$4</f>
        <v>24.7337092159209</v>
      </c>
      <c r="L1483" s="24" t="n">
        <f aca="false">'DCF Base Case'!$B$2*(1+B1483)^3*$I1483-'DCF Base Case'!$B$2*(1+B1483)^2*B1483*'DCF Base Case'!$B$4</f>
        <v>26.8784276786111</v>
      </c>
      <c r="M1483" s="24" t="n">
        <f aca="false">'DCF Base Case'!$B$2*(1+B1483)^4*$I1483-'DCF Base Case'!$B$2*(1+B1483)^3*B1483*'DCF Base Case'!$B$4</f>
        <v>29.2091197550464</v>
      </c>
      <c r="N1483" s="24" t="n">
        <f aca="false">'DCF Base Case'!$B$2*(1+B1483)^5*$I1483-'DCF Base Case'!$B$2*(1+B1483)^4*B1483*'DCF Base Case'!$B$4</f>
        <v>31.7419116574131</v>
      </c>
      <c r="O1483" s="24" t="n">
        <f aca="false">J1483/(1+H1483)^1+K1483/(1+H1483)^2+L1483/(1+H1483)^3+M1483/(1+H1483)^4+N1483/(1+H1483)^5</f>
        <v>99.8101927044305</v>
      </c>
      <c r="P1483" s="24" t="n">
        <f aca="false">N1483*(1+F1483)/(H1483-F1483)</f>
        <v>377.405928638571</v>
      </c>
      <c r="Q1483" s="24" t="n">
        <f aca="false">O1483+P1483/(1+H1483)^5</f>
        <v>329.578247076313</v>
      </c>
      <c r="R1483" s="24" t="n">
        <f aca="false">Q1483-'DCF Base Case'!$B$5</f>
        <v>144.578247076313</v>
      </c>
      <c r="S1483" s="32" t="n">
        <f aca="false">R1483/'DCF Base Case'!$B$6</f>
        <v>5.78312988305253</v>
      </c>
    </row>
    <row r="1484" customFormat="false" ht="15" hidden="false" customHeight="true" outlineLevel="0" collapsed="false">
      <c r="A1484" s="6" t="n">
        <v>1483</v>
      </c>
      <c r="B1484" s="30" t="n">
        <v>0.0632280943170456</v>
      </c>
      <c r="C1484" s="30" t="n">
        <v>0.419606637047706</v>
      </c>
      <c r="D1484" s="30" t="n">
        <v>0.0914168177278106</v>
      </c>
      <c r="E1484" s="30" t="n">
        <v>0.318197342138003</v>
      </c>
      <c r="F1484" s="30" t="n">
        <v>0.0225495322824212</v>
      </c>
      <c r="G1484" s="30" t="n">
        <v>0.19589968536205</v>
      </c>
      <c r="H1484" s="31" t="n">
        <f aca="false">MAX(D1484,F1484+0.015)</f>
        <v>0.0914168177278106</v>
      </c>
      <c r="I1484" s="25" t="n">
        <f aca="false">(C1484-'DCF Base Case'!$B$3)*(1-E1484)+'DCF Base Case'!$B$3-G1484</f>
        <v>0.131554889511551</v>
      </c>
      <c r="J1484" s="24" t="n">
        <f aca="false">'DCF Base Case'!$B$2*(1+B1484)^1*$I1484-'DCF Base Case'!$B$2*(1+B1484)^0*B1484*'DCF Base Case'!$B$4</f>
        <v>20.0065216883719</v>
      </c>
      <c r="K1484" s="24" t="n">
        <f aca="false">'DCF Base Case'!$B$2*(1+B1484)^2*$I1484-'DCF Base Case'!$B$2*(1+B1484)^1*B1484*'DCF Base Case'!$B$4</f>
        <v>21.2714959286403</v>
      </c>
      <c r="L1484" s="24" t="n">
        <f aca="false">'DCF Base Case'!$B$2*(1+B1484)^3*$I1484-'DCF Base Case'!$B$2*(1+B1484)^2*B1484*'DCF Base Case'!$B$4</f>
        <v>22.616452079481</v>
      </c>
      <c r="M1484" s="24" t="n">
        <f aca="false">'DCF Base Case'!$B$2*(1+B1484)^4*$I1484-'DCF Base Case'!$B$2*(1+B1484)^3*B1484*'DCF Base Case'!$B$4</f>
        <v>24.0464472446794</v>
      </c>
      <c r="N1484" s="24" t="n">
        <f aca="false">'DCF Base Case'!$B$2*(1+B1484)^5*$I1484-'DCF Base Case'!$B$2*(1+B1484)^4*B1484*'DCF Base Case'!$B$4</f>
        <v>25.5668582790558</v>
      </c>
      <c r="O1484" s="24" t="n">
        <f aca="false">J1484/(1+H1484)^1+K1484/(1+H1484)^2+L1484/(1+H1484)^3+M1484/(1+H1484)^4+N1484/(1+H1484)^5</f>
        <v>87.0401998460347</v>
      </c>
      <c r="P1484" s="24" t="n">
        <f aca="false">N1484*(1+F1484)/(H1484-F1484)</f>
        <v>379.619710666696</v>
      </c>
      <c r="Q1484" s="24" t="n">
        <f aca="false">O1484+P1484/(1+H1484)^5</f>
        <v>332.169680984416</v>
      </c>
      <c r="R1484" s="24" t="n">
        <f aca="false">Q1484-'DCF Base Case'!$B$5</f>
        <v>147.169680984416</v>
      </c>
      <c r="S1484" s="32" t="n">
        <f aca="false">R1484/'DCF Base Case'!$B$6</f>
        <v>5.88678723937664</v>
      </c>
    </row>
    <row r="1485" customFormat="false" ht="15" hidden="false" customHeight="true" outlineLevel="0" collapsed="false">
      <c r="A1485" s="6" t="n">
        <v>1484</v>
      </c>
      <c r="B1485" s="30" t="n">
        <v>0.0877513032606963</v>
      </c>
      <c r="C1485" s="30" t="n">
        <v>0.394516619875561</v>
      </c>
      <c r="D1485" s="30" t="n">
        <v>0.108209839554917</v>
      </c>
      <c r="E1485" s="30" t="n">
        <v>0.251811874957182</v>
      </c>
      <c r="F1485" s="30" t="n">
        <v>0.0136674958429361</v>
      </c>
      <c r="G1485" s="30" t="n">
        <v>0.178575852069237</v>
      </c>
      <c r="H1485" s="31" t="n">
        <f aca="false">MAX(D1485,F1485+0.015)</f>
        <v>0.108209839554917</v>
      </c>
      <c r="I1485" s="25" t="n">
        <f aca="false">(C1485-'DCF Base Case'!$B$3)*(1-E1485)+'DCF Base Case'!$B$3-G1485</f>
        <v>0.149332341798123</v>
      </c>
      <c r="J1485" s="24" t="n">
        <f aca="false">'DCF Base Case'!$B$2*(1+B1485)^1*$I1485-'DCF Base Case'!$B$2*(1+B1485)^0*B1485*'DCF Base Case'!$B$4</f>
        <v>23.1715669952485</v>
      </c>
      <c r="K1485" s="24" t="n">
        <f aca="false">'DCF Base Case'!$B$2*(1+B1485)^2*$I1485-'DCF Base Case'!$B$2*(1+B1485)^1*B1485*'DCF Base Case'!$B$4</f>
        <v>25.2049021976741</v>
      </c>
      <c r="L1485" s="24" t="n">
        <f aca="false">'DCF Base Case'!$B$2*(1+B1485)^3*$I1485-'DCF Base Case'!$B$2*(1+B1485)^2*B1485*'DCF Base Case'!$B$4</f>
        <v>27.4166652140784</v>
      </c>
      <c r="M1485" s="24" t="n">
        <f aca="false">'DCF Base Case'!$B$2*(1+B1485)^4*$I1485-'DCF Base Case'!$B$2*(1+B1485)^3*B1485*'DCF Base Case'!$B$4</f>
        <v>29.822513317676</v>
      </c>
      <c r="N1485" s="24" t="n">
        <f aca="false">'DCF Base Case'!$B$2*(1+B1485)^5*$I1485-'DCF Base Case'!$B$2*(1+B1485)^4*B1485*'DCF Base Case'!$B$4</f>
        <v>32.4394777278115</v>
      </c>
      <c r="O1485" s="24" t="n">
        <f aca="false">J1485/(1+H1485)^1+K1485/(1+H1485)^2+L1485/(1+H1485)^3+M1485/(1+H1485)^4+N1485/(1+H1485)^5</f>
        <v>100.755649094011</v>
      </c>
      <c r="P1485" s="24" t="n">
        <f aca="false">N1485*(1+F1485)/(H1485-F1485)</f>
        <v>347.810757209273</v>
      </c>
      <c r="Q1485" s="24" t="n">
        <f aca="false">O1485+P1485/(1+H1485)^5</f>
        <v>308.836924259839</v>
      </c>
      <c r="R1485" s="24" t="n">
        <f aca="false">Q1485-'DCF Base Case'!$B$5</f>
        <v>123.836924259839</v>
      </c>
      <c r="S1485" s="32" t="n">
        <f aca="false">R1485/'DCF Base Case'!$B$6</f>
        <v>4.95347697039356</v>
      </c>
    </row>
    <row r="1486" customFormat="false" ht="15" hidden="false" customHeight="true" outlineLevel="0" collapsed="false">
      <c r="A1486" s="6" t="n">
        <v>1485</v>
      </c>
      <c r="B1486" s="30" t="n">
        <v>0.123862657307492</v>
      </c>
      <c r="C1486" s="30" t="n">
        <v>0.429817816657487</v>
      </c>
      <c r="D1486" s="30" t="n">
        <v>0.0959923406967243</v>
      </c>
      <c r="E1486" s="30" t="n">
        <v>0.247109918410409</v>
      </c>
      <c r="F1486" s="30" t="n">
        <v>0.0173499733331045</v>
      </c>
      <c r="G1486" s="30" t="n">
        <v>0.131039711884151</v>
      </c>
      <c r="H1486" s="31" t="n">
        <f aca="false">MAX(D1486,F1486+0.015)</f>
        <v>0.0959923406967243</v>
      </c>
      <c r="I1486" s="25" t="n">
        <f aca="false">(C1486-'DCF Base Case'!$B$3)*(1-E1486)+'DCF Base Case'!$B$3-G1486</f>
        <v>0.224690148561117</v>
      </c>
      <c r="J1486" s="24" t="n">
        <f aca="false">'DCF Base Case'!$B$2*(1+B1486)^1*$I1486-'DCF Base Case'!$B$2*(1+B1486)^0*B1486*'DCF Base Case'!$B$4</f>
        <v>36.0767232184557</v>
      </c>
      <c r="K1486" s="24" t="n">
        <f aca="false">'DCF Base Case'!$B$2*(1+B1486)^2*$I1486-'DCF Base Case'!$B$2*(1+B1486)^1*B1486*'DCF Base Case'!$B$4</f>
        <v>40.5452820232405</v>
      </c>
      <c r="L1486" s="24" t="n">
        <f aca="false">'DCF Base Case'!$B$2*(1+B1486)^3*$I1486-'DCF Base Case'!$B$2*(1+B1486)^2*B1486*'DCF Base Case'!$B$4</f>
        <v>45.5673283959208</v>
      </c>
      <c r="M1486" s="24" t="n">
        <f aca="false">'DCF Base Case'!$B$2*(1+B1486)^4*$I1486-'DCF Base Case'!$B$2*(1+B1486)^3*B1486*'DCF Base Case'!$B$4</f>
        <v>51.2114187774427</v>
      </c>
      <c r="N1486" s="24" t="n">
        <f aca="false">'DCF Base Case'!$B$2*(1+B1486)^5*$I1486-'DCF Base Case'!$B$2*(1+B1486)^4*B1486*'DCF Base Case'!$B$4</f>
        <v>57.5546011917035</v>
      </c>
      <c r="O1486" s="24" t="n">
        <f aca="false">J1486/(1+H1486)^1+K1486/(1+H1486)^2+L1486/(1+H1486)^3+M1486/(1+H1486)^4+N1486/(1+H1486)^5</f>
        <v>173.170867982808</v>
      </c>
      <c r="P1486" s="24" t="n">
        <f aca="false">N1486*(1+F1486)/(H1486-F1486)</f>
        <v>744.549966519242</v>
      </c>
      <c r="Q1486" s="24" t="n">
        <f aca="false">O1486+P1486/(1+H1486)^5</f>
        <v>643.992331421218</v>
      </c>
      <c r="R1486" s="24" t="n">
        <f aca="false">Q1486-'DCF Base Case'!$B$5</f>
        <v>458.992331421218</v>
      </c>
      <c r="S1486" s="32" t="n">
        <f aca="false">R1486/'DCF Base Case'!$B$6</f>
        <v>18.3596932568487</v>
      </c>
    </row>
    <row r="1487" customFormat="false" ht="15" hidden="false" customHeight="true" outlineLevel="0" collapsed="false">
      <c r="A1487" s="6" t="n">
        <v>1486</v>
      </c>
      <c r="B1487" s="30" t="n">
        <v>0.107017087007211</v>
      </c>
      <c r="C1487" s="30" t="n">
        <v>0.38680513674294</v>
      </c>
      <c r="D1487" s="30" t="n">
        <v>0.0709439926936409</v>
      </c>
      <c r="E1487" s="30" t="n">
        <v>0.295174730961256</v>
      </c>
      <c r="F1487" s="30" t="n">
        <v>0.0231502068725354</v>
      </c>
      <c r="G1487" s="30" t="n">
        <v>0.16187153881844</v>
      </c>
      <c r="H1487" s="31" t="n">
        <f aca="false">MAX(D1487,F1487+0.015)</f>
        <v>0.0709439926936409</v>
      </c>
      <c r="I1487" s="25" t="n">
        <f aca="false">(C1487-'DCF Base Case'!$B$3)*(1-E1487)+'DCF Base Case'!$B$3-G1487</f>
        <v>0.149131210776934</v>
      </c>
      <c r="J1487" s="24" t="n">
        <f aca="false">'DCF Base Case'!$B$2*(1+B1487)^1*$I1487-'DCF Base Case'!$B$2*(1+B1487)^0*B1487*'DCF Base Case'!$B$4</f>
        <v>23.4726414592589</v>
      </c>
      <c r="K1487" s="24" t="n">
        <f aca="false">'DCF Base Case'!$B$2*(1+B1487)^2*$I1487-'DCF Base Case'!$B$2*(1+B1487)^1*B1487*'DCF Base Case'!$B$4</f>
        <v>25.9846151725935</v>
      </c>
      <c r="L1487" s="24" t="n">
        <f aca="false">'DCF Base Case'!$B$2*(1+B1487)^3*$I1487-'DCF Base Case'!$B$2*(1+B1487)^2*B1487*'DCF Base Case'!$B$4</f>
        <v>28.7654129953678</v>
      </c>
      <c r="M1487" s="24" t="n">
        <f aca="false">'DCF Base Case'!$B$2*(1+B1487)^4*$I1487-'DCF Base Case'!$B$2*(1+B1487)^3*B1487*'DCF Base Case'!$B$4</f>
        <v>31.8438037006915</v>
      </c>
      <c r="N1487" s="24" t="n">
        <f aca="false">'DCF Base Case'!$B$2*(1+B1487)^5*$I1487-'DCF Base Case'!$B$2*(1+B1487)^4*B1487*'DCF Base Case'!$B$4</f>
        <v>35.2516348119689</v>
      </c>
      <c r="O1487" s="24" t="n">
        <f aca="false">J1487/(1+H1487)^1+K1487/(1+H1487)^2+L1487/(1+H1487)^3+M1487/(1+H1487)^4+N1487/(1+H1487)^5</f>
        <v>117.224089280658</v>
      </c>
      <c r="P1487" s="24" t="n">
        <f aca="false">N1487*(1+F1487)/(H1487-F1487)</f>
        <v>754.652866074772</v>
      </c>
      <c r="Q1487" s="24" t="n">
        <f aca="false">O1487+P1487/(1+H1487)^5</f>
        <v>652.913955070811</v>
      </c>
      <c r="R1487" s="24" t="n">
        <f aca="false">Q1487-'DCF Base Case'!$B$5</f>
        <v>467.913955070811</v>
      </c>
      <c r="S1487" s="32" t="n">
        <f aca="false">R1487/'DCF Base Case'!$B$6</f>
        <v>18.7165582028324</v>
      </c>
    </row>
    <row r="1488" customFormat="false" ht="15" hidden="false" customHeight="true" outlineLevel="0" collapsed="false">
      <c r="A1488" s="6" t="n">
        <v>1487</v>
      </c>
      <c r="B1488" s="30" t="n">
        <v>0.10229851782852</v>
      </c>
      <c r="C1488" s="30" t="n">
        <v>0.428956544161215</v>
      </c>
      <c r="D1488" s="30" t="n">
        <v>0.0826303045461328</v>
      </c>
      <c r="E1488" s="30" t="n">
        <v>0.257349647096106</v>
      </c>
      <c r="F1488" s="30" t="n">
        <v>0.02137242395851</v>
      </c>
      <c r="G1488" s="30" t="n">
        <v>0.179757743500973</v>
      </c>
      <c r="H1488" s="31" t="n">
        <f aca="false">MAX(D1488,F1488+0.015)</f>
        <v>0.0826303045461328</v>
      </c>
      <c r="I1488" s="25" t="n">
        <f aca="false">(C1488-'DCF Base Case'!$B$3)*(1-E1488)+'DCF Base Case'!$B$3-G1488</f>
        <v>0.172262439523282</v>
      </c>
      <c r="J1488" s="24" t="n">
        <f aca="false">'DCF Base Case'!$B$2*(1+B1488)^1*$I1488-'DCF Base Case'!$B$2*(1+B1488)^0*B1488*'DCF Base Case'!$B$4</f>
        <v>27.0882730532315</v>
      </c>
      <c r="K1488" s="24" t="n">
        <f aca="false">'DCF Base Case'!$B$2*(1+B1488)^2*$I1488-'DCF Base Case'!$B$2*(1+B1488)^1*B1488*'DCF Base Case'!$B$4</f>
        <v>29.8593632371114</v>
      </c>
      <c r="L1488" s="24" t="n">
        <f aca="false">'DCF Base Case'!$B$2*(1+B1488)^3*$I1488-'DCF Base Case'!$B$2*(1+B1488)^2*B1488*'DCF Base Case'!$B$4</f>
        <v>32.9139318395713</v>
      </c>
      <c r="M1488" s="24" t="n">
        <f aca="false">'DCF Base Case'!$B$2*(1+B1488)^4*$I1488-'DCF Base Case'!$B$2*(1+B1488)^3*B1488*'DCF Base Case'!$B$4</f>
        <v>36.2809782826683</v>
      </c>
      <c r="N1488" s="24" t="n">
        <f aca="false">'DCF Base Case'!$B$2*(1+B1488)^5*$I1488-'DCF Base Case'!$B$2*(1+B1488)^4*B1488*'DCF Base Case'!$B$4</f>
        <v>39.992468586354</v>
      </c>
      <c r="O1488" s="24" t="n">
        <f aca="false">J1488/(1+H1488)^1+K1488/(1+H1488)^2+L1488/(1+H1488)^3+M1488/(1+H1488)^4+N1488/(1+H1488)^5</f>
        <v>129.732860944073</v>
      </c>
      <c r="P1488" s="24" t="n">
        <f aca="false">N1488*(1+F1488)/(H1488-F1488)</f>
        <v>666.807342798964</v>
      </c>
      <c r="Q1488" s="24" t="n">
        <f aca="false">O1488+P1488/(1+H1488)^5</f>
        <v>578.064590421573</v>
      </c>
      <c r="R1488" s="24" t="n">
        <f aca="false">Q1488-'DCF Base Case'!$B$5</f>
        <v>393.064590421573</v>
      </c>
      <c r="S1488" s="32" t="n">
        <f aca="false">R1488/'DCF Base Case'!$B$6</f>
        <v>15.7225836168629</v>
      </c>
    </row>
    <row r="1489" customFormat="false" ht="15" hidden="false" customHeight="true" outlineLevel="0" collapsed="false">
      <c r="A1489" s="6" t="n">
        <v>1488</v>
      </c>
      <c r="B1489" s="30" t="n">
        <v>0.109532442064836</v>
      </c>
      <c r="C1489" s="30" t="n">
        <v>0.426984193065385</v>
      </c>
      <c r="D1489" s="30" t="n">
        <v>0.0721465009517274</v>
      </c>
      <c r="E1489" s="30" t="n">
        <v>0.300751624672762</v>
      </c>
      <c r="F1489" s="30" t="n">
        <v>0.0193489881834294</v>
      </c>
      <c r="G1489" s="30" t="n">
        <v>0.155476250442302</v>
      </c>
      <c r="H1489" s="31" t="n">
        <f aca="false">MAX(D1489,F1489+0.015)</f>
        <v>0.0721465009517274</v>
      </c>
      <c r="I1489" s="25" t="n">
        <f aca="false">(C1489-'DCF Base Case'!$B$3)*(1-E1489)+'DCF Base Case'!$B$3-G1489</f>
        <v>0.182189464056539</v>
      </c>
      <c r="J1489" s="24" t="n">
        <f aca="false">'DCF Base Case'!$B$2*(1+B1489)^1*$I1489-'DCF Base Case'!$B$2*(1+B1489)^0*B1489*'DCF Base Case'!$B$4</f>
        <v>28.8345764181226</v>
      </c>
      <c r="K1489" s="24" t="n">
        <f aca="false">'DCF Base Case'!$B$2*(1+B1489)^2*$I1489-'DCF Base Case'!$B$2*(1+B1489)^1*B1489*'DCF Base Case'!$B$4</f>
        <v>31.9928979891047</v>
      </c>
      <c r="L1489" s="24" t="n">
        <f aca="false">'DCF Base Case'!$B$2*(1+B1489)^3*$I1489-'DCF Base Case'!$B$2*(1+B1489)^2*B1489*'DCF Base Case'!$B$4</f>
        <v>35.4971582345826</v>
      </c>
      <c r="M1489" s="24" t="n">
        <f aca="false">'DCF Base Case'!$B$2*(1+B1489)^4*$I1489-'DCF Base Case'!$B$2*(1+B1489)^3*B1489*'DCF Base Case'!$B$4</f>
        <v>39.3852486623783</v>
      </c>
      <c r="N1489" s="24" t="n">
        <f aca="false">'DCF Base Case'!$B$2*(1+B1489)^5*$I1489-'DCF Base Case'!$B$2*(1+B1489)^4*B1489*'DCF Base Case'!$B$4</f>
        <v>43.6992111296994</v>
      </c>
      <c r="O1489" s="24" t="n">
        <f aca="false">J1489/(1+H1489)^1+K1489/(1+H1489)^2+L1489/(1+H1489)^3+M1489/(1+H1489)^4+N1489/(1+H1489)^5</f>
        <v>144.182081619651</v>
      </c>
      <c r="P1489" s="24" t="n">
        <f aca="false">N1489*(1+F1489)/(H1489-F1489)</f>
        <v>843.690248155398</v>
      </c>
      <c r="Q1489" s="24" t="n">
        <f aca="false">O1489+P1489/(1+H1489)^5</f>
        <v>739.724042414046</v>
      </c>
      <c r="R1489" s="24" t="n">
        <f aca="false">Q1489-'DCF Base Case'!$B$5</f>
        <v>554.724042414046</v>
      </c>
      <c r="S1489" s="32" t="n">
        <f aca="false">R1489/'DCF Base Case'!$B$6</f>
        <v>22.1889616965618</v>
      </c>
    </row>
    <row r="1490" customFormat="false" ht="15" hidden="false" customHeight="true" outlineLevel="0" collapsed="false">
      <c r="A1490" s="6" t="n">
        <v>1489</v>
      </c>
      <c r="B1490" s="30" t="n">
        <v>0.0838255656739142</v>
      </c>
      <c r="C1490" s="30" t="n">
        <v>0.396881821093078</v>
      </c>
      <c r="D1490" s="30" t="n">
        <v>0.0947772815673987</v>
      </c>
      <c r="E1490" s="30" t="n">
        <v>0.253106219798892</v>
      </c>
      <c r="F1490" s="30" t="n">
        <v>0.0152954135939236</v>
      </c>
      <c r="G1490" s="30" t="n">
        <v>0.158531217464535</v>
      </c>
      <c r="H1490" s="31" t="n">
        <f aca="false">MAX(D1490,F1490+0.015)</f>
        <v>0.0947772815673987</v>
      </c>
      <c r="I1490" s="25" t="n">
        <f aca="false">(C1490-'DCF Base Case'!$B$3)*(1-E1490)+'DCF Base Case'!$B$3-G1490</f>
        <v>0.17080115475863</v>
      </c>
      <c r="J1490" s="24" t="n">
        <f aca="false">'DCF Base Case'!$B$2*(1+B1490)^1*$I1490-'DCF Base Case'!$B$2*(1+B1490)^0*B1490*'DCF Base Case'!$B$4</f>
        <v>26.4775642245528</v>
      </c>
      <c r="K1490" s="24" t="n">
        <f aca="false">'DCF Base Case'!$B$2*(1+B1490)^2*$I1490-'DCF Base Case'!$B$2*(1+B1490)^1*B1490*'DCF Base Case'!$B$4</f>
        <v>28.6970610233433</v>
      </c>
      <c r="L1490" s="24" t="n">
        <f aca="false">'DCF Base Case'!$B$2*(1+B1490)^3*$I1490-'DCF Base Case'!$B$2*(1+B1490)^2*B1490*'DCF Base Case'!$B$4</f>
        <v>31.1026083968039</v>
      </c>
      <c r="M1490" s="24" t="n">
        <f aca="false">'DCF Base Case'!$B$2*(1+B1490)^4*$I1490-'DCF Base Case'!$B$2*(1+B1490)^3*B1490*'DCF Base Case'!$B$4</f>
        <v>33.7098021396002</v>
      </c>
      <c r="N1490" s="24" t="n">
        <f aca="false">'DCF Base Case'!$B$2*(1+B1490)^5*$I1490-'DCF Base Case'!$B$2*(1+B1490)^4*B1490*'DCF Base Case'!$B$4</f>
        <v>36.5355453727079</v>
      </c>
      <c r="O1490" s="24" t="n">
        <f aca="false">J1490/(1+H1490)^1+K1490/(1+H1490)^2+L1490/(1+H1490)^3+M1490/(1+H1490)^4+N1490/(1+H1490)^5</f>
        <v>118.531392286894</v>
      </c>
      <c r="P1490" s="24" t="n">
        <f aca="false">N1490*(1+F1490)/(H1490-F1490)</f>
        <v>466.70231331808</v>
      </c>
      <c r="Q1490" s="24" t="n">
        <f aca="false">O1490+P1490/(1+H1490)^5</f>
        <v>415.295293109648</v>
      </c>
      <c r="R1490" s="24" t="n">
        <f aca="false">Q1490-'DCF Base Case'!$B$5</f>
        <v>230.295293109648</v>
      </c>
      <c r="S1490" s="32" t="n">
        <f aca="false">R1490/'DCF Base Case'!$B$6</f>
        <v>9.21181172438591</v>
      </c>
    </row>
    <row r="1491" customFormat="false" ht="15" hidden="false" customHeight="true" outlineLevel="0" collapsed="false">
      <c r="A1491" s="6" t="n">
        <v>1490</v>
      </c>
      <c r="B1491" s="30" t="n">
        <v>0.123676590447646</v>
      </c>
      <c r="C1491" s="30" t="n">
        <v>0.444471690130366</v>
      </c>
      <c r="D1491" s="30" t="n">
        <v>0.0669507511642805</v>
      </c>
      <c r="E1491" s="30" t="n">
        <v>0.320434950382891</v>
      </c>
      <c r="F1491" s="30" t="n">
        <v>0.0240898851535088</v>
      </c>
      <c r="G1491" s="30" t="n">
        <v>0.141926773164156</v>
      </c>
      <c r="H1491" s="31" t="n">
        <f aca="false">MAX(D1491,F1491+0.015)</f>
        <v>0.0669507511642805</v>
      </c>
      <c r="I1491" s="25" t="n">
        <f aca="false">(C1491-'DCF Base Case'!$B$3)*(1-E1491)+'DCF Base Case'!$B$3-G1491</f>
        <v>0.201777196542462</v>
      </c>
      <c r="J1491" s="24" t="n">
        <f aca="false">'DCF Base Case'!$B$2*(1+B1491)^1*$I1491-'DCF Base Case'!$B$2*(1+B1491)^0*B1491*'DCF Base Case'!$B$4</f>
        <v>32.3381921064859</v>
      </c>
      <c r="K1491" s="24" t="n">
        <f aca="false">'DCF Base Case'!$B$2*(1+B1491)^2*$I1491-'DCF Base Case'!$B$2*(1+B1491)^1*B1491*'DCF Base Case'!$B$4</f>
        <v>36.3376694474571</v>
      </c>
      <c r="L1491" s="24" t="n">
        <f aca="false">'DCF Base Case'!$B$2*(1+B1491)^3*$I1491-'DCF Base Case'!$B$2*(1+B1491)^2*B1491*'DCF Base Case'!$B$4</f>
        <v>40.8317885095322</v>
      </c>
      <c r="M1491" s="24" t="n">
        <f aca="false">'DCF Base Case'!$B$2*(1+B1491)^4*$I1491-'DCF Base Case'!$B$2*(1+B1491)^3*B1491*'DCF Base Case'!$B$4</f>
        <v>45.8817248942705</v>
      </c>
      <c r="N1491" s="24" t="n">
        <f aca="false">'DCF Base Case'!$B$2*(1+B1491)^5*$I1491-'DCF Base Case'!$B$2*(1+B1491)^4*B1491*'DCF Base Case'!$B$4</f>
        <v>51.5562201930508</v>
      </c>
      <c r="O1491" s="24" t="n">
        <f aca="false">J1491/(1+H1491)^1+K1491/(1+H1491)^2+L1491/(1+H1491)^3+M1491/(1+H1491)^4+N1491/(1+H1491)^5</f>
        <v>168.538831646857</v>
      </c>
      <c r="P1491" s="24" t="n">
        <f aca="false">N1491*(1+F1491)/(H1491-F1491)</f>
        <v>1231.85106906569</v>
      </c>
      <c r="Q1491" s="24" t="n">
        <f aca="false">O1491+P1491/(1+H1491)^5</f>
        <v>1059.45396735324</v>
      </c>
      <c r="R1491" s="24" t="n">
        <f aca="false">Q1491-'DCF Base Case'!$B$5</f>
        <v>874.453967353239</v>
      </c>
      <c r="S1491" s="32" t="n">
        <f aca="false">R1491/'DCF Base Case'!$B$6</f>
        <v>34.9781586941295</v>
      </c>
    </row>
    <row r="1492" customFormat="false" ht="15" hidden="false" customHeight="true" outlineLevel="0" collapsed="false">
      <c r="A1492" s="6" t="n">
        <v>1491</v>
      </c>
      <c r="B1492" s="30" t="n">
        <v>0.0454053107302851</v>
      </c>
      <c r="C1492" s="30" t="n">
        <v>0.39203258992202</v>
      </c>
      <c r="D1492" s="30" t="n">
        <v>0.0973466685022981</v>
      </c>
      <c r="E1492" s="30" t="n">
        <v>0.32650158245923</v>
      </c>
      <c r="F1492" s="30" t="n">
        <v>0.01579540694543</v>
      </c>
      <c r="G1492" s="30" t="n">
        <v>0.204529634687496</v>
      </c>
      <c r="H1492" s="31" t="n">
        <f aca="false">MAX(D1492,F1492+0.015)</f>
        <v>0.0973466685022981</v>
      </c>
      <c r="I1492" s="25" t="n">
        <f aca="false">(C1492-'DCF Base Case'!$B$3)*(1-E1492)+'DCF Base Case'!$B$3-G1492</f>
        <v>0.101948899969094</v>
      </c>
      <c r="J1492" s="24" t="n">
        <f aca="false">'DCF Base Case'!$B$2*(1+B1492)^1*$I1492-'DCF Base Case'!$B$2*(1+B1492)^0*B1492*'DCF Base Case'!$B$4</f>
        <v>15.2562855086895</v>
      </c>
      <c r="K1492" s="24" t="n">
        <f aca="false">'DCF Base Case'!$B$2*(1+B1492)^2*$I1492-'DCF Base Case'!$B$2*(1+B1492)^1*B1492*'DCF Base Case'!$B$4</f>
        <v>15.9490018928015</v>
      </c>
      <c r="L1492" s="24" t="n">
        <f aca="false">'DCF Base Case'!$B$2*(1+B1492)^3*$I1492-'DCF Base Case'!$B$2*(1+B1492)^2*B1492*'DCF Base Case'!$B$4</f>
        <v>16.673171279582</v>
      </c>
      <c r="M1492" s="24" t="n">
        <f aca="false">'DCF Base Case'!$B$2*(1+B1492)^4*$I1492-'DCF Base Case'!$B$2*(1+B1492)^3*B1492*'DCF Base Case'!$B$4</f>
        <v>17.4302218023907</v>
      </c>
      <c r="N1492" s="24" t="n">
        <f aca="false">'DCF Base Case'!$B$2*(1+B1492)^5*$I1492-'DCF Base Case'!$B$2*(1+B1492)^4*B1492*'DCF Base Case'!$B$4</f>
        <v>18.2216464394261</v>
      </c>
      <c r="O1492" s="24" t="n">
        <f aca="false">J1492/(1+H1492)^1+K1492/(1+H1492)^2+L1492/(1+H1492)^3+M1492/(1+H1492)^4+N1492/(1+H1492)^5</f>
        <v>63.2378820032936</v>
      </c>
      <c r="P1492" s="24" t="n">
        <f aca="false">N1492*(1+F1492)/(H1492-F1492)</f>
        <v>226.967240074457</v>
      </c>
      <c r="Q1492" s="24" t="n">
        <f aca="false">O1492+P1492/(1+H1492)^5</f>
        <v>205.878735647675</v>
      </c>
      <c r="R1492" s="24" t="n">
        <f aca="false">Q1492-'DCF Base Case'!$B$5</f>
        <v>20.878735647675</v>
      </c>
      <c r="S1492" s="32" t="n">
        <f aca="false">R1492/'DCF Base Case'!$B$6</f>
        <v>0.835149425907001</v>
      </c>
    </row>
    <row r="1493" customFormat="false" ht="15" hidden="false" customHeight="true" outlineLevel="0" collapsed="false">
      <c r="A1493" s="6" t="n">
        <v>1492</v>
      </c>
      <c r="B1493" s="30" t="n">
        <v>0.0480444116455612</v>
      </c>
      <c r="C1493" s="30" t="n">
        <v>0.387970382828761</v>
      </c>
      <c r="D1493" s="30" t="n">
        <v>0.0804106826386268</v>
      </c>
      <c r="E1493" s="30" t="n">
        <v>0.314879437504695</v>
      </c>
      <c r="F1493" s="30" t="n">
        <v>0.023930225932031</v>
      </c>
      <c r="G1493" s="30" t="n">
        <v>0.188063949382585</v>
      </c>
      <c r="H1493" s="31" t="n">
        <f aca="false">MAX(D1493,F1493+0.015)</f>
        <v>0.0804106826386268</v>
      </c>
      <c r="I1493" s="25" t="n">
        <f aca="false">(C1493-'DCF Base Case'!$B$3)*(1-E1493)+'DCF Base Case'!$B$3-G1493</f>
        <v>0.118676864408185</v>
      </c>
      <c r="J1493" s="24" t="n">
        <f aca="false">'DCF Base Case'!$B$2*(1+B1493)^1*$I1493-'DCF Base Case'!$B$2*(1+B1493)^0*B1493*'DCF Base Case'!$B$4</f>
        <v>17.8259073668612</v>
      </c>
      <c r="K1493" s="24" t="n">
        <f aca="false">'DCF Base Case'!$B$2*(1+B1493)^2*$I1493-'DCF Base Case'!$B$2*(1+B1493)^1*B1493*'DCF Base Case'!$B$4</f>
        <v>18.6823425983503</v>
      </c>
      <c r="L1493" s="24" t="n">
        <f aca="false">'DCF Base Case'!$B$2*(1+B1493)^3*$I1493-'DCF Base Case'!$B$2*(1+B1493)^2*B1493*'DCF Base Case'!$B$4</f>
        <v>19.5799247566488</v>
      </c>
      <c r="M1493" s="24" t="n">
        <f aca="false">'DCF Base Case'!$B$2*(1+B1493)^4*$I1493-'DCF Base Case'!$B$2*(1+B1493)^3*B1493*'DCF Base Case'!$B$4</f>
        <v>20.5206307216464</v>
      </c>
      <c r="N1493" s="24" t="n">
        <f aca="false">'DCF Base Case'!$B$2*(1+B1493)^5*$I1493-'DCF Base Case'!$B$2*(1+B1493)^4*B1493*'DCF Base Case'!$B$4</f>
        <v>21.5065323512637</v>
      </c>
      <c r="O1493" s="24" t="n">
        <f aca="false">J1493/(1+H1493)^1+K1493/(1+H1493)^2+L1493/(1+H1493)^3+M1493/(1+H1493)^4+N1493/(1+H1493)^5</f>
        <v>77.6991189485484</v>
      </c>
      <c r="P1493" s="24" t="n">
        <f aca="false">N1493*(1+F1493)/(H1493-F1493)</f>
        <v>389.890411896622</v>
      </c>
      <c r="Q1493" s="24" t="n">
        <f aca="false">O1493+P1493/(1+H1493)^5</f>
        <v>342.548039348718</v>
      </c>
      <c r="R1493" s="24" t="n">
        <f aca="false">Q1493-'DCF Base Case'!$B$5</f>
        <v>157.548039348718</v>
      </c>
      <c r="S1493" s="32" t="n">
        <f aca="false">R1493/'DCF Base Case'!$B$6</f>
        <v>6.30192157394872</v>
      </c>
    </row>
    <row r="1494" customFormat="false" ht="15" hidden="false" customHeight="true" outlineLevel="0" collapsed="false">
      <c r="A1494" s="6" t="n">
        <v>1493</v>
      </c>
      <c r="B1494" s="30" t="n">
        <v>0.0610261510433735</v>
      </c>
      <c r="C1494" s="30" t="n">
        <v>0.421598195025716</v>
      </c>
      <c r="D1494" s="30" t="n">
        <v>0.0905994616545284</v>
      </c>
      <c r="E1494" s="30" t="n">
        <v>0.250205044342043</v>
      </c>
      <c r="F1494" s="30" t="n">
        <v>0.0118409574831862</v>
      </c>
      <c r="G1494" s="30" t="n">
        <v>0.190036269862211</v>
      </c>
      <c r="H1494" s="31" t="n">
        <f aca="false">MAX(D1494,F1494+0.015)</f>
        <v>0.0905994616545284</v>
      </c>
      <c r="I1494" s="25" t="n">
        <f aca="false">(C1494-'DCF Base Case'!$B$3)*(1-E1494)+'DCF Base Case'!$B$3-G1494</f>
        <v>0.158602585847036</v>
      </c>
      <c r="J1494" s="24" t="n">
        <f aca="false">'DCF Base Case'!$B$2*(1+B1494)^1*$I1494-'DCF Base Case'!$B$2*(1+B1494)^0*B1494*'DCF Base Case'!$B$4</f>
        <v>24.1353524679483</v>
      </c>
      <c r="K1494" s="24" t="n">
        <f aca="false">'DCF Base Case'!$B$2*(1+B1494)^2*$I1494-'DCF Base Case'!$B$2*(1+B1494)^1*B1494*'DCF Base Case'!$B$4</f>
        <v>25.6082401331424</v>
      </c>
      <c r="L1494" s="24" t="n">
        <f aca="false">'DCF Base Case'!$B$2*(1+B1494)^3*$I1494-'DCF Base Case'!$B$2*(1+B1494)^2*B1494*'DCF Base Case'!$B$4</f>
        <v>27.1710124634625</v>
      </c>
      <c r="M1494" s="24" t="n">
        <f aca="false">'DCF Base Case'!$B$2*(1+B1494)^4*$I1494-'DCF Base Case'!$B$2*(1+B1494)^3*B1494*'DCF Base Case'!$B$4</f>
        <v>28.8291547740592</v>
      </c>
      <c r="N1494" s="24" t="n">
        <f aca="false">'DCF Base Case'!$B$2*(1+B1494)^5*$I1494-'DCF Base Case'!$B$2*(1+B1494)^4*B1494*'DCF Base Case'!$B$4</f>
        <v>30.5884871277537</v>
      </c>
      <c r="O1494" s="24" t="n">
        <f aca="false">J1494/(1+H1494)^1+K1494/(1+H1494)^2+L1494/(1+H1494)^3+M1494/(1+H1494)^4+N1494/(1+H1494)^5</f>
        <v>104.811311588939</v>
      </c>
      <c r="P1494" s="24" t="n">
        <f aca="false">N1494*(1+F1494)/(H1494-F1494)</f>
        <v>392.982122108033</v>
      </c>
      <c r="Q1494" s="24" t="n">
        <f aca="false">O1494+P1494/(1+H1494)^5</f>
        <v>359.521547830382</v>
      </c>
      <c r="R1494" s="24" t="n">
        <f aca="false">Q1494-'DCF Base Case'!$B$5</f>
        <v>174.521547830382</v>
      </c>
      <c r="S1494" s="32" t="n">
        <f aca="false">R1494/'DCF Base Case'!$B$6</f>
        <v>6.98086191321529</v>
      </c>
    </row>
    <row r="1495" customFormat="false" ht="15" hidden="false" customHeight="true" outlineLevel="0" collapsed="false">
      <c r="A1495" s="6" t="n">
        <v>1494</v>
      </c>
      <c r="B1495" s="30" t="n">
        <v>0.0862891621055545</v>
      </c>
      <c r="C1495" s="30" t="n">
        <v>0.384810126204086</v>
      </c>
      <c r="D1495" s="30" t="n">
        <v>0.0827101087842036</v>
      </c>
      <c r="E1495" s="30" t="n">
        <v>0.290473994783484</v>
      </c>
      <c r="F1495" s="30" t="n">
        <v>0.0190400424566411</v>
      </c>
      <c r="G1495" s="30" t="n">
        <v>0.135534834202478</v>
      </c>
      <c r="H1495" s="31" t="n">
        <f aca="false">MAX(D1495,F1495+0.015)</f>
        <v>0.0827101087842036</v>
      </c>
      <c r="I1495" s="25" t="n">
        <f aca="false">(C1495-'DCF Base Case'!$B$3)*(1-E1495)+'DCF Base Case'!$B$3-G1495</f>
        <v>0.175259576731823</v>
      </c>
      <c r="J1495" s="24" t="n">
        <f aca="false">'DCF Base Case'!$B$2*(1+B1495)^1*$I1495-'DCF Base Case'!$B$2*(1+B1495)^0*B1495*'DCF Base Case'!$B$4</f>
        <v>27.2301160648939</v>
      </c>
      <c r="K1495" s="24" t="n">
        <f aca="false">'DCF Base Case'!$B$2*(1+B1495)^2*$I1495-'DCF Base Case'!$B$2*(1+B1495)^1*B1495*'DCF Base Case'!$B$4</f>
        <v>29.5797799641706</v>
      </c>
      <c r="L1495" s="24" t="n">
        <f aca="false">'DCF Base Case'!$B$2*(1+B1495)^3*$I1495-'DCF Base Case'!$B$2*(1+B1495)^2*B1495*'DCF Base Case'!$B$4</f>
        <v>32.1321943925456</v>
      </c>
      <c r="M1495" s="24" t="n">
        <f aca="false">'DCF Base Case'!$B$2*(1+B1495)^4*$I1495-'DCF Base Case'!$B$2*(1+B1495)^3*B1495*'DCF Base Case'!$B$4</f>
        <v>34.9048545232911</v>
      </c>
      <c r="N1495" s="24" t="n">
        <f aca="false">'DCF Base Case'!$B$2*(1+B1495)^5*$I1495-'DCF Base Case'!$B$2*(1+B1495)^4*B1495*'DCF Base Case'!$B$4</f>
        <v>37.9167651735222</v>
      </c>
      <c r="O1495" s="24" t="n">
        <f aca="false">J1495/(1+H1495)^1+K1495/(1+H1495)^2+L1495/(1+H1495)^3+M1495/(1+H1495)^4+N1495/(1+H1495)^5</f>
        <v>126.583921335204</v>
      </c>
      <c r="P1495" s="24" t="n">
        <f aca="false">N1495*(1+F1495)/(H1495-F1495)</f>
        <v>606.85820230594</v>
      </c>
      <c r="Q1495" s="24" t="n">
        <f aca="false">O1495+P1495/(1+H1495)^5</f>
        <v>534.458152521339</v>
      </c>
      <c r="R1495" s="24" t="n">
        <f aca="false">Q1495-'DCF Base Case'!$B$5</f>
        <v>349.458152521339</v>
      </c>
      <c r="S1495" s="32" t="n">
        <f aca="false">R1495/'DCF Base Case'!$B$6</f>
        <v>13.9783261008535</v>
      </c>
    </row>
    <row r="1496" customFormat="false" ht="15" hidden="false" customHeight="true" outlineLevel="0" collapsed="false">
      <c r="A1496" s="6" t="n">
        <v>1495</v>
      </c>
      <c r="B1496" s="30" t="n">
        <v>0.127818591057738</v>
      </c>
      <c r="C1496" s="30" t="n">
        <v>0.445204366003932</v>
      </c>
      <c r="D1496" s="30" t="n">
        <v>0.0813108480315919</v>
      </c>
      <c r="E1496" s="30" t="n">
        <v>0.271905261262416</v>
      </c>
      <c r="F1496" s="30" t="n">
        <v>0.0206298106315809</v>
      </c>
      <c r="G1496" s="30" t="n">
        <v>0.14274360532113</v>
      </c>
      <c r="H1496" s="31" t="n">
        <f aca="false">MAX(D1496,F1496+0.015)</f>
        <v>0.0813108480315919</v>
      </c>
      <c r="I1496" s="25" t="n">
        <f aca="false">(C1496-'DCF Base Case'!$B$3)*(1-E1496)+'DCF Base Case'!$B$3-G1496</f>
        <v>0.216755035193449</v>
      </c>
      <c r="J1496" s="24" t="n">
        <f aca="false">'DCF Base Case'!$B$2*(1+B1496)^1*$I1496-'DCF Base Case'!$B$2*(1+B1496)^0*B1496*'DCF Base Case'!$B$4</f>
        <v>34.890741096398</v>
      </c>
      <c r="K1496" s="24" t="n">
        <f aca="false">'DCF Base Case'!$B$2*(1+B1496)^2*$I1496-'DCF Base Case'!$B$2*(1+B1496)^1*B1496*'DCF Base Case'!$B$4</f>
        <v>39.3504264642999</v>
      </c>
      <c r="L1496" s="24" t="n">
        <f aca="false">'DCF Base Case'!$B$2*(1+B1496)^3*$I1496-'DCF Base Case'!$B$2*(1+B1496)^2*B1496*'DCF Base Case'!$B$4</f>
        <v>44.3801425324878</v>
      </c>
      <c r="M1496" s="24" t="n">
        <f aca="false">'DCF Base Case'!$B$2*(1+B1496)^4*$I1496-'DCF Base Case'!$B$2*(1+B1496)^3*B1496*'DCF Base Case'!$B$4</f>
        <v>50.052749821932</v>
      </c>
      <c r="N1496" s="24" t="n">
        <f aca="false">'DCF Base Case'!$B$2*(1+B1496)^5*$I1496-'DCF Base Case'!$B$2*(1+B1496)^4*B1496*'DCF Base Case'!$B$4</f>
        <v>56.4504217827368</v>
      </c>
      <c r="O1496" s="24" t="n">
        <f aca="false">J1496/(1+H1496)^1+K1496/(1+H1496)^2+L1496/(1+H1496)^3+M1496/(1+H1496)^4+N1496/(1+H1496)^5</f>
        <v>175.823483872807</v>
      </c>
      <c r="P1496" s="24" t="n">
        <f aca="false">N1496*(1+F1496)/(H1496-F1496)</f>
        <v>949.472615545249</v>
      </c>
      <c r="Q1496" s="24" t="n">
        <f aca="false">O1496+P1496/(1+H1496)^5</f>
        <v>818.111240510543</v>
      </c>
      <c r="R1496" s="24" t="n">
        <f aca="false">Q1496-'DCF Base Case'!$B$5</f>
        <v>633.111240510543</v>
      </c>
      <c r="S1496" s="32" t="n">
        <f aca="false">R1496/'DCF Base Case'!$B$6</f>
        <v>25.3244496204217</v>
      </c>
    </row>
    <row r="1497" customFormat="false" ht="15" hidden="false" customHeight="true" outlineLevel="0" collapsed="false">
      <c r="A1497" s="6" t="n">
        <v>1496</v>
      </c>
      <c r="B1497" s="30" t="n">
        <v>0.0967871460308115</v>
      </c>
      <c r="C1497" s="30" t="n">
        <v>0.387764254173979</v>
      </c>
      <c r="D1497" s="30" t="n">
        <v>0.0842241236147032</v>
      </c>
      <c r="E1497" s="30" t="n">
        <v>0.256335052742809</v>
      </c>
      <c r="F1497" s="30" t="n">
        <v>0.0148019760092456</v>
      </c>
      <c r="G1497" s="30" t="n">
        <v>0.202695011030975</v>
      </c>
      <c r="H1497" s="31" t="n">
        <f aca="false">MAX(D1497,F1497+0.015)</f>
        <v>0.0842241236147032</v>
      </c>
      <c r="I1497" s="25" t="n">
        <f aca="false">(C1497-'DCF Base Case'!$B$3)*(1-E1497)+'DCF Base Case'!$B$3-G1497</f>
        <v>0.118995229454106</v>
      </c>
      <c r="J1497" s="24" t="n">
        <f aca="false">'DCF Base Case'!$B$2*(1+B1497)^1*$I1497-'DCF Base Case'!$B$2*(1+B1497)^0*B1497*'DCF Base Case'!$B$4</f>
        <v>18.5032794398823</v>
      </c>
      <c r="K1497" s="24" t="n">
        <f aca="false">'DCF Base Case'!$B$2*(1+B1497)^2*$I1497-'DCF Base Case'!$B$2*(1+B1497)^1*B1497*'DCF Base Case'!$B$4</f>
        <v>20.2941590490791</v>
      </c>
      <c r="L1497" s="24" t="n">
        <f aca="false">'DCF Base Case'!$B$2*(1+B1497)^3*$I1497-'DCF Base Case'!$B$2*(1+B1497)^2*B1497*'DCF Base Case'!$B$4</f>
        <v>22.2583727845349</v>
      </c>
      <c r="M1497" s="24" t="n">
        <f aca="false">'DCF Base Case'!$B$2*(1+B1497)^4*$I1497-'DCF Base Case'!$B$2*(1+B1497)^3*B1497*'DCF Base Case'!$B$4</f>
        <v>24.4126971616399</v>
      </c>
      <c r="N1497" s="24" t="n">
        <f aca="false">'DCF Base Case'!$B$2*(1+B1497)^5*$I1497-'DCF Base Case'!$B$2*(1+B1497)^4*B1497*'DCF Base Case'!$B$4</f>
        <v>26.7755324468295</v>
      </c>
      <c r="O1497" s="24" t="n">
        <f aca="false">J1497/(1+H1497)^1+K1497/(1+H1497)^2+L1497/(1+H1497)^3+M1497/(1+H1497)^4+N1497/(1+H1497)^5</f>
        <v>87.3300797699771</v>
      </c>
      <c r="P1497" s="24" t="n">
        <f aca="false">N1497*(1+F1497)/(H1497-F1497)</f>
        <v>391.400499307027</v>
      </c>
      <c r="Q1497" s="24" t="n">
        <f aca="false">O1497+P1497/(1+H1497)^5</f>
        <v>348.561881372173</v>
      </c>
      <c r="R1497" s="24" t="n">
        <f aca="false">Q1497-'DCF Base Case'!$B$5</f>
        <v>163.561881372173</v>
      </c>
      <c r="S1497" s="32" t="n">
        <f aca="false">R1497/'DCF Base Case'!$B$6</f>
        <v>6.54247525488693</v>
      </c>
    </row>
    <row r="1498" customFormat="false" ht="15" hidden="false" customHeight="true" outlineLevel="0" collapsed="false">
      <c r="A1498" s="6" t="n">
        <v>1497</v>
      </c>
      <c r="B1498" s="30" t="n">
        <v>0.0911949750235047</v>
      </c>
      <c r="C1498" s="30" t="n">
        <v>0.419251479874287</v>
      </c>
      <c r="D1498" s="30" t="n">
        <v>0.0628748215281055</v>
      </c>
      <c r="E1498" s="30" t="n">
        <v>0.26529466204753</v>
      </c>
      <c r="F1498" s="30" t="n">
        <v>0.0209957766155754</v>
      </c>
      <c r="G1498" s="30" t="n">
        <v>0.169619373197669</v>
      </c>
      <c r="H1498" s="31" t="n">
        <f aca="false">MAX(D1498,F1498+0.015)</f>
        <v>0.0628748215281055</v>
      </c>
      <c r="I1498" s="25" t="n">
        <f aca="false">(C1498-'DCF Base Case'!$B$3)*(1-E1498)+'DCF Base Case'!$B$3-G1498</f>
        <v>0.172895233076621</v>
      </c>
      <c r="J1498" s="24" t="n">
        <f aca="false">'DCF Base Case'!$B$2*(1+B1498)^1*$I1498-'DCF Base Case'!$B$2*(1+B1498)^0*B1498*'DCF Base Case'!$B$4</f>
        <v>26.9593512417631</v>
      </c>
      <c r="K1498" s="24" t="n">
        <f aca="false">'DCF Base Case'!$B$2*(1+B1498)^2*$I1498-'DCF Base Case'!$B$2*(1+B1498)^1*B1498*'DCF Base Case'!$B$4</f>
        <v>29.4179086049056</v>
      </c>
      <c r="L1498" s="24" t="n">
        <f aca="false">'DCF Base Case'!$B$2*(1+B1498)^3*$I1498-'DCF Base Case'!$B$2*(1+B1498)^2*B1498*'DCF Base Case'!$B$4</f>
        <v>32.1006740453737</v>
      </c>
      <c r="M1498" s="24" t="n">
        <f aca="false">'DCF Base Case'!$B$2*(1+B1498)^4*$I1498-'DCF Base Case'!$B$2*(1+B1498)^3*B1498*'DCF Base Case'!$B$4</f>
        <v>35.0280942131792</v>
      </c>
      <c r="N1498" s="24" t="n">
        <f aca="false">'DCF Base Case'!$B$2*(1+B1498)^5*$I1498-'DCF Base Case'!$B$2*(1+B1498)^4*B1498*'DCF Base Case'!$B$4</f>
        <v>38.222480390071</v>
      </c>
      <c r="O1498" s="24" t="n">
        <f aca="false">J1498/(1+H1498)^1+K1498/(1+H1498)^2+L1498/(1+H1498)^3+M1498/(1+H1498)^4+N1498/(1+H1498)^5</f>
        <v>133.763634659686</v>
      </c>
      <c r="P1498" s="24" t="n">
        <f aca="false">N1498*(1+F1498)/(H1498-F1498)</f>
        <v>931.850072788026</v>
      </c>
      <c r="Q1498" s="24" t="n">
        <f aca="false">O1498+P1498/(1+H1498)^5</f>
        <v>820.729958310945</v>
      </c>
      <c r="R1498" s="24" t="n">
        <f aca="false">Q1498-'DCF Base Case'!$B$5</f>
        <v>635.729958310945</v>
      </c>
      <c r="S1498" s="32" t="n">
        <f aca="false">R1498/'DCF Base Case'!$B$6</f>
        <v>25.4291983324378</v>
      </c>
    </row>
    <row r="1499" customFormat="false" ht="15" hidden="false" customHeight="true" outlineLevel="0" collapsed="false">
      <c r="A1499" s="6" t="n">
        <v>1498</v>
      </c>
      <c r="B1499" s="30" t="n">
        <v>0.0488371139716242</v>
      </c>
      <c r="C1499" s="30" t="n">
        <v>0.401553532193099</v>
      </c>
      <c r="D1499" s="30" t="n">
        <v>0.0890321468390466</v>
      </c>
      <c r="E1499" s="30" t="n">
        <v>0.318596736508771</v>
      </c>
      <c r="F1499" s="30" t="n">
        <v>0.0166953647498791</v>
      </c>
      <c r="G1499" s="30" t="n">
        <v>0.127064974345482</v>
      </c>
      <c r="H1499" s="31" t="n">
        <f aca="false">MAX(D1499,F1499+0.015)</f>
        <v>0.0890321468390466</v>
      </c>
      <c r="I1499" s="25" t="n">
        <f aca="false">(C1499-'DCF Base Case'!$B$3)*(1-E1499)+'DCF Base Case'!$B$3-G1499</f>
        <v>0.187972488703466</v>
      </c>
      <c r="J1499" s="24" t="n">
        <f aca="false">'DCF Base Case'!$B$2*(1+B1499)^1*$I1499-'DCF Base Case'!$B$2*(1+B1499)^0*B1499*'DCF Base Case'!$B$4</f>
        <v>28.3746743251055</v>
      </c>
      <c r="K1499" s="24" t="n">
        <f aca="false">'DCF Base Case'!$B$2*(1+B1499)^2*$I1499-'DCF Base Case'!$B$2*(1+B1499)^1*B1499*'DCF Base Case'!$B$4</f>
        <v>29.7604115290284</v>
      </c>
      <c r="L1499" s="24" t="n">
        <f aca="false">'DCF Base Case'!$B$2*(1+B1499)^3*$I1499-'DCF Base Case'!$B$2*(1+B1499)^2*B1499*'DCF Base Case'!$B$4</f>
        <v>31.213824138714</v>
      </c>
      <c r="M1499" s="24" t="n">
        <f aca="false">'DCF Base Case'!$B$2*(1+B1499)^4*$I1499-'DCF Base Case'!$B$2*(1+B1499)^3*B1499*'DCF Base Case'!$B$4</f>
        <v>32.7382172256666</v>
      </c>
      <c r="N1499" s="24" t="n">
        <f aca="false">'DCF Base Case'!$B$2*(1+B1499)^5*$I1499-'DCF Base Case'!$B$2*(1+B1499)^4*B1499*'DCF Base Case'!$B$4</f>
        <v>34.3370572715442</v>
      </c>
      <c r="O1499" s="24" t="n">
        <f aca="false">J1499/(1+H1499)^1+K1499/(1+H1499)^2+L1499/(1+H1499)^3+M1499/(1+H1499)^4+N1499/(1+H1499)^5</f>
        <v>121.006562391212</v>
      </c>
      <c r="P1499" s="24" t="n">
        <f aca="false">N1499*(1+F1499)/(H1499-F1499)</f>
        <v>482.608238283218</v>
      </c>
      <c r="Q1499" s="24" t="n">
        <f aca="false">O1499+P1499/(1+H1499)^5</f>
        <v>436.065085154106</v>
      </c>
      <c r="R1499" s="24" t="n">
        <f aca="false">Q1499-'DCF Base Case'!$B$5</f>
        <v>251.065085154106</v>
      </c>
      <c r="S1499" s="32" t="n">
        <f aca="false">R1499/'DCF Base Case'!$B$6</f>
        <v>10.0426034061643</v>
      </c>
    </row>
    <row r="1500" customFormat="false" ht="15" hidden="false" customHeight="true" outlineLevel="0" collapsed="false">
      <c r="A1500" s="6" t="n">
        <v>1499</v>
      </c>
      <c r="B1500" s="30" t="n">
        <v>0.068234544364598</v>
      </c>
      <c r="C1500" s="30" t="n">
        <v>0.382493527850127</v>
      </c>
      <c r="D1500" s="30" t="n">
        <v>0.0931037976555797</v>
      </c>
      <c r="E1500" s="30" t="n">
        <v>0.242692990186092</v>
      </c>
      <c r="F1500" s="30" t="n">
        <v>0.0175641190127549</v>
      </c>
      <c r="G1500" s="30" t="n">
        <v>0.198510882670273</v>
      </c>
      <c r="H1500" s="31" t="n">
        <f aca="false">MAX(D1500,F1500+0.015)</f>
        <v>0.0931037976555797</v>
      </c>
      <c r="I1500" s="25" t="n">
        <f aca="false">(C1500-'DCF Base Case'!$B$3)*(1-E1500)+'DCF Base Case'!$B$3-G1500</f>
        <v>0.122704235903271</v>
      </c>
      <c r="J1500" s="24" t="n">
        <f aca="false">'DCF Base Case'!$B$2*(1+B1500)^1*$I1500-'DCF Base Case'!$B$2*(1+B1500)^0*B1500*'DCF Base Case'!$B$4</f>
        <v>18.7093307441159</v>
      </c>
      <c r="K1500" s="24" t="n">
        <f aca="false">'DCF Base Case'!$B$2*(1+B1500)^2*$I1500-'DCF Base Case'!$B$2*(1+B1500)^1*B1500*'DCF Base Case'!$B$4</f>
        <v>19.9859534028072</v>
      </c>
      <c r="L1500" s="24" t="n">
        <f aca="false">'DCF Base Case'!$B$2*(1+B1500)^3*$I1500-'DCF Base Case'!$B$2*(1+B1500)^2*B1500*'DCF Base Case'!$B$4</f>
        <v>21.3496858269399</v>
      </c>
      <c r="M1500" s="24" t="n">
        <f aca="false">'DCF Base Case'!$B$2*(1+B1500)^4*$I1500-'DCF Base Case'!$B$2*(1+B1500)^3*B1500*'DCF Base Case'!$B$4</f>
        <v>22.8064719116684</v>
      </c>
      <c r="N1500" s="24" t="n">
        <f aca="false">'DCF Base Case'!$B$2*(1+B1500)^5*$I1500-'DCF Base Case'!$B$2*(1+B1500)^4*B1500*'DCF Base Case'!$B$4</f>
        <v>24.3626611311251</v>
      </c>
      <c r="O1500" s="24" t="n">
        <f aca="false">J1500/(1+H1500)^1+K1500/(1+H1500)^2+L1500/(1+H1500)^3+M1500/(1+H1500)^4+N1500/(1+H1500)^5</f>
        <v>81.7725000023508</v>
      </c>
      <c r="P1500" s="24" t="n">
        <f aca="false">N1500*(1+F1500)/(H1500-F1500)</f>
        <v>328.179444976423</v>
      </c>
      <c r="Q1500" s="24" t="n">
        <f aca="false">O1500+P1500/(1+H1500)^5</f>
        <v>292.055595049122</v>
      </c>
      <c r="R1500" s="24" t="n">
        <f aca="false">Q1500-'DCF Base Case'!$B$5</f>
        <v>107.055595049122</v>
      </c>
      <c r="S1500" s="32" t="n">
        <f aca="false">R1500/'DCF Base Case'!$B$6</f>
        <v>4.28222380196487</v>
      </c>
    </row>
    <row r="1501" customFormat="false" ht="15" hidden="false" customHeight="true" outlineLevel="0" collapsed="false">
      <c r="A1501" s="6" t="n">
        <v>1500</v>
      </c>
      <c r="B1501" s="30" t="n">
        <v>0.0901440741447849</v>
      </c>
      <c r="C1501" s="30" t="n">
        <v>0.431726173617881</v>
      </c>
      <c r="D1501" s="30" t="n">
        <v>0.0669402183309381</v>
      </c>
      <c r="E1501" s="30" t="n">
        <v>0.250957815536433</v>
      </c>
      <c r="F1501" s="30" t="n">
        <v>0.0243557436455433</v>
      </c>
      <c r="G1501" s="30" t="n">
        <v>0.167482017386939</v>
      </c>
      <c r="H1501" s="31" t="n">
        <f aca="false">MAX(D1501,F1501+0.015)</f>
        <v>0.0669402183309381</v>
      </c>
      <c r="I1501" s="25" t="n">
        <f aca="false">(C1501-'DCF Base Case'!$B$3)*(1-E1501)+'DCF Base Case'!$B$3-G1501</f>
        <v>0.188523614809632</v>
      </c>
      <c r="J1501" s="24" t="n">
        <f aca="false">'DCF Base Case'!$B$2*(1+B1501)^1*$I1501-'DCF Base Case'!$B$2*(1+B1501)^0*B1501*'DCF Base Case'!$B$4</f>
        <v>29.407968998026</v>
      </c>
      <c r="K1501" s="24" t="n">
        <f aca="false">'DCF Base Case'!$B$2*(1+B1501)^2*$I1501-'DCF Base Case'!$B$2*(1+B1501)^1*B1501*'DCF Base Case'!$B$4</f>
        <v>32.0589231358316</v>
      </c>
      <c r="L1501" s="24" t="n">
        <f aca="false">'DCF Base Case'!$B$2*(1+B1501)^3*$I1501-'DCF Base Case'!$B$2*(1+B1501)^2*B1501*'DCF Base Case'!$B$4</f>
        <v>34.9488450799899</v>
      </c>
      <c r="M1501" s="24" t="n">
        <f aca="false">'DCF Base Case'!$B$2*(1+B1501)^4*$I1501-'DCF Base Case'!$B$2*(1+B1501)^3*B1501*'DCF Base Case'!$B$4</f>
        <v>38.0992763621552</v>
      </c>
      <c r="N1501" s="24" t="n">
        <f aca="false">'DCF Base Case'!$B$2*(1+B1501)^5*$I1501-'DCF Base Case'!$B$2*(1+B1501)^4*B1501*'DCF Base Case'!$B$4</f>
        <v>41.5337003554079</v>
      </c>
      <c r="O1501" s="24" t="n">
        <f aca="false">J1501/(1+H1501)^1+K1501/(1+H1501)^2+L1501/(1+H1501)^3+M1501/(1+H1501)^4+N1501/(1+H1501)^5</f>
        <v>143.940691808427</v>
      </c>
      <c r="P1501" s="24" t="n">
        <f aca="false">N1501*(1+F1501)/(H1501-F1501)</f>
        <v>999.079707527936</v>
      </c>
      <c r="Q1501" s="24" t="n">
        <f aca="false">O1501+P1501/(1+H1501)^5</f>
        <v>866.543603420946</v>
      </c>
      <c r="R1501" s="24" t="n">
        <f aca="false">Q1501-'DCF Base Case'!$B$5</f>
        <v>681.543603420946</v>
      </c>
      <c r="S1501" s="32" t="n">
        <f aca="false">R1501/'DCF Base Case'!$B$6</f>
        <v>27.2617441368378</v>
      </c>
    </row>
    <row r="1502" customFormat="false" ht="15" hidden="false" customHeight="true" outlineLevel="0" collapsed="false">
      <c r="A1502" s="6" t="n">
        <v>1501</v>
      </c>
      <c r="B1502" s="30" t="n">
        <v>0.0921004900131141</v>
      </c>
      <c r="C1502" s="30" t="n">
        <v>0.390588275057924</v>
      </c>
      <c r="D1502" s="30" t="n">
        <v>0.0861085990184526</v>
      </c>
      <c r="E1502" s="30" t="n">
        <v>0.256643409618877</v>
      </c>
      <c r="F1502" s="30" t="n">
        <v>0.0235706022927855</v>
      </c>
      <c r="G1502" s="30" t="n">
        <v>0.215626706610334</v>
      </c>
      <c r="H1502" s="31" t="n">
        <f aca="false">MAX(D1502,F1502+0.015)</f>
        <v>0.0861085990184526</v>
      </c>
      <c r="I1502" s="25" t="n">
        <f aca="false">(C1502-'DCF Base Case'!$B$3)*(1-E1502)+'DCF Base Case'!$B$3-G1502</f>
        <v>0.108083305030023</v>
      </c>
      <c r="J1502" s="24" t="n">
        <f aca="false">'DCF Base Case'!$B$2*(1+B1502)^1*$I1502-'DCF Base Case'!$B$2*(1+B1502)^0*B1502*'DCF Base Case'!$B$4</f>
        <v>16.714848274344</v>
      </c>
      <c r="K1502" s="24" t="n">
        <f aca="false">'DCF Base Case'!$B$2*(1+B1502)^2*$I1502-'DCF Base Case'!$B$2*(1+B1502)^1*B1502*'DCF Base Case'!$B$4</f>
        <v>18.254293990906</v>
      </c>
      <c r="L1502" s="24" t="n">
        <f aca="false">'DCF Base Case'!$B$2*(1+B1502)^3*$I1502-'DCF Base Case'!$B$2*(1+B1502)^2*B1502*'DCF Base Case'!$B$4</f>
        <v>19.9355234123118</v>
      </c>
      <c r="M1502" s="24" t="n">
        <f aca="false">'DCF Base Case'!$B$2*(1+B1502)^4*$I1502-'DCF Base Case'!$B$2*(1+B1502)^3*B1502*'DCF Base Case'!$B$4</f>
        <v>21.7715948872537</v>
      </c>
      <c r="N1502" s="24" t="n">
        <f aca="false">'DCF Base Case'!$B$2*(1+B1502)^5*$I1502-'DCF Base Case'!$B$2*(1+B1502)^4*B1502*'DCF Base Case'!$B$4</f>
        <v>23.7767694447367</v>
      </c>
      <c r="O1502" s="24" t="n">
        <f aca="false">J1502/(1+H1502)^1+K1502/(1+H1502)^2+L1502/(1+H1502)^3+M1502/(1+H1502)^4+N1502/(1+H1502)^5</f>
        <v>77.8020492135894</v>
      </c>
      <c r="P1502" s="24" t="n">
        <f aca="false">N1502*(1+F1502)/(H1502-F1502)</f>
        <v>389.158647468113</v>
      </c>
      <c r="Q1502" s="24" t="n">
        <f aca="false">O1502+P1502/(1+H1502)^5</f>
        <v>335.292083239608</v>
      </c>
      <c r="R1502" s="24" t="n">
        <f aca="false">Q1502-'DCF Base Case'!$B$5</f>
        <v>150.292083239608</v>
      </c>
      <c r="S1502" s="32" t="n">
        <f aca="false">R1502/'DCF Base Case'!$B$6</f>
        <v>6.01168332958431</v>
      </c>
    </row>
    <row r="1503" customFormat="false" ht="15" hidden="false" customHeight="true" outlineLevel="0" collapsed="false">
      <c r="A1503" s="6" t="n">
        <v>1502</v>
      </c>
      <c r="B1503" s="30" t="n">
        <v>0.100363283950887</v>
      </c>
      <c r="C1503" s="30" t="n">
        <v>0.404851100066405</v>
      </c>
      <c r="D1503" s="30" t="n">
        <v>0.0571297583645588</v>
      </c>
      <c r="E1503" s="30" t="n">
        <v>0.250064850220295</v>
      </c>
      <c r="F1503" s="30" t="n">
        <v>0.0246940027569832</v>
      </c>
      <c r="G1503" s="30" t="n">
        <v>0.144632885924674</v>
      </c>
      <c r="H1503" s="31" t="n">
        <f aca="false">MAX(D1503,F1503+0.015)</f>
        <v>0.0571297583645588</v>
      </c>
      <c r="I1503" s="25" t="n">
        <f aca="false">(C1503-'DCF Base Case'!$B$3)*(1-E1503)+'DCF Base Case'!$B$3-G1503</f>
        <v>0.191487614970742</v>
      </c>
      <c r="J1503" s="24" t="n">
        <f aca="false">'DCF Base Case'!$B$2*(1+B1503)^1*$I1503-'DCF Base Case'!$B$2*(1+B1503)^0*B1503*'DCF Base Case'!$B$4</f>
        <v>30.1157811373573</v>
      </c>
      <c r="K1503" s="24" t="n">
        <f aca="false">'DCF Base Case'!$B$2*(1+B1503)^2*$I1503-'DCF Base Case'!$B$2*(1+B1503)^1*B1503*'DCF Base Case'!$B$4</f>
        <v>33.1382998310487</v>
      </c>
      <c r="L1503" s="24" t="n">
        <f aca="false">'DCF Base Case'!$B$2*(1+B1503)^3*$I1503-'DCF Base Case'!$B$2*(1+B1503)^2*B1503*'DCF Base Case'!$B$4</f>
        <v>36.4641684266419</v>
      </c>
      <c r="M1503" s="24" t="n">
        <f aca="false">'DCF Base Case'!$B$2*(1+B1503)^4*$I1503-'DCF Base Case'!$B$2*(1+B1503)^3*B1503*'DCF Base Case'!$B$4</f>
        <v>40.1238321164779</v>
      </c>
      <c r="N1503" s="24" t="n">
        <f aca="false">'DCF Base Case'!$B$2*(1+B1503)^5*$I1503-'DCF Base Case'!$B$2*(1+B1503)^4*B1503*'DCF Base Case'!$B$4</f>
        <v>44.1507916723817</v>
      </c>
      <c r="O1503" s="24" t="n">
        <f aca="false">J1503/(1+H1503)^1+K1503/(1+H1503)^2+L1503/(1+H1503)^3+M1503/(1+H1503)^4+N1503/(1+H1503)^5</f>
        <v>154.578445397622</v>
      </c>
      <c r="P1503" s="24" t="n">
        <f aca="false">N1503*(1+F1503)/(H1503-F1503)</f>
        <v>1394.78950301056</v>
      </c>
      <c r="Q1503" s="24" t="n">
        <f aca="false">O1503+P1503/(1+H1503)^5</f>
        <v>1211.07279335475</v>
      </c>
      <c r="R1503" s="24" t="n">
        <f aca="false">Q1503-'DCF Base Case'!$B$5</f>
        <v>1026.07279335475</v>
      </c>
      <c r="S1503" s="32" t="n">
        <f aca="false">R1503/'DCF Base Case'!$B$6</f>
        <v>41.0429117341899</v>
      </c>
    </row>
    <row r="1504" customFormat="false" ht="15" hidden="false" customHeight="true" outlineLevel="0" collapsed="false">
      <c r="A1504" s="6" t="n">
        <v>1503</v>
      </c>
      <c r="B1504" s="30" t="n">
        <v>0.0821533070767645</v>
      </c>
      <c r="C1504" s="30" t="n">
        <v>0.424550709089447</v>
      </c>
      <c r="D1504" s="30" t="n">
        <v>0.10130518779298</v>
      </c>
      <c r="E1504" s="30" t="n">
        <v>0.274282948446405</v>
      </c>
      <c r="F1504" s="30" t="n">
        <v>0.0177460125116904</v>
      </c>
      <c r="G1504" s="30" t="n">
        <v>0.166814376809572</v>
      </c>
      <c r="H1504" s="31" t="n">
        <f aca="false">MAX(D1504,F1504+0.015)</f>
        <v>0.10130518779298</v>
      </c>
      <c r="I1504" s="25" t="n">
        <f aca="false">(C1504-'DCF Base Case'!$B$3)*(1-E1504)+'DCF Base Case'!$B$3-G1504</f>
        <v>0.176946095323842</v>
      </c>
      <c r="J1504" s="24" t="n">
        <f aca="false">'DCF Base Case'!$B$2*(1+B1504)^1*$I1504-'DCF Base Case'!$B$2*(1+B1504)^0*B1504*'DCF Base Case'!$B$4</f>
        <v>27.4076394374234</v>
      </c>
      <c r="K1504" s="24" t="n">
        <f aca="false">'DCF Base Case'!$B$2*(1+B1504)^2*$I1504-'DCF Base Case'!$B$2*(1+B1504)^1*B1504*'DCF Base Case'!$B$4</f>
        <v>29.6592676563753</v>
      </c>
      <c r="L1504" s="24" t="n">
        <f aca="false">'DCF Base Case'!$B$2*(1+B1504)^3*$I1504-'DCF Base Case'!$B$2*(1+B1504)^2*B1504*'DCF Base Case'!$B$4</f>
        <v>32.0958745798215</v>
      </c>
      <c r="M1504" s="24" t="n">
        <f aca="false">'DCF Base Case'!$B$2*(1+B1504)^4*$I1504-'DCF Base Case'!$B$2*(1+B1504)^3*B1504*'DCF Base Case'!$B$4</f>
        <v>34.7326568200749</v>
      </c>
      <c r="N1504" s="24" t="n">
        <f aca="false">'DCF Base Case'!$B$2*(1+B1504)^5*$I1504-'DCF Base Case'!$B$2*(1+B1504)^4*B1504*'DCF Base Case'!$B$4</f>
        <v>37.5860594414064</v>
      </c>
      <c r="O1504" s="24" t="n">
        <f aca="false">J1504/(1+H1504)^1+K1504/(1+H1504)^2+L1504/(1+H1504)^3+M1504/(1+H1504)^4+N1504/(1+H1504)^5</f>
        <v>120.17933984581</v>
      </c>
      <c r="P1504" s="24" t="n">
        <f aca="false">N1504*(1+F1504)/(H1504-F1504)</f>
        <v>457.796070793488</v>
      </c>
      <c r="Q1504" s="24" t="n">
        <f aca="false">O1504+P1504/(1+H1504)^5</f>
        <v>402.754274478667</v>
      </c>
      <c r="R1504" s="24" t="n">
        <f aca="false">Q1504-'DCF Base Case'!$B$5</f>
        <v>217.754274478667</v>
      </c>
      <c r="S1504" s="32" t="n">
        <f aca="false">R1504/'DCF Base Case'!$B$6</f>
        <v>8.71017097914669</v>
      </c>
    </row>
    <row r="1505" customFormat="false" ht="15" hidden="false" customHeight="true" outlineLevel="0" collapsed="false">
      <c r="A1505" s="6" t="n">
        <v>1504</v>
      </c>
      <c r="B1505" s="30" t="n">
        <v>0.076408832358991</v>
      </c>
      <c r="C1505" s="30" t="n">
        <v>0.396698683646099</v>
      </c>
      <c r="D1505" s="30" t="n">
        <v>0.0895306812928726</v>
      </c>
      <c r="E1505" s="30" t="n">
        <v>0.285020372934307</v>
      </c>
      <c r="F1505" s="30" t="n">
        <v>0.0260275175615205</v>
      </c>
      <c r="G1505" s="30" t="n">
        <v>0.175476823373521</v>
      </c>
      <c r="H1505" s="31" t="n">
        <f aca="false">MAX(D1505,F1505+0.015)</f>
        <v>0.0895306812928726</v>
      </c>
      <c r="I1505" s="25" t="n">
        <f aca="false">(C1505-'DCF Base Case'!$B$3)*(1-E1505)+'DCF Base Case'!$B$3-G1505</f>
        <v>0.145207301998678</v>
      </c>
      <c r="J1505" s="24" t="n">
        <f aca="false">'DCF Base Case'!$B$2*(1+B1505)^1*$I1505-'DCF Base Case'!$B$2*(1+B1505)^0*B1505*'DCF Base Case'!$B$4</f>
        <v>22.3314728264259</v>
      </c>
      <c r="K1505" s="24" t="n">
        <f aca="false">'DCF Base Case'!$B$2*(1+B1505)^2*$I1505-'DCF Base Case'!$B$2*(1+B1505)^1*B1505*'DCF Base Case'!$B$4</f>
        <v>24.0377945899496</v>
      </c>
      <c r="L1505" s="24" t="n">
        <f aca="false">'DCF Base Case'!$B$2*(1+B1505)^3*$I1505-'DCF Base Case'!$B$2*(1+B1505)^2*B1505*'DCF Base Case'!$B$4</f>
        <v>25.8744944070529</v>
      </c>
      <c r="M1505" s="24" t="n">
        <f aca="false">'DCF Base Case'!$B$2*(1+B1505)^4*$I1505-'DCF Base Case'!$B$2*(1+B1505)^3*B1505*'DCF Base Case'!$B$4</f>
        <v>27.8515343125751</v>
      </c>
      <c r="N1505" s="24" t="n">
        <f aca="false">'DCF Base Case'!$B$2*(1+B1505)^5*$I1505-'DCF Base Case'!$B$2*(1+B1505)^4*B1505*'DCF Base Case'!$B$4</f>
        <v>29.9796375288053</v>
      </c>
      <c r="O1505" s="24" t="n">
        <f aca="false">J1505/(1+H1505)^1+K1505/(1+H1505)^2+L1505/(1+H1505)^3+M1505/(1+H1505)^4+N1505/(1+H1505)^5</f>
        <v>100.043123279505</v>
      </c>
      <c r="P1505" s="24" t="n">
        <f aca="false">N1505*(1+F1505)/(H1505-F1505)</f>
        <v>484.384261565347</v>
      </c>
      <c r="Q1505" s="24" t="n">
        <f aca="false">O1505+P1505/(1+H1505)^5</f>
        <v>415.538283262581</v>
      </c>
      <c r="R1505" s="24" t="n">
        <f aca="false">Q1505-'DCF Base Case'!$B$5</f>
        <v>230.538283262581</v>
      </c>
      <c r="S1505" s="32" t="n">
        <f aca="false">R1505/'DCF Base Case'!$B$6</f>
        <v>9.22153133050322</v>
      </c>
    </row>
    <row r="1506" customFormat="false" ht="15" hidden="false" customHeight="true" outlineLevel="0" collapsed="false">
      <c r="A1506" s="6" t="n">
        <v>1505</v>
      </c>
      <c r="B1506" s="30" t="n">
        <v>0.115016387259653</v>
      </c>
      <c r="C1506" s="30" t="n">
        <v>0.40054958812525</v>
      </c>
      <c r="D1506" s="30" t="n">
        <v>0.090776730190333</v>
      </c>
      <c r="E1506" s="30" t="n">
        <v>0.262965364105671</v>
      </c>
      <c r="F1506" s="30" t="n">
        <v>0.0207586452241344</v>
      </c>
      <c r="G1506" s="30" t="n">
        <v>0.181615285049105</v>
      </c>
      <c r="H1506" s="31" t="n">
        <f aca="false">MAX(D1506,F1506+0.015)</f>
        <v>0.090776730190333</v>
      </c>
      <c r="I1506" s="25" t="n">
        <f aca="false">(C1506-'DCF Base Case'!$B$3)*(1-E1506)+'DCF Base Case'!$B$3-G1506</f>
        <v>0.147789132126149</v>
      </c>
      <c r="J1506" s="24" t="n">
        <f aca="false">'DCF Base Case'!$B$2*(1+B1506)^1*$I1506-'DCF Base Case'!$B$2*(1+B1506)^0*B1506*'DCF Base Case'!$B$4</f>
        <v>23.3938378214536</v>
      </c>
      <c r="K1506" s="24" t="n">
        <f aca="false">'DCF Base Case'!$B$2*(1+B1506)^2*$I1506-'DCF Base Case'!$B$2*(1+B1506)^1*B1506*'DCF Base Case'!$B$4</f>
        <v>26.0845125318154</v>
      </c>
      <c r="L1506" s="24" t="n">
        <f aca="false">'DCF Base Case'!$B$2*(1+B1506)^3*$I1506-'DCF Base Case'!$B$2*(1+B1506)^2*B1506*'DCF Base Case'!$B$4</f>
        <v>29.084658926654</v>
      </c>
      <c r="M1506" s="24" t="n">
        <f aca="false">'DCF Base Case'!$B$2*(1+B1506)^4*$I1506-'DCF Base Case'!$B$2*(1+B1506)^3*B1506*'DCF Base Case'!$B$4</f>
        <v>32.4298713210769</v>
      </c>
      <c r="N1506" s="24" t="n">
        <f aca="false">'DCF Base Case'!$B$2*(1+B1506)^5*$I1506-'DCF Base Case'!$B$2*(1+B1506)^4*B1506*'DCF Base Case'!$B$4</f>
        <v>36.1598379597226</v>
      </c>
      <c r="O1506" s="24" t="n">
        <f aca="false">J1506/(1+H1506)^1+K1506/(1+H1506)^2+L1506/(1+H1506)^3+M1506/(1+H1506)^4+N1506/(1+H1506)^5</f>
        <v>112.107885908955</v>
      </c>
      <c r="P1506" s="24" t="n">
        <f aca="false">N1506*(1+F1506)/(H1506-F1506)</f>
        <v>527.156194361918</v>
      </c>
      <c r="Q1506" s="24" t="n">
        <f aca="false">O1506+P1506/(1+H1506)^5</f>
        <v>453.505114915822</v>
      </c>
      <c r="R1506" s="24" t="n">
        <f aca="false">Q1506-'DCF Base Case'!$B$5</f>
        <v>268.505114915822</v>
      </c>
      <c r="S1506" s="32" t="n">
        <f aca="false">R1506/'DCF Base Case'!$B$6</f>
        <v>10.7402045966329</v>
      </c>
    </row>
    <row r="1507" customFormat="false" ht="15" hidden="false" customHeight="true" outlineLevel="0" collapsed="false">
      <c r="A1507" s="6" t="n">
        <v>1506</v>
      </c>
      <c r="B1507" s="30" t="n">
        <v>0.0910044158804981</v>
      </c>
      <c r="C1507" s="30" t="n">
        <v>0.453209509843808</v>
      </c>
      <c r="D1507" s="30" t="n">
        <v>0.100707777460193</v>
      </c>
      <c r="E1507" s="30" t="n">
        <v>0.315597483849019</v>
      </c>
      <c r="F1507" s="30" t="n">
        <v>0.0220978502689789</v>
      </c>
      <c r="G1507" s="30" t="n">
        <v>0.204718672783835</v>
      </c>
      <c r="H1507" s="31" t="n">
        <f aca="false">MAX(D1507,F1507+0.015)</f>
        <v>0.100707777460193</v>
      </c>
      <c r="I1507" s="25" t="n">
        <f aca="false">(C1507-'DCF Base Case'!$B$3)*(1-E1507)+'DCF Base Case'!$B$3-G1507</f>
        <v>0.146486728997192</v>
      </c>
      <c r="J1507" s="24" t="n">
        <f aca="false">'DCF Base Case'!$B$2*(1+B1507)^1*$I1507-'DCF Base Case'!$B$2*(1+B1507)^0*B1507*'DCF Base Case'!$B$4</f>
        <v>22.7776926804747</v>
      </c>
      <c r="K1507" s="24" t="n">
        <f aca="false">'DCF Base Case'!$B$2*(1+B1507)^2*$I1507-'DCF Base Case'!$B$2*(1+B1507)^1*B1507*'DCF Base Case'!$B$4</f>
        <v>24.8505632979668</v>
      </c>
      <c r="L1507" s="24" t="n">
        <f aca="false">'DCF Base Case'!$B$2*(1+B1507)^3*$I1507-'DCF Base Case'!$B$2*(1+B1507)^2*B1507*'DCF Base Case'!$B$4</f>
        <v>27.1120742951996</v>
      </c>
      <c r="M1507" s="24" t="n">
        <f aca="false">'DCF Base Case'!$B$2*(1+B1507)^4*$I1507-'DCF Base Case'!$B$2*(1+B1507)^3*B1507*'DCF Base Case'!$B$4</f>
        <v>29.5793927797429</v>
      </c>
      <c r="N1507" s="24" t="n">
        <f aca="false">'DCF Base Case'!$B$2*(1+B1507)^5*$I1507-'DCF Base Case'!$B$2*(1+B1507)^4*B1507*'DCF Base Case'!$B$4</f>
        <v>32.2712481417633</v>
      </c>
      <c r="O1507" s="24" t="n">
        <f aca="false">J1507/(1+H1507)^1+K1507/(1+H1507)^2+L1507/(1+H1507)^3+M1507/(1+H1507)^4+N1507/(1+H1507)^5</f>
        <v>101.660138027002</v>
      </c>
      <c r="P1507" s="24" t="n">
        <f aca="false">N1507*(1+F1507)/(H1507-F1507)</f>
        <v>419.595520944326</v>
      </c>
      <c r="Q1507" s="24" t="n">
        <f aca="false">O1507+P1507/(1+H1507)^5</f>
        <v>361.359371521347</v>
      </c>
      <c r="R1507" s="24" t="n">
        <f aca="false">Q1507-'DCF Base Case'!$B$5</f>
        <v>176.359371521346</v>
      </c>
      <c r="S1507" s="32" t="n">
        <f aca="false">R1507/'DCF Base Case'!$B$6</f>
        <v>7.05437486085386</v>
      </c>
    </row>
    <row r="1508" customFormat="false" ht="15" hidden="false" customHeight="true" outlineLevel="0" collapsed="false">
      <c r="A1508" s="6" t="n">
        <v>1507</v>
      </c>
      <c r="B1508" s="30" t="n">
        <v>0.059411769475245</v>
      </c>
      <c r="C1508" s="30" t="n">
        <v>0.430504413280414</v>
      </c>
      <c r="D1508" s="30" t="n">
        <v>0.0740963125680053</v>
      </c>
      <c r="E1508" s="30" t="n">
        <v>0.265940441641803</v>
      </c>
      <c r="F1508" s="30" t="n">
        <v>0.0213596796931234</v>
      </c>
      <c r="G1508" s="30" t="n">
        <v>0.194456294290514</v>
      </c>
      <c r="H1508" s="31" t="n">
        <f aca="false">MAX(D1508,F1508+0.015)</f>
        <v>0.0740963125680053</v>
      </c>
      <c r="I1508" s="25" t="n">
        <f aca="false">(C1508-'DCF Base Case'!$B$3)*(1-E1508)+'DCF Base Case'!$B$3-G1508</f>
        <v>0.156131842606796</v>
      </c>
      <c r="J1508" s="24" t="n">
        <f aca="false">'DCF Base Case'!$B$2*(1+B1508)^1*$I1508-'DCF Base Case'!$B$2*(1+B1508)^0*B1508*'DCF Base Case'!$B$4</f>
        <v>23.7257059916696</v>
      </c>
      <c r="K1508" s="24" t="n">
        <f aca="false">'DCF Base Case'!$B$2*(1+B1508)^2*$I1508-'DCF Base Case'!$B$2*(1+B1508)^1*B1508*'DCF Base Case'!$B$4</f>
        <v>25.1352921666841</v>
      </c>
      <c r="L1508" s="24" t="n">
        <f aca="false">'DCF Base Case'!$B$2*(1+B1508)^3*$I1508-'DCF Base Case'!$B$2*(1+B1508)^2*B1508*'DCF Base Case'!$B$4</f>
        <v>26.6286243505841</v>
      </c>
      <c r="M1508" s="24" t="n">
        <f aca="false">'DCF Base Case'!$B$2*(1+B1508)^4*$I1508-'DCF Base Case'!$B$2*(1+B1508)^3*B1508*'DCF Base Case'!$B$4</f>
        <v>28.2106780419439</v>
      </c>
      <c r="N1508" s="24" t="n">
        <f aca="false">'DCF Base Case'!$B$2*(1+B1508)^5*$I1508-'DCF Base Case'!$B$2*(1+B1508)^4*B1508*'DCF Base Case'!$B$4</f>
        <v>29.8867243425122</v>
      </c>
      <c r="O1508" s="24" t="n">
        <f aca="false">J1508/(1+H1508)^1+K1508/(1+H1508)^2+L1508/(1+H1508)^3+M1508/(1+H1508)^4+N1508/(1+H1508)^5</f>
        <v>107.46606659363</v>
      </c>
      <c r="P1508" s="24" t="n">
        <f aca="false">N1508*(1+F1508)/(H1508-F1508)</f>
        <v>578.821466929183</v>
      </c>
      <c r="Q1508" s="24" t="n">
        <f aca="false">O1508+P1508/(1+H1508)^5</f>
        <v>512.348096255405</v>
      </c>
      <c r="R1508" s="24" t="n">
        <f aca="false">Q1508-'DCF Base Case'!$B$5</f>
        <v>327.348096255404</v>
      </c>
      <c r="S1508" s="32" t="n">
        <f aca="false">R1508/'DCF Base Case'!$B$6</f>
        <v>13.0939238502162</v>
      </c>
    </row>
    <row r="1509" customFormat="false" ht="15" hidden="false" customHeight="true" outlineLevel="0" collapsed="false">
      <c r="A1509" s="6" t="n">
        <v>1508</v>
      </c>
      <c r="B1509" s="30" t="n">
        <v>0.0649336009957743</v>
      </c>
      <c r="C1509" s="30" t="n">
        <v>0.393619727713538</v>
      </c>
      <c r="D1509" s="30" t="n">
        <v>0.0860728527975144</v>
      </c>
      <c r="E1509" s="30" t="n">
        <v>0.274622157506269</v>
      </c>
      <c r="F1509" s="30" t="n">
        <v>0.0224209893528933</v>
      </c>
      <c r="G1509" s="30" t="n">
        <v>0.218668990543255</v>
      </c>
      <c r="H1509" s="31" t="n">
        <f aca="false">MAX(D1509,F1509+0.015)</f>
        <v>0.0860728527975144</v>
      </c>
      <c r="I1509" s="25" t="n">
        <f aca="false">(C1509-'DCF Base Case'!$B$3)*(1-E1509)+'DCF Base Case'!$B$3-G1509</f>
        <v>0.102554918784376</v>
      </c>
      <c r="J1509" s="24" t="n">
        <f aca="false">'DCF Base Case'!$B$2*(1+B1509)^1*$I1509-'DCF Base Case'!$B$2*(1+B1509)^0*B1509*'DCF Base Case'!$B$4</f>
        <v>15.5535947849952</v>
      </c>
      <c r="K1509" s="24" t="n">
        <f aca="false">'DCF Base Case'!$B$2*(1+B1509)^2*$I1509-'DCF Base Case'!$B$2*(1+B1509)^1*B1509*'DCF Base Case'!$B$4</f>
        <v>16.5635457028141</v>
      </c>
      <c r="L1509" s="24" t="n">
        <f aca="false">'DCF Base Case'!$B$2*(1+B1509)^3*$I1509-'DCF Base Case'!$B$2*(1+B1509)^2*B1509*'DCF Base Case'!$B$4</f>
        <v>17.6390763705559</v>
      </c>
      <c r="M1509" s="24" t="n">
        <f aca="false">'DCF Base Case'!$B$2*(1+B1509)^4*$I1509-'DCF Base Case'!$B$2*(1+B1509)^3*B1509*'DCF Base Case'!$B$4</f>
        <v>18.7844451175355</v>
      </c>
      <c r="N1509" s="24" t="n">
        <f aca="false">'DCF Base Case'!$B$2*(1+B1509)^5*$I1509-'DCF Base Case'!$B$2*(1+B1509)^4*B1509*'DCF Base Case'!$B$4</f>
        <v>20.0041867817246</v>
      </c>
      <c r="O1509" s="24" t="n">
        <f aca="false">J1509/(1+H1509)^1+K1509/(1+H1509)^2+L1509/(1+H1509)^3+M1509/(1+H1509)^4+N1509/(1+H1509)^5</f>
        <v>68.8710567300373</v>
      </c>
      <c r="P1509" s="24" t="n">
        <f aca="false">N1509*(1+F1509)/(H1509-F1509)</f>
        <v>321.321314628367</v>
      </c>
      <c r="Q1509" s="24" t="n">
        <f aca="false">O1509+P1509/(1+H1509)^5</f>
        <v>281.510948990492</v>
      </c>
      <c r="R1509" s="24" t="n">
        <f aca="false">Q1509-'DCF Base Case'!$B$5</f>
        <v>96.5109489904917</v>
      </c>
      <c r="S1509" s="32" t="n">
        <f aca="false">R1509/'DCF Base Case'!$B$6</f>
        <v>3.86043795961967</v>
      </c>
    </row>
    <row r="1510" customFormat="false" ht="15" hidden="false" customHeight="true" outlineLevel="0" collapsed="false">
      <c r="A1510" s="6" t="n">
        <v>1509</v>
      </c>
      <c r="B1510" s="30" t="n">
        <v>0.0989213630918425</v>
      </c>
      <c r="C1510" s="30" t="n">
        <v>0.401995171286008</v>
      </c>
      <c r="D1510" s="30" t="n">
        <v>0.0707384083629711</v>
      </c>
      <c r="E1510" s="30" t="n">
        <v>0.271181823754738</v>
      </c>
      <c r="F1510" s="30" t="n">
        <v>0.0155109275419545</v>
      </c>
      <c r="G1510" s="30" t="n">
        <v>0.176178547141306</v>
      </c>
      <c r="H1510" s="31" t="n">
        <f aca="false">MAX(D1510,F1510+0.015)</f>
        <v>0.0707384083629711</v>
      </c>
      <c r="I1510" s="25" t="n">
        <f aca="false">(C1510-'DCF Base Case'!$B$3)*(1-E1510)+'DCF Base Case'!$B$3-G1510</f>
        <v>0.15205647754288</v>
      </c>
      <c r="J1510" s="24" t="n">
        <f aca="false">'DCF Base Case'!$B$2*(1+B1510)^1*$I1510-'DCF Base Case'!$B$2*(1+B1510)^0*B1510*'DCF Base Case'!$B$4</f>
        <v>23.7989182479635</v>
      </c>
      <c r="K1510" s="24" t="n">
        <f aca="false">'DCF Base Case'!$B$2*(1+B1510)^2*$I1510-'DCF Base Case'!$B$2*(1+B1510)^1*B1510*'DCF Base Case'!$B$4</f>
        <v>26.1531396811634</v>
      </c>
      <c r="L1510" s="24" t="n">
        <f aca="false">'DCF Base Case'!$B$2*(1+B1510)^3*$I1510-'DCF Base Case'!$B$2*(1+B1510)^2*B1510*'DCF Base Case'!$B$4</f>
        <v>28.7402439075554</v>
      </c>
      <c r="M1510" s="24" t="n">
        <f aca="false">'DCF Base Case'!$B$2*(1+B1510)^4*$I1510-'DCF Base Case'!$B$2*(1+B1510)^3*B1510*'DCF Base Case'!$B$4</f>
        <v>31.5832680104828</v>
      </c>
      <c r="N1510" s="24" t="n">
        <f aca="false">'DCF Base Case'!$B$2*(1+B1510)^5*$I1510-'DCF Base Case'!$B$2*(1+B1510)^4*B1510*'DCF Base Case'!$B$4</f>
        <v>34.7075279329748</v>
      </c>
      <c r="O1510" s="24" t="n">
        <f aca="false">J1510/(1+H1510)^1+K1510/(1+H1510)^2+L1510/(1+H1510)^3+M1510/(1+H1510)^4+N1510/(1+H1510)^5</f>
        <v>117.139512367055</v>
      </c>
      <c r="P1510" s="24" t="n">
        <f aca="false">N1510*(1+F1510)/(H1510-F1510)</f>
        <v>638.194488684533</v>
      </c>
      <c r="Q1510" s="24" t="n">
        <f aca="false">O1510+P1510/(1+H1510)^5</f>
        <v>570.596545208337</v>
      </c>
      <c r="R1510" s="24" t="n">
        <f aca="false">Q1510-'DCF Base Case'!$B$5</f>
        <v>385.596545208336</v>
      </c>
      <c r="S1510" s="32" t="n">
        <f aca="false">R1510/'DCF Base Case'!$B$6</f>
        <v>15.4238618083335</v>
      </c>
    </row>
    <row r="1511" customFormat="false" ht="15" hidden="false" customHeight="true" outlineLevel="0" collapsed="false">
      <c r="A1511" s="6" t="n">
        <v>1510</v>
      </c>
      <c r="B1511" s="30" t="n">
        <v>0.0996498638163672</v>
      </c>
      <c r="C1511" s="30" t="n">
        <v>0.408460457088609</v>
      </c>
      <c r="D1511" s="30" t="n">
        <v>0.106834505151622</v>
      </c>
      <c r="E1511" s="30" t="n">
        <v>0.26274882354188</v>
      </c>
      <c r="F1511" s="30" t="n">
        <v>0.0188984106317501</v>
      </c>
      <c r="G1511" s="30" t="n">
        <v>0.180400109217799</v>
      </c>
      <c r="H1511" s="31" t="n">
        <f aca="false">MAX(D1511,F1511+0.015)</f>
        <v>0.106834505151622</v>
      </c>
      <c r="I1511" s="25" t="n">
        <f aca="false">(C1511-'DCF Base Case'!$B$3)*(1-E1511)+'DCF Base Case'!$B$3-G1511</f>
        <v>0.154895190367844</v>
      </c>
      <c r="J1511" s="24" t="n">
        <f aca="false">'DCF Base Case'!$B$2*(1+B1511)^1*$I1511-'DCF Base Case'!$B$2*(1+B1511)^0*B1511*'DCF Base Case'!$B$4</f>
        <v>24.2644419665012</v>
      </c>
      <c r="K1511" s="24" t="n">
        <f aca="false">'DCF Base Case'!$B$2*(1+B1511)^2*$I1511-'DCF Base Case'!$B$2*(1+B1511)^1*B1511*'DCF Base Case'!$B$4</f>
        <v>26.6823903040432</v>
      </c>
      <c r="L1511" s="24" t="n">
        <f aca="false">'DCF Base Case'!$B$2*(1+B1511)^3*$I1511-'DCF Base Case'!$B$2*(1+B1511)^2*B1511*'DCF Base Case'!$B$4</f>
        <v>29.3412868641363</v>
      </c>
      <c r="M1511" s="24" t="n">
        <f aca="false">'DCF Base Case'!$B$2*(1+B1511)^4*$I1511-'DCF Base Case'!$B$2*(1+B1511)^3*B1511*'DCF Base Case'!$B$4</f>
        <v>32.2651421043444</v>
      </c>
      <c r="N1511" s="24" t="n">
        <f aca="false">'DCF Base Case'!$B$2*(1+B1511)^5*$I1511-'DCF Base Case'!$B$2*(1+B1511)^4*B1511*'DCF Base Case'!$B$4</f>
        <v>35.4803591210581</v>
      </c>
      <c r="O1511" s="24" t="n">
        <f aca="false">J1511/(1+H1511)^1+K1511/(1+H1511)^2+L1511/(1+H1511)^3+M1511/(1+H1511)^4+N1511/(1+H1511)^5</f>
        <v>108.198069293863</v>
      </c>
      <c r="P1511" s="24" t="n">
        <f aca="false">N1511*(1+F1511)/(H1511-F1511)</f>
        <v>411.104014960778</v>
      </c>
      <c r="Q1511" s="24" t="n">
        <f aca="false">O1511+P1511/(1+H1511)^5</f>
        <v>355.677022298726</v>
      </c>
      <c r="R1511" s="24" t="n">
        <f aca="false">Q1511-'DCF Base Case'!$B$5</f>
        <v>170.677022298726</v>
      </c>
      <c r="S1511" s="32" t="n">
        <f aca="false">R1511/'DCF Base Case'!$B$6</f>
        <v>6.82708089194905</v>
      </c>
    </row>
    <row r="1512" customFormat="false" ht="15" hidden="false" customHeight="true" outlineLevel="0" collapsed="false">
      <c r="A1512" s="6" t="n">
        <v>1511</v>
      </c>
      <c r="B1512" s="30" t="n">
        <v>0.109489202316216</v>
      </c>
      <c r="C1512" s="30" t="n">
        <v>0.443794958380392</v>
      </c>
      <c r="D1512" s="30" t="n">
        <v>0.0897134612689256</v>
      </c>
      <c r="E1512" s="30" t="n">
        <v>0.311897132671554</v>
      </c>
      <c r="F1512" s="30" t="n">
        <v>0.0166538232966578</v>
      </c>
      <c r="G1512" s="30" t="n">
        <v>0.18720170926195</v>
      </c>
      <c r="H1512" s="31" t="n">
        <f aca="false">MAX(D1512,F1512+0.015)</f>
        <v>0.0897134612689256</v>
      </c>
      <c r="I1512" s="25" t="n">
        <f aca="false">(C1512-'DCF Base Case'!$B$3)*(1-E1512)+'DCF Base Case'!$B$3-G1512</f>
        <v>0.158721501352808</v>
      </c>
      <c r="J1512" s="24" t="n">
        <f aca="false">'DCF Base Case'!$B$2*(1+B1512)^1*$I1512-'DCF Base Case'!$B$2*(1+B1512)^0*B1512*'DCF Base Case'!$B$4</f>
        <v>25.0581917992466</v>
      </c>
      <c r="K1512" s="24" t="n">
        <f aca="false">'DCF Base Case'!$B$2*(1+B1512)^2*$I1512-'DCF Base Case'!$B$2*(1+B1512)^1*B1512*'DCF Base Case'!$B$4</f>
        <v>27.8017932308328</v>
      </c>
      <c r="L1512" s="24" t="n">
        <f aca="false">'DCF Base Case'!$B$2*(1+B1512)^3*$I1512-'DCF Base Case'!$B$2*(1+B1512)^2*B1512*'DCF Base Case'!$B$4</f>
        <v>30.8457893946371</v>
      </c>
      <c r="M1512" s="24" t="n">
        <f aca="false">'DCF Base Case'!$B$2*(1+B1512)^4*$I1512-'DCF Base Case'!$B$2*(1+B1512)^3*B1512*'DCF Base Case'!$B$4</f>
        <v>34.2230702702699</v>
      </c>
      <c r="N1512" s="24" t="n">
        <f aca="false">'DCF Base Case'!$B$2*(1+B1512)^5*$I1512-'DCF Base Case'!$B$2*(1+B1512)^4*B1512*'DCF Base Case'!$B$4</f>
        <v>37.9701269349735</v>
      </c>
      <c r="O1512" s="24" t="n">
        <f aca="false">J1512/(1+H1512)^1+K1512/(1+H1512)^2+L1512/(1+H1512)^3+M1512/(1+H1512)^4+N1512/(1+H1512)^5</f>
        <v>119.225571361363</v>
      </c>
      <c r="P1512" s="24" t="n">
        <f aca="false">N1512*(1+F1512)/(H1512-F1512)</f>
        <v>528.369367695924</v>
      </c>
      <c r="Q1512" s="24" t="n">
        <f aca="false">O1512+P1512/(1+H1512)^5</f>
        <v>463.081132434158</v>
      </c>
      <c r="R1512" s="24" t="n">
        <f aca="false">Q1512-'DCF Base Case'!$B$5</f>
        <v>278.081132434158</v>
      </c>
      <c r="S1512" s="32" t="n">
        <f aca="false">R1512/'DCF Base Case'!$B$6</f>
        <v>11.1232452973663</v>
      </c>
    </row>
    <row r="1513" customFormat="false" ht="15" hidden="false" customHeight="true" outlineLevel="0" collapsed="false">
      <c r="A1513" s="6" t="n">
        <v>1512</v>
      </c>
      <c r="B1513" s="30" t="n">
        <v>0.109767199347587</v>
      </c>
      <c r="C1513" s="30" t="n">
        <v>0.447120212469951</v>
      </c>
      <c r="D1513" s="30" t="n">
        <v>0.066647204085486</v>
      </c>
      <c r="E1513" s="30" t="n">
        <v>0.26001852610706</v>
      </c>
      <c r="F1513" s="30" t="n">
        <v>0.0223101708557089</v>
      </c>
      <c r="G1513" s="30" t="n">
        <v>0.124004179757142</v>
      </c>
      <c r="H1513" s="31" t="n">
        <f aca="false">MAX(D1513,F1513+0.015)</f>
        <v>0.066647204085486</v>
      </c>
      <c r="I1513" s="25" t="n">
        <f aca="false">(C1513-'DCF Base Case'!$B$3)*(1-E1513)+'DCF Base Case'!$B$3-G1513</f>
        <v>0.240658902467615</v>
      </c>
      <c r="J1513" s="24" t="n">
        <f aca="false">'DCF Base Case'!$B$2*(1+B1513)^1*$I1513-'DCF Base Case'!$B$2*(1+B1513)^0*B1513*'DCF Base Case'!$B$4</f>
        <v>38.2484393303226</v>
      </c>
      <c r="K1513" s="24" t="n">
        <f aca="false">'DCF Base Case'!$B$2*(1+B1513)^2*$I1513-'DCF Base Case'!$B$2*(1+B1513)^1*B1513*'DCF Base Case'!$B$4</f>
        <v>42.4468633950282</v>
      </c>
      <c r="L1513" s="24" t="n">
        <f aca="false">'DCF Base Case'!$B$2*(1+B1513)^3*$I1513-'DCF Base Case'!$B$2*(1+B1513)^2*B1513*'DCF Base Case'!$B$4</f>
        <v>47.10613671099</v>
      </c>
      <c r="M1513" s="24" t="n">
        <f aca="false">'DCF Base Case'!$B$2*(1+B1513)^4*$I1513-'DCF Base Case'!$B$2*(1+B1513)^3*B1513*'DCF Base Case'!$B$4</f>
        <v>52.27684540984</v>
      </c>
      <c r="N1513" s="24" t="n">
        <f aca="false">'DCF Base Case'!$B$2*(1+B1513)^5*$I1513-'DCF Base Case'!$B$2*(1+B1513)^4*B1513*'DCF Base Case'!$B$4</f>
        <v>58.0151283212049</v>
      </c>
      <c r="O1513" s="24" t="n">
        <f aca="false">J1513/(1+H1513)^1+K1513/(1+H1513)^2+L1513/(1+H1513)^3+M1513/(1+H1513)^4+N1513/(1+H1513)^5</f>
        <v>194.386874849708</v>
      </c>
      <c r="P1513" s="24" t="n">
        <f aca="false">N1513*(1+F1513)/(H1513-F1513)</f>
        <v>1337.6956333297</v>
      </c>
      <c r="Q1513" s="24" t="n">
        <f aca="false">O1513+P1513/(1+H1513)^5</f>
        <v>1163.22966743789</v>
      </c>
      <c r="R1513" s="24" t="n">
        <f aca="false">Q1513-'DCF Base Case'!$B$5</f>
        <v>978.22966743789</v>
      </c>
      <c r="S1513" s="32" t="n">
        <f aca="false">R1513/'DCF Base Case'!$B$6</f>
        <v>39.1291866975156</v>
      </c>
    </row>
    <row r="1514" customFormat="false" ht="15" hidden="false" customHeight="true" outlineLevel="0" collapsed="false">
      <c r="A1514" s="6" t="n">
        <v>1513</v>
      </c>
      <c r="B1514" s="30" t="n">
        <v>0.10054385411908</v>
      </c>
      <c r="C1514" s="30" t="n">
        <v>0.437907935179228</v>
      </c>
      <c r="D1514" s="30" t="n">
        <v>0.0786598722769452</v>
      </c>
      <c r="E1514" s="30" t="n">
        <v>0.268771521657491</v>
      </c>
      <c r="F1514" s="30" t="n">
        <v>0.0149740927505423</v>
      </c>
      <c r="G1514" s="30" t="n">
        <v>0.154698290732462</v>
      </c>
      <c r="H1514" s="31" t="n">
        <f aca="false">MAX(D1514,F1514+0.015)</f>
        <v>0.0786598722769452</v>
      </c>
      <c r="I1514" s="25" t="n">
        <f aca="false">(C1514-'DCF Base Case'!$B$3)*(1-E1514)+'DCF Base Case'!$B$3-G1514</f>
        <v>0.200452760178229</v>
      </c>
      <c r="J1514" s="24" t="n">
        <f aca="false">'DCF Base Case'!$B$2*(1+B1514)^1*$I1514-'DCF Base Case'!$B$2*(1+B1514)^0*B1514*'DCF Base Case'!$B$4</f>
        <v>31.5506569566086</v>
      </c>
      <c r="K1514" s="24" t="n">
        <f aca="false">'DCF Base Case'!$B$2*(1+B1514)^2*$I1514-'DCF Base Case'!$B$2*(1+B1514)^1*B1514*'DCF Base Case'!$B$4</f>
        <v>34.7228816070149</v>
      </c>
      <c r="L1514" s="24" t="n">
        <f aca="false">'DCF Base Case'!$B$2*(1+B1514)^3*$I1514-'DCF Base Case'!$B$2*(1+B1514)^2*B1514*'DCF Base Case'!$B$4</f>
        <v>38.2140539499047</v>
      </c>
      <c r="M1514" s="24" t="n">
        <f aca="false">'DCF Base Case'!$B$2*(1+B1514)^4*$I1514-'DCF Base Case'!$B$2*(1+B1514)^3*B1514*'DCF Base Case'!$B$4</f>
        <v>42.0562422155426</v>
      </c>
      <c r="N1514" s="24" t="n">
        <f aca="false">'DCF Base Case'!$B$2*(1+B1514)^5*$I1514-'DCF Base Case'!$B$2*(1+B1514)^4*B1514*'DCF Base Case'!$B$4</f>
        <v>46.2847388976588</v>
      </c>
      <c r="O1514" s="24" t="n">
        <f aca="false">J1514/(1+H1514)^1+K1514/(1+H1514)^2+L1514/(1+H1514)^3+M1514/(1+H1514)^4+N1514/(1+H1514)^5</f>
        <v>152.305200277197</v>
      </c>
      <c r="P1514" s="24" t="n">
        <f aca="false">N1514*(1+F1514)/(H1514-F1514)</f>
        <v>737.649930960975</v>
      </c>
      <c r="Q1514" s="24" t="n">
        <f aca="false">O1514+P1514/(1+H1514)^5</f>
        <v>657.463732709131</v>
      </c>
      <c r="R1514" s="24" t="n">
        <f aca="false">Q1514-'DCF Base Case'!$B$5</f>
        <v>472.463732709131</v>
      </c>
      <c r="S1514" s="32" t="n">
        <f aca="false">R1514/'DCF Base Case'!$B$6</f>
        <v>18.8985493083652</v>
      </c>
    </row>
    <row r="1515" customFormat="false" ht="15" hidden="false" customHeight="true" outlineLevel="0" collapsed="false">
      <c r="A1515" s="6" t="n">
        <v>1514</v>
      </c>
      <c r="B1515" s="30" t="n">
        <v>0.0794435517087522</v>
      </c>
      <c r="C1515" s="30" t="n">
        <v>0.39535941528706</v>
      </c>
      <c r="D1515" s="30" t="n">
        <v>0.0768855400443705</v>
      </c>
      <c r="E1515" s="30" t="n">
        <v>0.272492693202514</v>
      </c>
      <c r="F1515" s="30" t="n">
        <v>0.0182459672827136</v>
      </c>
      <c r="G1515" s="30" t="n">
        <v>0.206481984519073</v>
      </c>
      <c r="H1515" s="31" t="n">
        <f aca="false">MAX(D1515,F1515+0.015)</f>
        <v>0.0768855400443705</v>
      </c>
      <c r="I1515" s="25" t="n">
        <f aca="false">(C1515-'DCF Base Case'!$B$3)*(1-E1515)+'DCF Base Case'!$B$3-G1515</f>
        <v>0.116568929029772</v>
      </c>
      <c r="J1515" s="24" t="n">
        <f aca="false">'DCF Base Case'!$B$2*(1+B1515)^1*$I1515-'DCF Base Case'!$B$2*(1+B1515)^0*B1515*'DCF Base Case'!$B$4</f>
        <v>17.8997094718303</v>
      </c>
      <c r="K1515" s="24" t="n">
        <f aca="false">'DCF Base Case'!$B$2*(1+B1515)^2*$I1515-'DCF Base Case'!$B$2*(1+B1515)^1*B1515*'DCF Base Case'!$B$4</f>
        <v>19.3217259668273</v>
      </c>
      <c r="L1515" s="24" t="n">
        <f aca="false">'DCF Base Case'!$B$2*(1+B1515)^3*$I1515-'DCF Base Case'!$B$2*(1+B1515)^2*B1515*'DCF Base Case'!$B$4</f>
        <v>20.8567125027753</v>
      </c>
      <c r="M1515" s="24" t="n">
        <f aca="false">'DCF Base Case'!$B$2*(1+B1515)^4*$I1515-'DCF Base Case'!$B$2*(1+B1515)^3*B1515*'DCF Base Case'!$B$4</f>
        <v>22.5136438209641</v>
      </c>
      <c r="N1515" s="24" t="n">
        <f aca="false">'DCF Base Case'!$B$2*(1+B1515)^5*$I1515-'DCF Base Case'!$B$2*(1+B1515)^4*B1515*'DCF Base Case'!$B$4</f>
        <v>24.3022076480073</v>
      </c>
      <c r="O1515" s="24" t="n">
        <f aca="false">J1515/(1+H1515)^1+K1515/(1+H1515)^2+L1515/(1+H1515)^3+M1515/(1+H1515)^4+N1515/(1+H1515)^5</f>
        <v>83.504459103873</v>
      </c>
      <c r="P1515" s="24" t="n">
        <f aca="false">N1515*(1+F1515)/(H1515-F1515)</f>
        <v>421.995314226286</v>
      </c>
      <c r="Q1515" s="24" t="n">
        <f aca="false">O1515+P1515/(1+H1515)^5</f>
        <v>374.884567979055</v>
      </c>
      <c r="R1515" s="24" t="n">
        <f aca="false">Q1515-'DCF Base Case'!$B$5</f>
        <v>189.884567979055</v>
      </c>
      <c r="S1515" s="32" t="n">
        <f aca="false">R1515/'DCF Base Case'!$B$6</f>
        <v>7.59538271916218</v>
      </c>
    </row>
    <row r="1516" customFormat="false" ht="15" hidden="false" customHeight="true" outlineLevel="0" collapsed="false">
      <c r="A1516" s="6" t="n">
        <v>1515</v>
      </c>
      <c r="B1516" s="30" t="n">
        <v>0.0816366531330368</v>
      </c>
      <c r="C1516" s="30" t="n">
        <v>0.418642500855089</v>
      </c>
      <c r="D1516" s="30" t="n">
        <v>0.0786542873687607</v>
      </c>
      <c r="E1516" s="30" t="n">
        <v>0.265439579811872</v>
      </c>
      <c r="F1516" s="30" t="n">
        <v>0.0127798003336939</v>
      </c>
      <c r="G1516" s="30" t="n">
        <v>0.135237952699127</v>
      </c>
      <c r="H1516" s="31" t="n">
        <f aca="false">MAX(D1516,F1516+0.015)</f>
        <v>0.0786542873687607</v>
      </c>
      <c r="I1516" s="25" t="n">
        <f aca="false">(C1516-'DCF Base Case'!$B$3)*(1-E1516)+'DCF Base Case'!$B$3-G1516</f>
        <v>0.206787404013139</v>
      </c>
      <c r="J1516" s="24" t="n">
        <f aca="false">'DCF Base Case'!$B$2*(1+B1516)^1*$I1516-'DCF Base Case'!$B$2*(1+B1516)^0*B1516*'DCF Base Case'!$B$4</f>
        <v>32.0768617189632</v>
      </c>
      <c r="K1516" s="24" t="n">
        <f aca="false">'DCF Base Case'!$B$2*(1+B1516)^2*$I1516-'DCF Base Case'!$B$2*(1+B1516)^1*B1516*'DCF Base Case'!$B$4</f>
        <v>34.6955093527106</v>
      </c>
      <c r="L1516" s="24" t="n">
        <f aca="false">'DCF Base Case'!$B$2*(1+B1516)^3*$I1516-'DCF Base Case'!$B$2*(1+B1516)^2*B1516*'DCF Base Case'!$B$4</f>
        <v>37.5279346150119</v>
      </c>
      <c r="M1516" s="24" t="n">
        <f aca="false">'DCF Base Case'!$B$2*(1+B1516)^4*$I1516-'DCF Base Case'!$B$2*(1+B1516)^3*B1516*'DCF Base Case'!$B$4</f>
        <v>40.5915895959769</v>
      </c>
      <c r="N1516" s="24" t="n">
        <f aca="false">'DCF Base Case'!$B$2*(1+B1516)^5*$I1516-'DCF Base Case'!$B$2*(1+B1516)^4*B1516*'DCF Base Case'!$B$4</f>
        <v>43.9053511159423</v>
      </c>
      <c r="O1516" s="24" t="n">
        <f aca="false">J1516/(1+H1516)^1+K1516/(1+H1516)^2+L1516/(1+H1516)^3+M1516/(1+H1516)^4+N1516/(1+H1516)^5</f>
        <v>149.513757613209</v>
      </c>
      <c r="P1516" s="24" t="n">
        <f aca="false">N1516*(1+F1516)/(H1516-F1516)</f>
        <v>675.017821590231</v>
      </c>
      <c r="Q1516" s="24" t="n">
        <f aca="false">O1516+P1516/(1+H1516)^5</f>
        <v>611.792442367508</v>
      </c>
      <c r="R1516" s="24" t="n">
        <f aca="false">Q1516-'DCF Base Case'!$B$5</f>
        <v>426.792442367508</v>
      </c>
      <c r="S1516" s="32" t="n">
        <f aca="false">R1516/'DCF Base Case'!$B$6</f>
        <v>17.0716976947003</v>
      </c>
    </row>
    <row r="1517" customFormat="false" ht="15" hidden="false" customHeight="true" outlineLevel="0" collapsed="false">
      <c r="A1517" s="6" t="n">
        <v>1516</v>
      </c>
      <c r="B1517" s="30" t="n">
        <v>0.0638449578791155</v>
      </c>
      <c r="C1517" s="30" t="n">
        <v>0.409060170553899</v>
      </c>
      <c r="D1517" s="30" t="n">
        <v>0.0968379102081304</v>
      </c>
      <c r="E1517" s="30" t="n">
        <v>0.24902169043289</v>
      </c>
      <c r="F1517" s="30" t="n">
        <v>0.0171420140840783</v>
      </c>
      <c r="G1517" s="30" t="n">
        <v>0.138528872848792</v>
      </c>
      <c r="H1517" s="31" t="n">
        <f aca="false">MAX(D1517,F1517+0.015)</f>
        <v>0.0968379102081304</v>
      </c>
      <c r="I1517" s="25" t="n">
        <f aca="false">(C1517-'DCF Base Case'!$B$3)*(1-E1517)+'DCF Base Case'!$B$3-G1517</f>
        <v>0.201039262301284</v>
      </c>
      <c r="J1517" s="24" t="n">
        <f aca="false">'DCF Base Case'!$B$2*(1+B1517)^1*$I1517-'DCF Base Case'!$B$2*(1+B1517)^0*B1517*'DCF Base Case'!$B$4</f>
        <v>30.7340922357948</v>
      </c>
      <c r="K1517" s="24" t="n">
        <f aca="false">'DCF Base Case'!$B$2*(1+B1517)^2*$I1517-'DCF Base Case'!$B$2*(1+B1517)^1*B1517*'DCF Base Case'!$B$4</f>
        <v>32.696309060042</v>
      </c>
      <c r="L1517" s="24" t="n">
        <f aca="false">'DCF Base Case'!$B$2*(1+B1517)^3*$I1517-'DCF Base Case'!$B$2*(1+B1517)^2*B1517*'DCF Base Case'!$B$4</f>
        <v>34.7838035347829</v>
      </c>
      <c r="M1517" s="24" t="n">
        <f aca="false">'DCF Base Case'!$B$2*(1+B1517)^4*$I1517-'DCF Base Case'!$B$2*(1+B1517)^3*B1517*'DCF Base Case'!$B$4</f>
        <v>37.0045740063366</v>
      </c>
      <c r="N1517" s="24" t="n">
        <f aca="false">'DCF Base Case'!$B$2*(1+B1517)^5*$I1517-'DCF Base Case'!$B$2*(1+B1517)^4*B1517*'DCF Base Case'!$B$4</f>
        <v>39.3671294751057</v>
      </c>
      <c r="O1517" s="24" t="n">
        <f aca="false">J1517/(1+H1517)^1+K1517/(1+H1517)^2+L1517/(1+H1517)^3+M1517/(1+H1517)^4+N1517/(1+H1517)^5</f>
        <v>131.924283221698</v>
      </c>
      <c r="P1517" s="24" t="n">
        <f aca="false">N1517*(1+F1517)/(H1517-F1517)</f>
        <v>502.434420220204</v>
      </c>
      <c r="Q1517" s="24" t="n">
        <f aca="false">O1517+P1517/(1+H1517)^5</f>
        <v>448.419478022926</v>
      </c>
      <c r="R1517" s="24" t="n">
        <f aca="false">Q1517-'DCF Base Case'!$B$5</f>
        <v>263.419478022926</v>
      </c>
      <c r="S1517" s="32" t="n">
        <f aca="false">R1517/'DCF Base Case'!$B$6</f>
        <v>10.536779120917</v>
      </c>
    </row>
    <row r="1518" customFormat="false" ht="15" hidden="false" customHeight="true" outlineLevel="0" collapsed="false">
      <c r="A1518" s="6" t="n">
        <v>1517</v>
      </c>
      <c r="B1518" s="30" t="n">
        <v>0.0844850089706868</v>
      </c>
      <c r="C1518" s="30" t="n">
        <v>0.433164537618034</v>
      </c>
      <c r="D1518" s="30" t="n">
        <v>0.0800842935823123</v>
      </c>
      <c r="E1518" s="30" t="n">
        <v>0.278322953175975</v>
      </c>
      <c r="F1518" s="30" t="n">
        <v>0.0244088195609629</v>
      </c>
      <c r="G1518" s="30" t="n">
        <v>0.175942414330245</v>
      </c>
      <c r="H1518" s="31" t="n">
        <f aca="false">MAX(D1518,F1518+0.015)</f>
        <v>0.0800842935823123</v>
      </c>
      <c r="I1518" s="25" t="n">
        <f aca="false">(C1518-'DCF Base Case'!$B$3)*(1-E1518)+'DCF Base Case'!$B$3-G1518</f>
        <v>0.172844473879709</v>
      </c>
      <c r="J1518" s="24" t="n">
        <f aca="false">'DCF Base Case'!$B$2*(1+B1518)^1*$I1518-'DCF Base Case'!$B$2*(1+B1518)^0*B1518*'DCF Base Case'!$B$4</f>
        <v>26.8123401278431</v>
      </c>
      <c r="K1518" s="24" t="n">
        <f aca="false">'DCF Base Case'!$B$2*(1+B1518)^2*$I1518-'DCF Base Case'!$B$2*(1+B1518)^1*B1518*'DCF Base Case'!$B$4</f>
        <v>29.077580924069</v>
      </c>
      <c r="L1518" s="24" t="n">
        <f aca="false">'DCF Base Case'!$B$2*(1+B1518)^3*$I1518-'DCF Base Case'!$B$2*(1+B1518)^2*B1518*'DCF Base Case'!$B$4</f>
        <v>31.5342006092849</v>
      </c>
      <c r="M1518" s="24" t="n">
        <f aca="false">'DCF Base Case'!$B$2*(1+B1518)^4*$I1518-'DCF Base Case'!$B$2*(1+B1518)^3*B1518*'DCF Base Case'!$B$4</f>
        <v>34.1983678306438</v>
      </c>
      <c r="N1518" s="24" t="n">
        <f aca="false">'DCF Base Case'!$B$2*(1+B1518)^5*$I1518-'DCF Base Case'!$B$2*(1+B1518)^4*B1518*'DCF Base Case'!$B$4</f>
        <v>37.0876172435985</v>
      </c>
      <c r="O1518" s="24" t="n">
        <f aca="false">J1518/(1+H1518)^1+K1518/(1+H1518)^2+L1518/(1+H1518)^3+M1518/(1+H1518)^4+N1518/(1+H1518)^5</f>
        <v>125.137092114236</v>
      </c>
      <c r="P1518" s="24" t="n">
        <f aca="false">N1518*(1+F1518)/(H1518-F1518)</f>
        <v>682.398899491629</v>
      </c>
      <c r="Q1518" s="24" t="n">
        <f aca="false">O1518+P1518/(1+H1518)^5</f>
        <v>589.38511660574</v>
      </c>
      <c r="R1518" s="24" t="n">
        <f aca="false">Q1518-'DCF Base Case'!$B$5</f>
        <v>404.38511660574</v>
      </c>
      <c r="S1518" s="32" t="n">
        <f aca="false">R1518/'DCF Base Case'!$B$6</f>
        <v>16.1754046642296</v>
      </c>
    </row>
    <row r="1519" customFormat="false" ht="15" hidden="false" customHeight="true" outlineLevel="0" collapsed="false">
      <c r="A1519" s="6" t="n">
        <v>1518</v>
      </c>
      <c r="B1519" s="30" t="n">
        <v>0.0734364950485934</v>
      </c>
      <c r="C1519" s="30" t="n">
        <v>0.412155345389231</v>
      </c>
      <c r="D1519" s="30" t="n">
        <v>0.0758969608745748</v>
      </c>
      <c r="E1519" s="30" t="n">
        <v>0.292233572329517</v>
      </c>
      <c r="F1519" s="30" t="n">
        <v>0.0211921125193239</v>
      </c>
      <c r="G1519" s="30" t="n">
        <v>0.138524322059143</v>
      </c>
      <c r="H1519" s="31" t="n">
        <f aca="false">MAX(D1519,F1519+0.015)</f>
        <v>0.0758969608745748</v>
      </c>
      <c r="I1519" s="25" t="n">
        <f aca="false">(C1519-'DCF Base Case'!$B$3)*(1-E1519)+'DCF Base Case'!$B$3-G1519</f>
        <v>0.191175758795124</v>
      </c>
      <c r="J1519" s="24" t="n">
        <f aca="false">'DCF Base Case'!$B$2*(1+B1519)^1*$I1519-'DCF Base Case'!$B$2*(1+B1519)^0*B1519*'DCF Base Case'!$B$4</f>
        <v>29.4367315331362</v>
      </c>
      <c r="K1519" s="24" t="n">
        <f aca="false">'DCF Base Case'!$B$2*(1+B1519)^2*$I1519-'DCF Base Case'!$B$2*(1+B1519)^1*B1519*'DCF Base Case'!$B$4</f>
        <v>31.5984619226161</v>
      </c>
      <c r="L1519" s="24" t="n">
        <f aca="false">'DCF Base Case'!$B$2*(1+B1519)^3*$I1519-'DCF Base Case'!$B$2*(1+B1519)^2*B1519*'DCF Base Case'!$B$4</f>
        <v>33.9189422151395</v>
      </c>
      <c r="M1519" s="24" t="n">
        <f aca="false">'DCF Base Case'!$B$2*(1+B1519)^4*$I1519-'DCF Base Case'!$B$2*(1+B1519)^3*B1519*'DCF Base Case'!$B$4</f>
        <v>36.4098304471751</v>
      </c>
      <c r="N1519" s="24" t="n">
        <f aca="false">'DCF Base Case'!$B$2*(1+B1519)^5*$I1519-'DCF Base Case'!$B$2*(1+B1519)^4*B1519*'DCF Base Case'!$B$4</f>
        <v>39.0836407805292</v>
      </c>
      <c r="O1519" s="24" t="n">
        <f aca="false">J1519/(1+H1519)^1+K1519/(1+H1519)^2+L1519/(1+H1519)^3+M1519/(1+H1519)^4+N1519/(1+H1519)^5</f>
        <v>136.17661628831</v>
      </c>
      <c r="P1519" s="24" t="n">
        <f aca="false">N1519*(1+F1519)/(H1519-F1519)</f>
        <v>729.586259602235</v>
      </c>
      <c r="Q1519" s="24" t="n">
        <f aca="false">O1519+P1519/(1+H1519)^5</f>
        <v>642.261356669453</v>
      </c>
      <c r="R1519" s="24" t="n">
        <f aca="false">Q1519-'DCF Base Case'!$B$5</f>
        <v>457.261356669453</v>
      </c>
      <c r="S1519" s="32" t="n">
        <f aca="false">R1519/'DCF Base Case'!$B$6</f>
        <v>18.2904542667781</v>
      </c>
    </row>
    <row r="1520" customFormat="false" ht="15" hidden="false" customHeight="true" outlineLevel="0" collapsed="false">
      <c r="A1520" s="6" t="n">
        <v>1519</v>
      </c>
      <c r="B1520" s="30" t="n">
        <v>0.0936059748213151</v>
      </c>
      <c r="C1520" s="30" t="n">
        <v>0.413695006841999</v>
      </c>
      <c r="D1520" s="30" t="n">
        <v>0.0909914513688932</v>
      </c>
      <c r="E1520" s="30" t="n">
        <v>0.305182602390982</v>
      </c>
      <c r="F1520" s="30" t="n">
        <v>0.0210545844834975</v>
      </c>
      <c r="G1520" s="30" t="n">
        <v>0.159031846331139</v>
      </c>
      <c r="H1520" s="31" t="n">
        <f aca="false">MAX(D1520,F1520+0.015)</f>
        <v>0.0909914513688932</v>
      </c>
      <c r="I1520" s="25" t="n">
        <f aca="false">(C1520-'DCF Base Case'!$B$3)*(1-E1520)+'DCF Base Case'!$B$3-G1520</f>
        <v>0.168084380037491</v>
      </c>
      <c r="J1520" s="24" t="n">
        <f aca="false">'DCF Base Case'!$B$2*(1+B1520)^1*$I1520-'DCF Base Case'!$B$2*(1+B1520)^0*B1520*'DCF Base Case'!$B$4</f>
        <v>26.2464359405822</v>
      </c>
      <c r="K1520" s="24" t="n">
        <f aca="false">'DCF Base Case'!$B$2*(1+B1520)^2*$I1520-'DCF Base Case'!$B$2*(1+B1520)^1*B1520*'DCF Base Case'!$B$4</f>
        <v>28.7032591623856</v>
      </c>
      <c r="L1520" s="24" t="n">
        <f aca="false">'DCF Base Case'!$B$2*(1+B1520)^3*$I1520-'DCF Base Case'!$B$2*(1+B1520)^2*B1520*'DCF Base Case'!$B$4</f>
        <v>31.3900557168295</v>
      </c>
      <c r="M1520" s="24" t="n">
        <f aca="false">'DCF Base Case'!$B$2*(1+B1520)^4*$I1520-'DCF Base Case'!$B$2*(1+B1520)^3*B1520*'DCF Base Case'!$B$4</f>
        <v>34.3283524818987</v>
      </c>
      <c r="N1520" s="24" t="n">
        <f aca="false">'DCF Base Case'!$B$2*(1+B1520)^5*$I1520-'DCF Base Case'!$B$2*(1+B1520)^4*B1520*'DCF Base Case'!$B$4</f>
        <v>37.5416913799766</v>
      </c>
      <c r="O1520" s="24" t="n">
        <f aca="false">J1520/(1+H1520)^1+K1520/(1+H1520)^2+L1520/(1+H1520)^3+M1520/(1+H1520)^4+N1520/(1+H1520)^5</f>
        <v>120.864994396475</v>
      </c>
      <c r="P1520" s="24" t="n">
        <f aca="false">N1520*(1+F1520)/(H1520-F1520)</f>
        <v>548.095987136568</v>
      </c>
      <c r="Q1520" s="24" t="n">
        <f aca="false">O1520+P1520/(1+H1520)^5</f>
        <v>475.474100938417</v>
      </c>
      <c r="R1520" s="24" t="n">
        <f aca="false">Q1520-'DCF Base Case'!$B$5</f>
        <v>290.474100938417</v>
      </c>
      <c r="S1520" s="32" t="n">
        <f aca="false">R1520/'DCF Base Case'!$B$6</f>
        <v>11.6189640375367</v>
      </c>
    </row>
    <row r="1521" customFormat="false" ht="15" hidden="false" customHeight="true" outlineLevel="0" collapsed="false">
      <c r="A1521" s="6" t="n">
        <v>1520</v>
      </c>
      <c r="B1521" s="30" t="n">
        <v>0.110392163222515</v>
      </c>
      <c r="C1521" s="30" t="n">
        <v>0.403242414012064</v>
      </c>
      <c r="D1521" s="30" t="n">
        <v>0.0704742580729355</v>
      </c>
      <c r="E1521" s="30" t="n">
        <v>0.241239601570675</v>
      </c>
      <c r="F1521" s="30" t="n">
        <v>0.0190888463962902</v>
      </c>
      <c r="G1521" s="30" t="n">
        <v>0.148682227364061</v>
      </c>
      <c r="H1521" s="31" t="n">
        <f aca="false">MAX(D1521,F1521+0.015)</f>
        <v>0.0704742580729355</v>
      </c>
      <c r="I1521" s="25" t="n">
        <f aca="false">(C1521-'DCF Base Case'!$B$3)*(1-E1521)+'DCF Base Case'!$B$3-G1521</f>
        <v>0.188643295559523</v>
      </c>
      <c r="J1521" s="24" t="n">
        <f aca="false">'DCF Base Case'!$B$2*(1+B1521)^1*$I1521-'DCF Base Case'!$B$2*(1+B1521)^0*B1521*'DCF Base Case'!$B$4</f>
        <v>29.8926594598777</v>
      </c>
      <c r="K1521" s="24" t="n">
        <f aca="false">'DCF Base Case'!$B$2*(1+B1521)^2*$I1521-'DCF Base Case'!$B$2*(1+B1521)^1*B1521*'DCF Base Case'!$B$4</f>
        <v>33.1925748021276</v>
      </c>
      <c r="L1521" s="24" t="n">
        <f aca="false">'DCF Base Case'!$B$2*(1+B1521)^3*$I1521-'DCF Base Case'!$B$2*(1+B1521)^2*B1521*'DCF Base Case'!$B$4</f>
        <v>36.8567749374596</v>
      </c>
      <c r="M1521" s="24" t="n">
        <f aca="false">'DCF Base Case'!$B$2*(1+B1521)^4*$I1521-'DCF Base Case'!$B$2*(1+B1521)^3*B1521*'DCF Base Case'!$B$4</f>
        <v>40.9254740522112</v>
      </c>
      <c r="N1521" s="24" t="n">
        <f aca="false">'DCF Base Case'!$B$2*(1+B1521)^5*$I1521-'DCF Base Case'!$B$2*(1+B1521)^4*B1521*'DCF Base Case'!$B$4</f>
        <v>45.4433256637417</v>
      </c>
      <c r="O1521" s="24" t="n">
        <f aca="false">J1521/(1+H1521)^1+K1521/(1+H1521)^2+L1521/(1+H1521)^3+M1521/(1+H1521)^4+N1521/(1+H1521)^5</f>
        <v>150.432131698964</v>
      </c>
      <c r="P1521" s="24" t="n">
        <f aca="false">N1521*(1+F1521)/(H1521-F1521)</f>
        <v>901.24385143579</v>
      </c>
      <c r="Q1521" s="24" t="n">
        <f aca="false">O1521+P1521/(1+H1521)^5</f>
        <v>791.58438650618</v>
      </c>
      <c r="R1521" s="24" t="n">
        <f aca="false">Q1521-'DCF Base Case'!$B$5</f>
        <v>606.58438650618</v>
      </c>
      <c r="S1521" s="32" t="n">
        <f aca="false">R1521/'DCF Base Case'!$B$6</f>
        <v>24.2633754602472</v>
      </c>
    </row>
    <row r="1522" customFormat="false" ht="15" hidden="false" customHeight="true" outlineLevel="0" collapsed="false">
      <c r="A1522" s="6" t="n">
        <v>1521</v>
      </c>
      <c r="B1522" s="30" t="n">
        <v>0.0984424742911907</v>
      </c>
      <c r="C1522" s="30" t="n">
        <v>0.376225928282279</v>
      </c>
      <c r="D1522" s="30" t="n">
        <v>0.0778810359401055</v>
      </c>
      <c r="E1522" s="30" t="n">
        <v>0.293795882115996</v>
      </c>
      <c r="F1522" s="30" t="n">
        <v>0.0151497675995764</v>
      </c>
      <c r="G1522" s="30" t="n">
        <v>0.174755621812145</v>
      </c>
      <c r="H1522" s="31" t="n">
        <f aca="false">MAX(D1522,F1522+0.015)</f>
        <v>0.0778810359401055</v>
      </c>
      <c r="I1522" s="25" t="n">
        <f aca="false">(C1522-'DCF Base Case'!$B$3)*(1-E1522)+'DCF Base Case'!$B$3-G1522</f>
        <v>0.129130142670612</v>
      </c>
      <c r="J1522" s="24" t="n">
        <f aca="false">'DCF Base Case'!$B$2*(1+B1522)^1*$I1522-'DCF Base Case'!$B$2*(1+B1522)^0*B1522*'DCF Base Case'!$B$4</f>
        <v>20.1388700828321</v>
      </c>
      <c r="K1522" s="24" t="n">
        <f aca="false">'DCF Base Case'!$B$2*(1+B1522)^2*$I1522-'DCF Base Case'!$B$2*(1+B1522)^1*B1522*'DCF Base Case'!$B$4</f>
        <v>22.1213902832149</v>
      </c>
      <c r="L1522" s="24" t="n">
        <f aca="false">'DCF Base Case'!$B$2*(1+B1522)^3*$I1522-'DCF Base Case'!$B$2*(1+B1522)^2*B1522*'DCF Base Case'!$B$4</f>
        <v>24.2990746774557</v>
      </c>
      <c r="M1522" s="24" t="n">
        <f aca="false">'DCF Base Case'!$B$2*(1+B1522)^4*$I1522-'DCF Base Case'!$B$2*(1+B1522)^3*B1522*'DCF Base Case'!$B$4</f>
        <v>26.6911357116909</v>
      </c>
      <c r="N1522" s="24" t="n">
        <f aca="false">'DCF Base Case'!$B$2*(1+B1522)^5*$I1522-'DCF Base Case'!$B$2*(1+B1522)^4*B1522*'DCF Base Case'!$B$4</f>
        <v>29.3186771527917</v>
      </c>
      <c r="O1522" s="24" t="n">
        <f aca="false">J1522/(1+H1522)^1+K1522/(1+H1522)^2+L1522/(1+H1522)^3+M1522/(1+H1522)^4+N1522/(1+H1522)^5</f>
        <v>97.0515119729965</v>
      </c>
      <c r="P1522" s="24" t="n">
        <f aca="false">N1522*(1+F1522)/(H1522-F1522)</f>
        <v>474.44996865709</v>
      </c>
      <c r="Q1522" s="24" t="n">
        <f aca="false">O1522+P1522/(1+H1522)^5</f>
        <v>423.140600501041</v>
      </c>
      <c r="R1522" s="24" t="n">
        <f aca="false">Q1522-'DCF Base Case'!$B$5</f>
        <v>238.140600501041</v>
      </c>
      <c r="S1522" s="32" t="n">
        <f aca="false">R1522/'DCF Base Case'!$B$6</f>
        <v>9.52562402004165</v>
      </c>
    </row>
    <row r="1523" customFormat="false" ht="15" hidden="false" customHeight="true" outlineLevel="0" collapsed="false">
      <c r="A1523" s="6" t="n">
        <v>1522</v>
      </c>
      <c r="B1523" s="30" t="n">
        <v>0.077997104874502</v>
      </c>
      <c r="C1523" s="30" t="n">
        <v>0.409641968963978</v>
      </c>
      <c r="D1523" s="30" t="n">
        <v>0.0915467380705854</v>
      </c>
      <c r="E1523" s="30" t="n">
        <v>0.308933834262904</v>
      </c>
      <c r="F1523" s="30" t="n">
        <v>0.0196926855528649</v>
      </c>
      <c r="G1523" s="30" t="n">
        <v>0.148831893913526</v>
      </c>
      <c r="H1523" s="31" t="n">
        <f aca="false">MAX(D1523,F1523+0.015)</f>
        <v>0.0915467380705854</v>
      </c>
      <c r="I1523" s="25" t="n">
        <f aca="false">(C1523-'DCF Base Case'!$B$3)*(1-E1523)+'DCF Base Case'!$B$3-G1523</f>
        <v>0.174419209357582</v>
      </c>
      <c r="J1523" s="24" t="n">
        <f aca="false">'DCF Base Case'!$B$2*(1+B1523)^1*$I1523-'DCF Base Case'!$B$2*(1+B1523)^0*B1523*'DCF Base Case'!$B$4</f>
        <v>26.9241059884821</v>
      </c>
      <c r="K1523" s="24" t="n">
        <f aca="false">'DCF Base Case'!$B$2*(1+B1523)^2*$I1523-'DCF Base Case'!$B$2*(1+B1523)^1*B1523*'DCF Base Case'!$B$4</f>
        <v>29.0241083069179</v>
      </c>
      <c r="L1523" s="24" t="n">
        <f aca="false">'DCF Base Case'!$B$2*(1+B1523)^3*$I1523-'DCF Base Case'!$B$2*(1+B1523)^2*B1523*'DCF Base Case'!$B$4</f>
        <v>31.2879047264215</v>
      </c>
      <c r="M1523" s="24" t="n">
        <f aca="false">'DCF Base Case'!$B$2*(1+B1523)^4*$I1523-'DCF Base Case'!$B$2*(1+B1523)^3*B1523*'DCF Base Case'!$B$4</f>
        <v>33.7282707126716</v>
      </c>
      <c r="N1523" s="24" t="n">
        <f aca="false">'DCF Base Case'!$B$2*(1+B1523)^5*$I1523-'DCF Base Case'!$B$2*(1+B1523)^4*B1523*'DCF Base Case'!$B$4</f>
        <v>36.3589781806835</v>
      </c>
      <c r="O1523" s="24" t="n">
        <f aca="false">J1523/(1+H1523)^1+K1523/(1+H1523)^2+L1523/(1+H1523)^3+M1523/(1+H1523)^4+N1523/(1+H1523)^5</f>
        <v>120.305985255049</v>
      </c>
      <c r="P1523" s="24" t="n">
        <f aca="false">N1523*(1+F1523)/(H1523-F1523)</f>
        <v>515.976243592883</v>
      </c>
      <c r="Q1523" s="24" t="n">
        <f aca="false">O1523+P1523/(1+H1523)^5</f>
        <v>453.285890726989</v>
      </c>
      <c r="R1523" s="24" t="n">
        <f aca="false">Q1523-'DCF Base Case'!$B$5</f>
        <v>268.285890726989</v>
      </c>
      <c r="S1523" s="32" t="n">
        <f aca="false">R1523/'DCF Base Case'!$B$6</f>
        <v>10.7314356290795</v>
      </c>
    </row>
    <row r="1524" customFormat="false" ht="15" hidden="false" customHeight="true" outlineLevel="0" collapsed="false">
      <c r="A1524" s="6" t="n">
        <v>1523</v>
      </c>
      <c r="B1524" s="30" t="n">
        <v>0.0802158091189199</v>
      </c>
      <c r="C1524" s="30" t="n">
        <v>0.423597258225393</v>
      </c>
      <c r="D1524" s="30" t="n">
        <v>0.0737662105816913</v>
      </c>
      <c r="E1524" s="30" t="n">
        <v>0.274836310895025</v>
      </c>
      <c r="F1524" s="30" t="n">
        <v>0.0178239037215357</v>
      </c>
      <c r="G1524" s="30" t="n">
        <v>0.163017788094948</v>
      </c>
      <c r="H1524" s="31" t="n">
        <f aca="false">MAX(D1524,F1524+0.015)</f>
        <v>0.0737662105816913</v>
      </c>
      <c r="I1524" s="25" t="n">
        <f aca="false">(C1524-'DCF Base Case'!$B$3)*(1-E1524)+'DCF Base Case'!$B$3-G1524</f>
        <v>0.179888282790884</v>
      </c>
      <c r="J1524" s="24" t="n">
        <f aca="false">'DCF Base Case'!$B$2*(1+B1524)^1*$I1524-'DCF Base Case'!$B$2*(1+B1524)^0*B1524*'DCF Base Case'!$B$4</f>
        <v>27.827195437498</v>
      </c>
      <c r="K1524" s="24" t="n">
        <f aca="false">'DCF Base Case'!$B$2*(1+B1524)^2*$I1524-'DCF Base Case'!$B$2*(1+B1524)^1*B1524*'DCF Base Case'!$B$4</f>
        <v>30.0593764350272</v>
      </c>
      <c r="L1524" s="24" t="n">
        <f aca="false">'DCF Base Case'!$B$2*(1+B1524)^3*$I1524-'DCF Base Case'!$B$2*(1+B1524)^2*B1524*'DCF Base Case'!$B$4</f>
        <v>32.4706136373732</v>
      </c>
      <c r="M1524" s="24" t="n">
        <f aca="false">'DCF Base Case'!$B$2*(1+B1524)^4*$I1524-'DCF Base Case'!$B$2*(1+B1524)^3*B1524*'DCF Base Case'!$B$4</f>
        <v>35.0752701828829</v>
      </c>
      <c r="N1524" s="24" t="n">
        <f aca="false">'DCF Base Case'!$B$2*(1+B1524)^5*$I1524-'DCF Base Case'!$B$2*(1+B1524)^4*B1524*'DCF Base Case'!$B$4</f>
        <v>37.8888613606675</v>
      </c>
      <c r="O1524" s="24" t="n">
        <f aca="false">J1524/(1+H1524)^1+K1524/(1+H1524)^2+L1524/(1+H1524)^3+M1524/(1+H1524)^4+N1524/(1+H1524)^5</f>
        <v>131.143531715226</v>
      </c>
      <c r="P1524" s="24" t="n">
        <f aca="false">N1524*(1+F1524)/(H1524-F1524)</f>
        <v>689.356427043335</v>
      </c>
      <c r="Q1524" s="24" t="n">
        <f aca="false">O1524+P1524/(1+H1524)^5</f>
        <v>614.085738146817</v>
      </c>
      <c r="R1524" s="24" t="n">
        <f aca="false">Q1524-'DCF Base Case'!$B$5</f>
        <v>429.085738146817</v>
      </c>
      <c r="S1524" s="32" t="n">
        <f aca="false">R1524/'DCF Base Case'!$B$6</f>
        <v>17.1634295258727</v>
      </c>
    </row>
    <row r="1525" customFormat="false" ht="15" hidden="false" customHeight="true" outlineLevel="0" collapsed="false">
      <c r="A1525" s="6" t="n">
        <v>1524</v>
      </c>
      <c r="B1525" s="30" t="n">
        <v>0.06796601314097</v>
      </c>
      <c r="C1525" s="30" t="n">
        <v>0.370506094677786</v>
      </c>
      <c r="D1525" s="30" t="n">
        <v>0.0907281687755561</v>
      </c>
      <c r="E1525" s="30" t="n">
        <v>0.309279597268492</v>
      </c>
      <c r="F1525" s="30" t="n">
        <v>0.0125291663976498</v>
      </c>
      <c r="G1525" s="30" t="n">
        <v>0.173777188647769</v>
      </c>
      <c r="H1525" s="31" t="n">
        <f aca="false">MAX(D1525,F1525+0.015)</f>
        <v>0.0907281687755561</v>
      </c>
      <c r="I1525" s="25" t="n">
        <f aca="false">(C1525-'DCF Base Case'!$B$3)*(1-E1525)+'DCF Base Case'!$B$3-G1525</f>
        <v>0.122345277927454</v>
      </c>
      <c r="J1525" s="24" t="n">
        <f aca="false">'DCF Base Case'!$B$2*(1+B1525)^1*$I1525-'DCF Base Case'!$B$2*(1+B1525)^0*B1525*'DCF Base Case'!$B$4</f>
        <v>18.6501346535837</v>
      </c>
      <c r="K1525" s="24" t="n">
        <f aca="false">'DCF Base Case'!$B$2*(1+B1525)^2*$I1525-'DCF Base Case'!$B$2*(1+B1525)^1*B1525*'DCF Base Case'!$B$4</f>
        <v>19.9177099505301</v>
      </c>
      <c r="L1525" s="24" t="n">
        <f aca="false">'DCF Base Case'!$B$2*(1+B1525)^3*$I1525-'DCF Base Case'!$B$2*(1+B1525)^2*B1525*'DCF Base Case'!$B$4</f>
        <v>21.2714372867658</v>
      </c>
      <c r="M1525" s="24" t="n">
        <f aca="false">'DCF Base Case'!$B$2*(1+B1525)^4*$I1525-'DCF Base Case'!$B$2*(1+B1525)^3*B1525*'DCF Base Case'!$B$4</f>
        <v>22.7171720729254</v>
      </c>
      <c r="N1525" s="24" t="n">
        <f aca="false">'DCF Base Case'!$B$2*(1+B1525)^5*$I1525-'DCF Base Case'!$B$2*(1+B1525)^4*B1525*'DCF Base Case'!$B$4</f>
        <v>24.2611676885596</v>
      </c>
      <c r="O1525" s="24" t="n">
        <f aca="false">J1525/(1+H1525)^1+K1525/(1+H1525)^2+L1525/(1+H1525)^3+M1525/(1+H1525)^4+N1525/(1+H1525)^5</f>
        <v>81.9993472902661</v>
      </c>
      <c r="P1525" s="24" t="n">
        <f aca="false">N1525*(1+F1525)/(H1525-F1525)</f>
        <v>314.136231263115</v>
      </c>
      <c r="Q1525" s="24" t="n">
        <f aca="false">O1525+P1525/(1+H1525)^5</f>
        <v>285.485744732247</v>
      </c>
      <c r="R1525" s="24" t="n">
        <f aca="false">Q1525-'DCF Base Case'!$B$5</f>
        <v>100.485744732247</v>
      </c>
      <c r="S1525" s="32" t="n">
        <f aca="false">R1525/'DCF Base Case'!$B$6</f>
        <v>4.01942978928988</v>
      </c>
    </row>
    <row r="1526" customFormat="false" ht="15" hidden="false" customHeight="true" outlineLevel="0" collapsed="false">
      <c r="A1526" s="6" t="n">
        <v>1525</v>
      </c>
      <c r="B1526" s="30" t="n">
        <v>0.113602687557795</v>
      </c>
      <c r="C1526" s="30" t="n">
        <v>0.433595946194475</v>
      </c>
      <c r="D1526" s="30" t="n">
        <v>0.0804166280345633</v>
      </c>
      <c r="E1526" s="30" t="n">
        <v>0.259492813506965</v>
      </c>
      <c r="F1526" s="30" t="n">
        <v>0.019651285084309</v>
      </c>
      <c r="G1526" s="30" t="n">
        <v>0.170878699656425</v>
      </c>
      <c r="H1526" s="31" t="n">
        <f aca="false">MAX(D1526,F1526+0.015)</f>
        <v>0.0804166280345633</v>
      </c>
      <c r="I1526" s="25" t="n">
        <f aca="false">(C1526-'DCF Base Case'!$B$3)*(1-E1526)+'DCF Base Case'!$B$3-G1526</f>
        <v>0.183936280290737</v>
      </c>
      <c r="J1526" s="24" t="n">
        <f aca="false">'DCF Base Case'!$B$2*(1+B1526)^1*$I1526-'DCF Base Case'!$B$2*(1+B1526)^0*B1526*'DCF Base Case'!$B$4</f>
        <v>29.2064590394401</v>
      </c>
      <c r="K1526" s="24" t="n">
        <f aca="false">'DCF Base Case'!$B$2*(1+B1526)^2*$I1526-'DCF Base Case'!$B$2*(1+B1526)^1*B1526*'DCF Base Case'!$B$4</f>
        <v>32.5243912803671</v>
      </c>
      <c r="L1526" s="24" t="n">
        <f aca="false">'DCF Base Case'!$B$2*(1+B1526)^3*$I1526-'DCF Base Case'!$B$2*(1+B1526)^2*B1526*'DCF Base Case'!$B$4</f>
        <v>36.2192495409981</v>
      </c>
      <c r="M1526" s="24" t="n">
        <f aca="false">'DCF Base Case'!$B$2*(1+B1526)^4*$I1526-'DCF Base Case'!$B$2*(1+B1526)^3*B1526*'DCF Base Case'!$B$4</f>
        <v>40.3338536301819</v>
      </c>
      <c r="N1526" s="24" t="n">
        <f aca="false">'DCF Base Case'!$B$2*(1+B1526)^5*$I1526-'DCF Base Case'!$B$2*(1+B1526)^4*B1526*'DCF Base Case'!$B$4</f>
        <v>44.9158878021333</v>
      </c>
      <c r="O1526" s="24" t="n">
        <f aca="false">J1526/(1+H1526)^1+K1526/(1+H1526)^2+L1526/(1+H1526)^3+M1526/(1+H1526)^4+N1526/(1+H1526)^5</f>
        <v>143.725258375897</v>
      </c>
      <c r="P1526" s="24" t="n">
        <f aca="false">N1526*(1+F1526)/(H1526-F1526)</f>
        <v>753.695124466605</v>
      </c>
      <c r="Q1526" s="24" t="n">
        <f aca="false">O1526+P1526/(1+H1526)^5</f>
        <v>655.689240320362</v>
      </c>
      <c r="R1526" s="24" t="n">
        <f aca="false">Q1526-'DCF Base Case'!$B$5</f>
        <v>470.689240320362</v>
      </c>
      <c r="S1526" s="32" t="n">
        <f aca="false">R1526/'DCF Base Case'!$B$6</f>
        <v>18.8275696128145</v>
      </c>
    </row>
    <row r="1527" customFormat="false" ht="15" hidden="false" customHeight="true" outlineLevel="0" collapsed="false">
      <c r="A1527" s="6" t="n">
        <v>1526</v>
      </c>
      <c r="B1527" s="30" t="n">
        <v>0.09194603419681</v>
      </c>
      <c r="C1527" s="30" t="n">
        <v>0.411743030856011</v>
      </c>
      <c r="D1527" s="30" t="n">
        <v>0.0730908310346497</v>
      </c>
      <c r="E1527" s="30" t="n">
        <v>0.292302622572815</v>
      </c>
      <c r="F1527" s="30" t="n">
        <v>0.0210306884136011</v>
      </c>
      <c r="G1527" s="30" t="n">
        <v>0.169775374712964</v>
      </c>
      <c r="H1527" s="31" t="n">
        <f aca="false">MAX(D1527,F1527+0.015)</f>
        <v>0.0730908310346497</v>
      </c>
      <c r="I1527" s="25" t="n">
        <f aca="false">(C1527-'DCF Base Case'!$B$3)*(1-E1527)+'DCF Base Case'!$B$3-G1527</f>
        <v>0.159613429332221</v>
      </c>
      <c r="J1527" s="24" t="n">
        <f aca="false">'DCF Base Case'!$B$2*(1+B1527)^1*$I1527-'DCF Base Case'!$B$2*(1+B1527)^0*B1527*'DCF Base Case'!$B$4</f>
        <v>24.8719761700053</v>
      </c>
      <c r="K1527" s="24" t="n">
        <f aca="false">'DCF Base Case'!$B$2*(1+B1527)^2*$I1527-'DCF Base Case'!$B$2*(1+B1527)^1*B1527*'DCF Base Case'!$B$4</f>
        <v>27.1588557414749</v>
      </c>
      <c r="L1527" s="24" t="n">
        <f aca="false">'DCF Base Case'!$B$2*(1+B1527)^3*$I1527-'DCF Base Case'!$B$2*(1+B1527)^2*B1527*'DCF Base Case'!$B$4</f>
        <v>29.6560048202267</v>
      </c>
      <c r="M1527" s="24" t="n">
        <f aca="false">'DCF Base Case'!$B$2*(1+B1527)^4*$I1527-'DCF Base Case'!$B$2*(1+B1527)^3*B1527*'DCF Base Case'!$B$4</f>
        <v>32.3827568535681</v>
      </c>
      <c r="N1527" s="24" t="n">
        <f aca="false">'DCF Base Case'!$B$2*(1+B1527)^5*$I1527-'DCF Base Case'!$B$2*(1+B1527)^4*B1527*'DCF Base Case'!$B$4</f>
        <v>35.3602229226132</v>
      </c>
      <c r="O1527" s="24" t="n">
        <f aca="false">J1527/(1+H1527)^1+K1527/(1+H1527)^2+L1527/(1+H1527)^3+M1527/(1+H1527)^4+N1527/(1+H1527)^5</f>
        <v>120.034185935255</v>
      </c>
      <c r="P1527" s="24" t="n">
        <f aca="false">N1527*(1+F1527)/(H1527-F1527)</f>
        <v>693.503147233732</v>
      </c>
      <c r="Q1527" s="24" t="n">
        <f aca="false">O1527+P1527/(1+H1527)^5</f>
        <v>607.412291945575</v>
      </c>
      <c r="R1527" s="24" t="n">
        <f aca="false">Q1527-'DCF Base Case'!$B$5</f>
        <v>422.412291945575</v>
      </c>
      <c r="S1527" s="32" t="n">
        <f aca="false">R1527/'DCF Base Case'!$B$6</f>
        <v>16.896491677823</v>
      </c>
    </row>
    <row r="1528" customFormat="false" ht="15" hidden="false" customHeight="true" outlineLevel="0" collapsed="false">
      <c r="A1528" s="6" t="n">
        <v>1527</v>
      </c>
      <c r="B1528" s="30" t="n">
        <v>0.092260566978301</v>
      </c>
      <c r="C1528" s="30" t="n">
        <v>0.445372140646347</v>
      </c>
      <c r="D1528" s="30" t="n">
        <v>0.0781318333696927</v>
      </c>
      <c r="E1528" s="30" t="n">
        <v>0.318532518838361</v>
      </c>
      <c r="F1528" s="30" t="n">
        <v>0.0163644881718035</v>
      </c>
      <c r="G1528" s="30" t="n">
        <v>0.19167413698758</v>
      </c>
      <c r="H1528" s="31" t="n">
        <f aca="false">MAX(D1528,F1528+0.015)</f>
        <v>0.0781318333696927</v>
      </c>
      <c r="I1528" s="25" t="n">
        <f aca="false">(C1528-'DCF Base Case'!$B$3)*(1-E1528)+'DCF Base Case'!$B$3-G1528</f>
        <v>0.15324172132724</v>
      </c>
      <c r="J1528" s="24" t="n">
        <f aca="false">'DCF Base Case'!$B$2*(1+B1528)^1*$I1528-'DCF Base Case'!$B$2*(1+B1528)^0*B1528*'DCF Base Case'!$B$4</f>
        <v>23.8687504997796</v>
      </c>
      <c r="K1528" s="24" t="n">
        <f aca="false">'DCF Base Case'!$B$2*(1+B1528)^2*$I1528-'DCF Base Case'!$B$2*(1+B1528)^1*B1528*'DCF Base Case'!$B$4</f>
        <v>26.0708949539529</v>
      </c>
      <c r="L1528" s="24" t="n">
        <f aca="false">'DCF Base Case'!$B$2*(1+B1528)^3*$I1528-'DCF Base Case'!$B$2*(1+B1528)^2*B1528*'DCF Base Case'!$B$4</f>
        <v>28.4762105040363</v>
      </c>
      <c r="M1528" s="24" t="n">
        <f aca="false">'DCF Base Case'!$B$2*(1+B1528)^4*$I1528-'DCF Base Case'!$B$2*(1+B1528)^3*B1528*'DCF Base Case'!$B$4</f>
        <v>31.1034418305321</v>
      </c>
      <c r="N1528" s="24" t="n">
        <f aca="false">'DCF Base Case'!$B$2*(1+B1528)^5*$I1528-'DCF Base Case'!$B$2*(1+B1528)^4*B1528*'DCF Base Case'!$B$4</f>
        <v>33.9730630087936</v>
      </c>
      <c r="O1528" s="24" t="n">
        <f aca="false">J1528/(1+H1528)^1+K1528/(1+H1528)^2+L1528/(1+H1528)^3+M1528/(1+H1528)^4+N1528/(1+H1528)^5</f>
        <v>113.634500322061</v>
      </c>
      <c r="P1528" s="24" t="n">
        <f aca="false">N1528*(1+F1528)/(H1528-F1528)</f>
        <v>559.017304142464</v>
      </c>
      <c r="Q1528" s="24" t="n">
        <f aca="false">O1528+P1528/(1+H1528)^5</f>
        <v>497.399978127191</v>
      </c>
      <c r="R1528" s="24" t="n">
        <f aca="false">Q1528-'DCF Base Case'!$B$5</f>
        <v>312.399978127191</v>
      </c>
      <c r="S1528" s="32" t="n">
        <f aca="false">R1528/'DCF Base Case'!$B$6</f>
        <v>12.4959991250876</v>
      </c>
    </row>
    <row r="1529" customFormat="false" ht="15" hidden="false" customHeight="true" outlineLevel="0" collapsed="false">
      <c r="A1529" s="6" t="n">
        <v>1528</v>
      </c>
      <c r="B1529" s="30" t="n">
        <v>0.116684840445654</v>
      </c>
      <c r="C1529" s="30" t="n">
        <v>0.418091745320751</v>
      </c>
      <c r="D1529" s="30" t="n">
        <v>0.103270593594669</v>
      </c>
      <c r="E1529" s="30" t="n">
        <v>0.293757065108757</v>
      </c>
      <c r="F1529" s="30" t="n">
        <v>0.0157688503415176</v>
      </c>
      <c r="G1529" s="30" t="n">
        <v>0.157637423268021</v>
      </c>
      <c r="H1529" s="31" t="n">
        <f aca="false">MAX(D1529,F1529+0.015)</f>
        <v>0.103270593594669</v>
      </c>
      <c r="I1529" s="25" t="n">
        <f aca="false">(C1529-'DCF Base Case'!$B$3)*(1-E1529)+'DCF Base Case'!$B$3-G1529</f>
        <v>0.175825336465247</v>
      </c>
      <c r="J1529" s="24" t="n">
        <f aca="false">'DCF Base Case'!$B$2*(1+B1529)^1*$I1529-'DCF Base Case'!$B$2*(1+B1529)^0*B1529*'DCF Base Case'!$B$4</f>
        <v>27.961936674626</v>
      </c>
      <c r="K1529" s="24" t="n">
        <f aca="false">'DCF Base Case'!$B$2*(1+B1529)^2*$I1529-'DCF Base Case'!$B$2*(1+B1529)^1*B1529*'DCF Base Case'!$B$4</f>
        <v>31.2246707940563</v>
      </c>
      <c r="L1529" s="24" t="n">
        <f aca="false">'DCF Base Case'!$B$2*(1+B1529)^3*$I1529-'DCF Base Case'!$B$2*(1+B1529)^2*B1529*'DCF Base Case'!$B$4</f>
        <v>34.8681165236288</v>
      </c>
      <c r="M1529" s="24" t="n">
        <f aca="false">'DCF Base Case'!$B$2*(1+B1529)^4*$I1529-'DCF Base Case'!$B$2*(1+B1529)^3*B1529*'DCF Base Case'!$B$4</f>
        <v>38.9366971368289</v>
      </c>
      <c r="N1529" s="24" t="n">
        <f aca="false">'DCF Base Case'!$B$2*(1+B1529)^5*$I1529-'DCF Base Case'!$B$2*(1+B1529)^4*B1529*'DCF Base Case'!$B$4</f>
        <v>43.4800194297205</v>
      </c>
      <c r="O1529" s="24" t="n">
        <f aca="false">J1529/(1+H1529)^1+K1529/(1+H1529)^2+L1529/(1+H1529)^3+M1529/(1+H1529)^4+N1529/(1+H1529)^5</f>
        <v>129.842178489408</v>
      </c>
      <c r="P1529" s="24" t="n">
        <f aca="false">N1529*(1+F1529)/(H1529-F1529)</f>
        <v>504.740222388237</v>
      </c>
      <c r="Q1529" s="24" t="n">
        <f aca="false">O1529+P1529/(1+H1529)^5</f>
        <v>438.628249204491</v>
      </c>
      <c r="R1529" s="24" t="n">
        <f aca="false">Q1529-'DCF Base Case'!$B$5</f>
        <v>253.628249204491</v>
      </c>
      <c r="S1529" s="32" t="n">
        <f aca="false">R1529/'DCF Base Case'!$B$6</f>
        <v>10.1451299681796</v>
      </c>
    </row>
    <row r="1530" customFormat="false" ht="15" hidden="false" customHeight="true" outlineLevel="0" collapsed="false">
      <c r="A1530" s="6" t="n">
        <v>1529</v>
      </c>
      <c r="B1530" s="30" t="n">
        <v>0.114636932131276</v>
      </c>
      <c r="C1530" s="30" t="n">
        <v>0.439640444531492</v>
      </c>
      <c r="D1530" s="30" t="n">
        <v>0.0733615555848278</v>
      </c>
      <c r="E1530" s="30" t="n">
        <v>0.275849961323522</v>
      </c>
      <c r="F1530" s="30" t="n">
        <v>0.0200810100160438</v>
      </c>
      <c r="G1530" s="30" t="n">
        <v>0.154978012284223</v>
      </c>
      <c r="H1530" s="31" t="n">
        <f aca="false">MAX(D1530,F1530+0.015)</f>
        <v>0.0733615555848278</v>
      </c>
      <c r="I1530" s="25" t="n">
        <f aca="false">(C1530-'DCF Base Case'!$B$3)*(1-E1530)+'DCF Base Case'!$B$3-G1530</f>
        <v>0.199248127599059</v>
      </c>
      <c r="J1530" s="24" t="n">
        <f aca="false">'DCF Base Case'!$B$2*(1+B1530)^1*$I1530-'DCF Base Case'!$B$2*(1+B1530)^0*B1530*'DCF Base Case'!$B$4</f>
        <v>31.7042809888168</v>
      </c>
      <c r="K1530" s="24" t="n">
        <f aca="false">'DCF Base Case'!$B$2*(1+B1530)^2*$I1530-'DCF Base Case'!$B$2*(1+B1530)^1*B1530*'DCF Base Case'!$B$4</f>
        <v>35.3387624968026</v>
      </c>
      <c r="L1530" s="24" t="n">
        <f aca="false">'DCF Base Case'!$B$2*(1+B1530)^3*$I1530-'DCF Base Case'!$B$2*(1+B1530)^2*B1530*'DCF Base Case'!$B$4</f>
        <v>39.3898898147519</v>
      </c>
      <c r="M1530" s="24" t="n">
        <f aca="false">'DCF Base Case'!$B$2*(1+B1530)^4*$I1530-'DCF Base Case'!$B$2*(1+B1530)^3*B1530*'DCF Base Case'!$B$4</f>
        <v>43.905425940104</v>
      </c>
      <c r="N1530" s="24" t="n">
        <f aca="false">'DCF Base Case'!$B$2*(1+B1530)^5*$I1530-'DCF Base Case'!$B$2*(1+B1530)^4*B1530*'DCF Base Case'!$B$4</f>
        <v>48.9386092737945</v>
      </c>
      <c r="O1530" s="24" t="n">
        <f aca="false">J1530/(1+H1530)^1+K1530/(1+H1530)^2+L1530/(1+H1530)^3+M1530/(1+H1530)^4+N1530/(1+H1530)^5</f>
        <v>159.490501120075</v>
      </c>
      <c r="P1530" s="24" t="n">
        <f aca="false">N1530*(1+F1530)/(H1530-F1530)</f>
        <v>936.952605193306</v>
      </c>
      <c r="Q1530" s="24" t="n">
        <f aca="false">O1530+P1530/(1+H1530)^5</f>
        <v>817.12932233493</v>
      </c>
      <c r="R1530" s="24" t="n">
        <f aca="false">Q1530-'DCF Base Case'!$B$5</f>
        <v>632.12932233493</v>
      </c>
      <c r="S1530" s="32" t="n">
        <f aca="false">R1530/'DCF Base Case'!$B$6</f>
        <v>25.2851728933972</v>
      </c>
    </row>
    <row r="1531" customFormat="false" ht="15" hidden="false" customHeight="true" outlineLevel="0" collapsed="false">
      <c r="A1531" s="6" t="n">
        <v>1530</v>
      </c>
      <c r="B1531" s="30" t="n">
        <v>0.133220691758693</v>
      </c>
      <c r="C1531" s="30" t="n">
        <v>0.435651181141398</v>
      </c>
      <c r="D1531" s="30" t="n">
        <v>0.0843200659000665</v>
      </c>
      <c r="E1531" s="30" t="n">
        <v>0.315987138795547</v>
      </c>
      <c r="F1531" s="30" t="n">
        <v>0.0179093805938103</v>
      </c>
      <c r="G1531" s="30" t="n">
        <v>0.189321212777806</v>
      </c>
      <c r="H1531" s="31" t="n">
        <f aca="false">MAX(D1531,F1531+0.015)</f>
        <v>0.0843200659000665</v>
      </c>
      <c r="I1531" s="25" t="n">
        <f aca="false">(C1531-'DCF Base Case'!$B$3)*(1-E1531)+'DCF Base Case'!$B$3-G1531</f>
        <v>0.149748126165242</v>
      </c>
      <c r="J1531" s="24" t="n">
        <f aca="false">'DCF Base Case'!$B$2*(1+B1531)^1*$I1531-'DCF Base Case'!$B$2*(1+B1531)^0*B1531*'DCF Base Case'!$B$4</f>
        <v>24.0266528836185</v>
      </c>
      <c r="K1531" s="24" t="n">
        <f aca="false">'DCF Base Case'!$B$2*(1+B1531)^2*$I1531-'DCF Base Case'!$B$2*(1+B1531)^1*B1531*'DCF Base Case'!$B$4</f>
        <v>27.2275002014202</v>
      </c>
      <c r="L1531" s="24" t="n">
        <f aca="false">'DCF Base Case'!$B$2*(1+B1531)^3*$I1531-'DCF Base Case'!$B$2*(1+B1531)^2*B1531*'DCF Base Case'!$B$4</f>
        <v>30.8547666131133</v>
      </c>
      <c r="M1531" s="24" t="n">
        <f aca="false">'DCF Base Case'!$B$2*(1+B1531)^4*$I1531-'DCF Base Case'!$B$2*(1+B1531)^3*B1531*'DCF Base Case'!$B$4</f>
        <v>34.9652599653653</v>
      </c>
      <c r="N1531" s="24" t="n">
        <f aca="false">'DCF Base Case'!$B$2*(1+B1531)^5*$I1531-'DCF Base Case'!$B$2*(1+B1531)^4*B1531*'DCF Base Case'!$B$4</f>
        <v>39.6233560854738</v>
      </c>
      <c r="O1531" s="24" t="n">
        <f aca="false">J1531/(1+H1531)^1+K1531/(1+H1531)^2+L1531/(1+H1531)^3+M1531/(1+H1531)^4+N1531/(1+H1531)^5</f>
        <v>121.24517294359</v>
      </c>
      <c r="P1531" s="24" t="n">
        <f aca="false">N1531*(1+F1531)/(H1531-F1531)</f>
        <v>607.326752675644</v>
      </c>
      <c r="Q1531" s="24" t="n">
        <f aca="false">O1531+P1531/(1+H1531)^5</f>
        <v>526.41298735518</v>
      </c>
      <c r="R1531" s="24" t="n">
        <f aca="false">Q1531-'DCF Base Case'!$B$5</f>
        <v>341.41298735518</v>
      </c>
      <c r="S1531" s="32" t="n">
        <f aca="false">R1531/'DCF Base Case'!$B$6</f>
        <v>13.6565194942072</v>
      </c>
    </row>
    <row r="1532" customFormat="false" ht="15" hidden="false" customHeight="true" outlineLevel="0" collapsed="false">
      <c r="A1532" s="6" t="n">
        <v>1531</v>
      </c>
      <c r="B1532" s="30" t="n">
        <v>0.0554409246366774</v>
      </c>
      <c r="C1532" s="30" t="n">
        <v>0.390649692037191</v>
      </c>
      <c r="D1532" s="30" t="n">
        <v>0.0965397746021497</v>
      </c>
      <c r="E1532" s="30" t="n">
        <v>0.325999434537749</v>
      </c>
      <c r="F1532" s="30" t="n">
        <v>0.016200233610732</v>
      </c>
      <c r="G1532" s="30" t="n">
        <v>0.147333556920574</v>
      </c>
      <c r="H1532" s="31" t="n">
        <f aca="false">MAX(D1532,F1532+0.015)</f>
        <v>0.0965397746021497</v>
      </c>
      <c r="I1532" s="25" t="n">
        <f aca="false">(C1532-'DCF Base Case'!$B$3)*(1-E1532)+'DCF Base Case'!$B$3-G1532</f>
        <v>0.158344482900054</v>
      </c>
      <c r="J1532" s="24" t="n">
        <f aca="false">'DCF Base Case'!$B$2*(1+B1532)^1*$I1532-'DCF Base Case'!$B$2*(1+B1532)^0*B1532*'DCF Base Case'!$B$4</f>
        <v>23.9917028570872</v>
      </c>
      <c r="K1532" s="24" t="n">
        <f aca="false">'DCF Base Case'!$B$2*(1+B1532)^2*$I1532-'DCF Base Case'!$B$2*(1+B1532)^1*B1532*'DCF Base Case'!$B$4</f>
        <v>25.3218250470925</v>
      </c>
      <c r="L1532" s="24" t="n">
        <f aca="false">'DCF Base Case'!$B$2*(1+B1532)^3*$I1532-'DCF Base Case'!$B$2*(1+B1532)^2*B1532*'DCF Base Case'!$B$4</f>
        <v>26.7256904411915</v>
      </c>
      <c r="M1532" s="24" t="n">
        <f aca="false">'DCF Base Case'!$B$2*(1+B1532)^4*$I1532-'DCF Base Case'!$B$2*(1+B1532)^3*B1532*'DCF Base Case'!$B$4</f>
        <v>28.2073874308048</v>
      </c>
      <c r="N1532" s="24" t="n">
        <f aca="false">'DCF Base Case'!$B$2*(1+B1532)^5*$I1532-'DCF Base Case'!$B$2*(1+B1532)^4*B1532*'DCF Base Case'!$B$4</f>
        <v>29.7712310715536</v>
      </c>
      <c r="O1532" s="24" t="n">
        <f aca="false">J1532/(1+H1532)^1+K1532/(1+H1532)^2+L1532/(1+H1532)^3+M1532/(1+H1532)^4+N1532/(1+H1532)^5</f>
        <v>101.498433816098</v>
      </c>
      <c r="P1532" s="24" t="n">
        <f aca="false">N1532*(1+F1532)/(H1532-F1532)</f>
        <v>376.570883981322</v>
      </c>
      <c r="Q1532" s="24" t="n">
        <f aca="false">O1532+P1532/(1+H1532)^5</f>
        <v>339.031891630685</v>
      </c>
      <c r="R1532" s="24" t="n">
        <f aca="false">Q1532-'DCF Base Case'!$B$5</f>
        <v>154.031891630685</v>
      </c>
      <c r="S1532" s="32" t="n">
        <f aca="false">R1532/'DCF Base Case'!$B$6</f>
        <v>6.16127566522738</v>
      </c>
    </row>
    <row r="1533" customFormat="false" ht="15" hidden="false" customHeight="true" outlineLevel="0" collapsed="false">
      <c r="A1533" s="6" t="n">
        <v>1532</v>
      </c>
      <c r="B1533" s="30" t="n">
        <v>0.102237223606634</v>
      </c>
      <c r="C1533" s="30" t="n">
        <v>0.405833028933406</v>
      </c>
      <c r="D1533" s="30" t="n">
        <v>0.0820456429046907</v>
      </c>
      <c r="E1533" s="30" t="n">
        <v>0.306583310305181</v>
      </c>
      <c r="F1533" s="30" t="n">
        <v>0.0171629237353206</v>
      </c>
      <c r="G1533" s="30" t="n">
        <v>0.129936295226865</v>
      </c>
      <c r="H1533" s="31" t="n">
        <f aca="false">MAX(D1533,F1533+0.015)</f>
        <v>0.0820456429046907</v>
      </c>
      <c r="I1533" s="25" t="n">
        <f aca="false">(C1533-'DCF Base Case'!$B$3)*(1-E1533)+'DCF Base Case'!$B$3-G1533</f>
        <v>0.191330930604633</v>
      </c>
      <c r="J1533" s="24" t="n">
        <f aca="false">'DCF Base Case'!$B$2*(1+B1533)^1*$I1533-'DCF Base Case'!$B$2*(1+B1533)^0*B1533*'DCF Base Case'!$B$4</f>
        <v>30.1346187695711</v>
      </c>
      <c r="K1533" s="24" t="n">
        <f aca="false">'DCF Base Case'!$B$2*(1+B1533)^2*$I1533-'DCF Base Case'!$B$2*(1+B1533)^1*B1533*'DCF Base Case'!$B$4</f>
        <v>33.2154985270164</v>
      </c>
      <c r="L1533" s="24" t="n">
        <f aca="false">'DCF Base Case'!$B$2*(1+B1533)^3*$I1533-'DCF Base Case'!$B$2*(1+B1533)^2*B1533*'DCF Base Case'!$B$4</f>
        <v>36.6113588771288</v>
      </c>
      <c r="M1533" s="24" t="n">
        <f aca="false">'DCF Base Case'!$B$2*(1+B1533)^4*$I1533-'DCF Base Case'!$B$2*(1+B1533)^3*B1533*'DCF Base Case'!$B$4</f>
        <v>40.3544025611926</v>
      </c>
      <c r="N1533" s="24" t="n">
        <f aca="false">'DCF Base Case'!$B$2*(1+B1533)^5*$I1533-'DCF Base Case'!$B$2*(1+B1533)^4*B1533*'DCF Base Case'!$B$4</f>
        <v>44.4801246393533</v>
      </c>
      <c r="O1533" s="24" t="n">
        <f aca="false">J1533/(1+H1533)^1+K1533/(1+H1533)^2+L1533/(1+H1533)^3+M1533/(1+H1533)^4+N1533/(1+H1533)^5</f>
        <v>144.543163039023</v>
      </c>
      <c r="P1533" s="24" t="n">
        <f aca="false">N1533*(1+F1533)/(H1533-F1533)</f>
        <v>697.312538769718</v>
      </c>
      <c r="Q1533" s="24" t="n">
        <f aca="false">O1533+P1533/(1+H1533)^5</f>
        <v>614.653252008645</v>
      </c>
      <c r="R1533" s="24" t="n">
        <f aca="false">Q1533-'DCF Base Case'!$B$5</f>
        <v>429.653252008645</v>
      </c>
      <c r="S1533" s="32" t="n">
        <f aca="false">R1533/'DCF Base Case'!$B$6</f>
        <v>17.1861300803458</v>
      </c>
    </row>
    <row r="1534" customFormat="false" ht="15" hidden="false" customHeight="true" outlineLevel="0" collapsed="false">
      <c r="A1534" s="6" t="n">
        <v>1533</v>
      </c>
      <c r="B1534" s="30" t="n">
        <v>0.0619789418935183</v>
      </c>
      <c r="C1534" s="30" t="n">
        <v>0.404347214732975</v>
      </c>
      <c r="D1534" s="30" t="n">
        <v>0.0645023453667983</v>
      </c>
      <c r="E1534" s="30" t="n">
        <v>0.271855281676371</v>
      </c>
      <c r="F1534" s="30" t="n">
        <v>0.0137869054177607</v>
      </c>
      <c r="G1534" s="30" t="n">
        <v>0.202591566749824</v>
      </c>
      <c r="H1534" s="31" t="n">
        <f aca="false">MAX(D1534,F1534+0.015)</f>
        <v>0.0645023453667983</v>
      </c>
      <c r="I1534" s="25" t="n">
        <f aca="false">(C1534-'DCF Base Case'!$B$3)*(1-E1534)+'DCF Base Case'!$B$3-G1534</f>
        <v>0.12717290864479</v>
      </c>
      <c r="J1534" s="24" t="n">
        <f aca="false">'DCF Base Case'!$B$2*(1+B1534)^1*$I1534-'DCF Base Case'!$B$2*(1+B1534)^0*B1534*'DCF Base Case'!$B$4</f>
        <v>19.3133594919799</v>
      </c>
      <c r="K1534" s="24" t="n">
        <f aca="false">'DCF Base Case'!$B$2*(1+B1534)^2*$I1534-'DCF Base Case'!$B$2*(1+B1534)^1*B1534*'DCF Base Case'!$B$4</f>
        <v>20.510381077702</v>
      </c>
      <c r="L1534" s="24" t="n">
        <f aca="false">'DCF Base Case'!$B$2*(1+B1534)^3*$I1534-'DCF Base Case'!$B$2*(1+B1534)^2*B1534*'DCF Base Case'!$B$4</f>
        <v>21.7815927947308</v>
      </c>
      <c r="M1534" s="24" t="n">
        <f aca="false">'DCF Base Case'!$B$2*(1+B1534)^4*$I1534-'DCF Base Case'!$B$2*(1+B1534)^3*B1534*'DCF Base Case'!$B$4</f>
        <v>23.1315928689037</v>
      </c>
      <c r="N1534" s="24" t="n">
        <f aca="false">'DCF Base Case'!$B$2*(1+B1534)^5*$I1534-'DCF Base Case'!$B$2*(1+B1534)^4*B1534*'DCF Base Case'!$B$4</f>
        <v>24.56526451923</v>
      </c>
      <c r="O1534" s="24" t="n">
        <f aca="false">J1534/(1+H1534)^1+K1534/(1+H1534)^2+L1534/(1+H1534)^3+M1534/(1+H1534)^4+N1534/(1+H1534)^5</f>
        <v>90.2863751834739</v>
      </c>
      <c r="P1534" s="24" t="n">
        <f aca="false">N1534*(1+F1534)/(H1534-F1534)</f>
        <v>491.052498464848</v>
      </c>
      <c r="Q1534" s="24" t="n">
        <f aca="false">O1534+P1534/(1+H1534)^5</f>
        <v>449.534749799378</v>
      </c>
      <c r="R1534" s="24" t="n">
        <f aca="false">Q1534-'DCF Base Case'!$B$5</f>
        <v>264.534749799378</v>
      </c>
      <c r="S1534" s="32" t="n">
        <f aca="false">R1534/'DCF Base Case'!$B$6</f>
        <v>10.5813899919751</v>
      </c>
    </row>
    <row r="1535" customFormat="false" ht="15" hidden="false" customHeight="true" outlineLevel="0" collapsed="false">
      <c r="A1535" s="6" t="n">
        <v>1534</v>
      </c>
      <c r="B1535" s="30" t="n">
        <v>0.1312855340265</v>
      </c>
      <c r="C1535" s="30" t="n">
        <v>0.40945906301975</v>
      </c>
      <c r="D1535" s="30" t="n">
        <v>0.0878243454804171</v>
      </c>
      <c r="E1535" s="30" t="n">
        <v>0.25924934457646</v>
      </c>
      <c r="F1535" s="30" t="n">
        <v>0.0181390802971005</v>
      </c>
      <c r="G1535" s="30" t="n">
        <v>0.205373188496287</v>
      </c>
      <c r="H1535" s="31" t="n">
        <f aca="false">MAX(D1535,F1535+0.015)</f>
        <v>0.0878243454804171</v>
      </c>
      <c r="I1535" s="25" t="n">
        <f aca="false">(C1535-'DCF Base Case'!$B$3)*(1-E1535)+'DCF Base Case'!$B$3-G1535</f>
        <v>0.131636295599641</v>
      </c>
      <c r="J1535" s="24" t="n">
        <f aca="false">'DCF Base Case'!$B$2*(1+B1535)^1*$I1535-'DCF Base Case'!$B$2*(1+B1535)^0*B1535*'DCF Base Case'!$B$4</f>
        <v>21.0220522868677</v>
      </c>
      <c r="K1535" s="24" t="n">
        <f aca="false">'DCF Base Case'!$B$2*(1+B1535)^2*$I1535-'DCF Base Case'!$B$2*(1+B1535)^1*B1535*'DCF Base Case'!$B$4</f>
        <v>23.7819436476822</v>
      </c>
      <c r="L1535" s="24" t="n">
        <f aca="false">'DCF Base Case'!$B$2*(1+B1535)^3*$I1535-'DCF Base Case'!$B$2*(1+B1535)^2*B1535*'DCF Base Case'!$B$4</f>
        <v>26.9041688196562</v>
      </c>
      <c r="M1535" s="24" t="n">
        <f aca="false">'DCF Base Case'!$B$2*(1+B1535)^4*$I1535-'DCF Base Case'!$B$2*(1+B1535)^3*B1535*'DCF Base Case'!$B$4</f>
        <v>30.4362969906839</v>
      </c>
      <c r="N1535" s="24" t="n">
        <f aca="false">'DCF Base Case'!$B$2*(1+B1535)^5*$I1535-'DCF Base Case'!$B$2*(1+B1535)^4*B1535*'DCF Base Case'!$B$4</f>
        <v>34.432142494895</v>
      </c>
      <c r="O1535" s="24" t="n">
        <f aca="false">J1535/(1+H1535)^1+K1535/(1+H1535)^2+L1535/(1+H1535)^3+M1535/(1+H1535)^4+N1535/(1+H1535)^5</f>
        <v>104.659713434145</v>
      </c>
      <c r="P1535" s="24" t="n">
        <f aca="false">N1535*(1+F1535)/(H1535-F1535)</f>
        <v>503.072059784657</v>
      </c>
      <c r="Q1535" s="24" t="n">
        <f aca="false">O1535+P1535/(1+H1535)^5</f>
        <v>434.904771375887</v>
      </c>
      <c r="R1535" s="24" t="n">
        <f aca="false">Q1535-'DCF Base Case'!$B$5</f>
        <v>249.904771375887</v>
      </c>
      <c r="S1535" s="32" t="n">
        <f aca="false">R1535/'DCF Base Case'!$B$6</f>
        <v>9.99619085503549</v>
      </c>
    </row>
    <row r="1536" customFormat="false" ht="15" hidden="false" customHeight="true" outlineLevel="0" collapsed="false">
      <c r="A1536" s="6" t="n">
        <v>1535</v>
      </c>
      <c r="B1536" s="30" t="n">
        <v>0.0800225787687791</v>
      </c>
      <c r="C1536" s="30" t="n">
        <v>0.40470771967546</v>
      </c>
      <c r="D1536" s="30" t="n">
        <v>0.0746321780604953</v>
      </c>
      <c r="E1536" s="30" t="n">
        <v>0.314701300726161</v>
      </c>
      <c r="F1536" s="30" t="n">
        <v>0.0103104333152252</v>
      </c>
      <c r="G1536" s="30" t="n">
        <v>0.156274297811906</v>
      </c>
      <c r="H1536" s="31" t="n">
        <f aca="false">MAX(D1536,F1536+0.015)</f>
        <v>0.0746321780604953</v>
      </c>
      <c r="I1536" s="25" t="n">
        <f aca="false">(C1536-'DCF Base Case'!$B$3)*(1-E1536)+'DCF Base Case'!$B$3-G1536</f>
        <v>0.161982545162169</v>
      </c>
      <c r="J1536" s="24" t="n">
        <f aca="false">'DCF Base Case'!$B$2*(1+B1536)^1*$I1536-'DCF Base Case'!$B$2*(1+B1536)^0*B1536*'DCF Base Case'!$B$4</f>
        <v>25.0188986728844</v>
      </c>
      <c r="K1536" s="24" t="n">
        <f aca="false">'DCF Base Case'!$B$2*(1+B1536)^2*$I1536-'DCF Base Case'!$B$2*(1+B1536)^1*B1536*'DCF Base Case'!$B$4</f>
        <v>27.0209754626433</v>
      </c>
      <c r="L1536" s="24" t="n">
        <f aca="false">'DCF Base Case'!$B$2*(1+B1536)^3*$I1536-'DCF Base Case'!$B$2*(1+B1536)^2*B1536*'DCF Base Case'!$B$4</f>
        <v>29.183263600012</v>
      </c>
      <c r="M1536" s="24" t="n">
        <f aca="false">'DCF Base Case'!$B$2*(1+B1536)^4*$I1536-'DCF Base Case'!$B$2*(1+B1536)^3*B1536*'DCF Base Case'!$B$4</f>
        <v>31.518583610174</v>
      </c>
      <c r="N1536" s="24" t="n">
        <f aca="false">'DCF Base Case'!$B$2*(1+B1536)^5*$I1536-'DCF Base Case'!$B$2*(1+B1536)^4*B1536*'DCF Base Case'!$B$4</f>
        <v>34.0407819497995</v>
      </c>
      <c r="O1536" s="24" t="n">
        <f aca="false">J1536/(1+H1536)^1+K1536/(1+H1536)^2+L1536/(1+H1536)^3+M1536/(1+H1536)^4+N1536/(1+H1536)^5</f>
        <v>117.580475693141</v>
      </c>
      <c r="P1536" s="24" t="n">
        <f aca="false">N1536*(1+F1536)/(H1536-F1536)</f>
        <v>534.68321324757</v>
      </c>
      <c r="Q1536" s="24" t="n">
        <f aca="false">O1536+P1536/(1+H1536)^5</f>
        <v>490.656505196261</v>
      </c>
      <c r="R1536" s="24" t="n">
        <f aca="false">Q1536-'DCF Base Case'!$B$5</f>
        <v>305.656505196261</v>
      </c>
      <c r="S1536" s="32" t="n">
        <f aca="false">R1536/'DCF Base Case'!$B$6</f>
        <v>12.2262602078504</v>
      </c>
    </row>
    <row r="1537" customFormat="false" ht="15" hidden="false" customHeight="true" outlineLevel="0" collapsed="false">
      <c r="A1537" s="6" t="n">
        <v>1536</v>
      </c>
      <c r="B1537" s="30" t="n">
        <v>0.0890764973733665</v>
      </c>
      <c r="C1537" s="30" t="n">
        <v>0.399694472294027</v>
      </c>
      <c r="D1537" s="30" t="n">
        <v>0.0944990005850429</v>
      </c>
      <c r="E1537" s="30" t="n">
        <v>0.316305829304113</v>
      </c>
      <c r="F1537" s="30" t="n">
        <v>0.0137174727470161</v>
      </c>
      <c r="G1537" s="30" t="n">
        <v>0.20956365951721</v>
      </c>
      <c r="H1537" s="31" t="n">
        <f aca="false">MAX(D1537,F1537+0.015)</f>
        <v>0.0944990005850429</v>
      </c>
      <c r="I1537" s="25" t="n">
        <f aca="false">(C1537-'DCF Base Case'!$B$3)*(1-E1537)+'DCF Base Case'!$B$3-G1537</f>
        <v>0.10482487905912</v>
      </c>
      <c r="J1537" s="24" t="n">
        <f aca="false">'DCF Base Case'!$B$2*(1+B1537)^1*$I1537-'DCF Base Case'!$B$2*(1+B1537)^0*B1537*'DCF Base Case'!$B$4</f>
        <v>16.1660524943033</v>
      </c>
      <c r="K1537" s="24" t="n">
        <f aca="false">'DCF Base Case'!$B$2*(1+B1537)^2*$I1537-'DCF Base Case'!$B$2*(1+B1537)^1*B1537*'DCF Base Case'!$B$4</f>
        <v>17.6060678268498</v>
      </c>
      <c r="L1537" s="24" t="n">
        <f aca="false">'DCF Base Case'!$B$2*(1+B1537)^3*$I1537-'DCF Base Case'!$B$2*(1+B1537)^2*B1537*'DCF Base Case'!$B$4</f>
        <v>19.1743546813835</v>
      </c>
      <c r="M1537" s="24" t="n">
        <f aca="false">'DCF Base Case'!$B$2*(1+B1537)^4*$I1537-'DCF Base Case'!$B$2*(1+B1537)^3*B1537*'DCF Base Case'!$B$4</f>
        <v>20.8823390357958</v>
      </c>
      <c r="N1537" s="24" t="n">
        <f aca="false">'DCF Base Case'!$B$2*(1+B1537)^5*$I1537-'DCF Base Case'!$B$2*(1+B1537)^4*B1537*'DCF Base Case'!$B$4</f>
        <v>22.7424646540676</v>
      </c>
      <c r="O1537" s="24" t="n">
        <f aca="false">J1537/(1+H1537)^1+K1537/(1+H1537)^2+L1537/(1+H1537)^3+M1537/(1+H1537)^4+N1537/(1+H1537)^5</f>
        <v>73.1232298258011</v>
      </c>
      <c r="P1537" s="24" t="n">
        <f aca="false">N1537*(1+F1537)/(H1537-F1537)</f>
        <v>285.392396135236</v>
      </c>
      <c r="Q1537" s="24" t="n">
        <f aca="false">O1537+P1537/(1+H1537)^5</f>
        <v>254.827674657082</v>
      </c>
      <c r="R1537" s="24" t="n">
        <f aca="false">Q1537-'DCF Base Case'!$B$5</f>
        <v>69.8276746570818</v>
      </c>
      <c r="S1537" s="32" t="n">
        <f aca="false">R1537/'DCF Base Case'!$B$6</f>
        <v>2.79310698628327</v>
      </c>
    </row>
    <row r="1538" customFormat="false" ht="15" hidden="false" customHeight="true" outlineLevel="0" collapsed="false">
      <c r="A1538" s="6" t="n">
        <v>1537</v>
      </c>
      <c r="B1538" s="30" t="n">
        <v>0.0596634901932858</v>
      </c>
      <c r="C1538" s="30" t="n">
        <v>0.429069933065762</v>
      </c>
      <c r="D1538" s="30" t="n">
        <v>0.0866481046838926</v>
      </c>
      <c r="E1538" s="30" t="n">
        <v>0.267184745454739</v>
      </c>
      <c r="F1538" s="30" t="n">
        <v>0.0177264908227469</v>
      </c>
      <c r="G1538" s="30" t="n">
        <v>0.16450042340945</v>
      </c>
      <c r="H1538" s="31" t="n">
        <f aca="false">MAX(D1538,F1538+0.015)</f>
        <v>0.0866481046838926</v>
      </c>
      <c r="I1538" s="25" t="n">
        <f aca="false">(C1538-'DCF Base Case'!$B$3)*(1-E1538)+'DCF Base Case'!$B$3-G1538</f>
        <v>0.184662585716971</v>
      </c>
      <c r="J1538" s="24" t="n">
        <f aca="false">'DCF Base Case'!$B$2*(1+B1538)^1*$I1538-'DCF Base Case'!$B$2*(1+B1538)^0*B1538*'DCF Base Case'!$B$4</f>
        <v>28.1140928305587</v>
      </c>
      <c r="K1538" s="24" t="n">
        <f aca="false">'DCF Base Case'!$B$2*(1+B1538)^2*$I1538-'DCF Base Case'!$B$2*(1+B1538)^1*B1538*'DCF Base Case'!$B$4</f>
        <v>29.7914777324478</v>
      </c>
      <c r="L1538" s="24" t="n">
        <f aca="false">'DCF Base Case'!$B$2*(1+B1538)^3*$I1538-'DCF Base Case'!$B$2*(1+B1538)^2*B1538*'DCF Base Case'!$B$4</f>
        <v>31.5689412719812</v>
      </c>
      <c r="M1538" s="24" t="n">
        <f aca="false">'DCF Base Case'!$B$2*(1+B1538)^4*$I1538-'DCF Base Case'!$B$2*(1+B1538)^3*B1538*'DCF Base Case'!$B$4</f>
        <v>33.4524544899745</v>
      </c>
      <c r="N1538" s="24" t="n">
        <f aca="false">'DCF Base Case'!$B$2*(1+B1538)^5*$I1538-'DCF Base Case'!$B$2*(1+B1538)^4*B1538*'DCF Base Case'!$B$4</f>
        <v>35.4483446803784</v>
      </c>
      <c r="O1538" s="24" t="n">
        <f aca="false">J1538/(1+H1538)^1+K1538/(1+H1538)^2+L1538/(1+H1538)^3+M1538/(1+H1538)^4+N1538/(1+H1538)^5</f>
        <v>123.094266960372</v>
      </c>
      <c r="P1538" s="24" t="n">
        <f aca="false">N1538*(1+F1538)/(H1538-F1538)</f>
        <v>523.44565682573</v>
      </c>
      <c r="Q1538" s="24" t="n">
        <f aca="false">O1538+P1538/(1+H1538)^5</f>
        <v>468.577493130748</v>
      </c>
      <c r="R1538" s="24" t="n">
        <f aca="false">Q1538-'DCF Base Case'!$B$5</f>
        <v>283.577493130748</v>
      </c>
      <c r="S1538" s="32" t="n">
        <f aca="false">R1538/'DCF Base Case'!$B$6</f>
        <v>11.3430997252299</v>
      </c>
    </row>
    <row r="1539" customFormat="false" ht="15" hidden="false" customHeight="true" outlineLevel="0" collapsed="false">
      <c r="A1539" s="6" t="n">
        <v>1538</v>
      </c>
      <c r="B1539" s="30" t="n">
        <v>0.0943134945855921</v>
      </c>
      <c r="C1539" s="30" t="n">
        <v>0.395921050735067</v>
      </c>
      <c r="D1539" s="30" t="n">
        <v>0.0824266604655377</v>
      </c>
      <c r="E1539" s="30" t="n">
        <v>0.262150466015283</v>
      </c>
      <c r="F1539" s="30" t="n">
        <v>0.0144306184894271</v>
      </c>
      <c r="G1539" s="30" t="n">
        <v>0.148766310879242</v>
      </c>
      <c r="H1539" s="31" t="n">
        <f aca="false">MAX(D1539,F1539+0.015)</f>
        <v>0.0824266604655377</v>
      </c>
      <c r="I1539" s="25" t="n">
        <f aca="false">(C1539-'DCF Base Case'!$B$3)*(1-E1539)+'DCF Base Case'!$B$3-G1539</f>
        <v>0.177443412482353</v>
      </c>
      <c r="J1539" s="24" t="n">
        <f aca="false">'DCF Base Case'!$B$2*(1+B1539)^1*$I1539-'DCF Base Case'!$B$2*(1+B1539)^0*B1539*'DCF Base Case'!$B$4</f>
        <v>27.7456508152424</v>
      </c>
      <c r="K1539" s="24" t="n">
        <f aca="false">'DCF Base Case'!$B$2*(1+B1539)^2*$I1539-'DCF Base Case'!$B$2*(1+B1539)^1*B1539*'DCF Base Case'!$B$4</f>
        <v>30.3624401031795</v>
      </c>
      <c r="L1539" s="24" t="n">
        <f aca="false">'DCF Base Case'!$B$2*(1+B1539)^3*$I1539-'DCF Base Case'!$B$2*(1+B1539)^2*B1539*'DCF Base Case'!$B$4</f>
        <v>33.2260279334561</v>
      </c>
      <c r="M1539" s="24" t="n">
        <f aca="false">'DCF Base Case'!$B$2*(1+B1539)^4*$I1539-'DCF Base Case'!$B$2*(1+B1539)^3*B1539*'DCF Base Case'!$B$4</f>
        <v>36.3596907390589</v>
      </c>
      <c r="N1539" s="24" t="n">
        <f aca="false">'DCF Base Case'!$B$2*(1+B1539)^5*$I1539-'DCF Base Case'!$B$2*(1+B1539)^4*B1539*'DCF Base Case'!$B$4</f>
        <v>39.7889002347109</v>
      </c>
      <c r="O1539" s="24" t="n">
        <f aca="false">J1539/(1+H1539)^1+K1539/(1+H1539)^2+L1539/(1+H1539)^3+M1539/(1+H1539)^4+N1539/(1+H1539)^5</f>
        <v>131.010104291637</v>
      </c>
      <c r="P1539" s="24" t="n">
        <f aca="false">N1539*(1+F1539)/(H1539-F1539)</f>
        <v>593.609238142021</v>
      </c>
      <c r="Q1539" s="24" t="n">
        <f aca="false">O1539+P1539/(1+H1539)^5</f>
        <v>530.502253064476</v>
      </c>
      <c r="R1539" s="24" t="n">
        <f aca="false">Q1539-'DCF Base Case'!$B$5</f>
        <v>345.502253064476</v>
      </c>
      <c r="S1539" s="32" t="n">
        <f aca="false">R1539/'DCF Base Case'!$B$6</f>
        <v>13.820090122579</v>
      </c>
    </row>
    <row r="1540" customFormat="false" ht="15" hidden="false" customHeight="true" outlineLevel="0" collapsed="false">
      <c r="A1540" s="6" t="n">
        <v>1539</v>
      </c>
      <c r="B1540" s="30" t="n">
        <v>0.0650077147857814</v>
      </c>
      <c r="C1540" s="30" t="n">
        <v>0.395748735852975</v>
      </c>
      <c r="D1540" s="30" t="n">
        <v>0.0897572239601526</v>
      </c>
      <c r="E1540" s="30" t="n">
        <v>0.283108997131627</v>
      </c>
      <c r="F1540" s="30" t="n">
        <v>0.0257188542949457</v>
      </c>
      <c r="G1540" s="30" t="n">
        <v>0.12735849686064</v>
      </c>
      <c r="H1540" s="31" t="n">
        <f aca="false">MAX(D1540,F1540+0.015)</f>
        <v>0.0897572239601526</v>
      </c>
      <c r="I1540" s="25" t="n">
        <f aca="false">(C1540-'DCF Base Case'!$B$3)*(1-E1540)+'DCF Base Case'!$B$3-G1540</f>
        <v>0.193154380896002</v>
      </c>
      <c r="J1540" s="24" t="n">
        <f aca="false">'DCF Base Case'!$B$2*(1+B1540)^1*$I1540-'DCF Base Case'!$B$2*(1+B1540)^0*B1540*'DCF Base Case'!$B$4</f>
        <v>29.5452977815243</v>
      </c>
      <c r="K1540" s="24" t="n">
        <f aca="false">'DCF Base Case'!$B$2*(1+B1540)^2*$I1540-'DCF Base Case'!$B$2*(1+B1540)^1*B1540*'DCF Base Case'!$B$4</f>
        <v>31.4659700729666</v>
      </c>
      <c r="L1540" s="24" t="n">
        <f aca="false">'DCF Base Case'!$B$2*(1+B1540)^3*$I1540-'DCF Base Case'!$B$2*(1+B1540)^2*B1540*'DCF Base Case'!$B$4</f>
        <v>33.5115008809279</v>
      </c>
      <c r="M1540" s="24" t="n">
        <f aca="false">'DCF Base Case'!$B$2*(1+B1540)^4*$I1540-'DCF Base Case'!$B$2*(1+B1540)^3*B1540*'DCF Base Case'!$B$4</f>
        <v>35.6900069722387</v>
      </c>
      <c r="N1540" s="24" t="n">
        <f aca="false">'DCF Base Case'!$B$2*(1+B1540)^5*$I1540-'DCF Base Case'!$B$2*(1+B1540)^4*B1540*'DCF Base Case'!$B$4</f>
        <v>38.0101327661926</v>
      </c>
      <c r="O1540" s="24" t="n">
        <f aca="false">J1540/(1+H1540)^1+K1540/(1+H1540)^2+L1540/(1+H1540)^3+M1540/(1+H1540)^4+N1540/(1+H1540)^5</f>
        <v>129.539968757376</v>
      </c>
      <c r="P1540" s="24" t="n">
        <f aca="false">N1540*(1+F1540)/(H1540-F1540)</f>
        <v>608.817963923284</v>
      </c>
      <c r="Q1540" s="24" t="n">
        <f aca="false">O1540+P1540/(1+H1540)^5</f>
        <v>525.670827329594</v>
      </c>
      <c r="R1540" s="24" t="n">
        <f aca="false">Q1540-'DCF Base Case'!$B$5</f>
        <v>340.670827329594</v>
      </c>
      <c r="S1540" s="32" t="n">
        <f aca="false">R1540/'DCF Base Case'!$B$6</f>
        <v>13.6268330931838</v>
      </c>
    </row>
    <row r="1541" customFormat="false" ht="15" hidden="false" customHeight="true" outlineLevel="0" collapsed="false">
      <c r="A1541" s="6" t="n">
        <v>1540</v>
      </c>
      <c r="B1541" s="30" t="n">
        <v>0.100036706292619</v>
      </c>
      <c r="C1541" s="30" t="n">
        <v>0.41835784803202</v>
      </c>
      <c r="D1541" s="30" t="n">
        <v>0.0939723737660916</v>
      </c>
      <c r="E1541" s="30" t="n">
        <v>0.301576498266067</v>
      </c>
      <c r="F1541" s="30" t="n">
        <v>0.0187196999149396</v>
      </c>
      <c r="G1541" s="30" t="n">
        <v>0.169119978252554</v>
      </c>
      <c r="H1541" s="31" t="n">
        <f aca="false">MAX(D1541,F1541+0.015)</f>
        <v>0.0939723737660916</v>
      </c>
      <c r="I1541" s="25" t="n">
        <f aca="false">(C1541-'DCF Base Case'!$B$3)*(1-E1541)+'DCF Base Case'!$B$3-G1541</f>
        <v>0.162275919722431</v>
      </c>
      <c r="J1541" s="24" t="n">
        <f aca="false">'DCF Base Case'!$B$2*(1+B1541)^1*$I1541-'DCF Base Case'!$B$2*(1+B1541)^0*B1541*'DCF Base Case'!$B$4</f>
        <v>25.448713222727</v>
      </c>
      <c r="K1541" s="24" t="n">
        <f aca="false">'DCF Base Case'!$B$2*(1+B1541)^2*$I1541-'DCF Base Case'!$B$2*(1+B1541)^1*B1541*'DCF Base Case'!$B$4</f>
        <v>27.994518672914</v>
      </c>
      <c r="L1541" s="24" t="n">
        <f aca="false">'DCF Base Case'!$B$2*(1+B1541)^3*$I1541-'DCF Base Case'!$B$2*(1+B1541)^2*B1541*'DCF Base Case'!$B$4</f>
        <v>30.7949981151996</v>
      </c>
      <c r="M1541" s="24" t="n">
        <f aca="false">'DCF Base Case'!$B$2*(1+B1541)^4*$I1541-'DCF Base Case'!$B$2*(1+B1541)^3*B1541*'DCF Base Case'!$B$4</f>
        <v>33.8756282969315</v>
      </c>
      <c r="N1541" s="24" t="n">
        <f aca="false">'DCF Base Case'!$B$2*(1+B1541)^5*$I1541-'DCF Base Case'!$B$2*(1+B1541)^4*B1541*'DCF Base Case'!$B$4</f>
        <v>37.2644345753496</v>
      </c>
      <c r="O1541" s="24" t="n">
        <f aca="false">J1541/(1+H1541)^1+K1541/(1+H1541)^2+L1541/(1+H1541)^3+M1541/(1+H1541)^4+N1541/(1+H1541)^5</f>
        <v>117.610038884032</v>
      </c>
      <c r="P1541" s="24" t="n">
        <f aca="false">N1541*(1+F1541)/(H1541-F1541)</f>
        <v>504.460661201062</v>
      </c>
      <c r="Q1541" s="24" t="n">
        <f aca="false">O1541+P1541/(1+H1541)^5</f>
        <v>439.565303145678</v>
      </c>
      <c r="R1541" s="24" t="n">
        <f aca="false">Q1541-'DCF Base Case'!$B$5</f>
        <v>254.565303145678</v>
      </c>
      <c r="S1541" s="32" t="n">
        <f aca="false">R1541/'DCF Base Case'!$B$6</f>
        <v>10.1826121258271</v>
      </c>
    </row>
    <row r="1542" customFormat="false" ht="15" hidden="false" customHeight="true" outlineLevel="0" collapsed="false">
      <c r="A1542" s="6" t="n">
        <v>1541</v>
      </c>
      <c r="B1542" s="30" t="n">
        <v>0.0737947704434284</v>
      </c>
      <c r="C1542" s="30" t="n">
        <v>0.421187974978354</v>
      </c>
      <c r="D1542" s="30" t="n">
        <v>0.0643323634266503</v>
      </c>
      <c r="E1542" s="30" t="n">
        <v>0.303476427248937</v>
      </c>
      <c r="F1542" s="30" t="n">
        <v>0.0192672699927165</v>
      </c>
      <c r="G1542" s="30" t="n">
        <v>0.155389669897456</v>
      </c>
      <c r="H1542" s="31" t="n">
        <f aca="false">MAX(D1542,F1542+0.015)</f>
        <v>0.0643323634266503</v>
      </c>
      <c r="I1542" s="25" t="n">
        <f aca="false">(C1542-'DCF Base Case'!$B$3)*(1-E1542)+'DCF Base Case'!$B$3-G1542</f>
        <v>0.177429618776614</v>
      </c>
      <c r="J1542" s="24" t="n">
        <f aca="false">'DCF Base Case'!$B$2*(1+B1542)^1*$I1542-'DCF Base Case'!$B$2*(1+B1542)^0*B1542*'DCF Base Case'!$B$4</f>
        <v>27.3048272793655</v>
      </c>
      <c r="K1542" s="24" t="n">
        <f aca="false">'DCF Base Case'!$B$2*(1+B1542)^2*$I1542-'DCF Base Case'!$B$2*(1+B1542)^1*B1542*'DCF Base Case'!$B$4</f>
        <v>29.3197807404438</v>
      </c>
      <c r="L1542" s="24" t="n">
        <f aca="false">'DCF Base Case'!$B$2*(1+B1542)^3*$I1542-'DCF Base Case'!$B$2*(1+B1542)^2*B1542*'DCF Base Case'!$B$4</f>
        <v>31.4834272296365</v>
      </c>
      <c r="M1542" s="24" t="n">
        <f aca="false">'DCF Base Case'!$B$2*(1+B1542)^4*$I1542-'DCF Base Case'!$B$2*(1+B1542)^3*B1542*'DCF Base Case'!$B$4</f>
        <v>33.8067395148199</v>
      </c>
      <c r="N1542" s="24" t="n">
        <f aca="false">'DCF Base Case'!$B$2*(1+B1542)^5*$I1542-'DCF Base Case'!$B$2*(1+B1542)^4*B1542*'DCF Base Case'!$B$4</f>
        <v>36.3015000967568</v>
      </c>
      <c r="O1542" s="24" t="n">
        <f aca="false">J1542/(1+H1542)^1+K1542/(1+H1542)^2+L1542/(1+H1542)^3+M1542/(1+H1542)^4+N1542/(1+H1542)^5</f>
        <v>130.573253756538</v>
      </c>
      <c r="P1542" s="24" t="n">
        <f aca="false">N1542*(1+F1542)/(H1542-F1542)</f>
        <v>821.055235456365</v>
      </c>
      <c r="Q1542" s="24" t="n">
        <f aca="false">O1542+P1542/(1+H1542)^5</f>
        <v>731.727659672279</v>
      </c>
      <c r="R1542" s="24" t="n">
        <f aca="false">Q1542-'DCF Base Case'!$B$5</f>
        <v>546.727659672279</v>
      </c>
      <c r="S1542" s="32" t="n">
        <f aca="false">R1542/'DCF Base Case'!$B$6</f>
        <v>21.8691063868912</v>
      </c>
    </row>
    <row r="1543" customFormat="false" ht="15" hidden="false" customHeight="true" outlineLevel="0" collapsed="false">
      <c r="A1543" s="6" t="n">
        <v>1542</v>
      </c>
      <c r="B1543" s="30" t="n">
        <v>0.0851697881430826</v>
      </c>
      <c r="C1543" s="30" t="n">
        <v>0.409528557276538</v>
      </c>
      <c r="D1543" s="30" t="n">
        <v>0.0992703413652855</v>
      </c>
      <c r="E1543" s="30" t="n">
        <v>0.347539683064528</v>
      </c>
      <c r="F1543" s="30" t="n">
        <v>0.0236786820015137</v>
      </c>
      <c r="G1543" s="30" t="n">
        <v>0.1538186987588</v>
      </c>
      <c r="H1543" s="31" t="n">
        <f aca="false">MAX(D1543,F1543+0.015)</f>
        <v>0.0992703413652855</v>
      </c>
      <c r="I1543" s="25" t="n">
        <f aca="false">(C1543-'DCF Base Case'!$B$3)*(1-E1543)+'DCF Base Case'!$B$3-G1543</f>
        <v>0.158562592314365</v>
      </c>
      <c r="J1543" s="24" t="n">
        <f aca="false">'DCF Base Case'!$B$2*(1+B1543)^1*$I1543-'DCF Base Case'!$B$2*(1+B1543)^0*B1543*'DCF Base Case'!$B$4</f>
        <v>24.5792749544113</v>
      </c>
      <c r="K1543" s="24" t="n">
        <f aca="false">'DCF Base Case'!$B$2*(1+B1543)^2*$I1543-'DCF Base Case'!$B$2*(1+B1543)^1*B1543*'DCF Base Case'!$B$4</f>
        <v>26.672686594989</v>
      </c>
      <c r="L1543" s="24" t="n">
        <f aca="false">'DCF Base Case'!$B$2*(1+B1543)^3*$I1543-'DCF Base Case'!$B$2*(1+B1543)^2*B1543*'DCF Base Case'!$B$4</f>
        <v>28.9443936614911</v>
      </c>
      <c r="M1543" s="24" t="n">
        <f aca="false">'DCF Base Case'!$B$2*(1+B1543)^4*$I1543-'DCF Base Case'!$B$2*(1+B1543)^3*B1543*'DCF Base Case'!$B$4</f>
        <v>31.4095815375703</v>
      </c>
      <c r="N1543" s="24" t="n">
        <f aca="false">'DCF Base Case'!$B$2*(1+B1543)^5*$I1543-'DCF Base Case'!$B$2*(1+B1543)^4*B1543*'DCF Base Case'!$B$4</f>
        <v>34.084728942788</v>
      </c>
      <c r="O1543" s="24" t="n">
        <f aca="false">J1543/(1+H1543)^1+K1543/(1+H1543)^2+L1543/(1+H1543)^3+M1543/(1+H1543)^4+N1543/(1+H1543)^5</f>
        <v>108.966577557328</v>
      </c>
      <c r="P1543" s="24" t="n">
        <f aca="false">N1543*(1+F1543)/(H1543-F1543)</f>
        <v>461.582808132591</v>
      </c>
      <c r="Q1543" s="24" t="n">
        <f aca="false">O1543+P1543/(1+H1543)^5</f>
        <v>396.525648145033</v>
      </c>
      <c r="R1543" s="24" t="n">
        <f aca="false">Q1543-'DCF Base Case'!$B$5</f>
        <v>211.525648145033</v>
      </c>
      <c r="S1543" s="32" t="n">
        <f aca="false">R1543/'DCF Base Case'!$B$6</f>
        <v>8.46102592580131</v>
      </c>
    </row>
    <row r="1544" customFormat="false" ht="15" hidden="false" customHeight="true" outlineLevel="0" collapsed="false">
      <c r="A1544" s="6" t="n">
        <v>1543</v>
      </c>
      <c r="B1544" s="30" t="n">
        <v>0.103639398417277</v>
      </c>
      <c r="C1544" s="30" t="n">
        <v>0.43190452129702</v>
      </c>
      <c r="D1544" s="30" t="n">
        <v>0.0748232320530806</v>
      </c>
      <c r="E1544" s="30" t="n">
        <v>0.255103618235034</v>
      </c>
      <c r="F1544" s="30" t="n">
        <v>0.0191150971010289</v>
      </c>
      <c r="G1544" s="30" t="n">
        <v>0.184534851222727</v>
      </c>
      <c r="H1544" s="31" t="n">
        <f aca="false">MAX(D1544,F1544+0.015)</f>
        <v>0.0748232320530806</v>
      </c>
      <c r="I1544" s="25" t="n">
        <f aca="false">(C1544-'DCF Base Case'!$B$3)*(1-E1544)+'DCF Base Case'!$B$3-G1544</f>
        <v>0.170352734329907</v>
      </c>
      <c r="J1544" s="24" t="n">
        <f aca="false">'DCF Base Case'!$B$2*(1+B1544)^1*$I1544-'DCF Base Case'!$B$2*(1+B1544)^0*B1544*'DCF Base Case'!$B$4</f>
        <v>26.8103270559014</v>
      </c>
      <c r="K1544" s="24" t="n">
        <f aca="false">'DCF Base Case'!$B$2*(1+B1544)^2*$I1544-'DCF Base Case'!$B$2*(1+B1544)^1*B1544*'DCF Base Case'!$B$4</f>
        <v>29.5889332233455</v>
      </c>
      <c r="L1544" s="24" t="n">
        <f aca="false">'DCF Base Case'!$B$2*(1+B1544)^3*$I1544-'DCF Base Case'!$B$2*(1+B1544)^2*B1544*'DCF Base Case'!$B$4</f>
        <v>32.655512462422</v>
      </c>
      <c r="M1544" s="24" t="n">
        <f aca="false">'DCF Base Case'!$B$2*(1+B1544)^4*$I1544-'DCF Base Case'!$B$2*(1+B1544)^3*B1544*'DCF Base Case'!$B$4</f>
        <v>36.0399101290353</v>
      </c>
      <c r="N1544" s="24" t="n">
        <f aca="false">'DCF Base Case'!$B$2*(1+B1544)^5*$I1544-'DCF Base Case'!$B$2*(1+B1544)^4*B1544*'DCF Base Case'!$B$4</f>
        <v>39.7750647338213</v>
      </c>
      <c r="O1544" s="24" t="n">
        <f aca="false">J1544/(1+H1544)^1+K1544/(1+H1544)^2+L1544/(1+H1544)^3+M1544/(1+H1544)^4+N1544/(1+H1544)^5</f>
        <v>131.588919889239</v>
      </c>
      <c r="P1544" s="24" t="n">
        <f aca="false">N1544*(1+F1544)/(H1544-F1544)</f>
        <v>727.638234403234</v>
      </c>
      <c r="Q1544" s="24" t="n">
        <f aca="false">O1544+P1544/(1+H1544)^5</f>
        <v>638.848533087599</v>
      </c>
      <c r="R1544" s="24" t="n">
        <f aca="false">Q1544-'DCF Base Case'!$B$5</f>
        <v>453.848533087599</v>
      </c>
      <c r="S1544" s="32" t="n">
        <f aca="false">R1544/'DCF Base Case'!$B$6</f>
        <v>18.1539413235039</v>
      </c>
    </row>
    <row r="1545" customFormat="false" ht="15" hidden="false" customHeight="true" outlineLevel="0" collapsed="false">
      <c r="A1545" s="6" t="n">
        <v>1544</v>
      </c>
      <c r="B1545" s="30" t="n">
        <v>0.0563557076075722</v>
      </c>
      <c r="C1545" s="30" t="n">
        <v>0.385407768933926</v>
      </c>
      <c r="D1545" s="30" t="n">
        <v>0.0912991687988945</v>
      </c>
      <c r="E1545" s="30" t="n">
        <v>0.280824432080942</v>
      </c>
      <c r="F1545" s="30" t="n">
        <v>0.0242932670578793</v>
      </c>
      <c r="G1545" s="30" t="n">
        <v>0.137784054335161</v>
      </c>
      <c r="H1545" s="31" t="n">
        <f aca="false">MAX(D1545,F1545+0.015)</f>
        <v>0.0912991687988945</v>
      </c>
      <c r="I1545" s="25" t="n">
        <f aca="false">(C1545-'DCF Base Case'!$B$3)*(1-E1545)+'DCF Base Case'!$B$3-G1545</f>
        <v>0.175898972938835</v>
      </c>
      <c r="J1545" s="24" t="n">
        <f aca="false">'DCF Base Case'!$B$2*(1+B1545)^1*$I1545-'DCF Base Case'!$B$2*(1+B1545)^0*B1545*'DCF Base Case'!$B$4</f>
        <v>26.697575855713</v>
      </c>
      <c r="K1545" s="24" t="n">
        <f aca="false">'DCF Base Case'!$B$2*(1+B1545)^2*$I1545-'DCF Base Case'!$B$2*(1+B1545)^1*B1545*'DCF Base Case'!$B$4</f>
        <v>28.2021366344686</v>
      </c>
      <c r="L1545" s="24" t="n">
        <f aca="false">'DCF Base Case'!$B$2*(1+B1545)^3*$I1545-'DCF Base Case'!$B$2*(1+B1545)^2*B1545*'DCF Base Case'!$B$4</f>
        <v>29.7914880005495</v>
      </c>
      <c r="M1545" s="24" t="n">
        <f aca="false">'DCF Base Case'!$B$2*(1+B1545)^4*$I1545-'DCF Base Case'!$B$2*(1+B1545)^3*B1545*'DCF Base Case'!$B$4</f>
        <v>31.4704083875029</v>
      </c>
      <c r="N1545" s="24" t="n">
        <f aca="false">'DCF Base Case'!$B$2*(1+B1545)^5*$I1545-'DCF Base Case'!$B$2*(1+B1545)^4*B1545*'DCF Base Case'!$B$4</f>
        <v>33.2439455208799</v>
      </c>
      <c r="O1545" s="24" t="n">
        <f aca="false">J1545/(1+H1545)^1+K1545/(1+H1545)^2+L1545/(1+H1545)^3+M1545/(1+H1545)^4+N1545/(1+H1545)^5</f>
        <v>114.733590599043</v>
      </c>
      <c r="P1545" s="24" t="n">
        <f aca="false">N1545*(1+F1545)/(H1545-F1545)</f>
        <v>508.187319067641</v>
      </c>
      <c r="Q1545" s="24" t="n">
        <f aca="false">O1545+P1545/(1+H1545)^5</f>
        <v>443.059156660107</v>
      </c>
      <c r="R1545" s="24" t="n">
        <f aca="false">Q1545-'DCF Base Case'!$B$5</f>
        <v>258.059156660107</v>
      </c>
      <c r="S1545" s="32" t="n">
        <f aca="false">R1545/'DCF Base Case'!$B$6</f>
        <v>10.3223662664043</v>
      </c>
    </row>
    <row r="1546" customFormat="false" ht="15" hidden="false" customHeight="true" outlineLevel="0" collapsed="false">
      <c r="A1546" s="6" t="n">
        <v>1545</v>
      </c>
      <c r="B1546" s="30" t="n">
        <v>0.133169096525784</v>
      </c>
      <c r="C1546" s="30" t="n">
        <v>0.40013479192793</v>
      </c>
      <c r="D1546" s="30" t="n">
        <v>0.0626791990928892</v>
      </c>
      <c r="E1546" s="30" t="n">
        <v>0.278010117494663</v>
      </c>
      <c r="F1546" s="30" t="n">
        <v>0.0147384262266916</v>
      </c>
      <c r="G1546" s="30" t="n">
        <v>0.164387551570433</v>
      </c>
      <c r="H1546" s="31" t="n">
        <f aca="false">MAX(D1546,F1546+0.015)</f>
        <v>0.0626791990928892</v>
      </c>
      <c r="I1546" s="25" t="n">
        <f aca="false">(C1546-'DCF Base Case'!$B$3)*(1-E1546)+'DCF Base Case'!$B$3-G1546</f>
        <v>0.160647035114217</v>
      </c>
      <c r="J1546" s="24" t="n">
        <f aca="false">'DCF Base Case'!$B$2*(1+B1546)^1*$I1546-'DCF Base Case'!$B$2*(1+B1546)^0*B1546*'DCF Base Case'!$B$4</f>
        <v>25.8165514979017</v>
      </c>
      <c r="K1546" s="24" t="n">
        <f aca="false">'DCF Base Case'!$B$2*(1+B1546)^2*$I1546-'DCF Base Case'!$B$2*(1+B1546)^1*B1546*'DCF Base Case'!$B$4</f>
        <v>29.2545183362886</v>
      </c>
      <c r="L1546" s="24" t="n">
        <f aca="false">'DCF Base Case'!$B$2*(1+B1546)^3*$I1546-'DCF Base Case'!$B$2*(1+B1546)^2*B1546*'DCF Base Case'!$B$4</f>
        <v>33.1503161124291</v>
      </c>
      <c r="M1546" s="24" t="n">
        <f aca="false">'DCF Base Case'!$B$2*(1+B1546)^4*$I1546-'DCF Base Case'!$B$2*(1+B1546)^3*B1546*'DCF Base Case'!$B$4</f>
        <v>37.5649137586655</v>
      </c>
      <c r="N1546" s="24" t="n">
        <f aca="false">'DCF Base Case'!$B$2*(1+B1546)^5*$I1546-'DCF Base Case'!$B$2*(1+B1546)^4*B1546*'DCF Base Case'!$B$4</f>
        <v>42.5673993849759</v>
      </c>
      <c r="O1546" s="24" t="n">
        <f aca="false">J1546/(1+H1546)^1+K1546/(1+H1546)^2+L1546/(1+H1546)^3+M1546/(1+H1546)^4+N1546/(1+H1546)^5</f>
        <v>138.688655481136</v>
      </c>
      <c r="P1546" s="24" t="n">
        <f aca="false">N1546*(1+F1546)/(H1546-F1546)</f>
        <v>901.002910007936</v>
      </c>
      <c r="Q1546" s="24" t="n">
        <f aca="false">O1546+P1546/(1+H1546)^5</f>
        <v>803.52582947068</v>
      </c>
      <c r="R1546" s="24" t="n">
        <f aca="false">Q1546-'DCF Base Case'!$B$5</f>
        <v>618.52582947068</v>
      </c>
      <c r="S1546" s="32" t="n">
        <f aca="false">R1546/'DCF Base Case'!$B$6</f>
        <v>24.7410331788272</v>
      </c>
    </row>
    <row r="1547" customFormat="false" ht="15" hidden="false" customHeight="true" outlineLevel="0" collapsed="false">
      <c r="A1547" s="6" t="n">
        <v>1546</v>
      </c>
      <c r="B1547" s="30" t="n">
        <v>0.0885084454160987</v>
      </c>
      <c r="C1547" s="30" t="n">
        <v>0.410028852420924</v>
      </c>
      <c r="D1547" s="30" t="n">
        <v>0.0757334786458354</v>
      </c>
      <c r="E1547" s="30" t="n">
        <v>0.292614812759748</v>
      </c>
      <c r="F1547" s="30" t="n">
        <v>0.0181062589447679</v>
      </c>
      <c r="G1547" s="30" t="n">
        <v>0.191553284567786</v>
      </c>
      <c r="H1547" s="31" t="n">
        <f aca="false">MAX(D1547,F1547+0.015)</f>
        <v>0.0757334786458354</v>
      </c>
      <c r="I1547" s="25" t="n">
        <f aca="false">(C1547-'DCF Base Case'!$B$3)*(1-E1547)+'DCF Base Case'!$B$3-G1547</f>
        <v>0.136534977634662</v>
      </c>
      <c r="J1547" s="24" t="n">
        <f aca="false">'DCF Base Case'!$B$2*(1+B1547)^1*$I1547-'DCF Base Case'!$B$2*(1+B1547)^0*B1547*'DCF Base Case'!$B$4</f>
        <v>21.164812318694</v>
      </c>
      <c r="K1547" s="24" t="n">
        <f aca="false">'DCF Base Case'!$B$2*(1+B1547)^2*$I1547-'DCF Base Case'!$B$2*(1+B1547)^1*B1547*'DCF Base Case'!$B$4</f>
        <v>23.0380769545451</v>
      </c>
      <c r="L1547" s="24" t="n">
        <f aca="false">'DCF Base Case'!$B$2*(1+B1547)^3*$I1547-'DCF Base Case'!$B$2*(1+B1547)^2*B1547*'DCF Base Case'!$B$4</f>
        <v>25.0771413311684</v>
      </c>
      <c r="M1547" s="24" t="n">
        <f aca="false">'DCF Base Case'!$B$2*(1+B1547)^4*$I1547-'DCF Base Case'!$B$2*(1+B1547)^3*B1547*'DCF Base Case'!$B$4</f>
        <v>27.2966801258699</v>
      </c>
      <c r="N1547" s="24" t="n">
        <f aca="false">'DCF Base Case'!$B$2*(1+B1547)^5*$I1547-'DCF Base Case'!$B$2*(1+B1547)^4*B1547*'DCF Base Case'!$B$4</f>
        <v>29.7126668488311</v>
      </c>
      <c r="O1547" s="24" t="n">
        <f aca="false">J1547/(1+H1547)^1+K1547/(1+H1547)^2+L1547/(1+H1547)^3+M1547/(1+H1547)^4+N1547/(1+H1547)^5</f>
        <v>100.738273741214</v>
      </c>
      <c r="P1547" s="24" t="n">
        <f aca="false">N1547*(1+F1547)/(H1547-F1547)</f>
        <v>524.936865697432</v>
      </c>
      <c r="Q1547" s="24" t="n">
        <f aca="false">O1547+P1547/(1+H1547)^5</f>
        <v>465.142705236662</v>
      </c>
      <c r="R1547" s="24" t="n">
        <f aca="false">Q1547-'DCF Base Case'!$B$5</f>
        <v>280.142705236662</v>
      </c>
      <c r="S1547" s="32" t="n">
        <f aca="false">R1547/'DCF Base Case'!$B$6</f>
        <v>11.2057082094665</v>
      </c>
    </row>
    <row r="1548" customFormat="false" ht="15" hidden="false" customHeight="true" outlineLevel="0" collapsed="false">
      <c r="A1548" s="6" t="n">
        <v>1547</v>
      </c>
      <c r="B1548" s="30" t="n">
        <v>0.0862833754257822</v>
      </c>
      <c r="C1548" s="30" t="n">
        <v>0.39163837648221</v>
      </c>
      <c r="D1548" s="30" t="n">
        <v>0.0664351839297228</v>
      </c>
      <c r="E1548" s="30" t="n">
        <v>0.274990600029116</v>
      </c>
      <c r="F1548" s="30" t="n">
        <v>0.0142287361845529</v>
      </c>
      <c r="G1548" s="30" t="n">
        <v>0.13881638749352</v>
      </c>
      <c r="H1548" s="31" t="n">
        <f aca="false">MAX(D1548,F1548+0.015)</f>
        <v>0.0664351839297228</v>
      </c>
      <c r="I1548" s="25" t="n">
        <f aca="false">(C1548-'DCF Base Case'!$B$3)*(1-E1548)+'DCF Base Case'!$B$3-G1548</f>
        <v>0.180873894849203</v>
      </c>
      <c r="J1548" s="24" t="n">
        <f aca="false">'DCF Base Case'!$B$2*(1+B1548)^1*$I1548-'DCF Base Case'!$B$2*(1+B1548)^0*B1548*'DCF Base Case'!$B$4</f>
        <v>28.1143115452619</v>
      </c>
      <c r="K1548" s="24" t="n">
        <f aca="false">'DCF Base Case'!$B$2*(1+B1548)^2*$I1548-'DCF Base Case'!$B$2*(1+B1548)^1*B1548*'DCF Base Case'!$B$4</f>
        <v>30.5401092431592</v>
      </c>
      <c r="L1548" s="24" t="n">
        <f aca="false">'DCF Base Case'!$B$2*(1+B1548)^3*$I1548-'DCF Base Case'!$B$2*(1+B1548)^2*B1548*'DCF Base Case'!$B$4</f>
        <v>33.1752129545311</v>
      </c>
      <c r="M1548" s="24" t="n">
        <f aca="false">'DCF Base Case'!$B$2*(1+B1548)^4*$I1548-'DCF Base Case'!$B$2*(1+B1548)^3*B1548*'DCF Base Case'!$B$4</f>
        <v>36.0376823087172</v>
      </c>
      <c r="N1548" s="24" t="n">
        <f aca="false">'DCF Base Case'!$B$2*(1+B1548)^5*$I1548-'DCF Base Case'!$B$2*(1+B1548)^4*B1548*'DCF Base Case'!$B$4</f>
        <v>39.1471351808353</v>
      </c>
      <c r="O1548" s="24" t="n">
        <f aca="false">J1548/(1+H1548)^1+K1548/(1+H1548)^2+L1548/(1+H1548)^3+M1548/(1+H1548)^4+N1548/(1+H1548)^5</f>
        <v>136.813200627454</v>
      </c>
      <c r="P1548" s="24" t="n">
        <f aca="false">N1548*(1+F1548)/(H1548-F1548)</f>
        <v>760.521949961206</v>
      </c>
      <c r="Q1548" s="24" t="n">
        <f aca="false">O1548+P1548/(1+H1548)^5</f>
        <v>688.17849805368</v>
      </c>
      <c r="R1548" s="24" t="n">
        <f aca="false">Q1548-'DCF Base Case'!$B$5</f>
        <v>503.17849805368</v>
      </c>
      <c r="S1548" s="32" t="n">
        <f aca="false">R1548/'DCF Base Case'!$B$6</f>
        <v>20.1271399221472</v>
      </c>
    </row>
    <row r="1549" customFormat="false" ht="15" hidden="false" customHeight="true" outlineLevel="0" collapsed="false">
      <c r="A1549" s="6" t="n">
        <v>1548</v>
      </c>
      <c r="B1549" s="30" t="n">
        <v>0.101338777340836</v>
      </c>
      <c r="C1549" s="30" t="n">
        <v>0.380399071505964</v>
      </c>
      <c r="D1549" s="30" t="n">
        <v>0.100534127161662</v>
      </c>
      <c r="E1549" s="30" t="n">
        <v>0.284259090028617</v>
      </c>
      <c r="F1549" s="30" t="n">
        <v>0.0191891300701217</v>
      </c>
      <c r="G1549" s="30" t="n">
        <v>0.144526648063824</v>
      </c>
      <c r="H1549" s="31" t="n">
        <f aca="false">MAX(D1549,F1549+0.015)</f>
        <v>0.100534127161662</v>
      </c>
      <c r="I1549" s="25" t="n">
        <f aca="false">(C1549-'DCF Base Case'!$B$3)*(1-E1549)+'DCF Base Case'!$B$3-G1549</f>
        <v>0.164694211231844</v>
      </c>
      <c r="J1549" s="24" t="n">
        <f aca="false">'DCF Base Case'!$B$2*(1+B1549)^1*$I1549-'DCF Base Case'!$B$2*(1+B1549)^0*B1549*'DCF Base Case'!$B$4</f>
        <v>25.8598738973803</v>
      </c>
      <c r="K1549" s="24" t="n">
        <f aca="false">'DCF Base Case'!$B$2*(1+B1549)^2*$I1549-'DCF Base Case'!$B$2*(1+B1549)^1*B1549*'DCF Base Case'!$B$4</f>
        <v>28.480481900329</v>
      </c>
      <c r="L1549" s="24" t="n">
        <f aca="false">'DCF Base Case'!$B$2*(1+B1549)^3*$I1549-'DCF Base Case'!$B$2*(1+B1549)^2*B1549*'DCF Base Case'!$B$4</f>
        <v>31.3666591141862</v>
      </c>
      <c r="M1549" s="24" t="n">
        <f aca="false">'DCF Base Case'!$B$2*(1+B1549)^4*$I1549-'DCF Base Case'!$B$2*(1+B1549)^3*B1549*'DCF Base Case'!$B$4</f>
        <v>34.5453179980846</v>
      </c>
      <c r="N1549" s="24" t="n">
        <f aca="false">'DCF Base Case'!$B$2*(1+B1549)^5*$I1549-'DCF Base Case'!$B$2*(1+B1549)^4*B1549*'DCF Base Case'!$B$4</f>
        <v>38.0460982868609</v>
      </c>
      <c r="O1549" s="24" t="n">
        <f aca="false">J1549/(1+H1549)^1+K1549/(1+H1549)^2+L1549/(1+H1549)^3+M1549/(1+H1549)^4+N1549/(1+H1549)^5</f>
        <v>117.659759741152</v>
      </c>
      <c r="P1549" s="24" t="n">
        <f aca="false">N1549*(1+F1549)/(H1549-F1549)</f>
        <v>476.687825950893</v>
      </c>
      <c r="Q1549" s="24" t="n">
        <f aca="false">O1549+P1549/(1+H1549)^5</f>
        <v>412.927831994216</v>
      </c>
      <c r="R1549" s="24" t="n">
        <f aca="false">Q1549-'DCF Base Case'!$B$5</f>
        <v>227.927831994216</v>
      </c>
      <c r="S1549" s="32" t="n">
        <f aca="false">R1549/'DCF Base Case'!$B$6</f>
        <v>9.11711327976863</v>
      </c>
    </row>
    <row r="1550" customFormat="false" ht="15" hidden="false" customHeight="true" outlineLevel="0" collapsed="false">
      <c r="A1550" s="6" t="n">
        <v>1549</v>
      </c>
      <c r="B1550" s="30" t="n">
        <v>0.106659131189713</v>
      </c>
      <c r="C1550" s="30" t="n">
        <v>0.420221701391273</v>
      </c>
      <c r="D1550" s="30" t="n">
        <v>0.0774529369298512</v>
      </c>
      <c r="E1550" s="30" t="n">
        <v>0.28545538330524</v>
      </c>
      <c r="F1550" s="30" t="n">
        <v>0.0128436693318523</v>
      </c>
      <c r="G1550" s="30" t="n">
        <v>0.134281490739346</v>
      </c>
      <c r="H1550" s="31" t="n">
        <f aca="false">MAX(D1550,F1550+0.015)</f>
        <v>0.0774529369298512</v>
      </c>
      <c r="I1550" s="25" t="n">
        <f aca="false">(C1550-'DCF Base Case'!$B$3)*(1-E1550)+'DCF Base Case'!$B$3-G1550</f>
        <v>0.203094863637782</v>
      </c>
      <c r="J1550" s="24" t="n">
        <f aca="false">'DCF Base Case'!$B$2*(1+B1550)^1*$I1550-'DCF Base Case'!$B$2*(1+B1550)^0*B1550*'DCF Base Case'!$B$4</f>
        <v>32.1257666539845</v>
      </c>
      <c r="K1550" s="24" t="n">
        <f aca="false">'DCF Base Case'!$B$2*(1+B1550)^2*$I1550-'DCF Base Case'!$B$2*(1+B1550)^1*B1550*'DCF Base Case'!$B$4</f>
        <v>35.552273014102</v>
      </c>
      <c r="L1550" s="24" t="n">
        <f aca="false">'DCF Base Case'!$B$2*(1+B1550)^3*$I1550-'DCF Base Case'!$B$2*(1+B1550)^2*B1550*'DCF Base Case'!$B$4</f>
        <v>39.3442475656056</v>
      </c>
      <c r="M1550" s="24" t="n">
        <f aca="false">'DCF Base Case'!$B$2*(1+B1550)^4*$I1550-'DCF Base Case'!$B$2*(1+B1550)^3*B1550*'DCF Base Case'!$B$4</f>
        <v>43.5406708282661</v>
      </c>
      <c r="N1550" s="24" t="n">
        <f aca="false">'DCF Base Case'!$B$2*(1+B1550)^5*$I1550-'DCF Base Case'!$B$2*(1+B1550)^4*B1550*'DCF Base Case'!$B$4</f>
        <v>48.1846809502262</v>
      </c>
      <c r="O1550" s="24" t="n">
        <f aca="false">J1550/(1+H1550)^1+K1550/(1+H1550)^2+L1550/(1+H1550)^3+M1550/(1+H1550)^4+N1550/(1+H1550)^5</f>
        <v>157.386305267215</v>
      </c>
      <c r="P1550" s="24" t="n">
        <f aca="false">N1550*(1+F1550)/(H1550-F1550)</f>
        <v>755.364530099135</v>
      </c>
      <c r="Q1550" s="24" t="n">
        <f aca="false">O1550+P1550/(1+H1550)^5</f>
        <v>677.579948953406</v>
      </c>
      <c r="R1550" s="24" t="n">
        <f aca="false">Q1550-'DCF Base Case'!$B$5</f>
        <v>492.579948953406</v>
      </c>
      <c r="S1550" s="32" t="n">
        <f aca="false">R1550/'DCF Base Case'!$B$6</f>
        <v>19.7031979581362</v>
      </c>
    </row>
    <row r="1551" customFormat="false" ht="15" hidden="false" customHeight="true" outlineLevel="0" collapsed="false">
      <c r="A1551" s="6" t="n">
        <v>1550</v>
      </c>
      <c r="B1551" s="30" t="n">
        <v>0.0656239376499868</v>
      </c>
      <c r="C1551" s="30" t="n">
        <v>0.413341996685083</v>
      </c>
      <c r="D1551" s="30" t="n">
        <v>0.0849641584601326</v>
      </c>
      <c r="E1551" s="30" t="n">
        <v>0.311839432336961</v>
      </c>
      <c r="F1551" s="30" t="n">
        <v>0.0155935749253331</v>
      </c>
      <c r="G1551" s="30" t="n">
        <v>0.178810828077508</v>
      </c>
      <c r="H1551" s="31" t="n">
        <f aca="false">MAX(D1551,F1551+0.015)</f>
        <v>0.0849641584601326</v>
      </c>
      <c r="I1551" s="25" t="n">
        <f aca="false">(C1551-'DCF Base Case'!$B$3)*(1-E1551)+'DCF Base Case'!$B$3-G1551</f>
        <v>0.146173961204078</v>
      </c>
      <c r="J1551" s="24" t="n">
        <f aca="false">'DCF Base Case'!$B$2*(1+B1551)^1*$I1551-'DCF Base Case'!$B$2*(1+B1551)^0*B1551*'DCF Base Case'!$B$4</f>
        <v>22.3006743286495</v>
      </c>
      <c r="K1551" s="24" t="n">
        <f aca="false">'DCF Base Case'!$B$2*(1+B1551)^2*$I1551-'DCF Base Case'!$B$2*(1+B1551)^1*B1551*'DCF Base Case'!$B$4</f>
        <v>23.7641323903454</v>
      </c>
      <c r="L1551" s="24" t="n">
        <f aca="false">'DCF Base Case'!$B$2*(1+B1551)^3*$I1551-'DCF Base Case'!$B$2*(1+B1551)^2*B1551*'DCF Base Case'!$B$4</f>
        <v>25.3236283326355</v>
      </c>
      <c r="M1551" s="24" t="n">
        <f aca="false">'DCF Base Case'!$B$2*(1+B1551)^4*$I1551-'DCF Base Case'!$B$2*(1+B1551)^3*B1551*'DCF Base Case'!$B$4</f>
        <v>26.9854645394078</v>
      </c>
      <c r="N1551" s="24" t="n">
        <f aca="false">'DCF Base Case'!$B$2*(1+B1551)^5*$I1551-'DCF Base Case'!$B$2*(1+B1551)^4*B1551*'DCF Base Case'!$B$4</f>
        <v>28.7563569817978</v>
      </c>
      <c r="O1551" s="24" t="n">
        <f aca="false">J1551/(1+H1551)^1+K1551/(1+H1551)^2+L1551/(1+H1551)^3+M1551/(1+H1551)^4+N1551/(1+H1551)^5</f>
        <v>99.1722691723587</v>
      </c>
      <c r="P1551" s="24" t="n">
        <f aca="false">N1551*(1+F1551)/(H1551-F1551)</f>
        <v>420.99647863453</v>
      </c>
      <c r="Q1551" s="24" t="n">
        <f aca="false">O1551+P1551/(1+H1551)^5</f>
        <v>379.200299231065</v>
      </c>
      <c r="R1551" s="24" t="n">
        <f aca="false">Q1551-'DCF Base Case'!$B$5</f>
        <v>194.200299231065</v>
      </c>
      <c r="S1551" s="32" t="n">
        <f aca="false">R1551/'DCF Base Case'!$B$6</f>
        <v>7.76801196924258</v>
      </c>
    </row>
    <row r="1552" customFormat="false" ht="15" hidden="false" customHeight="true" outlineLevel="0" collapsed="false">
      <c r="A1552" s="6" t="n">
        <v>1551</v>
      </c>
      <c r="B1552" s="30" t="n">
        <v>0.0876796709689118</v>
      </c>
      <c r="C1552" s="30" t="n">
        <v>0.392674572574706</v>
      </c>
      <c r="D1552" s="30" t="n">
        <v>0.0892383843778421</v>
      </c>
      <c r="E1552" s="30" t="n">
        <v>0.277816023269997</v>
      </c>
      <c r="F1552" s="30" t="n">
        <v>0.0168052343618023</v>
      </c>
      <c r="G1552" s="30" t="n">
        <v>0.166153010506715</v>
      </c>
      <c r="H1552" s="31" t="n">
        <f aca="false">MAX(D1552,F1552+0.015)</f>
        <v>0.0892383843778421</v>
      </c>
      <c r="I1552" s="25" t="n">
        <f aca="false">(C1552-'DCF Base Case'!$B$3)*(1-E1552)+'DCF Base Case'!$B$3-G1552</f>
        <v>0.15354635690114</v>
      </c>
      <c r="J1552" s="24" t="n">
        <f aca="false">'DCF Base Case'!$B$2*(1+B1552)^1*$I1552-'DCF Base Case'!$B$2*(1+B1552)^0*B1552*'DCF Base Case'!$B$4</f>
        <v>23.8349348194278</v>
      </c>
      <c r="K1552" s="24" t="n">
        <f aca="false">'DCF Base Case'!$B$2*(1+B1552)^2*$I1552-'DCF Base Case'!$B$2*(1+B1552)^1*B1552*'DCF Base Case'!$B$4</f>
        <v>25.9247740619606</v>
      </c>
      <c r="L1552" s="24" t="n">
        <f aca="false">'DCF Base Case'!$B$2*(1+B1552)^3*$I1552-'DCF Base Case'!$B$2*(1+B1552)^2*B1552*'DCF Base Case'!$B$4</f>
        <v>28.1978497216567</v>
      </c>
      <c r="M1552" s="24" t="n">
        <f aca="false">'DCF Base Case'!$B$2*(1+B1552)^4*$I1552-'DCF Base Case'!$B$2*(1+B1552)^3*B1552*'DCF Base Case'!$B$4</f>
        <v>30.6702279072824</v>
      </c>
      <c r="N1552" s="24" t="n">
        <f aca="false">'DCF Base Case'!$B$2*(1+B1552)^5*$I1552-'DCF Base Case'!$B$2*(1+B1552)^4*B1552*'DCF Base Case'!$B$4</f>
        <v>33.3593833987345</v>
      </c>
      <c r="O1552" s="24" t="n">
        <f aca="false">J1552/(1+H1552)^1+K1552/(1+H1552)^2+L1552/(1+H1552)^3+M1552/(1+H1552)^4+N1552/(1+H1552)^5</f>
        <v>109.098322938081</v>
      </c>
      <c r="P1552" s="24" t="n">
        <f aca="false">N1552*(1+F1552)/(H1552-F1552)</f>
        <v>468.29380811692</v>
      </c>
      <c r="Q1552" s="24" t="n">
        <f aca="false">O1552+P1552/(1+H1552)^5</f>
        <v>414.522722574991</v>
      </c>
      <c r="R1552" s="24" t="n">
        <f aca="false">Q1552-'DCF Base Case'!$B$5</f>
        <v>229.522722574991</v>
      </c>
      <c r="S1552" s="32" t="n">
        <f aca="false">R1552/'DCF Base Case'!$B$6</f>
        <v>9.18090890299962</v>
      </c>
    </row>
    <row r="1553" customFormat="false" ht="15" hidden="false" customHeight="true" outlineLevel="0" collapsed="false">
      <c r="A1553" s="6" t="n">
        <v>1552</v>
      </c>
      <c r="B1553" s="30" t="n">
        <v>0.0873534049190765</v>
      </c>
      <c r="C1553" s="30" t="n">
        <v>0.410493230218824</v>
      </c>
      <c r="D1553" s="30" t="n">
        <v>0.0804614753509812</v>
      </c>
      <c r="E1553" s="30" t="n">
        <v>0.25452932925744</v>
      </c>
      <c r="F1553" s="30" t="n">
        <v>0.0196288566869086</v>
      </c>
      <c r="G1553" s="30" t="n">
        <v>0.149056491291983</v>
      </c>
      <c r="H1553" s="31" t="n">
        <f aca="false">MAX(D1553,F1553+0.015)</f>
        <v>0.0804614753509812</v>
      </c>
      <c r="I1553" s="25" t="n">
        <f aca="false">(C1553-'DCF Base Case'!$B$3)*(1-E1553)+'DCF Base Case'!$B$3-G1553</f>
        <v>0.190042985177991</v>
      </c>
      <c r="J1553" s="24" t="n">
        <f aca="false">'DCF Base Case'!$B$2*(1+B1553)^1*$I1553-'DCF Base Case'!$B$2*(1+B1553)^0*B1553*'DCF Base Case'!$B$4</f>
        <v>29.5833763056718</v>
      </c>
      <c r="K1553" s="24" t="n">
        <f aca="false">'DCF Base Case'!$B$2*(1+B1553)^2*$I1553-'DCF Base Case'!$B$2*(1+B1553)^1*B1553*'DCF Base Case'!$B$4</f>
        <v>32.1675849549745</v>
      </c>
      <c r="L1553" s="24" t="n">
        <f aca="false">'DCF Base Case'!$B$2*(1+B1553)^3*$I1553-'DCF Base Case'!$B$2*(1+B1553)^2*B1553*'DCF Base Case'!$B$4</f>
        <v>34.9775330288152</v>
      </c>
      <c r="M1553" s="24" t="n">
        <f aca="false">'DCF Base Case'!$B$2*(1+B1553)^4*$I1553-'DCF Base Case'!$B$2*(1+B1553)^3*B1553*'DCF Base Case'!$B$4</f>
        <v>38.0329396345517</v>
      </c>
      <c r="N1553" s="24" t="n">
        <f aca="false">'DCF Base Case'!$B$2*(1+B1553)^5*$I1553-'DCF Base Case'!$B$2*(1+B1553)^4*B1553*'DCF Base Case'!$B$4</f>
        <v>41.3552464107115</v>
      </c>
      <c r="O1553" s="24" t="n">
        <f aca="false">J1553/(1+H1553)^1+K1553/(1+H1553)^2+L1553/(1+H1553)^3+M1553/(1+H1553)^4+N1553/(1+H1553)^5</f>
        <v>138.659260189023</v>
      </c>
      <c r="P1553" s="24" t="n">
        <f aca="false">N1553*(1+F1553)/(H1553-F1553)</f>
        <v>693.16435066871</v>
      </c>
      <c r="Q1553" s="24" t="n">
        <f aca="false">O1553+P1553/(1+H1553)^5</f>
        <v>609.408672912015</v>
      </c>
      <c r="R1553" s="24" t="n">
        <f aca="false">Q1553-'DCF Base Case'!$B$5</f>
        <v>424.408672912015</v>
      </c>
      <c r="S1553" s="32" t="n">
        <f aca="false">R1553/'DCF Base Case'!$B$6</f>
        <v>16.9763469164806</v>
      </c>
    </row>
    <row r="1554" customFormat="false" ht="15" hidden="false" customHeight="true" outlineLevel="0" collapsed="false">
      <c r="A1554" s="6" t="n">
        <v>1553</v>
      </c>
      <c r="B1554" s="30" t="n">
        <v>0.0677296103854821</v>
      </c>
      <c r="C1554" s="30" t="n">
        <v>0.40099398472424</v>
      </c>
      <c r="D1554" s="30" t="n">
        <v>0.093074291985894</v>
      </c>
      <c r="E1554" s="30" t="n">
        <v>0.285029992248718</v>
      </c>
      <c r="F1554" s="30" t="n">
        <v>0.0172173763061621</v>
      </c>
      <c r="G1554" s="30" t="n">
        <v>0.153697628599504</v>
      </c>
      <c r="H1554" s="31" t="n">
        <f aca="false">MAX(D1554,F1554+0.015)</f>
        <v>0.093074291985894</v>
      </c>
      <c r="I1554" s="25" t="n">
        <f aca="false">(C1554-'DCF Base Case'!$B$3)*(1-E1554)+'DCF Base Case'!$B$3-G1554</f>
        <v>0.170054942759337</v>
      </c>
      <c r="J1554" s="24" t="n">
        <f aca="false">'DCF Base Case'!$B$2*(1+B1554)^1*$I1554-'DCF Base Case'!$B$2*(1+B1554)^0*B1554*'DCF Base Case'!$B$4</f>
        <v>26.0334173724232</v>
      </c>
      <c r="K1554" s="24" t="n">
        <f aca="false">'DCF Base Case'!$B$2*(1+B1554)^2*$I1554-'DCF Base Case'!$B$2*(1+B1554)^1*B1554*'DCF Base Case'!$B$4</f>
        <v>27.7966505880601</v>
      </c>
      <c r="L1554" s="24" t="n">
        <f aca="false">'DCF Base Case'!$B$2*(1+B1554)^3*$I1554-'DCF Base Case'!$B$2*(1+B1554)^2*B1554*'DCF Base Case'!$B$4</f>
        <v>29.6793069024107</v>
      </c>
      <c r="M1554" s="24" t="n">
        <f aca="false">'DCF Base Case'!$B$2*(1+B1554)^4*$I1554-'DCF Base Case'!$B$2*(1+B1554)^3*B1554*'DCF Base Case'!$B$4</f>
        <v>31.6894747954222</v>
      </c>
      <c r="N1554" s="24" t="n">
        <f aca="false">'DCF Base Case'!$B$2*(1+B1554)^5*$I1554-'DCF Base Case'!$B$2*(1+B1554)^4*B1554*'DCF Base Case'!$B$4</f>
        <v>33.8357905766367</v>
      </c>
      <c r="O1554" s="24" t="n">
        <f aca="false">J1554/(1+H1554)^1+K1554/(1+H1554)^2+L1554/(1+H1554)^3+M1554/(1+H1554)^4+N1554/(1+H1554)^5</f>
        <v>113.68775901315</v>
      </c>
      <c r="P1554" s="24" t="n">
        <f aca="false">N1554*(1+F1554)/(H1554-F1554)</f>
        <v>453.727307618537</v>
      </c>
      <c r="Q1554" s="24" t="n">
        <f aca="false">O1554+P1554/(1+H1554)^5</f>
        <v>404.455697155074</v>
      </c>
      <c r="R1554" s="24" t="n">
        <f aca="false">Q1554-'DCF Base Case'!$B$5</f>
        <v>219.455697155074</v>
      </c>
      <c r="S1554" s="32" t="n">
        <f aca="false">R1554/'DCF Base Case'!$B$6</f>
        <v>8.77822788620297</v>
      </c>
    </row>
    <row r="1555" customFormat="false" ht="15" hidden="false" customHeight="true" outlineLevel="0" collapsed="false">
      <c r="A1555" s="6" t="n">
        <v>1554</v>
      </c>
      <c r="B1555" s="30" t="n">
        <v>0.103775072729383</v>
      </c>
      <c r="C1555" s="30" t="n">
        <v>0.371372822245279</v>
      </c>
      <c r="D1555" s="30" t="n">
        <v>0.0937710148811943</v>
      </c>
      <c r="E1555" s="30" t="n">
        <v>0.248186640090092</v>
      </c>
      <c r="F1555" s="30" t="n">
        <v>0.0137058105148342</v>
      </c>
      <c r="G1555" s="30" t="n">
        <v>0.154844401195138</v>
      </c>
      <c r="H1555" s="31" t="n">
        <f aca="false">MAX(D1555,F1555+0.015)</f>
        <v>0.0937710148811943</v>
      </c>
      <c r="I1555" s="25" t="n">
        <f aca="false">(C1555-'DCF Base Case'!$B$3)*(1-E1555)+'DCF Base Case'!$B$3-G1555</f>
        <v>0.156622911288022</v>
      </c>
      <c r="J1555" s="24" t="n">
        <f aca="false">'DCF Base Case'!$B$2*(1+B1555)^1*$I1555-'DCF Base Case'!$B$2*(1+B1555)^0*B1555*'DCF Base Case'!$B$4</f>
        <v>24.6156659018407</v>
      </c>
      <c r="K1555" s="24" t="n">
        <f aca="false">'DCF Base Case'!$B$2*(1+B1555)^2*$I1555-'DCF Base Case'!$B$2*(1+B1555)^1*B1555*'DCF Base Case'!$B$4</f>
        <v>27.1701584210864</v>
      </c>
      <c r="L1555" s="24" t="n">
        <f aca="false">'DCF Base Case'!$B$2*(1+B1555)^3*$I1555-'DCF Base Case'!$B$2*(1+B1555)^2*B1555*'DCF Base Case'!$B$4</f>
        <v>29.9897435873035</v>
      </c>
      <c r="M1555" s="24" t="n">
        <f aca="false">'DCF Base Case'!$B$2*(1+B1555)^4*$I1555-'DCF Base Case'!$B$2*(1+B1555)^3*B1555*'DCF Base Case'!$B$4</f>
        <v>33.1019314092115</v>
      </c>
      <c r="N1555" s="24" t="n">
        <f aca="false">'DCF Base Case'!$B$2*(1+B1555)^5*$I1555-'DCF Base Case'!$B$2*(1+B1555)^4*B1555*'DCF Base Case'!$B$4</f>
        <v>36.5370867486855</v>
      </c>
      <c r="O1555" s="24" t="n">
        <f aca="false">J1555/(1+H1555)^1+K1555/(1+H1555)^2+L1555/(1+H1555)^3+M1555/(1+H1555)^4+N1555/(1+H1555)^5</f>
        <v>114.60393437728</v>
      </c>
      <c r="P1555" s="24" t="n">
        <f aca="false">N1555*(1+F1555)/(H1555-F1555)</f>
        <v>462.596173076012</v>
      </c>
      <c r="Q1555" s="24" t="n">
        <f aca="false">O1555+P1555/(1+H1555)^5</f>
        <v>410.112438907375</v>
      </c>
      <c r="R1555" s="24" t="n">
        <f aca="false">Q1555-'DCF Base Case'!$B$5</f>
        <v>225.112438907375</v>
      </c>
      <c r="S1555" s="32" t="n">
        <f aca="false">R1555/'DCF Base Case'!$B$6</f>
        <v>9.00449755629499</v>
      </c>
    </row>
    <row r="1556" customFormat="false" ht="15" hidden="false" customHeight="true" outlineLevel="0" collapsed="false">
      <c r="A1556" s="6" t="n">
        <v>1555</v>
      </c>
      <c r="B1556" s="30" t="n">
        <v>0.131340115087765</v>
      </c>
      <c r="C1556" s="30" t="n">
        <v>0.453713434755161</v>
      </c>
      <c r="D1556" s="30" t="n">
        <v>0.0927713653137685</v>
      </c>
      <c r="E1556" s="30" t="n">
        <v>0.290241315402318</v>
      </c>
      <c r="F1556" s="30" t="n">
        <v>0.0123397340168376</v>
      </c>
      <c r="G1556" s="30" t="n">
        <v>0.168752499193496</v>
      </c>
      <c r="H1556" s="31" t="n">
        <f aca="false">MAX(D1556,F1556+0.015)</f>
        <v>0.0927713653137685</v>
      </c>
      <c r="I1556" s="25" t="n">
        <f aca="false">(C1556-'DCF Base Case'!$B$3)*(1-E1556)+'DCF Base Case'!$B$3-G1556</f>
        <v>0.191005922444925</v>
      </c>
      <c r="J1556" s="24" t="n">
        <f aca="false">'DCF Base Case'!$B$2*(1+B1556)^1*$I1556-'DCF Base Case'!$B$2*(1+B1556)^0*B1556*'DCF Base Case'!$B$4</f>
        <v>30.7621065301547</v>
      </c>
      <c r="K1556" s="24" t="n">
        <f aca="false">'DCF Base Case'!$B$2*(1+B1556)^2*$I1556-'DCF Base Case'!$B$2*(1+B1556)^1*B1556*'DCF Base Case'!$B$4</f>
        <v>34.8024051421673</v>
      </c>
      <c r="L1556" s="24" t="n">
        <f aca="false">'DCF Base Case'!$B$2*(1+B1556)^3*$I1556-'DCF Base Case'!$B$2*(1+B1556)^2*B1556*'DCF Base Case'!$B$4</f>
        <v>39.3733570388705</v>
      </c>
      <c r="M1556" s="24" t="n">
        <f aca="false">'DCF Base Case'!$B$2*(1+B1556)^4*$I1556-'DCF Base Case'!$B$2*(1+B1556)^3*B1556*'DCF Base Case'!$B$4</f>
        <v>44.5446582837474</v>
      </c>
      <c r="N1556" s="24" t="n">
        <f aca="false">'DCF Base Case'!$B$2*(1+B1556)^5*$I1556-'DCF Base Case'!$B$2*(1+B1556)^4*B1556*'DCF Base Case'!$B$4</f>
        <v>50.39515882928</v>
      </c>
      <c r="O1556" s="24" t="n">
        <f aca="false">J1556/(1+H1556)^1+K1556/(1+H1556)^2+L1556/(1+H1556)^3+M1556/(1+H1556)^4+N1556/(1+H1556)^5</f>
        <v>151.045189342535</v>
      </c>
      <c r="P1556" s="24" t="n">
        <f aca="false">N1556*(1+F1556)/(H1556-F1556)</f>
        <v>634.290525535024</v>
      </c>
      <c r="Q1556" s="24" t="n">
        <f aca="false">O1556+P1556/(1+H1556)^5</f>
        <v>558.089503458977</v>
      </c>
      <c r="R1556" s="24" t="n">
        <f aca="false">Q1556-'DCF Base Case'!$B$5</f>
        <v>373.089503458977</v>
      </c>
      <c r="S1556" s="32" t="n">
        <f aca="false">R1556/'DCF Base Case'!$B$6</f>
        <v>14.9235801383591</v>
      </c>
    </row>
    <row r="1557" customFormat="false" ht="15" hidden="false" customHeight="true" outlineLevel="0" collapsed="false">
      <c r="A1557" s="6" t="n">
        <v>1556</v>
      </c>
      <c r="B1557" s="30" t="n">
        <v>0.0781724193201304</v>
      </c>
      <c r="C1557" s="30" t="n">
        <v>0.391864320750406</v>
      </c>
      <c r="D1557" s="30" t="n">
        <v>0.0867028339897213</v>
      </c>
      <c r="E1557" s="30" t="n">
        <v>0.267877730054903</v>
      </c>
      <c r="F1557" s="30" t="n">
        <v>0.0224755754264837</v>
      </c>
      <c r="G1557" s="30" t="n">
        <v>0.130283310857587</v>
      </c>
      <c r="H1557" s="31" t="n">
        <f aca="false">MAX(D1557,F1557+0.015)</f>
        <v>0.0867028339897213</v>
      </c>
      <c r="I1557" s="25" t="n">
        <f aca="false">(C1557-'DCF Base Case'!$B$3)*(1-E1557)+'DCF Base Case'!$B$3-G1557</f>
        <v>0.191433390067831</v>
      </c>
      <c r="J1557" s="24" t="n">
        <f aca="false">'DCF Base Case'!$B$2*(1+B1557)^1*$I1557-'DCF Base Case'!$B$2*(1+B1557)^0*B1557*'DCF Base Case'!$B$4</f>
        <v>29.5876891656302</v>
      </c>
      <c r="K1557" s="24" t="n">
        <f aca="false">'DCF Base Case'!$B$2*(1+B1557)^2*$I1557-'DCF Base Case'!$B$2*(1+B1557)^1*B1557*'DCF Base Case'!$B$4</f>
        <v>31.9006304097995</v>
      </c>
      <c r="L1557" s="24" t="n">
        <f aca="false">'DCF Base Case'!$B$2*(1+B1557)^3*$I1557-'DCF Base Case'!$B$2*(1+B1557)^2*B1557*'DCF Base Case'!$B$4</f>
        <v>34.3943798667708</v>
      </c>
      <c r="M1557" s="24" t="n">
        <f aca="false">'DCF Base Case'!$B$2*(1+B1557)^4*$I1557-'DCF Base Case'!$B$2*(1+B1557)^3*B1557*'DCF Base Case'!$B$4</f>
        <v>37.0830717519719</v>
      </c>
      <c r="N1557" s="24" t="n">
        <f aca="false">'DCF Base Case'!$B$2*(1+B1557)^5*$I1557-'DCF Base Case'!$B$2*(1+B1557)^4*B1557*'DCF Base Case'!$B$4</f>
        <v>39.9819451866455</v>
      </c>
      <c r="O1557" s="24" t="n">
        <f aca="false">J1557/(1+H1557)^1+K1557/(1+H1557)^2+L1557/(1+H1557)^3+M1557/(1+H1557)^4+N1557/(1+H1557)^5</f>
        <v>134.014583556156</v>
      </c>
      <c r="P1557" s="24" t="n">
        <f aca="false">N1557*(1+F1557)/(H1557-F1557)</f>
        <v>636.498635094862</v>
      </c>
      <c r="Q1557" s="24" t="n">
        <f aca="false">O1557+P1557/(1+H1557)^5</f>
        <v>554.00896293535</v>
      </c>
      <c r="R1557" s="24" t="n">
        <f aca="false">Q1557-'DCF Base Case'!$B$5</f>
        <v>369.00896293535</v>
      </c>
      <c r="S1557" s="32" t="n">
        <f aca="false">R1557/'DCF Base Case'!$B$6</f>
        <v>14.760358517414</v>
      </c>
    </row>
    <row r="1558" customFormat="false" ht="15" hidden="false" customHeight="true" outlineLevel="0" collapsed="false">
      <c r="A1558" s="6" t="n">
        <v>1557</v>
      </c>
      <c r="B1558" s="30" t="n">
        <v>0.0915178995973539</v>
      </c>
      <c r="C1558" s="30" t="n">
        <v>0.395720230528156</v>
      </c>
      <c r="D1558" s="30" t="n">
        <v>0.0804940058819274</v>
      </c>
      <c r="E1558" s="30" t="n">
        <v>0.288638603788381</v>
      </c>
      <c r="F1558" s="30" t="n">
        <v>0.0148049961026703</v>
      </c>
      <c r="G1558" s="30" t="n">
        <v>0.168925102023954</v>
      </c>
      <c r="H1558" s="31" t="n">
        <f aca="false">MAX(D1558,F1558+0.015)</f>
        <v>0.0804940058819274</v>
      </c>
      <c r="I1558" s="25" t="n">
        <f aca="false">(C1558-'DCF Base Case'!$B$3)*(1-E1558)+'DCF Base Case'!$B$3-G1558</f>
        <v>0.150098012166228</v>
      </c>
      <c r="J1558" s="24" t="n">
        <f aca="false">'DCF Base Case'!$B$2*(1+B1558)^1*$I1558-'DCF Base Case'!$B$2*(1+B1558)^0*B1558*'DCF Base Case'!$B$4</f>
        <v>23.3579238478974</v>
      </c>
      <c r="K1558" s="24" t="n">
        <f aca="false">'DCF Base Case'!$B$2*(1+B1558)^2*$I1558-'DCF Base Case'!$B$2*(1+B1558)^1*B1558*'DCF Base Case'!$B$4</f>
        <v>25.4955919774119</v>
      </c>
      <c r="L1558" s="24" t="n">
        <f aca="false">'DCF Base Case'!$B$2*(1+B1558)^3*$I1558-'DCF Base Case'!$B$2*(1+B1558)^2*B1558*'DCF Base Case'!$B$4</f>
        <v>27.8288950041758</v>
      </c>
      <c r="M1558" s="24" t="n">
        <f aca="false">'DCF Base Case'!$B$2*(1+B1558)^4*$I1558-'DCF Base Case'!$B$2*(1+B1558)^3*B1558*'DCF Base Case'!$B$4</f>
        <v>30.3757370230732</v>
      </c>
      <c r="N1558" s="24" t="n">
        <f aca="false">'DCF Base Case'!$B$2*(1+B1558)^5*$I1558-'DCF Base Case'!$B$2*(1+B1558)^4*B1558*'DCF Base Case'!$B$4</f>
        <v>33.1556606741465</v>
      </c>
      <c r="O1558" s="24" t="n">
        <f aca="false">J1558/(1+H1558)^1+K1558/(1+H1558)^2+L1558/(1+H1558)^3+M1558/(1+H1558)^4+N1558/(1+H1558)^5</f>
        <v>110.317301571041</v>
      </c>
      <c r="P1558" s="24" t="n">
        <f aca="false">N1558*(1+F1558)/(H1558-F1558)</f>
        <v>512.209427639041</v>
      </c>
      <c r="Q1558" s="24" t="n">
        <f aca="false">O1558+P1558/(1+H1558)^5</f>
        <v>458.122251079009</v>
      </c>
      <c r="R1558" s="24" t="n">
        <f aca="false">Q1558-'DCF Base Case'!$B$5</f>
        <v>273.122251079009</v>
      </c>
      <c r="S1558" s="32" t="n">
        <f aca="false">R1558/'DCF Base Case'!$B$6</f>
        <v>10.9248900431604</v>
      </c>
    </row>
    <row r="1559" customFormat="false" ht="15" hidden="false" customHeight="true" outlineLevel="0" collapsed="false">
      <c r="A1559" s="6" t="n">
        <v>1558</v>
      </c>
      <c r="B1559" s="30" t="n">
        <v>0.0856027189837327</v>
      </c>
      <c r="C1559" s="30" t="n">
        <v>0.398271363267654</v>
      </c>
      <c r="D1559" s="30" t="n">
        <v>0.0798237026538799</v>
      </c>
      <c r="E1559" s="30" t="n">
        <v>0.275448100407394</v>
      </c>
      <c r="F1559" s="30" t="n">
        <v>0.0162230320534389</v>
      </c>
      <c r="G1559" s="30" t="n">
        <v>0.165382984103269</v>
      </c>
      <c r="H1559" s="31" t="n">
        <f aca="false">MAX(D1559,F1559+0.015)</f>
        <v>0.0798237026538799</v>
      </c>
      <c r="I1559" s="25" t="n">
        <f aca="false">(C1559-'DCF Base Case'!$B$3)*(1-E1559)+'DCF Base Case'!$B$3-G1559</f>
        <v>0.158993541758608</v>
      </c>
      <c r="J1559" s="24" t="n">
        <f aca="false">'DCF Base Case'!$B$2*(1+B1559)^1*$I1559-'DCF Base Case'!$B$2*(1+B1559)^0*B1559*'DCF Base Case'!$B$4</f>
        <v>24.6551822513505</v>
      </c>
      <c r="K1559" s="24" t="n">
        <f aca="false">'DCF Base Case'!$B$2*(1+B1559)^2*$I1559-'DCF Base Case'!$B$2*(1+B1559)^1*B1559*'DCF Base Case'!$B$4</f>
        <v>26.7657328891056</v>
      </c>
      <c r="L1559" s="24" t="n">
        <f aca="false">'DCF Base Case'!$B$2*(1+B1559)^3*$I1559-'DCF Base Case'!$B$2*(1+B1559)^2*B1559*'DCF Base Case'!$B$4</f>
        <v>29.0569524000053</v>
      </c>
      <c r="M1559" s="24" t="n">
        <f aca="false">'DCF Base Case'!$B$2*(1+B1559)^4*$I1559-'DCF Base Case'!$B$2*(1+B1559)^3*B1559*'DCF Base Case'!$B$4</f>
        <v>31.5443065308267</v>
      </c>
      <c r="N1559" s="24" t="n">
        <f aca="false">'DCF Base Case'!$B$2*(1+B1559)^5*$I1559-'DCF Base Case'!$B$2*(1+B1559)^4*B1559*'DCF Base Case'!$B$4</f>
        <v>34.2445849383218</v>
      </c>
      <c r="O1559" s="24" t="n">
        <f aca="false">J1559/(1+H1559)^1+K1559/(1+H1559)^2+L1559/(1+H1559)^3+M1559/(1+H1559)^4+N1559/(1+H1559)^5</f>
        <v>115.391513674715</v>
      </c>
      <c r="P1559" s="24" t="n">
        <f aca="false">N1559*(1+F1559)/(H1559-F1559)</f>
        <v>547.16617936402</v>
      </c>
      <c r="Q1559" s="24" t="n">
        <f aca="false">O1559+P1559/(1+H1559)^5</f>
        <v>488.087713479369</v>
      </c>
      <c r="R1559" s="24" t="n">
        <f aca="false">Q1559-'DCF Base Case'!$B$5</f>
        <v>303.087713479369</v>
      </c>
      <c r="S1559" s="32" t="n">
        <f aca="false">R1559/'DCF Base Case'!$B$6</f>
        <v>12.1235085391748</v>
      </c>
    </row>
    <row r="1560" customFormat="false" ht="15" hidden="false" customHeight="true" outlineLevel="0" collapsed="false">
      <c r="A1560" s="6" t="n">
        <v>1559</v>
      </c>
      <c r="B1560" s="30" t="n">
        <v>0.0841836163097708</v>
      </c>
      <c r="C1560" s="30" t="n">
        <v>0.398840836322061</v>
      </c>
      <c r="D1560" s="30" t="n">
        <v>0.102488264572933</v>
      </c>
      <c r="E1560" s="30" t="n">
        <v>0.292069584269639</v>
      </c>
      <c r="F1560" s="30" t="n">
        <v>0.0178370370709796</v>
      </c>
      <c r="G1560" s="30" t="n">
        <v>0.168501507719172</v>
      </c>
      <c r="H1560" s="31" t="n">
        <f aca="false">MAX(D1560,F1560+0.015)</f>
        <v>0.102488264572933</v>
      </c>
      <c r="I1560" s="25" t="n">
        <f aca="false">(C1560-'DCF Base Case'!$B$3)*(1-E1560)+'DCF Base Case'!$B$3-G1560</f>
        <v>0.151819097303603</v>
      </c>
      <c r="J1560" s="24" t="n">
        <f aca="false">'DCF Base Case'!$B$2*(1+B1560)^1*$I1560-'DCF Base Case'!$B$2*(1+B1560)^0*B1560*'DCF Base Case'!$B$4</f>
        <v>23.5007690702807</v>
      </c>
      <c r="K1560" s="24" t="n">
        <f aca="false">'DCF Base Case'!$B$2*(1+B1560)^2*$I1560-'DCF Base Case'!$B$2*(1+B1560)^1*B1560*'DCF Base Case'!$B$4</f>
        <v>25.4791487966777</v>
      </c>
      <c r="L1560" s="24" t="n">
        <f aca="false">'DCF Base Case'!$B$2*(1+B1560)^3*$I1560-'DCF Base Case'!$B$2*(1+B1560)^2*B1560*'DCF Base Case'!$B$4</f>
        <v>27.6240756828768</v>
      </c>
      <c r="M1560" s="24" t="n">
        <f aca="false">'DCF Base Case'!$B$2*(1+B1560)^4*$I1560-'DCF Base Case'!$B$2*(1+B1560)^3*B1560*'DCF Base Case'!$B$4</f>
        <v>29.9495702710762</v>
      </c>
      <c r="N1560" s="24" t="n">
        <f aca="false">'DCF Base Case'!$B$2*(1+B1560)^5*$I1560-'DCF Base Case'!$B$2*(1+B1560)^4*B1560*'DCF Base Case'!$B$4</f>
        <v>32.470833403419</v>
      </c>
      <c r="O1560" s="24" t="n">
        <f aca="false">J1560/(1+H1560)^1+K1560/(1+H1560)^2+L1560/(1+H1560)^3+M1560/(1+H1560)^4+N1560/(1+H1560)^5</f>
        <v>103.099738200627</v>
      </c>
      <c r="P1560" s="24" t="n">
        <f aca="false">N1560*(1+F1560)/(H1560-F1560)</f>
        <v>390.425724916969</v>
      </c>
      <c r="Q1560" s="24" t="n">
        <f aca="false">O1560+P1560/(1+H1560)^5</f>
        <v>342.800022281331</v>
      </c>
      <c r="R1560" s="24" t="n">
        <f aca="false">Q1560-'DCF Base Case'!$B$5</f>
        <v>157.800022281331</v>
      </c>
      <c r="S1560" s="32" t="n">
        <f aca="false">R1560/'DCF Base Case'!$B$6</f>
        <v>6.31200089125324</v>
      </c>
    </row>
    <row r="1561" customFormat="false" ht="15" hidden="false" customHeight="true" outlineLevel="0" collapsed="false">
      <c r="A1561" s="6" t="n">
        <v>1560</v>
      </c>
      <c r="B1561" s="30" t="n">
        <v>0.067590993348092</v>
      </c>
      <c r="C1561" s="30" t="n">
        <v>0.396421316273793</v>
      </c>
      <c r="D1561" s="30" t="n">
        <v>0.0814791480451793</v>
      </c>
      <c r="E1561" s="30" t="n">
        <v>0.255287916193265</v>
      </c>
      <c r="F1561" s="30" t="n">
        <v>0.0207295733895001</v>
      </c>
      <c r="G1561" s="30" t="n">
        <v>0.155017954322671</v>
      </c>
      <c r="H1561" s="31" t="n">
        <f aca="false">MAX(D1561,F1561+0.015)</f>
        <v>0.0814791480451793</v>
      </c>
      <c r="I1561" s="25" t="n">
        <f aca="false">(C1561-'DCF Base Case'!$B$3)*(1-E1561)+'DCF Base Case'!$B$3-G1561</f>
        <v>0.173389219290119</v>
      </c>
      <c r="J1561" s="24" t="n">
        <f aca="false">'DCF Base Case'!$B$2*(1+B1561)^1*$I1561-'DCF Base Case'!$B$2*(1+B1561)^0*B1561*'DCF Base Case'!$B$4</f>
        <v>26.546750663315</v>
      </c>
      <c r="K1561" s="24" t="n">
        <f aca="false">'DCF Base Case'!$B$2*(1+B1561)^2*$I1561-'DCF Base Case'!$B$2*(1+B1561)^1*B1561*'DCF Base Case'!$B$4</f>
        <v>28.3410719108126</v>
      </c>
      <c r="L1561" s="24" t="n">
        <f aca="false">'DCF Base Case'!$B$2*(1+B1561)^3*$I1561-'DCF Base Case'!$B$2*(1+B1561)^2*B1561*'DCF Base Case'!$B$4</f>
        <v>30.2566731138142</v>
      </c>
      <c r="M1561" s="24" t="n">
        <f aca="false">'DCF Base Case'!$B$2*(1+B1561)^4*$I1561-'DCF Base Case'!$B$2*(1+B1561)^3*B1561*'DCF Base Case'!$B$4</f>
        <v>32.3017517049854</v>
      </c>
      <c r="N1561" s="24" t="n">
        <f aca="false">'DCF Base Case'!$B$2*(1+B1561)^5*$I1561-'DCF Base Case'!$B$2*(1+B1561)^4*B1561*'DCF Base Case'!$B$4</f>
        <v>34.4850591896088</v>
      </c>
      <c r="O1561" s="24" t="n">
        <f aca="false">J1561/(1+H1561)^1+K1561/(1+H1561)^2+L1561/(1+H1561)^3+M1561/(1+H1561)^4+N1561/(1+H1561)^5</f>
        <v>119.621508657833</v>
      </c>
      <c r="P1561" s="24" t="n">
        <f aca="false">N1561*(1+F1561)/(H1561-F1561)</f>
        <v>579.426604291958</v>
      </c>
      <c r="Q1561" s="24" t="n">
        <f aca="false">O1561+P1561/(1+H1561)^5</f>
        <v>511.280120840892</v>
      </c>
      <c r="R1561" s="24" t="n">
        <f aca="false">Q1561-'DCF Base Case'!$B$5</f>
        <v>326.280120840892</v>
      </c>
      <c r="S1561" s="32" t="n">
        <f aca="false">R1561/'DCF Base Case'!$B$6</f>
        <v>13.0512048336357</v>
      </c>
    </row>
    <row r="1562" customFormat="false" ht="15" hidden="false" customHeight="true" outlineLevel="0" collapsed="false">
      <c r="A1562" s="6" t="n">
        <v>1561</v>
      </c>
      <c r="B1562" s="30" t="n">
        <v>0.0824923526067047</v>
      </c>
      <c r="C1562" s="30" t="n">
        <v>0.399156496927619</v>
      </c>
      <c r="D1562" s="30" t="n">
        <v>0.117549996497074</v>
      </c>
      <c r="E1562" s="30" t="n">
        <v>0.264049470449773</v>
      </c>
      <c r="F1562" s="30" t="n">
        <v>0.0118372359630258</v>
      </c>
      <c r="G1562" s="30" t="n">
        <v>0.134806328099602</v>
      </c>
      <c r="H1562" s="31" t="n">
        <f aca="false">MAX(D1562,F1562+0.015)</f>
        <v>0.117549996497074</v>
      </c>
      <c r="I1562" s="25" t="n">
        <f aca="false">(C1562-'DCF Base Case'!$B$3)*(1-E1562)+'DCF Base Case'!$B$3-G1562</f>
        <v>0.193279538346163</v>
      </c>
      <c r="J1562" s="24" t="n">
        <f aca="false">'DCF Base Case'!$B$2*(1+B1562)^1*$I1562-'DCF Base Case'!$B$2*(1+B1562)^0*B1562*'DCF Base Case'!$B$4</f>
        <v>29.9785834815469</v>
      </c>
      <c r="K1562" s="24" t="n">
        <f aca="false">'DCF Base Case'!$B$2*(1+B1562)^2*$I1562-'DCF Base Case'!$B$2*(1+B1562)^1*B1562*'DCF Base Case'!$B$4</f>
        <v>32.4515873607562</v>
      </c>
      <c r="L1562" s="24" t="n">
        <f aca="false">'DCF Base Case'!$B$2*(1+B1562)^3*$I1562-'DCF Base Case'!$B$2*(1+B1562)^2*B1562*'DCF Base Case'!$B$4</f>
        <v>35.128595147967</v>
      </c>
      <c r="M1562" s="24" t="n">
        <f aca="false">'DCF Base Case'!$B$2*(1+B1562)^4*$I1562-'DCF Base Case'!$B$2*(1+B1562)^3*B1562*'DCF Base Case'!$B$4</f>
        <v>38.0264356054912</v>
      </c>
      <c r="N1562" s="24" t="n">
        <f aca="false">'DCF Base Case'!$B$2*(1+B1562)^5*$I1562-'DCF Base Case'!$B$2*(1+B1562)^4*B1562*'DCF Base Case'!$B$4</f>
        <v>41.1633257398355</v>
      </c>
      <c r="O1562" s="24" t="n">
        <f aca="false">J1562/(1+H1562)^1+K1562/(1+H1562)^2+L1562/(1+H1562)^3+M1562/(1+H1562)^4+N1562/(1+H1562)^5</f>
        <v>125.971119843997</v>
      </c>
      <c r="P1562" s="24" t="n">
        <f aca="false">N1562*(1+F1562)/(H1562-F1562)</f>
        <v>393.997711621824</v>
      </c>
      <c r="Q1562" s="24" t="n">
        <f aca="false">O1562+P1562/(1+H1562)^5</f>
        <v>351.997376115619</v>
      </c>
      <c r="R1562" s="24" t="n">
        <f aca="false">Q1562-'DCF Base Case'!$B$5</f>
        <v>166.997376115619</v>
      </c>
      <c r="S1562" s="32" t="n">
        <f aca="false">R1562/'DCF Base Case'!$B$6</f>
        <v>6.67989504462475</v>
      </c>
    </row>
    <row r="1563" customFormat="false" ht="15" hidden="false" customHeight="true" outlineLevel="0" collapsed="false">
      <c r="A1563" s="6" t="n">
        <v>1562</v>
      </c>
      <c r="B1563" s="30" t="n">
        <v>0.106545869126742</v>
      </c>
      <c r="C1563" s="30" t="n">
        <v>0.443931664691033</v>
      </c>
      <c r="D1563" s="30" t="n">
        <v>0.0775002308948986</v>
      </c>
      <c r="E1563" s="30" t="n">
        <v>0.318463859442311</v>
      </c>
      <c r="F1563" s="30" t="n">
        <v>0.0220156325941455</v>
      </c>
      <c r="G1563" s="30" t="n">
        <v>0.161256060555997</v>
      </c>
      <c r="H1563" s="31" t="n">
        <f aca="false">MAX(D1563,F1563+0.015)</f>
        <v>0.0775002308948986</v>
      </c>
      <c r="I1563" s="25" t="n">
        <f aca="false">(C1563-'DCF Base Case'!$B$3)*(1-E1563)+'DCF Base Case'!$B$3-G1563</f>
        <v>0.18269971459638</v>
      </c>
      <c r="J1563" s="24" t="n">
        <f aca="false">'DCF Base Case'!$B$2*(1+B1563)^1*$I1563-'DCF Base Case'!$B$2*(1+B1563)^0*B1563*'DCF Base Case'!$B$4</f>
        <v>28.8505395685013</v>
      </c>
      <c r="K1563" s="24" t="n">
        <f aca="false">'DCF Base Case'!$B$2*(1+B1563)^2*$I1563-'DCF Base Case'!$B$2*(1+B1563)^1*B1563*'DCF Base Case'!$B$4</f>
        <v>31.9244453816027</v>
      </c>
      <c r="L1563" s="24" t="n">
        <f aca="false">'DCF Base Case'!$B$2*(1+B1563)^3*$I1563-'DCF Base Case'!$B$2*(1+B1563)^2*B1563*'DCF Base Case'!$B$4</f>
        <v>35.3258631611747</v>
      </c>
      <c r="M1563" s="24" t="n">
        <f aca="false">'DCF Base Case'!$B$2*(1+B1563)^4*$I1563-'DCF Base Case'!$B$2*(1+B1563)^3*B1563*'DCF Base Case'!$B$4</f>
        <v>39.0896879543345</v>
      </c>
      <c r="N1563" s="24" t="n">
        <f aca="false">'DCF Base Case'!$B$2*(1+B1563)^5*$I1563-'DCF Base Case'!$B$2*(1+B1563)^4*B1563*'DCF Base Case'!$B$4</f>
        <v>43.2545327313222</v>
      </c>
      <c r="O1563" s="24" t="n">
        <f aca="false">J1563/(1+H1563)^1+K1563/(1+H1563)^2+L1563/(1+H1563)^3+M1563/(1+H1563)^4+N1563/(1+H1563)^5</f>
        <v>141.292107634758</v>
      </c>
      <c r="P1563" s="24" t="n">
        <f aca="false">N1563*(1+F1563)/(H1563-F1563)</f>
        <v>796.740176298012</v>
      </c>
      <c r="Q1563" s="24" t="n">
        <f aca="false">O1563+P1563/(1+H1563)^5</f>
        <v>689.859334473025</v>
      </c>
      <c r="R1563" s="24" t="n">
        <f aca="false">Q1563-'DCF Base Case'!$B$5</f>
        <v>504.859334473025</v>
      </c>
      <c r="S1563" s="32" t="n">
        <f aca="false">R1563/'DCF Base Case'!$B$6</f>
        <v>20.194373378921</v>
      </c>
    </row>
    <row r="1564" customFormat="false" ht="15" hidden="false" customHeight="true" outlineLevel="0" collapsed="false">
      <c r="A1564" s="6" t="n">
        <v>1563</v>
      </c>
      <c r="B1564" s="30" t="n">
        <v>0.0845679129285545</v>
      </c>
      <c r="C1564" s="30" t="n">
        <v>0.416455022259378</v>
      </c>
      <c r="D1564" s="30" t="n">
        <v>0.0946520140436901</v>
      </c>
      <c r="E1564" s="30" t="n">
        <v>0.291509028397077</v>
      </c>
      <c r="F1564" s="30" t="n">
        <v>0.0166046320214828</v>
      </c>
      <c r="G1564" s="30" t="n">
        <v>0.161562924803573</v>
      </c>
      <c r="H1564" s="31" t="n">
        <f aca="false">MAX(D1564,F1564+0.015)</f>
        <v>0.0946520140436901</v>
      </c>
      <c r="I1564" s="25" t="n">
        <f aca="false">(C1564-'DCF Base Case'!$B$3)*(1-E1564)+'DCF Base Case'!$B$3-G1564</f>
        <v>0.171387872237511</v>
      </c>
      <c r="J1564" s="24" t="n">
        <f aca="false">'DCF Base Case'!$B$2*(1+B1564)^1*$I1564-'DCF Base Case'!$B$2*(1+B1564)^0*B1564*'DCF Base Case'!$B$4</f>
        <v>26.5849886783767</v>
      </c>
      <c r="K1564" s="24" t="n">
        <f aca="false">'DCF Base Case'!$B$2*(1+B1564)^2*$I1564-'DCF Base Case'!$B$2*(1+B1564)^1*B1564*'DCF Base Case'!$B$4</f>
        <v>28.8332256861362</v>
      </c>
      <c r="L1564" s="24" t="n">
        <f aca="false">'DCF Base Case'!$B$2*(1+B1564)^3*$I1564-'DCF Base Case'!$B$2*(1+B1564)^2*B1564*'DCF Base Case'!$B$4</f>
        <v>31.2715914054108</v>
      </c>
      <c r="M1564" s="24" t="n">
        <f aca="false">'DCF Base Case'!$B$2*(1+B1564)^4*$I1564-'DCF Base Case'!$B$2*(1+B1564)^3*B1564*'DCF Base Case'!$B$4</f>
        <v>33.9161646245209</v>
      </c>
      <c r="N1564" s="24" t="n">
        <f aca="false">'DCF Base Case'!$B$2*(1+B1564)^5*$I1564-'DCF Base Case'!$B$2*(1+B1564)^4*B1564*'DCF Base Case'!$B$4</f>
        <v>36.7843838813579</v>
      </c>
      <c r="O1564" s="24" t="n">
        <f aca="false">J1564/(1+H1564)^1+K1564/(1+H1564)^2+L1564/(1+H1564)^3+M1564/(1+H1564)^4+N1564/(1+H1564)^5</f>
        <v>119.214462087197</v>
      </c>
      <c r="P1564" s="24" t="n">
        <f aca="false">N1564*(1+F1564)/(H1564-F1564)</f>
        <v>479.13426524934</v>
      </c>
      <c r="Q1564" s="24" t="n">
        <f aca="false">O1564+P1564/(1+H1564)^5</f>
        <v>424.057884159563</v>
      </c>
      <c r="R1564" s="24" t="n">
        <f aca="false">Q1564-'DCF Base Case'!$B$5</f>
        <v>239.057884159563</v>
      </c>
      <c r="S1564" s="32" t="n">
        <f aca="false">R1564/'DCF Base Case'!$B$6</f>
        <v>9.56231536638254</v>
      </c>
    </row>
    <row r="1565" customFormat="false" ht="15" hidden="false" customHeight="true" outlineLevel="0" collapsed="false">
      <c r="A1565" s="6" t="n">
        <v>1564</v>
      </c>
      <c r="B1565" s="30" t="n">
        <v>0.129095673285405</v>
      </c>
      <c r="C1565" s="30" t="n">
        <v>0.433428962119697</v>
      </c>
      <c r="D1565" s="30" t="n">
        <v>0.0945625796957088</v>
      </c>
      <c r="E1565" s="30" t="n">
        <v>0.295991501210005</v>
      </c>
      <c r="F1565" s="30" t="n">
        <v>0.0203244898127961</v>
      </c>
      <c r="G1565" s="30" t="n">
        <v>0.167651896471387</v>
      </c>
      <c r="H1565" s="31" t="n">
        <f aca="false">MAX(D1565,F1565+0.015)</f>
        <v>0.0945625796957088</v>
      </c>
      <c r="I1565" s="25" t="n">
        <f aca="false">(C1565-'DCF Base Case'!$B$3)*(1-E1565)+'DCF Base Case'!$B$3-G1565</f>
        <v>0.175964671639907</v>
      </c>
      <c r="J1565" s="24" t="n">
        <f aca="false">'DCF Base Case'!$B$2*(1+B1565)^1*$I1565-'DCF Base Case'!$B$2*(1+B1565)^0*B1565*'DCF Base Case'!$B$4</f>
        <v>28.2471714841659</v>
      </c>
      <c r="K1565" s="24" t="n">
        <f aca="false">'DCF Base Case'!$B$2*(1+B1565)^2*$I1565-'DCF Base Case'!$B$2*(1+B1565)^1*B1565*'DCF Base Case'!$B$4</f>
        <v>31.8937591053226</v>
      </c>
      <c r="L1565" s="24" t="n">
        <f aca="false">'DCF Base Case'!$B$2*(1+B1565)^3*$I1565-'DCF Base Case'!$B$2*(1+B1565)^2*B1565*'DCF Base Case'!$B$4</f>
        <v>36.0111054106267</v>
      </c>
      <c r="M1565" s="24" t="n">
        <f aca="false">'DCF Base Case'!$B$2*(1+B1565)^4*$I1565-'DCF Base Case'!$B$2*(1+B1565)^3*B1565*'DCF Base Case'!$B$4</f>
        <v>40.6599833093632</v>
      </c>
      <c r="N1565" s="24" t="n">
        <f aca="false">'DCF Base Case'!$B$2*(1+B1565)^5*$I1565-'DCF Base Case'!$B$2*(1+B1565)^4*B1565*'DCF Base Case'!$B$4</f>
        <v>45.9090112304588</v>
      </c>
      <c r="O1565" s="24" t="n">
        <f aca="false">J1565/(1+H1565)^1+K1565/(1+H1565)^2+L1565/(1+H1565)^3+M1565/(1+H1565)^4+N1565/(1+H1565)^5</f>
        <v>137.4369831438</v>
      </c>
      <c r="P1565" s="24" t="n">
        <f aca="false">N1565*(1+F1565)/(H1565-F1565)</f>
        <v>630.97108957688</v>
      </c>
      <c r="Q1565" s="24" t="n">
        <f aca="false">O1565+P1565/(1+H1565)^5</f>
        <v>539.048795165534</v>
      </c>
      <c r="R1565" s="24" t="n">
        <f aca="false">Q1565-'DCF Base Case'!$B$5</f>
        <v>354.048795165534</v>
      </c>
      <c r="S1565" s="32" t="n">
        <f aca="false">R1565/'DCF Base Case'!$B$6</f>
        <v>14.1619518066214</v>
      </c>
    </row>
    <row r="1566" customFormat="false" ht="15" hidden="false" customHeight="true" outlineLevel="0" collapsed="false">
      <c r="A1566" s="6" t="n">
        <v>1565</v>
      </c>
      <c r="B1566" s="30" t="n">
        <v>0.109606311791145</v>
      </c>
      <c r="C1566" s="30" t="n">
        <v>0.434563489598685</v>
      </c>
      <c r="D1566" s="30" t="n">
        <v>0.087902828258127</v>
      </c>
      <c r="E1566" s="30" t="n">
        <v>0.26348274264317</v>
      </c>
      <c r="F1566" s="30" t="n">
        <v>0.0207231339318272</v>
      </c>
      <c r="G1566" s="30" t="n">
        <v>0.163783687020989</v>
      </c>
      <c r="H1566" s="31" t="n">
        <f aca="false">MAX(D1566,F1566+0.015)</f>
        <v>0.087902828258127</v>
      </c>
      <c r="I1566" s="25" t="n">
        <f aca="false">(C1566-'DCF Base Case'!$B$3)*(1-E1566)+'DCF Base Case'!$B$3-G1566</f>
        <v>0.19053257902926</v>
      </c>
      <c r="J1566" s="24" t="n">
        <f aca="false">'DCF Base Case'!$B$2*(1+B1566)^1*$I1566-'DCF Base Case'!$B$2*(1+B1566)^0*B1566*'DCF Base Case'!$B$4</f>
        <v>30.1785546261518</v>
      </c>
      <c r="K1566" s="24" t="n">
        <f aca="false">'DCF Base Case'!$B$2*(1+B1566)^2*$I1566-'DCF Base Case'!$B$2*(1+B1566)^1*B1566*'DCF Base Case'!$B$4</f>
        <v>33.4863146939118</v>
      </c>
      <c r="L1566" s="24" t="n">
        <f aca="false">'DCF Base Case'!$B$2*(1+B1566)^3*$I1566-'DCF Base Case'!$B$2*(1+B1566)^2*B1566*'DCF Base Case'!$B$4</f>
        <v>37.1566261429891</v>
      </c>
      <c r="M1566" s="24" t="n">
        <f aca="false">'DCF Base Case'!$B$2*(1+B1566)^4*$I1566-'DCF Base Case'!$B$2*(1+B1566)^3*B1566*'DCF Base Case'!$B$4</f>
        <v>41.2292268931246</v>
      </c>
      <c r="N1566" s="24" t="n">
        <f aca="false">'DCF Base Case'!$B$2*(1+B1566)^5*$I1566-'DCF Base Case'!$B$2*(1+B1566)^4*B1566*'DCF Base Case'!$B$4</f>
        <v>45.7482103908803</v>
      </c>
      <c r="O1566" s="24" t="n">
        <f aca="false">J1566/(1+H1566)^1+K1566/(1+H1566)^2+L1566/(1+H1566)^3+M1566/(1+H1566)^4+N1566/(1+H1566)^5</f>
        <v>144.346217003611</v>
      </c>
      <c r="P1566" s="24" t="n">
        <f aca="false">N1566*(1+F1566)/(H1566-F1566)</f>
        <v>695.094807296125</v>
      </c>
      <c r="Q1566" s="24" t="n">
        <f aca="false">O1566+P1566/(1+H1566)^5</f>
        <v>600.481340339753</v>
      </c>
      <c r="R1566" s="24" t="n">
        <f aca="false">Q1566-'DCF Base Case'!$B$5</f>
        <v>415.481340339753</v>
      </c>
      <c r="S1566" s="32" t="n">
        <f aca="false">R1566/'DCF Base Case'!$B$6</f>
        <v>16.6192536135901</v>
      </c>
    </row>
    <row r="1567" customFormat="false" ht="15" hidden="false" customHeight="true" outlineLevel="0" collapsed="false">
      <c r="A1567" s="6" t="n">
        <v>1566</v>
      </c>
      <c r="B1567" s="30" t="n">
        <v>0.0835283703816827</v>
      </c>
      <c r="C1567" s="30" t="n">
        <v>0.454285088669926</v>
      </c>
      <c r="D1567" s="30" t="n">
        <v>0.0680704356152139</v>
      </c>
      <c r="E1567" s="30" t="n">
        <v>0.309108303514928</v>
      </c>
      <c r="F1567" s="30" t="n">
        <v>0.0158290531862666</v>
      </c>
      <c r="G1567" s="30" t="n">
        <v>0.168165050474601</v>
      </c>
      <c r="H1567" s="31" t="n">
        <f aca="false">MAX(D1567,F1567+0.015)</f>
        <v>0.0680704356152139</v>
      </c>
      <c r="I1567" s="25" t="n">
        <f aca="false">(C1567-'DCF Base Case'!$B$3)*(1-E1567)+'DCF Base Case'!$B$3-G1567</f>
        <v>0.185880824581376</v>
      </c>
      <c r="J1567" s="24" t="n">
        <f aca="false">'DCF Base Case'!$B$2*(1+B1567)^1*$I1567-'DCF Base Case'!$B$2*(1+B1567)^0*B1567*'DCF Base Case'!$B$4</f>
        <v>28.8406878956997</v>
      </c>
      <c r="K1567" s="24" t="n">
        <f aca="false">'DCF Base Case'!$B$2*(1+B1567)^2*$I1567-'DCF Base Case'!$B$2*(1+B1567)^1*B1567*'DCF Base Case'!$B$4</f>
        <v>31.2497035563142</v>
      </c>
      <c r="L1567" s="24" t="n">
        <f aca="false">'DCF Base Case'!$B$2*(1+B1567)^3*$I1567-'DCF Base Case'!$B$2*(1+B1567)^2*B1567*'DCF Base Case'!$B$4</f>
        <v>33.8599403692838</v>
      </c>
      <c r="M1567" s="24" t="n">
        <f aca="false">'DCF Base Case'!$B$2*(1+B1567)^4*$I1567-'DCF Base Case'!$B$2*(1+B1567)^3*B1567*'DCF Base Case'!$B$4</f>
        <v>36.688206009551</v>
      </c>
      <c r="N1567" s="24" t="n">
        <f aca="false">'DCF Base Case'!$B$2*(1+B1567)^5*$I1567-'DCF Base Case'!$B$2*(1+B1567)^4*B1567*'DCF Base Case'!$B$4</f>
        <v>39.7527120697563</v>
      </c>
      <c r="O1567" s="24" t="n">
        <f aca="false">J1567/(1+H1567)^1+K1567/(1+H1567)^2+L1567/(1+H1567)^3+M1567/(1+H1567)^4+N1567/(1+H1567)^5</f>
        <v>138.978037919721</v>
      </c>
      <c r="P1567" s="24" t="n">
        <f aca="false">N1567*(1+F1567)/(H1567-F1567)</f>
        <v>772.987964442358</v>
      </c>
      <c r="Q1567" s="24" t="n">
        <f aca="false">O1567+P1567/(1+H1567)^5</f>
        <v>695.104118381659</v>
      </c>
      <c r="R1567" s="24" t="n">
        <f aca="false">Q1567-'DCF Base Case'!$B$5</f>
        <v>510.104118381659</v>
      </c>
      <c r="S1567" s="32" t="n">
        <f aca="false">R1567/'DCF Base Case'!$B$6</f>
        <v>20.4041647352664</v>
      </c>
    </row>
    <row r="1568" customFormat="false" ht="15" hidden="false" customHeight="true" outlineLevel="0" collapsed="false">
      <c r="A1568" s="6" t="n">
        <v>1567</v>
      </c>
      <c r="B1568" s="30" t="n">
        <v>0.134947428295889</v>
      </c>
      <c r="C1568" s="30" t="n">
        <v>0.414717749079972</v>
      </c>
      <c r="D1568" s="30" t="n">
        <v>0.0770374007969001</v>
      </c>
      <c r="E1568" s="30" t="n">
        <v>0.279153917049942</v>
      </c>
      <c r="F1568" s="30" t="n">
        <v>0.015892918867895</v>
      </c>
      <c r="G1568" s="30" t="n">
        <v>0.186384566302495</v>
      </c>
      <c r="H1568" s="31" t="n">
        <f aca="false">MAX(D1568,F1568+0.015)</f>
        <v>0.0770374007969001</v>
      </c>
      <c r="I1568" s="25" t="n">
        <f aca="false">(C1568-'DCF Base Case'!$B$3)*(1-E1568)+'DCF Base Case'!$B$3-G1568</f>
        <v>0.14885310786816</v>
      </c>
      <c r="J1568" s="24" t="n">
        <f aca="false">'DCF Base Case'!$B$2*(1+B1568)^1*$I1568-'DCF Base Case'!$B$2*(1+B1568)^0*B1568*'DCF Base Case'!$B$4</f>
        <v>23.9093442223917</v>
      </c>
      <c r="K1568" s="24" t="n">
        <f aca="false">'DCF Base Case'!$B$2*(1+B1568)^2*$I1568-'DCF Base Case'!$B$2*(1+B1568)^1*B1568*'DCF Base Case'!$B$4</f>
        <v>27.1358487374446</v>
      </c>
      <c r="L1568" s="24" t="n">
        <f aca="false">'DCF Base Case'!$B$2*(1+B1568)^3*$I1568-'DCF Base Case'!$B$2*(1+B1568)^2*B1568*'DCF Base Case'!$B$4</f>
        <v>30.797761739189</v>
      </c>
      <c r="M1568" s="24" t="n">
        <f aca="false">'DCF Base Case'!$B$2*(1+B1568)^4*$I1568-'DCF Base Case'!$B$2*(1+B1568)^3*B1568*'DCF Base Case'!$B$4</f>
        <v>34.953840483162</v>
      </c>
      <c r="N1568" s="24" t="n">
        <f aca="false">'DCF Base Case'!$B$2*(1+B1568)^5*$I1568-'DCF Base Case'!$B$2*(1+B1568)^4*B1568*'DCF Base Case'!$B$4</f>
        <v>39.6707713654295</v>
      </c>
      <c r="O1568" s="24" t="n">
        <f aca="false">J1568/(1+H1568)^1+K1568/(1+H1568)^2+L1568/(1+H1568)^3+M1568/(1+H1568)^4+N1568/(1+H1568)^5</f>
        <v>123.591129611139</v>
      </c>
      <c r="P1568" s="24" t="n">
        <f aca="false">N1568*(1+F1568)/(H1568-F1568)</f>
        <v>659.115171880283</v>
      </c>
      <c r="Q1568" s="24" t="n">
        <f aca="false">O1568+P1568/(1+H1568)^5</f>
        <v>578.377441698511</v>
      </c>
      <c r="R1568" s="24" t="n">
        <f aca="false">Q1568-'DCF Base Case'!$B$5</f>
        <v>393.377441698511</v>
      </c>
      <c r="S1568" s="32" t="n">
        <f aca="false">R1568/'DCF Base Case'!$B$6</f>
        <v>15.7350976679405</v>
      </c>
    </row>
    <row r="1569" customFormat="false" ht="15" hidden="false" customHeight="true" outlineLevel="0" collapsed="false">
      <c r="A1569" s="6" t="n">
        <v>1568</v>
      </c>
      <c r="B1569" s="30" t="n">
        <v>0.0785024443828596</v>
      </c>
      <c r="C1569" s="30" t="n">
        <v>0.423382246733058</v>
      </c>
      <c r="D1569" s="30" t="n">
        <v>0.0703789195501993</v>
      </c>
      <c r="E1569" s="30" t="n">
        <v>0.248824251289402</v>
      </c>
      <c r="F1569" s="30" t="n">
        <v>0.0184647534940913</v>
      </c>
      <c r="G1569" s="30" t="n">
        <v>0.135281535406824</v>
      </c>
      <c r="H1569" s="31" t="n">
        <f aca="false">MAX(D1569,F1569+0.015)</f>
        <v>0.0703789195501993</v>
      </c>
      <c r="I1569" s="25" t="n">
        <f aca="false">(C1569-'DCF Base Case'!$B$3)*(1-E1569)+'DCF Base Case'!$B$3-G1569</f>
        <v>0.215100093441278</v>
      </c>
      <c r="J1569" s="24" t="n">
        <f aca="false">'DCF Base Case'!$B$2*(1+B1569)^1*$I1569-'DCF Base Case'!$B$2*(1+B1569)^0*B1569*'DCF Base Case'!$B$4</f>
        <v>33.2964809686276</v>
      </c>
      <c r="K1569" s="24" t="n">
        <f aca="false">'DCF Base Case'!$B$2*(1+B1569)^2*$I1569-'DCF Base Case'!$B$2*(1+B1569)^1*B1569*'DCF Base Case'!$B$4</f>
        <v>35.9103361140122</v>
      </c>
      <c r="L1569" s="24" t="n">
        <f aca="false">'DCF Base Case'!$B$2*(1+B1569)^3*$I1569-'DCF Base Case'!$B$2*(1+B1569)^2*B1569*'DCF Base Case'!$B$4</f>
        <v>38.7293852775723</v>
      </c>
      <c r="M1569" s="24" t="n">
        <f aca="false">'DCF Base Case'!$B$2*(1+B1569)^4*$I1569-'DCF Base Case'!$B$2*(1+B1569)^3*B1569*'DCF Base Case'!$B$4</f>
        <v>41.7697366913072</v>
      </c>
      <c r="N1569" s="24" t="n">
        <f aca="false">'DCF Base Case'!$B$2*(1+B1569)^5*$I1569-'DCF Base Case'!$B$2*(1+B1569)^4*B1569*'DCF Base Case'!$B$4</f>
        <v>45.0487631228033</v>
      </c>
      <c r="O1569" s="24" t="n">
        <f aca="false">J1569/(1+H1569)^1+K1569/(1+H1569)^2+L1569/(1+H1569)^3+M1569/(1+H1569)^4+N1569/(1+H1569)^5</f>
        <v>157.914784553096</v>
      </c>
      <c r="P1569" s="24" t="n">
        <f aca="false">N1569*(1+F1569)/(H1569-F1569)</f>
        <v>883.777606665058</v>
      </c>
      <c r="Q1569" s="24" t="n">
        <f aca="false">O1569+P1569/(1+H1569)^5</f>
        <v>786.921462738119</v>
      </c>
      <c r="R1569" s="24" t="n">
        <f aca="false">Q1569-'DCF Base Case'!$B$5</f>
        <v>601.921462738119</v>
      </c>
      <c r="S1569" s="32" t="n">
        <f aca="false">R1569/'DCF Base Case'!$B$6</f>
        <v>24.0768585095248</v>
      </c>
    </row>
    <row r="1570" customFormat="false" ht="15" hidden="false" customHeight="true" outlineLevel="0" collapsed="false">
      <c r="A1570" s="6" t="n">
        <v>1569</v>
      </c>
      <c r="B1570" s="30" t="n">
        <v>0.122045430859178</v>
      </c>
      <c r="C1570" s="30" t="n">
        <v>0.393192323087674</v>
      </c>
      <c r="D1570" s="30" t="n">
        <v>0.0735854464356223</v>
      </c>
      <c r="E1570" s="30" t="n">
        <v>0.292018926252474</v>
      </c>
      <c r="F1570" s="30" t="n">
        <v>0.0169851778363273</v>
      </c>
      <c r="G1570" s="30" t="n">
        <v>0.136057186714801</v>
      </c>
      <c r="H1570" s="31" t="n">
        <f aca="false">MAX(D1570,F1570+0.015)</f>
        <v>0.0735854464356223</v>
      </c>
      <c r="I1570" s="25" t="n">
        <f aca="false">(C1570-'DCF Base Case'!$B$3)*(1-E1570)+'DCF Base Case'!$B$3-G1570</f>
        <v>0.180277996786916</v>
      </c>
      <c r="J1570" s="24" t="n">
        <f aca="false">'DCF Base Case'!$B$2*(1+B1570)^1*$I1570-'DCF Base Case'!$B$2*(1+B1570)^0*B1570*'DCF Base Case'!$B$4</f>
        <v>28.7997172497473</v>
      </c>
      <c r="K1570" s="24" t="n">
        <f aca="false">'DCF Base Case'!$B$2*(1+B1570)^2*$I1570-'DCF Base Case'!$B$2*(1+B1570)^1*B1570*'DCF Base Case'!$B$4</f>
        <v>32.3145911501152</v>
      </c>
      <c r="L1570" s="24" t="n">
        <f aca="false">'DCF Base Case'!$B$2*(1+B1570)^3*$I1570-'DCF Base Case'!$B$2*(1+B1570)^2*B1570*'DCF Base Case'!$B$4</f>
        <v>36.2584393500692</v>
      </c>
      <c r="M1570" s="24" t="n">
        <f aca="false">'DCF Base Case'!$B$2*(1+B1570)^4*$I1570-'DCF Base Case'!$B$2*(1+B1570)^3*B1570*'DCF Base Case'!$B$4</f>
        <v>40.6836162028298</v>
      </c>
      <c r="N1570" s="24" t="n">
        <f aca="false">'DCF Base Case'!$B$2*(1+B1570)^5*$I1570-'DCF Base Case'!$B$2*(1+B1570)^4*B1570*'DCF Base Case'!$B$4</f>
        <v>45.6488656712136</v>
      </c>
      <c r="O1570" s="24" t="n">
        <f aca="false">J1570/(1+H1570)^1+K1570/(1+H1570)^2+L1570/(1+H1570)^3+M1570/(1+H1570)^4+N1570/(1+H1570)^5</f>
        <v>146.796404945233</v>
      </c>
      <c r="P1570" s="24" t="n">
        <f aca="false">N1570*(1+F1570)/(H1570-F1570)</f>
        <v>820.212004669603</v>
      </c>
      <c r="Q1570" s="24" t="n">
        <f aca="false">O1570+P1570/(1+H1570)^5</f>
        <v>721.895975893811</v>
      </c>
      <c r="R1570" s="24" t="n">
        <f aca="false">Q1570-'DCF Base Case'!$B$5</f>
        <v>536.895975893811</v>
      </c>
      <c r="S1570" s="32" t="n">
        <f aca="false">R1570/'DCF Base Case'!$B$6</f>
        <v>21.4758390357525</v>
      </c>
    </row>
    <row r="1571" customFormat="false" ht="15" hidden="false" customHeight="true" outlineLevel="0" collapsed="false">
      <c r="A1571" s="6" t="n">
        <v>1570</v>
      </c>
      <c r="B1571" s="30" t="n">
        <v>0.129832171381539</v>
      </c>
      <c r="C1571" s="30" t="n">
        <v>0.409674829126402</v>
      </c>
      <c r="D1571" s="30" t="n">
        <v>0.082841164117538</v>
      </c>
      <c r="E1571" s="30" t="n">
        <v>0.274038001995403</v>
      </c>
      <c r="F1571" s="30" t="n">
        <v>0.0219020758980762</v>
      </c>
      <c r="G1571" s="30" t="n">
        <v>0.176051328185432</v>
      </c>
      <c r="H1571" s="31" t="n">
        <f aca="false">MAX(D1571,F1571+0.015)</f>
        <v>0.082841164117538</v>
      </c>
      <c r="I1571" s="25" t="n">
        <f aca="false">(C1571-'DCF Base Case'!$B$3)*(1-E1571)+'DCF Base Case'!$B$3-G1571</f>
        <v>0.156981969558765</v>
      </c>
      <c r="J1571" s="24" t="n">
        <f aca="false">'DCF Base Case'!$B$2*(1+B1571)^1*$I1571-'DCF Base Case'!$B$2*(1+B1571)^0*B1571*'DCF Base Case'!$B$4</f>
        <v>25.1529055869682</v>
      </c>
      <c r="K1571" s="24" t="n">
        <f aca="false">'DCF Base Case'!$B$2*(1+B1571)^2*$I1571-'DCF Base Case'!$B$2*(1+B1571)^1*B1571*'DCF Base Case'!$B$4</f>
        <v>28.4185619358791</v>
      </c>
      <c r="L1571" s="24" t="n">
        <f aca="false">'DCF Base Case'!$B$2*(1+B1571)^3*$I1571-'DCF Base Case'!$B$2*(1+B1571)^2*B1571*'DCF Base Case'!$B$4</f>
        <v>32.108205539555</v>
      </c>
      <c r="M1571" s="24" t="n">
        <f aca="false">'DCF Base Case'!$B$2*(1+B1571)^4*$I1571-'DCF Base Case'!$B$2*(1+B1571)^3*B1571*'DCF Base Case'!$B$4</f>
        <v>36.2768835839202</v>
      </c>
      <c r="N1571" s="24" t="n">
        <f aca="false">'DCF Base Case'!$B$2*(1+B1571)^5*$I1571-'DCF Base Case'!$B$2*(1+B1571)^4*B1571*'DCF Base Case'!$B$4</f>
        <v>40.9867901505759</v>
      </c>
      <c r="O1571" s="24" t="n">
        <f aca="false">J1571/(1+H1571)^1+K1571/(1+H1571)^2+L1571/(1+H1571)^3+M1571/(1+H1571)^4+N1571/(1+H1571)^5</f>
        <v>126.67041615081</v>
      </c>
      <c r="P1571" s="24" t="n">
        <f aca="false">N1571*(1+F1571)/(H1571-F1571)</f>
        <v>687.317240265106</v>
      </c>
      <c r="Q1571" s="24" t="n">
        <f aca="false">O1571+P1571/(1+H1571)^5</f>
        <v>588.342327341586</v>
      </c>
      <c r="R1571" s="24" t="n">
        <f aca="false">Q1571-'DCF Base Case'!$B$5</f>
        <v>403.342327341586</v>
      </c>
      <c r="S1571" s="32" t="n">
        <f aca="false">R1571/'DCF Base Case'!$B$6</f>
        <v>16.1336930936635</v>
      </c>
    </row>
    <row r="1572" customFormat="false" ht="15" hidden="false" customHeight="true" outlineLevel="0" collapsed="false">
      <c r="A1572" s="6" t="n">
        <v>1571</v>
      </c>
      <c r="B1572" s="30" t="n">
        <v>0.0719511283749918</v>
      </c>
      <c r="C1572" s="30" t="n">
        <v>0.400698093615269</v>
      </c>
      <c r="D1572" s="30" t="n">
        <v>0.08250385323104</v>
      </c>
      <c r="E1572" s="30" t="n">
        <v>0.302600485174903</v>
      </c>
      <c r="F1572" s="30" t="n">
        <v>0.0146080616473272</v>
      </c>
      <c r="G1572" s="30" t="n">
        <v>0.20856587364872</v>
      </c>
      <c r="H1572" s="31" t="n">
        <f aca="false">MAX(D1572,F1572+0.015)</f>
        <v>0.08250385323104</v>
      </c>
      <c r="I1572" s="25" t="n">
        <f aca="false">(C1572-'DCF Base Case'!$B$3)*(1-E1572)+'DCF Base Case'!$B$3-G1572</f>
        <v>0.110218845502647</v>
      </c>
      <c r="J1572" s="24" t="n">
        <f aca="false">'DCF Base Case'!$B$2*(1+B1572)^1*$I1572-'DCF Base Case'!$B$2*(1+B1572)^0*B1572*'DCF Base Case'!$B$4</f>
        <v>16.8186488832578</v>
      </c>
      <c r="K1572" s="24" t="n">
        <f aca="false">'DCF Base Case'!$B$2*(1+B1572)^2*$I1572-'DCF Base Case'!$B$2*(1+B1572)^1*B1572*'DCF Base Case'!$B$4</f>
        <v>18.028769648151</v>
      </c>
      <c r="L1572" s="24" t="n">
        <f aca="false">'DCF Base Case'!$B$2*(1+B1572)^3*$I1572-'DCF Base Case'!$B$2*(1+B1572)^2*B1572*'DCF Base Case'!$B$4</f>
        <v>19.3259599675482</v>
      </c>
      <c r="M1572" s="24" t="n">
        <f aca="false">'DCF Base Case'!$B$2*(1+B1572)^4*$I1572-'DCF Base Case'!$B$2*(1+B1572)^3*B1572*'DCF Base Case'!$B$4</f>
        <v>20.7164845941433</v>
      </c>
      <c r="N1572" s="24" t="n">
        <f aca="false">'DCF Base Case'!$B$2*(1+B1572)^5*$I1572-'DCF Base Case'!$B$2*(1+B1572)^4*B1572*'DCF Base Case'!$B$4</f>
        <v>22.207059036655</v>
      </c>
      <c r="O1572" s="24" t="n">
        <f aca="false">J1572/(1+H1572)^1+K1572/(1+H1572)^2+L1572/(1+H1572)^3+M1572/(1+H1572)^4+N1572/(1+H1572)^5</f>
        <v>76.1841110150262</v>
      </c>
      <c r="P1572" s="24" t="n">
        <f aca="false">N1572*(1+F1572)/(H1572-F1572)</f>
        <v>331.853574404356</v>
      </c>
      <c r="Q1572" s="24" t="n">
        <f aca="false">O1572+P1572/(1+H1572)^5</f>
        <v>299.438109156317</v>
      </c>
      <c r="R1572" s="24" t="n">
        <f aca="false">Q1572-'DCF Base Case'!$B$5</f>
        <v>114.438109156317</v>
      </c>
      <c r="S1572" s="32" t="n">
        <f aca="false">R1572/'DCF Base Case'!$B$6</f>
        <v>4.57752436625268</v>
      </c>
    </row>
    <row r="1573" customFormat="false" ht="15" hidden="false" customHeight="true" outlineLevel="0" collapsed="false">
      <c r="A1573" s="6" t="n">
        <v>1572</v>
      </c>
      <c r="B1573" s="30" t="n">
        <v>0.0734567953573384</v>
      </c>
      <c r="C1573" s="30" t="n">
        <v>0.40850217462741</v>
      </c>
      <c r="D1573" s="30" t="n">
        <v>0.0722401161633744</v>
      </c>
      <c r="E1573" s="30" t="n">
        <v>0.254616975391587</v>
      </c>
      <c r="F1573" s="30" t="n">
        <v>0.0157805654380335</v>
      </c>
      <c r="G1573" s="30" t="n">
        <v>0.145759881897566</v>
      </c>
      <c r="H1573" s="31" t="n">
        <f aca="false">MAX(D1573,F1573+0.015)</f>
        <v>0.0722401161633744</v>
      </c>
      <c r="I1573" s="25" t="n">
        <f aca="false">(C1573-'DCF Base Case'!$B$3)*(1-E1573)+'DCF Base Case'!$B$3-G1573</f>
        <v>0.191830911386233</v>
      </c>
      <c r="J1573" s="24" t="n">
        <f aca="false">'DCF Base Case'!$B$2*(1+B1573)^1*$I1573-'DCF Base Case'!$B$2*(1+B1573)^0*B1573*'DCF Base Case'!$B$4</f>
        <v>29.5391812713314</v>
      </c>
      <c r="K1573" s="24" t="n">
        <f aca="false">'DCF Base Case'!$B$2*(1+B1573)^2*$I1573-'DCF Base Case'!$B$2*(1+B1573)^1*B1573*'DCF Base Case'!$B$4</f>
        <v>31.7090348650029</v>
      </c>
      <c r="L1573" s="24" t="n">
        <f aca="false">'DCF Base Case'!$B$2*(1+B1573)^3*$I1573-'DCF Base Case'!$B$2*(1+B1573)^2*B1573*'DCF Base Case'!$B$4</f>
        <v>34.0382789500601</v>
      </c>
      <c r="M1573" s="24" t="n">
        <f aca="false">'DCF Base Case'!$B$2*(1+B1573)^4*$I1573-'DCF Base Case'!$B$2*(1+B1573)^3*B1573*'DCF Base Case'!$B$4</f>
        <v>36.5386218412107</v>
      </c>
      <c r="N1573" s="24" t="n">
        <f aca="false">'DCF Base Case'!$B$2*(1+B1573)^5*$I1573-'DCF Base Case'!$B$2*(1+B1573)^4*B1573*'DCF Base Case'!$B$4</f>
        <v>39.2226319084397</v>
      </c>
      <c r="O1573" s="24" t="n">
        <f aca="false">J1573/(1+H1573)^1+K1573/(1+H1573)^2+L1573/(1+H1573)^3+M1573/(1+H1573)^4+N1573/(1+H1573)^5</f>
        <v>138.058134611887</v>
      </c>
      <c r="P1573" s="24" t="n">
        <f aca="false">N1573*(1+F1573)/(H1573-F1573)</f>
        <v>705.666033577566</v>
      </c>
      <c r="Q1573" s="24" t="n">
        <f aca="false">O1573+P1573/(1+H1573)^5</f>
        <v>635.954499478099</v>
      </c>
      <c r="R1573" s="24" t="n">
        <f aca="false">Q1573-'DCF Base Case'!$B$5</f>
        <v>450.954499478099</v>
      </c>
      <c r="S1573" s="32" t="n">
        <f aca="false">R1573/'DCF Base Case'!$B$6</f>
        <v>18.0381799791239</v>
      </c>
    </row>
    <row r="1574" customFormat="false" ht="15" hidden="false" customHeight="true" outlineLevel="0" collapsed="false">
      <c r="A1574" s="6" t="n">
        <v>1573</v>
      </c>
      <c r="B1574" s="30" t="n">
        <v>0.0811911969909762</v>
      </c>
      <c r="C1574" s="30" t="n">
        <v>0.389405087616026</v>
      </c>
      <c r="D1574" s="30" t="n">
        <v>0.0926510766342363</v>
      </c>
      <c r="E1574" s="30" t="n">
        <v>0.26194604505173</v>
      </c>
      <c r="F1574" s="30" t="n">
        <v>0.0157008160894201</v>
      </c>
      <c r="G1574" s="30" t="n">
        <v>0.157265063480348</v>
      </c>
      <c r="H1574" s="31" t="n">
        <f aca="false">MAX(D1574,F1574+0.015)</f>
        <v>0.0926510766342363</v>
      </c>
      <c r="I1574" s="25" t="n">
        <f aca="false">(C1574-'DCF Base Case'!$B$3)*(1-E1574)+'DCF Base Case'!$B$3-G1574</f>
        <v>0.164189887368362</v>
      </c>
      <c r="J1574" s="24" t="n">
        <f aca="false">'DCF Base Case'!$B$2*(1+B1574)^1*$I1574-'DCF Base Case'!$B$2*(1+B1574)^0*B1574*'DCF Base Case'!$B$4</f>
        <v>25.3873141174432</v>
      </c>
      <c r="K1574" s="24" t="n">
        <f aca="false">'DCF Base Case'!$B$2*(1+B1574)^2*$I1574-'DCF Base Case'!$B$2*(1+B1574)^1*B1574*'DCF Base Case'!$B$4</f>
        <v>27.4485405390243</v>
      </c>
      <c r="L1574" s="24" t="n">
        <f aca="false">'DCF Base Case'!$B$2*(1+B1574)^3*$I1574-'DCF Base Case'!$B$2*(1+B1574)^2*B1574*'DCF Base Case'!$B$4</f>
        <v>29.677120401043</v>
      </c>
      <c r="M1574" s="24" t="n">
        <f aca="false">'DCF Base Case'!$B$2*(1+B1574)^4*$I1574-'DCF Base Case'!$B$2*(1+B1574)^3*B1574*'DCF Base Case'!$B$4</f>
        <v>32.086641329649</v>
      </c>
      <c r="N1574" s="24" t="n">
        <f aca="false">'DCF Base Case'!$B$2*(1+B1574)^5*$I1574-'DCF Base Case'!$B$2*(1+B1574)^4*B1574*'DCF Base Case'!$B$4</f>
        <v>34.6917941466234</v>
      </c>
      <c r="O1574" s="24" t="n">
        <f aca="false">J1574/(1+H1574)^1+K1574/(1+H1574)^2+L1574/(1+H1574)^3+M1574/(1+H1574)^4+N1574/(1+H1574)^5</f>
        <v>113.761562022775</v>
      </c>
      <c r="P1574" s="24" t="n">
        <f aca="false">N1574*(1+F1574)/(H1574-F1574)</f>
        <v>457.912466791579</v>
      </c>
      <c r="Q1574" s="24" t="n">
        <f aca="false">O1574+P1574/(1+H1574)^5</f>
        <v>407.780278537435</v>
      </c>
      <c r="R1574" s="24" t="n">
        <f aca="false">Q1574-'DCF Base Case'!$B$5</f>
        <v>222.780278537435</v>
      </c>
      <c r="S1574" s="32" t="n">
        <f aca="false">R1574/'DCF Base Case'!$B$6</f>
        <v>8.9112111414974</v>
      </c>
    </row>
    <row r="1575" customFormat="false" ht="15" hidden="false" customHeight="true" outlineLevel="0" collapsed="false">
      <c r="A1575" s="6" t="n">
        <v>1574</v>
      </c>
      <c r="B1575" s="30" t="n">
        <v>0.111680903976416</v>
      </c>
      <c r="C1575" s="30" t="n">
        <v>0.425848652684947</v>
      </c>
      <c r="D1575" s="30" t="n">
        <v>0.0839034151712378</v>
      </c>
      <c r="E1575" s="30" t="n">
        <v>0.252923991169492</v>
      </c>
      <c r="F1575" s="30" t="n">
        <v>0.014706534809615</v>
      </c>
      <c r="G1575" s="30" t="n">
        <v>0.140055169959631</v>
      </c>
      <c r="H1575" s="31" t="n">
        <f aca="false">MAX(D1575,F1575+0.015)</f>
        <v>0.0839034151712378</v>
      </c>
      <c r="I1575" s="25" t="n">
        <f aca="false">(C1575-'DCF Base Case'!$B$3)*(1-E1575)+'DCF Base Case'!$B$3-G1575</f>
        <v>0.210966260706122</v>
      </c>
      <c r="J1575" s="24" t="n">
        <f aca="false">'DCF Base Case'!$B$2*(1+B1575)^1*$I1575-'DCF Base Case'!$B$2*(1+B1575)^0*B1575*'DCF Base Case'!$B$4</f>
        <v>33.520626762197</v>
      </c>
      <c r="K1575" s="24" t="n">
        <f aca="false">'DCF Base Case'!$B$2*(1+B1575)^2*$I1575-'DCF Base Case'!$B$2*(1+B1575)^1*B1575*'DCF Base Case'!$B$4</f>
        <v>37.2642406608552</v>
      </c>
      <c r="L1575" s="24" t="n">
        <f aca="false">'DCF Base Case'!$B$2*(1+B1575)^3*$I1575-'DCF Base Case'!$B$2*(1+B1575)^2*B1575*'DCF Base Case'!$B$4</f>
        <v>41.4259447438542</v>
      </c>
      <c r="M1575" s="24" t="n">
        <f aca="false">'DCF Base Case'!$B$2*(1+B1575)^4*$I1575-'DCF Base Case'!$B$2*(1+B1575)^3*B1575*'DCF Base Case'!$B$4</f>
        <v>46.0524317009249</v>
      </c>
      <c r="N1575" s="24" t="n">
        <f aca="false">'DCF Base Case'!$B$2*(1+B1575)^5*$I1575-'DCF Base Case'!$B$2*(1+B1575)^4*B1575*'DCF Base Case'!$B$4</f>
        <v>51.1956089035964</v>
      </c>
      <c r="O1575" s="24" t="n">
        <f aca="false">J1575/(1+H1575)^1+K1575/(1+H1575)^2+L1575/(1+H1575)^3+M1575/(1+H1575)^4+N1575/(1+H1575)^5</f>
        <v>162.760388399465</v>
      </c>
      <c r="P1575" s="24" t="n">
        <f aca="false">N1575*(1+F1575)/(H1575-F1575)</f>
        <v>750.734984533315</v>
      </c>
      <c r="Q1575" s="24" t="n">
        <f aca="false">O1575+P1575/(1+H1575)^5</f>
        <v>664.563940578099</v>
      </c>
      <c r="R1575" s="24" t="n">
        <f aca="false">Q1575-'DCF Base Case'!$B$5</f>
        <v>479.563940578099</v>
      </c>
      <c r="S1575" s="32" t="n">
        <f aca="false">R1575/'DCF Base Case'!$B$6</f>
        <v>19.182557623124</v>
      </c>
    </row>
    <row r="1576" customFormat="false" ht="15" hidden="false" customHeight="true" outlineLevel="0" collapsed="false">
      <c r="A1576" s="6" t="n">
        <v>1575</v>
      </c>
      <c r="B1576" s="30" t="n">
        <v>0.118133173274115</v>
      </c>
      <c r="C1576" s="30" t="n">
        <v>0.4339278001564</v>
      </c>
      <c r="D1576" s="30" t="n">
        <v>0.0755221744018339</v>
      </c>
      <c r="E1576" s="30" t="n">
        <v>0.265939790043688</v>
      </c>
      <c r="F1576" s="30" t="n">
        <v>0.015983778148361</v>
      </c>
      <c r="G1576" s="30" t="n">
        <v>0.147411396079054</v>
      </c>
      <c r="H1576" s="31" t="n">
        <f aca="false">MAX(D1576,F1576+0.015)</f>
        <v>0.0755221744018339</v>
      </c>
      <c r="I1576" s="25" t="n">
        <f aca="false">(C1576-'DCF Base Case'!$B$3)*(1-E1576)+'DCF Base Case'!$B$3-G1576</f>
        <v>0.205689908715313</v>
      </c>
      <c r="J1576" s="24" t="n">
        <f aca="false">'DCF Base Case'!$B$2*(1+B1576)^1*$I1576-'DCF Base Case'!$B$2*(1+B1576)^0*B1576*'DCF Base Case'!$B$4</f>
        <v>32.8344836958934</v>
      </c>
      <c r="K1576" s="24" t="n">
        <f aca="false">'DCF Base Case'!$B$2*(1+B1576)^2*$I1576-'DCF Base Case'!$B$2*(1+B1576)^1*B1576*'DCF Base Case'!$B$4</f>
        <v>36.7133254477065</v>
      </c>
      <c r="L1576" s="24" t="n">
        <f aca="false">'DCF Base Case'!$B$2*(1+B1576)^3*$I1576-'DCF Base Case'!$B$2*(1+B1576)^2*B1576*'DCF Base Case'!$B$4</f>
        <v>41.0503870842894</v>
      </c>
      <c r="M1576" s="24" t="n">
        <f aca="false">'DCF Base Case'!$B$2*(1+B1576)^4*$I1576-'DCF Base Case'!$B$2*(1+B1576)^3*B1576*'DCF Base Case'!$B$4</f>
        <v>45.8997995746873</v>
      </c>
      <c r="N1576" s="24" t="n">
        <f aca="false">'DCF Base Case'!$B$2*(1+B1576)^5*$I1576-'DCF Base Case'!$B$2*(1+B1576)^4*B1576*'DCF Base Case'!$B$4</f>
        <v>51.3220885510909</v>
      </c>
      <c r="O1576" s="24" t="n">
        <f aca="false">J1576/(1+H1576)^1+K1576/(1+H1576)^2+L1576/(1+H1576)^3+M1576/(1+H1576)^4+N1576/(1+H1576)^5</f>
        <v>165.228352429431</v>
      </c>
      <c r="P1576" s="24" t="n">
        <f aca="false">N1576*(1+F1576)/(H1576-F1576)</f>
        <v>875.777862853681</v>
      </c>
      <c r="Q1576" s="24" t="n">
        <f aca="false">O1576+P1576/(1+H1576)^5</f>
        <v>773.779546936027</v>
      </c>
      <c r="R1576" s="24" t="n">
        <f aca="false">Q1576-'DCF Base Case'!$B$5</f>
        <v>588.779546936027</v>
      </c>
      <c r="S1576" s="32" t="n">
        <f aca="false">R1576/'DCF Base Case'!$B$6</f>
        <v>23.5511818774411</v>
      </c>
    </row>
    <row r="1577" customFormat="false" ht="15" hidden="false" customHeight="true" outlineLevel="0" collapsed="false">
      <c r="A1577" s="6" t="n">
        <v>1576</v>
      </c>
      <c r="B1577" s="30" t="n">
        <v>0.0998347114692899</v>
      </c>
      <c r="C1577" s="30" t="n">
        <v>0.41235843936843</v>
      </c>
      <c r="D1577" s="30" t="n">
        <v>0.107892845187272</v>
      </c>
      <c r="E1577" s="30" t="n">
        <v>0.317669174746226</v>
      </c>
      <c r="F1577" s="30" t="n">
        <v>0.0239654360458859</v>
      </c>
      <c r="G1577" s="30" t="n">
        <v>0.181193049065395</v>
      </c>
      <c r="H1577" s="31" t="n">
        <f aca="false">MAX(D1577,F1577+0.015)</f>
        <v>0.107892845187272</v>
      </c>
      <c r="I1577" s="25" t="n">
        <f aca="false">(C1577-'DCF Base Case'!$B$3)*(1-E1577)+'DCF Base Case'!$B$3-G1577</f>
        <v>0.141468817886234</v>
      </c>
      <c r="J1577" s="24" t="n">
        <f aca="false">'DCF Base Case'!$B$2*(1+B1577)^1*$I1577-'DCF Base Case'!$B$2*(1+B1577)^0*B1577*'DCF Base Case'!$B$4</f>
        <v>22.1266048978706</v>
      </c>
      <c r="K1577" s="24" t="n">
        <f aca="false">'DCF Base Case'!$B$2*(1+B1577)^2*$I1577-'DCF Base Case'!$B$2*(1+B1577)^1*B1577*'DCF Base Case'!$B$4</f>
        <v>24.3356081136445</v>
      </c>
      <c r="L1577" s="24" t="n">
        <f aca="false">'DCF Base Case'!$B$2*(1+B1577)^3*$I1577-'DCF Base Case'!$B$2*(1+B1577)^2*B1577*'DCF Base Case'!$B$4</f>
        <v>26.7651465280999</v>
      </c>
      <c r="M1577" s="24" t="n">
        <f aca="false">'DCF Base Case'!$B$2*(1+B1577)^4*$I1577-'DCF Base Case'!$B$2*(1+B1577)^3*B1577*'DCF Base Case'!$B$4</f>
        <v>29.4372372091661</v>
      </c>
      <c r="N1577" s="24" t="n">
        <f aca="false">'DCF Base Case'!$B$2*(1+B1577)^5*$I1577-'DCF Base Case'!$B$2*(1+B1577)^4*B1577*'DCF Base Case'!$B$4</f>
        <v>32.3760952923962</v>
      </c>
      <c r="O1577" s="24" t="n">
        <f aca="false">J1577/(1+H1577)^1+K1577/(1+H1577)^2+L1577/(1+H1577)^3+M1577/(1+H1577)^4+N1577/(1+H1577)^5</f>
        <v>98.4168588542324</v>
      </c>
      <c r="P1577" s="24" t="n">
        <f aca="false">N1577*(1+F1577)/(H1577-F1577)</f>
        <v>395.008053658525</v>
      </c>
      <c r="Q1577" s="24" t="n">
        <f aca="false">O1577+P1577/(1+H1577)^5</f>
        <v>335.072663880604</v>
      </c>
      <c r="R1577" s="24" t="n">
        <f aca="false">Q1577-'DCF Base Case'!$B$5</f>
        <v>150.072663880604</v>
      </c>
      <c r="S1577" s="32" t="n">
        <f aca="false">R1577/'DCF Base Case'!$B$6</f>
        <v>6.00290655522417</v>
      </c>
    </row>
    <row r="1578" customFormat="false" ht="15" hidden="false" customHeight="true" outlineLevel="0" collapsed="false">
      <c r="A1578" s="6" t="n">
        <v>1577</v>
      </c>
      <c r="B1578" s="30" t="n">
        <v>0.0810043906762237</v>
      </c>
      <c r="C1578" s="30" t="n">
        <v>0.423113608098943</v>
      </c>
      <c r="D1578" s="30" t="n">
        <v>0.0811628403601848</v>
      </c>
      <c r="E1578" s="30" t="n">
        <v>0.327415410651479</v>
      </c>
      <c r="F1578" s="30" t="n">
        <v>0.0207903630465548</v>
      </c>
      <c r="G1578" s="30" t="n">
        <v>0.171223664598559</v>
      </c>
      <c r="H1578" s="31" t="n">
        <f aca="false">MAX(D1578,F1578+0.015)</f>
        <v>0.0811628403601848</v>
      </c>
      <c r="I1578" s="25" t="n">
        <f aca="false">(C1578-'DCF Base Case'!$B$3)*(1-E1578)+'DCF Base Case'!$B$3-G1578</f>
        <v>0.155920031137132</v>
      </c>
      <c r="J1578" s="24" t="n">
        <f aca="false">'DCF Base Case'!$B$2*(1+B1578)^1*$I1578-'DCF Base Case'!$B$2*(1+B1578)^0*B1578*'DCF Base Case'!$B$4</f>
        <v>24.0874154473323</v>
      </c>
      <c r="K1578" s="24" t="n">
        <f aca="false">'DCF Base Case'!$B$2*(1+B1578)^2*$I1578-'DCF Base Case'!$B$2*(1+B1578)^1*B1578*'DCF Base Case'!$B$4</f>
        <v>26.0386018586085</v>
      </c>
      <c r="L1578" s="24" t="n">
        <f aca="false">'DCF Base Case'!$B$2*(1+B1578)^3*$I1578-'DCF Base Case'!$B$2*(1+B1578)^2*B1578*'DCF Base Case'!$B$4</f>
        <v>28.1478429362259</v>
      </c>
      <c r="M1578" s="24" t="n">
        <f aca="false">'DCF Base Case'!$B$2*(1+B1578)^4*$I1578-'DCF Base Case'!$B$2*(1+B1578)^3*B1578*'DCF Base Case'!$B$4</f>
        <v>30.4279418021249</v>
      </c>
      <c r="N1578" s="24" t="n">
        <f aca="false">'DCF Base Case'!$B$2*(1+B1578)^5*$I1578-'DCF Base Case'!$B$2*(1+B1578)^4*B1578*'DCF Base Case'!$B$4</f>
        <v>32.8927386873377</v>
      </c>
      <c r="O1578" s="24" t="n">
        <f aca="false">J1578/(1+H1578)^1+K1578/(1+H1578)^2+L1578/(1+H1578)^3+M1578/(1+H1578)^4+N1578/(1+H1578)^5</f>
        <v>111.363225440084</v>
      </c>
      <c r="P1578" s="24" t="n">
        <f aca="false">N1578*(1+F1578)/(H1578-F1578)</f>
        <v>556.157245160163</v>
      </c>
      <c r="Q1578" s="24" t="n">
        <f aca="false">O1578+P1578/(1+H1578)^5</f>
        <v>487.843343883255</v>
      </c>
      <c r="R1578" s="24" t="n">
        <f aca="false">Q1578-'DCF Base Case'!$B$5</f>
        <v>302.843343883255</v>
      </c>
      <c r="S1578" s="32" t="n">
        <f aca="false">R1578/'DCF Base Case'!$B$6</f>
        <v>12.1137337553302</v>
      </c>
    </row>
    <row r="1579" customFormat="false" ht="15" hidden="false" customHeight="true" outlineLevel="0" collapsed="false">
      <c r="A1579" s="6" t="n">
        <v>1578</v>
      </c>
      <c r="B1579" s="30" t="n">
        <v>0.0925952827174985</v>
      </c>
      <c r="C1579" s="30" t="n">
        <v>0.4462887566052</v>
      </c>
      <c r="D1579" s="30" t="n">
        <v>0.0692287463277954</v>
      </c>
      <c r="E1579" s="30" t="n">
        <v>0.33192241667724</v>
      </c>
      <c r="F1579" s="30" t="n">
        <v>0.0186358764966207</v>
      </c>
      <c r="G1579" s="30" t="n">
        <v>0.137870640269756</v>
      </c>
      <c r="H1579" s="31" t="n">
        <f aca="false">MAX(D1579,F1579+0.015)</f>
        <v>0.0692287463277954</v>
      </c>
      <c r="I1579" s="25" t="n">
        <f aca="false">(C1579-'DCF Base Case'!$B$3)*(1-E1579)+'DCF Base Case'!$B$3-G1579</f>
        <v>0.203434787875207</v>
      </c>
      <c r="J1579" s="24" t="n">
        <f aca="false">'DCF Base Case'!$B$2*(1+B1579)^1*$I1579-'DCF Base Case'!$B$2*(1+B1579)^0*B1579*'DCF Base Case'!$B$4</f>
        <v>31.8266345082763</v>
      </c>
      <c r="K1579" s="24" t="n">
        <f aca="false">'DCF Base Case'!$B$2*(1+B1579)^2*$I1579-'DCF Base Case'!$B$2*(1+B1579)^1*B1579*'DCF Base Case'!$B$4</f>
        <v>34.7736307285167</v>
      </c>
      <c r="L1579" s="24" t="n">
        <f aca="false">'DCF Base Case'!$B$2*(1+B1579)^3*$I1579-'DCF Base Case'!$B$2*(1+B1579)^2*B1579*'DCF Base Case'!$B$4</f>
        <v>37.9935048969376</v>
      </c>
      <c r="M1579" s="24" t="n">
        <f aca="false">'DCF Base Case'!$B$2*(1+B1579)^4*$I1579-'DCF Base Case'!$B$2*(1+B1579)^3*B1579*'DCF Base Case'!$B$4</f>
        <v>41.5115242242982</v>
      </c>
      <c r="N1579" s="24" t="n">
        <f aca="false">'DCF Base Case'!$B$2*(1+B1579)^5*$I1579-'DCF Base Case'!$B$2*(1+B1579)^4*B1579*'DCF Base Case'!$B$4</f>
        <v>45.3552955458813</v>
      </c>
      <c r="O1579" s="24" t="n">
        <f aca="false">J1579/(1+H1579)^1+K1579/(1+H1579)^2+L1579/(1+H1579)^3+M1579/(1+H1579)^4+N1579/(1+H1579)^5</f>
        <v>155.478531930892</v>
      </c>
      <c r="P1579" s="24" t="n">
        <f aca="false">N1579*(1+F1579)/(H1579-F1579)</f>
        <v>913.182655704459</v>
      </c>
      <c r="Q1579" s="24" t="n">
        <f aca="false">O1579+P1579/(1+H1579)^5</f>
        <v>808.916736485002</v>
      </c>
      <c r="R1579" s="24" t="n">
        <f aca="false">Q1579-'DCF Base Case'!$B$5</f>
        <v>623.916736485002</v>
      </c>
      <c r="S1579" s="32" t="n">
        <f aca="false">R1579/'DCF Base Case'!$B$6</f>
        <v>24.9566694594001</v>
      </c>
    </row>
    <row r="1580" customFormat="false" ht="15" hidden="false" customHeight="true" outlineLevel="0" collapsed="false">
      <c r="A1580" s="6" t="n">
        <v>1579</v>
      </c>
      <c r="B1580" s="30" t="n">
        <v>0.0736126814692808</v>
      </c>
      <c r="C1580" s="30" t="n">
        <v>0.374527302182072</v>
      </c>
      <c r="D1580" s="30" t="n">
        <v>0.092190224201442</v>
      </c>
      <c r="E1580" s="30" t="n">
        <v>0.258139654315987</v>
      </c>
      <c r="F1580" s="30" t="n">
        <v>0.0199609196545664</v>
      </c>
      <c r="G1580" s="30" t="n">
        <v>0.192249133952961</v>
      </c>
      <c r="H1580" s="31" t="n">
        <f aca="false">MAX(D1580,F1580+0.015)</f>
        <v>0.092190224201442</v>
      </c>
      <c r="I1580" s="25" t="n">
        <f aca="false">(C1580-'DCF Base Case'!$B$3)*(1-E1580)+'DCF Base Case'!$B$3-G1580</f>
        <v>0.11915597497301</v>
      </c>
      <c r="J1580" s="24" t="n">
        <f aca="false">'DCF Base Case'!$B$2*(1+B1580)^1*$I1580-'DCF Base Case'!$B$2*(1+B1580)^0*B1580*'DCF Base Case'!$B$4</f>
        <v>18.2292528771683</v>
      </c>
      <c r="K1580" s="24" t="n">
        <f aca="false">'DCF Base Case'!$B$2*(1+B1580)^2*$I1580-'DCF Base Case'!$B$2*(1+B1580)^1*B1580*'DCF Base Case'!$B$4</f>
        <v>19.5711570626383</v>
      </c>
      <c r="L1580" s="24" t="n">
        <f aca="false">'DCF Base Case'!$B$2*(1+B1580)^3*$I1580-'DCF Base Case'!$B$2*(1+B1580)^2*B1580*'DCF Base Case'!$B$4</f>
        <v>21.0118424134755</v>
      </c>
      <c r="M1580" s="24" t="n">
        <f aca="false">'DCF Base Case'!$B$2*(1+B1580)^4*$I1580-'DCF Base Case'!$B$2*(1+B1580)^3*B1580*'DCF Base Case'!$B$4</f>
        <v>22.5585804761414</v>
      </c>
      <c r="N1580" s="24" t="n">
        <f aca="false">'DCF Base Case'!$B$2*(1+B1580)^5*$I1580-'DCF Base Case'!$B$2*(1+B1580)^4*B1580*'DCF Base Case'!$B$4</f>
        <v>24.2191780751307</v>
      </c>
      <c r="O1580" s="24" t="n">
        <f aca="false">J1580/(1+H1580)^1+K1580/(1+H1580)^2+L1580/(1+H1580)^3+M1580/(1+H1580)^4+N1580/(1+H1580)^5</f>
        <v>80.661649285321</v>
      </c>
      <c r="P1580" s="24" t="n">
        <f aca="false">N1580*(1+F1580)/(H1580-F1580)</f>
        <v>342.002671876156</v>
      </c>
      <c r="Q1580" s="24" t="n">
        <f aca="false">O1580+P1580/(1+H1580)^5</f>
        <v>300.72011159951</v>
      </c>
      <c r="R1580" s="24" t="n">
        <f aca="false">Q1580-'DCF Base Case'!$B$5</f>
        <v>115.72011159951</v>
      </c>
      <c r="S1580" s="32" t="n">
        <f aca="false">R1580/'DCF Base Case'!$B$6</f>
        <v>4.62880446398041</v>
      </c>
    </row>
    <row r="1581" customFormat="false" ht="15" hidden="false" customHeight="true" outlineLevel="0" collapsed="false">
      <c r="A1581" s="6" t="n">
        <v>1580</v>
      </c>
      <c r="B1581" s="30" t="n">
        <v>0.0754109064882663</v>
      </c>
      <c r="C1581" s="30" t="n">
        <v>0.403360729870163</v>
      </c>
      <c r="D1581" s="30" t="n">
        <v>0.0706629672909238</v>
      </c>
      <c r="E1581" s="30" t="n">
        <v>0.269712213334138</v>
      </c>
      <c r="F1581" s="30" t="n">
        <v>0.0266877901313728</v>
      </c>
      <c r="G1581" s="30" t="n">
        <v>0.183808492051774</v>
      </c>
      <c r="H1581" s="31" t="n">
        <f aca="false">MAX(D1581,F1581+0.015)</f>
        <v>0.0706629672909238</v>
      </c>
      <c r="I1581" s="25" t="n">
        <f aca="false">(C1581-'DCF Base Case'!$B$3)*(1-E1581)+'DCF Base Case'!$B$3-G1581</f>
        <v>0.145823510326472</v>
      </c>
      <c r="J1581" s="24" t="n">
        <f aca="false">'DCF Base Case'!$B$2*(1+B1581)^1*$I1581-'DCF Base Case'!$B$2*(1+B1581)^0*B1581*'DCF Base Case'!$B$4</f>
        <v>22.4108906037624</v>
      </c>
      <c r="K1581" s="24" t="n">
        <f aca="false">'DCF Base Case'!$B$2*(1+B1581)^2*$I1581-'DCF Base Case'!$B$2*(1+B1581)^1*B1581*'DCF Base Case'!$B$4</f>
        <v>24.1009161794015</v>
      </c>
      <c r="L1581" s="24" t="n">
        <f aca="false">'DCF Base Case'!$B$2*(1+B1581)^3*$I1581-'DCF Base Case'!$B$2*(1+B1581)^2*B1581*'DCF Base Case'!$B$4</f>
        <v>25.9183881156879</v>
      </c>
      <c r="M1581" s="24" t="n">
        <f aca="false">'DCF Base Case'!$B$2*(1+B1581)^4*$I1581-'DCF Base Case'!$B$2*(1+B1581)^3*B1581*'DCF Base Case'!$B$4</f>
        <v>27.8729172582066</v>
      </c>
      <c r="N1581" s="24" t="n">
        <f aca="false">'DCF Base Case'!$B$2*(1+B1581)^5*$I1581-'DCF Base Case'!$B$2*(1+B1581)^4*B1581*'DCF Base Case'!$B$4</f>
        <v>29.9748392151204</v>
      </c>
      <c r="O1581" s="24" t="n">
        <f aca="false">J1581/(1+H1581)^1+K1581/(1+H1581)^2+L1581/(1+H1581)^3+M1581/(1+H1581)^4+N1581/(1+H1581)^5</f>
        <v>105.591303750309</v>
      </c>
      <c r="P1581" s="24" t="n">
        <f aca="false">N1581*(1+F1581)/(H1581-F1581)</f>
        <v>699.822113772456</v>
      </c>
      <c r="Q1581" s="24" t="n">
        <f aca="false">O1581+P1581/(1+H1581)^5</f>
        <v>603.011890161433</v>
      </c>
      <c r="R1581" s="24" t="n">
        <f aca="false">Q1581-'DCF Base Case'!$B$5</f>
        <v>418.011890161433</v>
      </c>
      <c r="S1581" s="32" t="n">
        <f aca="false">R1581/'DCF Base Case'!$B$6</f>
        <v>16.7204756064573</v>
      </c>
    </row>
    <row r="1582" customFormat="false" ht="15" hidden="false" customHeight="true" outlineLevel="0" collapsed="false">
      <c r="A1582" s="6" t="n">
        <v>1581</v>
      </c>
      <c r="B1582" s="30" t="n">
        <v>0.0844751937145681</v>
      </c>
      <c r="C1582" s="30" t="n">
        <v>0.398947354256631</v>
      </c>
      <c r="D1582" s="30" t="n">
        <v>0.0845310326477792</v>
      </c>
      <c r="E1582" s="30" t="n">
        <v>0.283383147386119</v>
      </c>
      <c r="F1582" s="30" t="n">
        <v>0.017686153396081</v>
      </c>
      <c r="G1582" s="30" t="n">
        <v>0.177712736353339</v>
      </c>
      <c r="H1582" s="31" t="n">
        <f aca="false">MAX(D1582,F1582+0.015)</f>
        <v>0.0845310326477792</v>
      </c>
      <c r="I1582" s="25" t="n">
        <f aca="false">(C1582-'DCF Base Case'!$B$3)*(1-E1582)+'DCF Base Case'!$B$3-G1582</f>
        <v>0.145019470172878</v>
      </c>
      <c r="J1582" s="24" t="n">
        <f aca="false">'DCF Base Case'!$B$2*(1+B1582)^1*$I1582-'DCF Base Case'!$B$2*(1+B1582)^0*B1582*'DCF Base Case'!$B$4</f>
        <v>22.4366855185185</v>
      </c>
      <c r="K1582" s="24" t="n">
        <f aca="false">'DCF Base Case'!$B$2*(1+B1582)^2*$I1582-'DCF Base Case'!$B$2*(1+B1582)^1*B1582*'DCF Base Case'!$B$4</f>
        <v>24.3320288740082</v>
      </c>
      <c r="L1582" s="24" t="n">
        <f aca="false">'DCF Base Case'!$B$2*(1+B1582)^3*$I1582-'DCF Base Case'!$B$2*(1+B1582)^2*B1582*'DCF Base Case'!$B$4</f>
        <v>26.3874817266085</v>
      </c>
      <c r="M1582" s="24" t="n">
        <f aca="false">'DCF Base Case'!$B$2*(1+B1582)^4*$I1582-'DCF Base Case'!$B$2*(1+B1582)^3*B1582*'DCF Base Case'!$B$4</f>
        <v>28.6165693571034</v>
      </c>
      <c r="N1582" s="24" t="n">
        <f aca="false">'DCF Base Case'!$B$2*(1+B1582)^5*$I1582-'DCF Base Case'!$B$2*(1+B1582)^4*B1582*'DCF Base Case'!$B$4</f>
        <v>31.033959596991</v>
      </c>
      <c r="O1582" s="24" t="n">
        <f aca="false">J1582/(1+H1582)^1+K1582/(1+H1582)^2+L1582/(1+H1582)^3+M1582/(1+H1582)^4+N1582/(1+H1582)^5</f>
        <v>103.428922640051</v>
      </c>
      <c r="P1582" s="24" t="n">
        <f aca="false">N1582*(1+F1582)/(H1582-F1582)</f>
        <v>472.479437773969</v>
      </c>
      <c r="Q1582" s="24" t="n">
        <f aca="false">O1582+P1582/(1+H1582)^5</f>
        <v>418.329165754989</v>
      </c>
      <c r="R1582" s="24" t="n">
        <f aca="false">Q1582-'DCF Base Case'!$B$5</f>
        <v>233.329165754989</v>
      </c>
      <c r="S1582" s="32" t="n">
        <f aca="false">R1582/'DCF Base Case'!$B$6</f>
        <v>9.33316663019954</v>
      </c>
    </row>
    <row r="1583" customFormat="false" ht="15" hidden="false" customHeight="true" outlineLevel="0" collapsed="false">
      <c r="A1583" s="6" t="n">
        <v>1582</v>
      </c>
      <c r="B1583" s="30" t="n">
        <v>0.0691703355040723</v>
      </c>
      <c r="C1583" s="30" t="n">
        <v>0.385581920875082</v>
      </c>
      <c r="D1583" s="30" t="n">
        <v>0.0890721500275523</v>
      </c>
      <c r="E1583" s="30" t="n">
        <v>0.25633409924684</v>
      </c>
      <c r="F1583" s="30" t="n">
        <v>0.0219700211098672</v>
      </c>
      <c r="G1583" s="30" t="n">
        <v>0.164916593436542</v>
      </c>
      <c r="H1583" s="31" t="n">
        <f aca="false">MAX(D1583,F1583+0.015)</f>
        <v>0.0890721500275523</v>
      </c>
      <c r="I1583" s="25" t="n">
        <f aca="false">(C1583-'DCF Base Case'!$B$3)*(1-E1583)+'DCF Base Case'!$B$3-G1583</f>
        <v>0.155150965967249</v>
      </c>
      <c r="J1583" s="24" t="n">
        <f aca="false">'DCF Base Case'!$B$2*(1+B1583)^1*$I1583-'DCF Base Case'!$B$2*(1+B1583)^0*B1583*'DCF Base Case'!$B$4</f>
        <v>23.75211653942</v>
      </c>
      <c r="K1583" s="24" t="n">
        <f aca="false">'DCF Base Case'!$B$2*(1+B1583)^2*$I1583-'DCF Base Case'!$B$2*(1+B1583)^1*B1583*'DCF Base Case'!$B$4</f>
        <v>25.3950584093835</v>
      </c>
      <c r="L1583" s="24" t="n">
        <f aca="false">'DCF Base Case'!$B$2*(1+B1583)^3*$I1583-'DCF Base Case'!$B$2*(1+B1583)^2*B1583*'DCF Base Case'!$B$4</f>
        <v>27.1516431197061</v>
      </c>
      <c r="M1583" s="24" t="n">
        <f aca="false">'DCF Base Case'!$B$2*(1+B1583)^4*$I1583-'DCF Base Case'!$B$2*(1+B1583)^3*B1583*'DCF Base Case'!$B$4</f>
        <v>29.029731383783</v>
      </c>
      <c r="N1583" s="24" t="n">
        <f aca="false">'DCF Base Case'!$B$2*(1+B1583)^5*$I1583-'DCF Base Case'!$B$2*(1+B1583)^4*B1583*'DCF Base Case'!$B$4</f>
        <v>31.0377276431923</v>
      </c>
      <c r="O1583" s="24" t="n">
        <f aca="false">J1583/(1+H1583)^1+K1583/(1+H1583)^2+L1583/(1+H1583)^3+M1583/(1+H1583)^4+N1583/(1+H1583)^5</f>
        <v>105.134167009221</v>
      </c>
      <c r="P1583" s="24" t="n">
        <f aca="false">N1583*(1+F1583)/(H1583-F1583)</f>
        <v>472.706718644149</v>
      </c>
      <c r="Q1583" s="24" t="n">
        <f aca="false">O1583+P1583/(1+H1583)^5</f>
        <v>413.672062874158</v>
      </c>
      <c r="R1583" s="24" t="n">
        <f aca="false">Q1583-'DCF Base Case'!$B$5</f>
        <v>228.672062874158</v>
      </c>
      <c r="S1583" s="32" t="n">
        <f aca="false">R1583/'DCF Base Case'!$B$6</f>
        <v>9.14688251496632</v>
      </c>
    </row>
    <row r="1584" customFormat="false" ht="15" hidden="false" customHeight="true" outlineLevel="0" collapsed="false">
      <c r="A1584" s="6" t="n">
        <v>1583</v>
      </c>
      <c r="B1584" s="30" t="n">
        <v>0.0529964588714194</v>
      </c>
      <c r="C1584" s="30" t="n">
        <v>0.402111742664117</v>
      </c>
      <c r="D1584" s="30" t="n">
        <v>0.0664633871295211</v>
      </c>
      <c r="E1584" s="30" t="n">
        <v>0.300847097073433</v>
      </c>
      <c r="F1584" s="30" t="n">
        <v>0.0183853088401427</v>
      </c>
      <c r="G1584" s="30" t="n">
        <v>0.206126560802868</v>
      </c>
      <c r="H1584" s="31" t="n">
        <f aca="false">MAX(D1584,F1584+0.015)</f>
        <v>0.0664633871295211</v>
      </c>
      <c r="I1584" s="25" t="n">
        <f aca="false">(C1584-'DCF Base Case'!$B$3)*(1-E1584)+'DCF Base Case'!$B$3-G1584</f>
        <v>0.114121154001156</v>
      </c>
      <c r="J1584" s="24" t="n">
        <f aca="false">'DCF Base Case'!$B$2*(1+B1584)^1*$I1584-'DCF Base Case'!$B$2*(1+B1584)^0*B1584*'DCF Base Case'!$B$4</f>
        <v>17.1939952055123</v>
      </c>
      <c r="K1584" s="24" t="n">
        <f aca="false">'DCF Base Case'!$B$2*(1+B1584)^2*$I1584-'DCF Base Case'!$B$2*(1+B1584)^1*B1584*'DCF Base Case'!$B$4</f>
        <v>18.1052160652566</v>
      </c>
      <c r="L1584" s="24" t="n">
        <f aca="false">'DCF Base Case'!$B$2*(1+B1584)^3*$I1584-'DCF Base Case'!$B$2*(1+B1584)^2*B1584*'DCF Base Case'!$B$4</f>
        <v>19.0647284038171</v>
      </c>
      <c r="M1584" s="24" t="n">
        <f aca="false">'DCF Base Case'!$B$2*(1+B1584)^4*$I1584-'DCF Base Case'!$B$2*(1+B1584)^3*B1584*'DCF Base Case'!$B$4</f>
        <v>20.0750914985648</v>
      </c>
      <c r="N1584" s="24" t="n">
        <f aca="false">'DCF Base Case'!$B$2*(1+B1584)^5*$I1584-'DCF Base Case'!$B$2*(1+B1584)^4*B1584*'DCF Base Case'!$B$4</f>
        <v>21.1390002595085</v>
      </c>
      <c r="O1584" s="24" t="n">
        <f aca="false">J1584/(1+H1584)^1+K1584/(1+H1584)^2+L1584/(1+H1584)^3+M1584/(1+H1584)^4+N1584/(1+H1584)^5</f>
        <v>78.6018757539139</v>
      </c>
      <c r="P1584" s="24" t="n">
        <f aca="false">N1584*(1+F1584)/(H1584-F1584)</f>
        <v>447.764304934945</v>
      </c>
      <c r="Q1584" s="24" t="n">
        <f aca="false">O1584+P1584/(1+H1584)^5</f>
        <v>403.180352821704</v>
      </c>
      <c r="R1584" s="24" t="n">
        <f aca="false">Q1584-'DCF Base Case'!$B$5</f>
        <v>218.180352821704</v>
      </c>
      <c r="S1584" s="32" t="n">
        <f aca="false">R1584/'DCF Base Case'!$B$6</f>
        <v>8.72721411286818</v>
      </c>
    </row>
    <row r="1585" customFormat="false" ht="15" hidden="false" customHeight="true" outlineLevel="0" collapsed="false">
      <c r="A1585" s="6" t="n">
        <v>1584</v>
      </c>
      <c r="B1585" s="30" t="n">
        <v>0.113352824427072</v>
      </c>
      <c r="C1585" s="30" t="n">
        <v>0.400105522585689</v>
      </c>
      <c r="D1585" s="30" t="n">
        <v>0.0627718614977444</v>
      </c>
      <c r="E1585" s="30" t="n">
        <v>0.262412510792159</v>
      </c>
      <c r="F1585" s="30" t="n">
        <v>0.014407262265589</v>
      </c>
      <c r="G1585" s="30" t="n">
        <v>0.205728729219688</v>
      </c>
      <c r="H1585" s="31" t="n">
        <f aca="false">MAX(D1585,F1585+0.015)</f>
        <v>0.0627718614977444</v>
      </c>
      <c r="I1585" s="25" t="n">
        <f aca="false">(C1585-'DCF Base Case'!$B$3)*(1-E1585)+'DCF Base Case'!$B$3-G1585</f>
        <v>0.123497725005462</v>
      </c>
      <c r="J1585" s="24" t="n">
        <f aca="false">'DCF Base Case'!$B$2*(1+B1585)^1*$I1585-'DCF Base Case'!$B$2*(1+B1585)^0*B1585*'DCF Base Case'!$B$4</f>
        <v>19.4439136507889</v>
      </c>
      <c r="K1585" s="24" t="n">
        <f aca="false">'DCF Base Case'!$B$2*(1+B1585)^2*$I1585-'DCF Base Case'!$B$2*(1+B1585)^1*B1585*'DCF Base Case'!$B$4</f>
        <v>21.6479361810219</v>
      </c>
      <c r="L1585" s="24" t="n">
        <f aca="false">'DCF Base Case'!$B$2*(1+B1585)^3*$I1585-'DCF Base Case'!$B$2*(1+B1585)^2*B1585*'DCF Base Case'!$B$4</f>
        <v>24.1017908901577</v>
      </c>
      <c r="M1585" s="24" t="n">
        <f aca="false">'DCF Base Case'!$B$2*(1+B1585)^4*$I1585-'DCF Base Case'!$B$2*(1+B1585)^3*B1585*'DCF Base Case'!$B$4</f>
        <v>26.8337969613078</v>
      </c>
      <c r="N1585" s="24" t="n">
        <f aca="false">'DCF Base Case'!$B$2*(1+B1585)^5*$I1585-'DCF Base Case'!$B$2*(1+B1585)^4*B1585*'DCF Base Case'!$B$4</f>
        <v>29.8754836369746</v>
      </c>
      <c r="O1585" s="24" t="n">
        <f aca="false">J1585/(1+H1585)^1+K1585/(1+H1585)^2+L1585/(1+H1585)^3+M1585/(1+H1585)^4+N1585/(1+H1585)^5</f>
        <v>100.609180477288</v>
      </c>
      <c r="P1585" s="24" t="n">
        <f aca="false">N1585*(1+F1585)/(H1585-F1585)</f>
        <v>626.613433093327</v>
      </c>
      <c r="Q1585" s="24" t="n">
        <f aca="false">O1585+P1585/(1+H1585)^5</f>
        <v>562.776746662987</v>
      </c>
      <c r="R1585" s="24" t="n">
        <f aca="false">Q1585-'DCF Base Case'!$B$5</f>
        <v>377.776746662987</v>
      </c>
      <c r="S1585" s="32" t="n">
        <f aca="false">R1585/'DCF Base Case'!$B$6</f>
        <v>15.1110698665195</v>
      </c>
    </row>
    <row r="1586" customFormat="false" ht="15" hidden="false" customHeight="true" outlineLevel="0" collapsed="false">
      <c r="A1586" s="6" t="n">
        <v>1585</v>
      </c>
      <c r="B1586" s="30" t="n">
        <v>0.0897938309065763</v>
      </c>
      <c r="C1586" s="30" t="n">
        <v>0.4322915197892</v>
      </c>
      <c r="D1586" s="30" t="n">
        <v>0.0818646599619436</v>
      </c>
      <c r="E1586" s="30" t="n">
        <v>0.274794929773845</v>
      </c>
      <c r="F1586" s="30" t="n">
        <v>0.0192316061327156</v>
      </c>
      <c r="G1586" s="30" t="n">
        <v>0.191619029851738</v>
      </c>
      <c r="H1586" s="31" t="n">
        <f aca="false">MAX(D1586,F1586+0.015)</f>
        <v>0.0818646599619436</v>
      </c>
      <c r="I1586" s="25" t="n">
        <f aca="false">(C1586-'DCF Base Case'!$B$3)*(1-E1586)+'DCF Base Case'!$B$3-G1586</f>
        <v>0.15760431298576</v>
      </c>
      <c r="J1586" s="24" t="n">
        <f aca="false">'DCF Base Case'!$B$2*(1+B1586)^1*$I1586-'DCF Base Case'!$B$2*(1+B1586)^0*B1586*'DCF Base Case'!$B$4</f>
        <v>24.5140469978982</v>
      </c>
      <c r="K1586" s="24" t="n">
        <f aca="false">'DCF Base Case'!$B$2*(1+B1586)^2*$I1586-'DCF Base Case'!$B$2*(1+B1586)^1*B1586*'DCF Base Case'!$B$4</f>
        <v>26.7152571888633</v>
      </c>
      <c r="L1586" s="24" t="n">
        <f aca="false">'DCF Base Case'!$B$2*(1+B1586)^3*$I1586-'DCF Base Case'!$B$2*(1+B1586)^2*B1586*'DCF Base Case'!$B$4</f>
        <v>29.1141224755058</v>
      </c>
      <c r="M1586" s="24" t="n">
        <f aca="false">'DCF Base Case'!$B$2*(1+B1586)^4*$I1586-'DCF Base Case'!$B$2*(1+B1586)^3*B1586*'DCF Base Case'!$B$4</f>
        <v>31.7283910660647</v>
      </c>
      <c r="N1586" s="24" t="n">
        <f aca="false">'DCF Base Case'!$B$2*(1+B1586)^5*$I1586-'DCF Base Case'!$B$2*(1+B1586)^4*B1586*'DCF Base Case'!$B$4</f>
        <v>34.5774048483887</v>
      </c>
      <c r="O1586" s="24" t="n">
        <f aca="false">J1586/(1+H1586)^1+K1586/(1+H1586)^2+L1586/(1+H1586)^3+M1586/(1+H1586)^4+N1586/(1+H1586)^5</f>
        <v>114.968288047069</v>
      </c>
      <c r="P1586" s="24" t="n">
        <f aca="false">N1586*(1+F1586)/(H1586-F1586)</f>
        <v>562.68027383136</v>
      </c>
      <c r="Q1586" s="24" t="n">
        <f aca="false">O1586+P1586/(1+H1586)^5</f>
        <v>494.630189104837</v>
      </c>
      <c r="R1586" s="24" t="n">
        <f aca="false">Q1586-'DCF Base Case'!$B$5</f>
        <v>309.630189104837</v>
      </c>
      <c r="S1586" s="32" t="n">
        <f aca="false">R1586/'DCF Base Case'!$B$6</f>
        <v>12.3852075641935</v>
      </c>
    </row>
    <row r="1587" customFormat="false" ht="15" hidden="false" customHeight="true" outlineLevel="0" collapsed="false">
      <c r="A1587" s="6" t="n">
        <v>1586</v>
      </c>
      <c r="B1587" s="30" t="n">
        <v>0.0965452615314098</v>
      </c>
      <c r="C1587" s="30" t="n">
        <v>0.393679708227621</v>
      </c>
      <c r="D1587" s="30" t="n">
        <v>0.102847655518951</v>
      </c>
      <c r="E1587" s="30" t="n">
        <v>0.271960476326643</v>
      </c>
      <c r="F1587" s="30" t="n">
        <v>0.0175342100226951</v>
      </c>
      <c r="G1587" s="30" t="n">
        <v>0.123053523456988</v>
      </c>
      <c r="H1587" s="31" t="n">
        <f aca="false">MAX(D1587,F1587+0.015)</f>
        <v>0.102847655518951</v>
      </c>
      <c r="I1587" s="25" t="n">
        <f aca="false">(C1587-'DCF Base Case'!$B$3)*(1-E1587)+'DCF Base Case'!$B$3-G1587</f>
        <v>0.198915725723379</v>
      </c>
      <c r="J1587" s="24" t="n">
        <f aca="false">'DCF Base Case'!$B$2*(1+B1587)^1*$I1587-'DCF Base Case'!$B$2*(1+B1587)^0*B1587*'DCF Base Case'!$B$4</f>
        <v>31.207442102816</v>
      </c>
      <c r="K1587" s="24" t="n">
        <f aca="false">'DCF Base Case'!$B$2*(1+B1587)^2*$I1587-'DCF Base Case'!$B$2*(1+B1587)^1*B1587*'DCF Base Case'!$B$4</f>
        <v>34.2203727623587</v>
      </c>
      <c r="L1587" s="24" t="n">
        <f aca="false">'DCF Base Case'!$B$2*(1+B1587)^3*$I1587-'DCF Base Case'!$B$2*(1+B1587)^2*B1587*'DCF Base Case'!$B$4</f>
        <v>37.524187600403</v>
      </c>
      <c r="M1587" s="24" t="n">
        <f aca="false">'DCF Base Case'!$B$2*(1+B1587)^4*$I1587-'DCF Base Case'!$B$2*(1+B1587)^3*B1587*'DCF Base Case'!$B$4</f>
        <v>41.1469701060376</v>
      </c>
      <c r="N1587" s="24" t="n">
        <f aca="false">'DCF Base Case'!$B$2*(1+B1587)^5*$I1587-'DCF Base Case'!$B$2*(1+B1587)^4*B1587*'DCF Base Case'!$B$4</f>
        <v>45.11951509615</v>
      </c>
      <c r="O1587" s="24" t="n">
        <f aca="false">J1587/(1+H1587)^1+K1587/(1+H1587)^2+L1587/(1+H1587)^3+M1587/(1+H1587)^4+N1587/(1+H1587)^5</f>
        <v>139.877864792584</v>
      </c>
      <c r="P1587" s="24" t="n">
        <f aca="false">N1587*(1+F1587)/(H1587-F1587)</f>
        <v>538.14085086955</v>
      </c>
      <c r="Q1587" s="24" t="n">
        <f aca="false">O1587+P1587/(1+H1587)^5</f>
        <v>469.729270827409</v>
      </c>
      <c r="R1587" s="24" t="n">
        <f aca="false">Q1587-'DCF Base Case'!$B$5</f>
        <v>284.729270827409</v>
      </c>
      <c r="S1587" s="32" t="n">
        <f aca="false">R1587/'DCF Base Case'!$B$6</f>
        <v>11.3891708330963</v>
      </c>
    </row>
    <row r="1588" customFormat="false" ht="15" hidden="false" customHeight="true" outlineLevel="0" collapsed="false">
      <c r="A1588" s="6" t="n">
        <v>1587</v>
      </c>
      <c r="B1588" s="30" t="n">
        <v>0.103743273853647</v>
      </c>
      <c r="C1588" s="30" t="n">
        <v>0.421231481575484</v>
      </c>
      <c r="D1588" s="30" t="n">
        <v>0.0860991822226209</v>
      </c>
      <c r="E1588" s="30" t="n">
        <v>0.269383824150525</v>
      </c>
      <c r="F1588" s="30" t="n">
        <v>0.0170320763749604</v>
      </c>
      <c r="G1588" s="30" t="n">
        <v>0.157727844815611</v>
      </c>
      <c r="H1588" s="31" t="n">
        <f aca="false">MAX(D1588,F1588+0.015)</f>
        <v>0.0860991822226209</v>
      </c>
      <c r="I1588" s="25" t="n">
        <f aca="false">(C1588-'DCF Base Case'!$B$3)*(1-E1588)+'DCF Base Case'!$B$3-G1588</f>
        <v>0.185050586540046</v>
      </c>
      <c r="J1588" s="24" t="n">
        <f aca="false">'DCF Base Case'!$B$2*(1+B1588)^1*$I1588-'DCF Base Case'!$B$2*(1+B1588)^0*B1588*'DCF Base Case'!$B$4</f>
        <v>29.1647260900926</v>
      </c>
      <c r="K1588" s="24" t="n">
        <f aca="false">'DCF Base Case'!$B$2*(1+B1588)^2*$I1588-'DCF Base Case'!$B$2*(1+B1588)^1*B1588*'DCF Base Case'!$B$4</f>
        <v>32.1903702557237</v>
      </c>
      <c r="L1588" s="24" t="n">
        <f aca="false">'DCF Base Case'!$B$2*(1+B1588)^3*$I1588-'DCF Base Case'!$B$2*(1+B1588)^2*B1588*'DCF Base Case'!$B$4</f>
        <v>35.5299046526135</v>
      </c>
      <c r="M1588" s="24" t="n">
        <f aca="false">'DCF Base Case'!$B$2*(1+B1588)^4*$I1588-'DCF Base Case'!$B$2*(1+B1588)^3*B1588*'DCF Base Case'!$B$4</f>
        <v>39.2158932809836</v>
      </c>
      <c r="N1588" s="24" t="n">
        <f aca="false">'DCF Base Case'!$B$2*(1+B1588)^5*$I1588-'DCF Base Case'!$B$2*(1+B1588)^4*B1588*'DCF Base Case'!$B$4</f>
        <v>43.284278437048</v>
      </c>
      <c r="O1588" s="24" t="n">
        <f aca="false">J1588/(1+H1588)^1+K1588/(1+H1588)^2+L1588/(1+H1588)^3+M1588/(1+H1588)^4+N1588/(1+H1588)^5</f>
        <v>138.697413096754</v>
      </c>
      <c r="P1588" s="24" t="n">
        <f aca="false">N1588*(1+F1588)/(H1588-F1588)</f>
        <v>637.372871397275</v>
      </c>
      <c r="Q1588" s="24" t="n">
        <f aca="false">O1588+P1588/(1+H1588)^5</f>
        <v>560.438721563619</v>
      </c>
      <c r="R1588" s="24" t="n">
        <f aca="false">Q1588-'DCF Base Case'!$B$5</f>
        <v>375.438721563619</v>
      </c>
      <c r="S1588" s="32" t="n">
        <f aca="false">R1588/'DCF Base Case'!$B$6</f>
        <v>15.0175488625448</v>
      </c>
    </row>
    <row r="1589" customFormat="false" ht="15" hidden="false" customHeight="true" outlineLevel="0" collapsed="false">
      <c r="A1589" s="6" t="n">
        <v>1588</v>
      </c>
      <c r="B1589" s="30" t="n">
        <v>0.0998985953804318</v>
      </c>
      <c r="C1589" s="30" t="n">
        <v>0.430107635708686</v>
      </c>
      <c r="D1589" s="30" t="n">
        <v>0.0824586525278794</v>
      </c>
      <c r="E1589" s="30" t="n">
        <v>0.30881590844595</v>
      </c>
      <c r="F1589" s="30" t="n">
        <v>0.0190549517642872</v>
      </c>
      <c r="G1589" s="30" t="n">
        <v>0.155045749469264</v>
      </c>
      <c r="H1589" s="31" t="n">
        <f aca="false">MAX(D1589,F1589+0.015)</f>
        <v>0.0824586525278794</v>
      </c>
      <c r="I1589" s="25" t="n">
        <f aca="false">(C1589-'DCF Base Case'!$B$3)*(1-E1589)+'DCF Base Case'!$B$3-G1589</f>
        <v>0.182383874086478</v>
      </c>
      <c r="J1589" s="24" t="n">
        <f aca="false">'DCF Base Case'!$B$2*(1+B1589)^1*$I1589-'DCF Base Case'!$B$2*(1+B1589)^0*B1589*'DCF Base Case'!$B$4</f>
        <v>28.6529873146201</v>
      </c>
      <c r="K1589" s="24" t="n">
        <f aca="false">'DCF Base Case'!$B$2*(1+B1589)^2*$I1589-'DCF Base Case'!$B$2*(1+B1589)^1*B1589*'DCF Base Case'!$B$4</f>
        <v>31.515380500804</v>
      </c>
      <c r="L1589" s="24" t="n">
        <f aca="false">'DCF Base Case'!$B$2*(1+B1589)^3*$I1589-'DCF Base Case'!$B$2*(1+B1589)^2*B1589*'DCF Base Case'!$B$4</f>
        <v>34.6637227457142</v>
      </c>
      <c r="M1589" s="24" t="n">
        <f aca="false">'DCF Base Case'!$B$2*(1+B1589)^4*$I1589-'DCF Base Case'!$B$2*(1+B1589)^3*B1589*'DCF Base Case'!$B$4</f>
        <v>38.1265799586678</v>
      </c>
      <c r="N1589" s="24" t="n">
        <f aca="false">'DCF Base Case'!$B$2*(1+B1589)^5*$I1589-'DCF Base Case'!$B$2*(1+B1589)^4*B1589*'DCF Base Case'!$B$4</f>
        <v>41.9353717431984</v>
      </c>
      <c r="O1589" s="24" t="n">
        <f aca="false">J1589/(1+H1589)^1+K1589/(1+H1589)^2+L1589/(1+H1589)^3+M1589/(1+H1589)^4+N1589/(1+H1589)^5</f>
        <v>136.685421100328</v>
      </c>
      <c r="P1589" s="24" t="n">
        <f aca="false">N1589*(1+F1589)/(H1589-F1589)</f>
        <v>674.00558191899</v>
      </c>
      <c r="Q1589" s="24" t="n">
        <f aca="false">O1589+P1589/(1+H1589)^5</f>
        <v>590.216352520458</v>
      </c>
      <c r="R1589" s="24" t="n">
        <f aca="false">Q1589-'DCF Base Case'!$B$5</f>
        <v>405.216352520458</v>
      </c>
      <c r="S1589" s="32" t="n">
        <f aca="false">R1589/'DCF Base Case'!$B$6</f>
        <v>16.2086541008183</v>
      </c>
    </row>
    <row r="1590" customFormat="false" ht="15" hidden="false" customHeight="true" outlineLevel="0" collapsed="false">
      <c r="A1590" s="6" t="n">
        <v>1589</v>
      </c>
      <c r="B1590" s="30" t="n">
        <v>0.0941001107661429</v>
      </c>
      <c r="C1590" s="30" t="n">
        <v>0.386188086041855</v>
      </c>
      <c r="D1590" s="30" t="n">
        <v>0.0875599013998717</v>
      </c>
      <c r="E1590" s="30" t="n">
        <v>0.251633240390562</v>
      </c>
      <c r="F1590" s="30" t="n">
        <v>0.0151581827903133</v>
      </c>
      <c r="G1590" s="30" t="n">
        <v>0.129329448398611</v>
      </c>
      <c r="H1590" s="31" t="n">
        <f aca="false">MAX(D1590,F1590+0.015)</f>
        <v>0.0875599013998717</v>
      </c>
      <c r="I1590" s="25" t="n">
        <f aca="false">(C1590-'DCF Base Case'!$B$3)*(1-E1590)+'DCF Base Case'!$B$3-G1590</f>
        <v>0.192393199403076</v>
      </c>
      <c r="J1590" s="24" t="n">
        <f aca="false">'DCF Base Case'!$B$2*(1+B1590)^1*$I1590-'DCF Base Case'!$B$2*(1+B1590)^0*B1590*'DCF Base Case'!$B$4</f>
        <v>30.1127905309132</v>
      </c>
      <c r="K1590" s="24" t="n">
        <f aca="false">'DCF Base Case'!$B$2*(1+B1590)^2*$I1590-'DCF Base Case'!$B$2*(1+B1590)^1*B1590*'DCF Base Case'!$B$4</f>
        <v>32.9464074553498</v>
      </c>
      <c r="L1590" s="24" t="n">
        <f aca="false">'DCF Base Case'!$B$2*(1+B1590)^3*$I1590-'DCF Base Case'!$B$2*(1+B1590)^2*B1590*'DCF Base Case'!$B$4</f>
        <v>36.0466680462447</v>
      </c>
      <c r="M1590" s="24" t="n">
        <f aca="false">'DCF Base Case'!$B$2*(1+B1590)^4*$I1590-'DCF Base Case'!$B$2*(1+B1590)^3*B1590*'DCF Base Case'!$B$4</f>
        <v>39.4386635021467</v>
      </c>
      <c r="N1590" s="24" t="n">
        <f aca="false">'DCF Base Case'!$B$2*(1+B1590)^5*$I1590-'DCF Base Case'!$B$2*(1+B1590)^4*B1590*'DCF Base Case'!$B$4</f>
        <v>43.1498461061673</v>
      </c>
      <c r="O1590" s="24" t="n">
        <f aca="false">J1590/(1+H1590)^1+K1590/(1+H1590)^2+L1590/(1+H1590)^3+M1590/(1+H1590)^4+N1590/(1+H1590)^5</f>
        <v>140.117113908528</v>
      </c>
      <c r="P1590" s="24" t="n">
        <f aca="false">N1590*(1+F1590)/(H1590-F1590)</f>
        <v>605.012148911001</v>
      </c>
      <c r="Q1590" s="24" t="n">
        <f aca="false">O1590+P1590/(1+H1590)^5</f>
        <v>537.764527687578</v>
      </c>
      <c r="R1590" s="24" t="n">
        <f aca="false">Q1590-'DCF Base Case'!$B$5</f>
        <v>352.764527687578</v>
      </c>
      <c r="S1590" s="32" t="n">
        <f aca="false">R1590/'DCF Base Case'!$B$6</f>
        <v>14.1105811075031</v>
      </c>
    </row>
    <row r="1591" customFormat="false" ht="15" hidden="false" customHeight="true" outlineLevel="0" collapsed="false">
      <c r="A1591" s="6" t="n">
        <v>1590</v>
      </c>
      <c r="B1591" s="30" t="n">
        <v>0.0863947124625183</v>
      </c>
      <c r="C1591" s="30" t="n">
        <v>0.4427937350964</v>
      </c>
      <c r="D1591" s="30" t="n">
        <v>0.0837121567281042</v>
      </c>
      <c r="E1591" s="30" t="n">
        <v>0.299272990911157</v>
      </c>
      <c r="F1591" s="30" t="n">
        <v>0.0263934887507746</v>
      </c>
      <c r="G1591" s="30" t="n">
        <v>0.174629139813956</v>
      </c>
      <c r="H1591" s="31" t="n">
        <f aca="false">MAX(D1591,F1591+0.015)</f>
        <v>0.0837121567281042</v>
      </c>
      <c r="I1591" s="25" t="n">
        <f aca="false">(C1591-'DCF Base Case'!$B$3)*(1-E1591)+'DCF Base Case'!$B$3-G1591</f>
        <v>0.174553878641872</v>
      </c>
      <c r="J1591" s="24" t="n">
        <f aca="false">'DCF Base Case'!$B$2*(1+B1591)^1*$I1591-'DCF Base Case'!$B$2*(1+B1591)^0*B1591*'DCF Base Case'!$B$4</f>
        <v>27.1211725662594</v>
      </c>
      <c r="K1591" s="24" t="n">
        <f aca="false">'DCF Base Case'!$B$2*(1+B1591)^2*$I1591-'DCF Base Case'!$B$2*(1+B1591)^1*B1591*'DCF Base Case'!$B$4</f>
        <v>29.4642984717677</v>
      </c>
      <c r="L1591" s="24" t="n">
        <f aca="false">'DCF Base Case'!$B$2*(1+B1591)^3*$I1591-'DCF Base Case'!$B$2*(1+B1591)^2*B1591*'DCF Base Case'!$B$4</f>
        <v>32.0098580661459</v>
      </c>
      <c r="M1591" s="24" t="n">
        <f aca="false">'DCF Base Case'!$B$2*(1+B1591)^4*$I1591-'DCF Base Case'!$B$2*(1+B1591)^3*B1591*'DCF Base Case'!$B$4</f>
        <v>34.7753405497366</v>
      </c>
      <c r="N1591" s="24" t="n">
        <f aca="false">'DCF Base Case'!$B$2*(1+B1591)^5*$I1591-'DCF Base Case'!$B$2*(1+B1591)^4*B1591*'DCF Base Case'!$B$4</f>
        <v>37.7797460973173</v>
      </c>
      <c r="O1591" s="24" t="n">
        <f aca="false">J1591/(1+H1591)^1+K1591/(1+H1591)^2+L1591/(1+H1591)^3+M1591/(1+H1591)^4+N1591/(1+H1591)^5</f>
        <v>125.751904686526</v>
      </c>
      <c r="P1591" s="24" t="n">
        <f aca="false">N1591*(1+F1591)/(H1591-F1591)</f>
        <v>676.514070708705</v>
      </c>
      <c r="Q1591" s="24" t="n">
        <f aca="false">O1591+P1591/(1+H1591)^5</f>
        <v>578.344149477996</v>
      </c>
      <c r="R1591" s="24" t="n">
        <f aca="false">Q1591-'DCF Base Case'!$B$5</f>
        <v>393.344149477996</v>
      </c>
      <c r="S1591" s="32" t="n">
        <f aca="false">R1591/'DCF Base Case'!$B$6</f>
        <v>15.7337659791198</v>
      </c>
    </row>
    <row r="1592" customFormat="false" ht="15" hidden="false" customHeight="true" outlineLevel="0" collapsed="false">
      <c r="A1592" s="6" t="n">
        <v>1591</v>
      </c>
      <c r="B1592" s="30" t="n">
        <v>0.0733221131016134</v>
      </c>
      <c r="C1592" s="30" t="n">
        <v>0.39430004402718</v>
      </c>
      <c r="D1592" s="30" t="n">
        <v>0.0850072402904531</v>
      </c>
      <c r="E1592" s="30" t="n">
        <v>0.264604871930113</v>
      </c>
      <c r="F1592" s="30" t="n">
        <v>0.0171041315811093</v>
      </c>
      <c r="G1592" s="30" t="n">
        <v>0.188799068940541</v>
      </c>
      <c r="H1592" s="31" t="n">
        <f aca="false">MAX(D1592,F1592+0.015)</f>
        <v>0.0850072402904531</v>
      </c>
      <c r="I1592" s="25" t="n">
        <f aca="false">(C1592-'DCF Base Case'!$B$3)*(1-E1592)+'DCF Base Case'!$B$3-G1592</f>
        <v>0.135565895785704</v>
      </c>
      <c r="J1592" s="24" t="n">
        <f aca="false">'DCF Base Case'!$B$2*(1+B1592)^1*$I1592-'DCF Base Case'!$B$2*(1+B1592)^0*B1592*'DCF Base Case'!$B$4</f>
        <v>20.7794004987456</v>
      </c>
      <c r="K1592" s="24" t="n">
        <f aca="false">'DCF Base Case'!$B$2*(1+B1592)^2*$I1592-'DCF Base Case'!$B$2*(1+B1592)^1*B1592*'DCF Base Case'!$B$4</f>
        <v>22.3029900522983</v>
      </c>
      <c r="L1592" s="24" t="n">
        <f aca="false">'DCF Base Case'!$B$2*(1+B1592)^3*$I1592-'DCF Base Case'!$B$2*(1+B1592)^2*B1592*'DCF Base Case'!$B$4</f>
        <v>23.9382924114171</v>
      </c>
      <c r="M1592" s="24" t="n">
        <f aca="false">'DCF Base Case'!$B$2*(1+B1592)^4*$I1592-'DCF Base Case'!$B$2*(1+B1592)^3*B1592*'DCF Base Case'!$B$4</f>
        <v>25.6934985950665</v>
      </c>
      <c r="N1592" s="24" t="n">
        <f aca="false">'DCF Base Case'!$B$2*(1+B1592)^5*$I1592-'DCF Base Case'!$B$2*(1+B1592)^4*B1592*'DCF Base Case'!$B$4</f>
        <v>27.5774002050301</v>
      </c>
      <c r="O1592" s="24" t="n">
        <f aca="false">J1592/(1+H1592)^1+K1592/(1+H1592)^2+L1592/(1+H1592)^3+M1592/(1+H1592)^4+N1592/(1+H1592)^5</f>
        <v>93.71652604424</v>
      </c>
      <c r="P1592" s="24" t="n">
        <f aca="false">N1592*(1+F1592)/(H1592-F1592)</f>
        <v>413.07516283039</v>
      </c>
      <c r="Q1592" s="24" t="n">
        <f aca="false">O1592+P1592/(1+H1592)^5</f>
        <v>368.421106809876</v>
      </c>
      <c r="R1592" s="24" t="n">
        <f aca="false">Q1592-'DCF Base Case'!$B$5</f>
        <v>183.421106809876</v>
      </c>
      <c r="S1592" s="32" t="n">
        <f aca="false">R1592/'DCF Base Case'!$B$6</f>
        <v>7.33684427239503</v>
      </c>
    </row>
    <row r="1593" customFormat="false" ht="15" hidden="false" customHeight="true" outlineLevel="0" collapsed="false">
      <c r="A1593" s="6" t="n">
        <v>1592</v>
      </c>
      <c r="B1593" s="30" t="n">
        <v>0.112394840826973</v>
      </c>
      <c r="C1593" s="30" t="n">
        <v>0.386641103080115</v>
      </c>
      <c r="D1593" s="30" t="n">
        <v>0.0760001353030976</v>
      </c>
      <c r="E1593" s="30" t="n">
        <v>0.268031047236803</v>
      </c>
      <c r="F1593" s="30" t="n">
        <v>0.0214970358825532</v>
      </c>
      <c r="G1593" s="30" t="n">
        <v>0.192449652884776</v>
      </c>
      <c r="H1593" s="31" t="n">
        <f aca="false">MAX(D1593,F1593+0.015)</f>
        <v>0.0760001353030976</v>
      </c>
      <c r="I1593" s="25" t="n">
        <f aca="false">(C1593-'DCF Base Case'!$B$3)*(1-E1593)+'DCF Base Case'!$B$3-G1593</f>
        <v>0.125403666572767</v>
      </c>
      <c r="J1593" s="24" t="n">
        <f aca="false">'DCF Base Case'!$B$2*(1+B1593)^1*$I1593-'DCF Base Case'!$B$2*(1+B1593)^0*B1593*'DCF Base Case'!$B$4</f>
        <v>19.7383492412709</v>
      </c>
      <c r="K1593" s="24" t="n">
        <f aca="false">'DCF Base Case'!$B$2*(1+B1593)^2*$I1593-'DCF Base Case'!$B$2*(1+B1593)^1*B1593*'DCF Base Case'!$B$4</f>
        <v>21.9568378624307</v>
      </c>
      <c r="L1593" s="24" t="n">
        <f aca="false">'DCF Base Case'!$B$2*(1+B1593)^3*$I1593-'DCF Base Case'!$B$2*(1+B1593)^2*B1593*'DCF Base Case'!$B$4</f>
        <v>24.4246731590423</v>
      </c>
      <c r="M1593" s="24" t="n">
        <f aca="false">'DCF Base Case'!$B$2*(1+B1593)^4*$I1593-'DCF Base Case'!$B$2*(1+B1593)^3*B1593*'DCF Base Case'!$B$4</f>
        <v>27.1698804110037</v>
      </c>
      <c r="N1593" s="24" t="n">
        <f aca="false">'DCF Base Case'!$B$2*(1+B1593)^5*$I1593-'DCF Base Case'!$B$2*(1+B1593)^4*B1593*'DCF Base Case'!$B$4</f>
        <v>30.2236347950863</v>
      </c>
      <c r="O1593" s="24" t="n">
        <f aca="false">J1593/(1+H1593)^1+K1593/(1+H1593)^2+L1593/(1+H1593)^3+M1593/(1+H1593)^4+N1593/(1+H1593)^5</f>
        <v>98.1391368997708</v>
      </c>
      <c r="P1593" s="24" t="n">
        <f aca="false">N1593*(1+F1593)/(H1593-F1593)</f>
        <v>566.451333685806</v>
      </c>
      <c r="Q1593" s="24" t="n">
        <f aca="false">O1593+P1593/(1+H1593)^5</f>
        <v>490.875373301489</v>
      </c>
      <c r="R1593" s="24" t="n">
        <f aca="false">Q1593-'DCF Base Case'!$B$5</f>
        <v>305.875373301489</v>
      </c>
      <c r="S1593" s="32" t="n">
        <f aca="false">R1593/'DCF Base Case'!$B$6</f>
        <v>12.2350149320596</v>
      </c>
    </row>
    <row r="1594" customFormat="false" ht="15" hidden="false" customHeight="true" outlineLevel="0" collapsed="false">
      <c r="A1594" s="6" t="n">
        <v>1593</v>
      </c>
      <c r="B1594" s="30" t="n">
        <v>0.135848783016906</v>
      </c>
      <c r="C1594" s="30" t="n">
        <v>0.425059387463461</v>
      </c>
      <c r="D1594" s="30" t="n">
        <v>0.0804269841422377</v>
      </c>
      <c r="E1594" s="30" t="n">
        <v>0.297531521107746</v>
      </c>
      <c r="F1594" s="30" t="n">
        <v>0.0165819008184843</v>
      </c>
      <c r="G1594" s="30" t="n">
        <v>0.16223928856635</v>
      </c>
      <c r="H1594" s="31" t="n">
        <f aca="false">MAX(D1594,F1594+0.015)</f>
        <v>0.0804269841422377</v>
      </c>
      <c r="I1594" s="25" t="n">
        <f aca="false">(C1594-'DCF Base Case'!$B$3)*(1-E1594)+'DCF Base Case'!$B$3-G1594</f>
        <v>0.175030630527988</v>
      </c>
      <c r="J1594" s="24" t="n">
        <f aca="false">'DCF Base Case'!$B$2*(1+B1594)^1*$I1594-'DCF Base Case'!$B$2*(1+B1594)^0*B1594*'DCF Base Case'!$B$4</f>
        <v>28.2362654518814</v>
      </c>
      <c r="K1594" s="24" t="n">
        <f aca="false">'DCF Base Case'!$B$2*(1+B1594)^2*$I1594-'DCF Base Case'!$B$2*(1+B1594)^1*B1594*'DCF Base Case'!$B$4</f>
        <v>32.0721277504618</v>
      </c>
      <c r="L1594" s="24" t="n">
        <f aca="false">'DCF Base Case'!$B$2*(1+B1594)^3*$I1594-'DCF Base Case'!$B$2*(1+B1594)^2*B1594*'DCF Base Case'!$B$4</f>
        <v>36.4290872741248</v>
      </c>
      <c r="M1594" s="24" t="n">
        <f aca="false">'DCF Base Case'!$B$2*(1+B1594)^4*$I1594-'DCF Base Case'!$B$2*(1+B1594)^3*B1594*'DCF Base Case'!$B$4</f>
        <v>41.3779344467313</v>
      </c>
      <c r="N1594" s="24" t="n">
        <f aca="false">'DCF Base Case'!$B$2*(1+B1594)^5*$I1594-'DCF Base Case'!$B$2*(1+B1594)^4*B1594*'DCF Base Case'!$B$4</f>
        <v>46.9990764850731</v>
      </c>
      <c r="O1594" s="24" t="n">
        <f aca="false">J1594/(1+H1594)^1+K1594/(1+H1594)^2+L1594/(1+H1594)^3+M1594/(1+H1594)^4+N1594/(1+H1594)^5</f>
        <v>144.783213724355</v>
      </c>
      <c r="P1594" s="24" t="n">
        <f aca="false">N1594*(1+F1594)/(H1594-F1594)</f>
        <v>748.349097887904</v>
      </c>
      <c r="Q1594" s="24" t="n">
        <f aca="false">O1594+P1594/(1+H1594)^5</f>
        <v>653.091427714805</v>
      </c>
      <c r="R1594" s="24" t="n">
        <f aca="false">Q1594-'DCF Base Case'!$B$5</f>
        <v>468.091427714805</v>
      </c>
      <c r="S1594" s="32" t="n">
        <f aca="false">R1594/'DCF Base Case'!$B$6</f>
        <v>18.7236571085922</v>
      </c>
    </row>
    <row r="1595" customFormat="false" ht="15" hidden="false" customHeight="true" outlineLevel="0" collapsed="false">
      <c r="A1595" s="6" t="n">
        <v>1594</v>
      </c>
      <c r="B1595" s="30" t="n">
        <v>0.0811738389555947</v>
      </c>
      <c r="C1595" s="30" t="n">
        <v>0.3652799492066</v>
      </c>
      <c r="D1595" s="30" t="n">
        <v>0.086355565531667</v>
      </c>
      <c r="E1595" s="30" t="n">
        <v>0.274725385001789</v>
      </c>
      <c r="F1595" s="30" t="n">
        <v>0.0238442785725296</v>
      </c>
      <c r="G1595" s="30" t="n">
        <v>0.165347846046018</v>
      </c>
      <c r="H1595" s="31" t="n">
        <f aca="false">MAX(D1595,F1595+0.015)</f>
        <v>0.086355565531667</v>
      </c>
      <c r="I1595" s="25" t="n">
        <f aca="false">(C1595-'DCF Base Case'!$B$3)*(1-E1595)+'DCF Base Case'!$B$3-G1595</f>
        <v>0.135294728531597</v>
      </c>
      <c r="J1595" s="24" t="n">
        <f aca="false">'DCF Base Case'!$B$2*(1+B1595)^1*$I1595-'DCF Base Case'!$B$2*(1+B1595)^0*B1595*'DCF Base Case'!$B$4</f>
        <v>20.8570763509027</v>
      </c>
      <c r="K1595" s="24" t="n">
        <f aca="false">'DCF Base Case'!$B$2*(1+B1595)^2*$I1595-'DCF Base Case'!$B$2*(1+B1595)^1*B1595*'DCF Base Case'!$B$4</f>
        <v>22.5501253076954</v>
      </c>
      <c r="L1595" s="24" t="n">
        <f aca="false">'DCF Base Case'!$B$2*(1+B1595)^3*$I1595-'DCF Base Case'!$B$2*(1+B1595)^2*B1595*'DCF Base Case'!$B$4</f>
        <v>24.3806055478508</v>
      </c>
      <c r="M1595" s="24" t="n">
        <f aca="false">'DCF Base Case'!$B$2*(1+B1595)^4*$I1595-'DCF Base Case'!$B$2*(1+B1595)^3*B1595*'DCF Base Case'!$B$4</f>
        <v>26.3596728962319</v>
      </c>
      <c r="N1595" s="24" t="n">
        <f aca="false">'DCF Base Case'!$B$2*(1+B1595)^5*$I1595-'DCF Base Case'!$B$2*(1+B1595)^4*B1595*'DCF Base Case'!$B$4</f>
        <v>28.4993887388328</v>
      </c>
      <c r="O1595" s="24" t="n">
        <f aca="false">J1595/(1+H1595)^1+K1595/(1+H1595)^2+L1595/(1+H1595)^3+M1595/(1+H1595)^4+N1595/(1+H1595)^5</f>
        <v>95.0842180988847</v>
      </c>
      <c r="P1595" s="24" t="n">
        <f aca="false">N1595*(1+F1595)/(H1595-F1595)</f>
        <v>466.778681458631</v>
      </c>
      <c r="Q1595" s="24" t="n">
        <f aca="false">O1595+P1595/(1+H1595)^5</f>
        <v>403.581288848116</v>
      </c>
      <c r="R1595" s="24" t="n">
        <f aca="false">Q1595-'DCF Base Case'!$B$5</f>
        <v>218.581288848116</v>
      </c>
      <c r="S1595" s="32" t="n">
        <f aca="false">R1595/'DCF Base Case'!$B$6</f>
        <v>8.74325155392465</v>
      </c>
    </row>
    <row r="1596" customFormat="false" ht="15" hidden="false" customHeight="true" outlineLevel="0" collapsed="false">
      <c r="A1596" s="6" t="n">
        <v>1595</v>
      </c>
      <c r="B1596" s="30" t="n">
        <v>0.0628894322951902</v>
      </c>
      <c r="C1596" s="30" t="n">
        <v>0.398571188857862</v>
      </c>
      <c r="D1596" s="30" t="n">
        <v>0.0619980887254971</v>
      </c>
      <c r="E1596" s="30" t="n">
        <v>0.255764503990601</v>
      </c>
      <c r="F1596" s="30" t="n">
        <v>0.0216297710898989</v>
      </c>
      <c r="G1596" s="30" t="n">
        <v>0.160116231688215</v>
      </c>
      <c r="H1596" s="31" t="n">
        <f aca="false">MAX(D1596,F1596+0.015)</f>
        <v>0.0619980887254971</v>
      </c>
      <c r="I1596" s="25" t="n">
        <f aca="false">(C1596-'DCF Base Case'!$B$3)*(1-E1596)+'DCF Base Case'!$B$3-G1596</f>
        <v>0.16976398026525</v>
      </c>
      <c r="J1596" s="24" t="n">
        <f aca="false">'DCF Base Case'!$B$2*(1+B1596)^1*$I1596-'DCF Base Case'!$B$2*(1+B1596)^0*B1596*'DCF Base Case'!$B$4</f>
        <v>25.8902803577199</v>
      </c>
      <c r="K1596" s="24" t="n">
        <f aca="false">'DCF Base Case'!$B$2*(1+B1596)^2*$I1596-'DCF Base Case'!$B$2*(1+B1596)^1*B1596*'DCF Base Case'!$B$4</f>
        <v>27.5185053913802</v>
      </c>
      <c r="L1596" s="24" t="n">
        <f aca="false">'DCF Base Case'!$B$2*(1+B1596)^3*$I1596-'DCF Base Case'!$B$2*(1+B1596)^2*B1596*'DCF Base Case'!$B$4</f>
        <v>29.2491285730563</v>
      </c>
      <c r="M1596" s="24" t="n">
        <f aca="false">'DCF Base Case'!$B$2*(1+B1596)^4*$I1596-'DCF Base Case'!$B$2*(1+B1596)^3*B1596*'DCF Base Case'!$B$4</f>
        <v>31.0885896641448</v>
      </c>
      <c r="N1596" s="24" t="n">
        <f aca="false">'DCF Base Case'!$B$2*(1+B1596)^5*$I1596-'DCF Base Case'!$B$2*(1+B1596)^4*B1596*'DCF Base Case'!$B$4</f>
        <v>33.043733418981</v>
      </c>
      <c r="O1596" s="24" t="n">
        <f aca="false">J1596/(1+H1596)^1+K1596/(1+H1596)^2+L1596/(1+H1596)^3+M1596/(1+H1596)^4+N1596/(1+H1596)^5</f>
        <v>122.098980060303</v>
      </c>
      <c r="P1596" s="24" t="n">
        <f aca="false">N1596*(1+F1596)/(H1596-F1596)</f>
        <v>836.261300595292</v>
      </c>
      <c r="Q1596" s="24" t="n">
        <f aca="false">O1596+P1596/(1+H1596)^5</f>
        <v>741.145553181524</v>
      </c>
      <c r="R1596" s="24" t="n">
        <f aca="false">Q1596-'DCF Base Case'!$B$5</f>
        <v>556.145553181524</v>
      </c>
      <c r="S1596" s="32" t="n">
        <f aca="false">R1596/'DCF Base Case'!$B$6</f>
        <v>22.245822127261</v>
      </c>
    </row>
    <row r="1597" customFormat="false" ht="15" hidden="false" customHeight="true" outlineLevel="0" collapsed="false">
      <c r="A1597" s="6" t="n">
        <v>1596</v>
      </c>
      <c r="B1597" s="30" t="n">
        <v>0.110156092141289</v>
      </c>
      <c r="C1597" s="30" t="n">
        <v>0.379642522691141</v>
      </c>
      <c r="D1597" s="30" t="n">
        <v>0.0823329246294387</v>
      </c>
      <c r="E1597" s="30" t="n">
        <v>0.267783137669362</v>
      </c>
      <c r="F1597" s="30" t="n">
        <v>0.0227823060703001</v>
      </c>
      <c r="G1597" s="30" t="n">
        <v>0.181227655687997</v>
      </c>
      <c r="H1597" s="31" t="n">
        <f aca="false">MAX(D1597,F1597+0.015)</f>
        <v>0.0823329246294387</v>
      </c>
      <c r="I1597" s="25" t="n">
        <f aca="false">(C1597-'DCF Base Case'!$B$3)*(1-E1597)+'DCF Base Case'!$B$3-G1597</f>
        <v>0.131564808981215</v>
      </c>
      <c r="J1597" s="24" t="n">
        <f aca="false">'DCF Base Case'!$B$2*(1+B1597)^1*$I1597-'DCF Base Case'!$B$2*(1+B1597)^0*B1597*'DCF Base Case'!$B$4</f>
        <v>20.6991547584611</v>
      </c>
      <c r="K1597" s="24" t="n">
        <f aca="false">'DCF Base Case'!$B$2*(1+B1597)^2*$I1597-'DCF Base Case'!$B$2*(1+B1597)^1*B1597*'DCF Base Case'!$B$4</f>
        <v>22.9792927572809</v>
      </c>
      <c r="L1597" s="24" t="n">
        <f aca="false">'DCF Base Case'!$B$2*(1+B1597)^3*$I1597-'DCF Base Case'!$B$2*(1+B1597)^2*B1597*'DCF Base Case'!$B$4</f>
        <v>25.5106018475936</v>
      </c>
      <c r="M1597" s="24" t="n">
        <f aca="false">'DCF Base Case'!$B$2*(1+B1597)^4*$I1597-'DCF Base Case'!$B$2*(1+B1597)^3*B1597*'DCF Base Case'!$B$4</f>
        <v>28.3207500552969</v>
      </c>
      <c r="N1597" s="24" t="n">
        <f aca="false">'DCF Base Case'!$B$2*(1+B1597)^5*$I1597-'DCF Base Case'!$B$2*(1+B1597)^4*B1597*'DCF Base Case'!$B$4</f>
        <v>31.4404532078986</v>
      </c>
      <c r="O1597" s="24" t="n">
        <f aca="false">J1597/(1+H1597)^1+K1597/(1+H1597)^2+L1597/(1+H1597)^3+M1597/(1+H1597)^4+N1597/(1+H1597)^5</f>
        <v>100.667167351573</v>
      </c>
      <c r="P1597" s="24" t="n">
        <f aca="false">N1597*(1+F1597)/(H1597-F1597)</f>
        <v>539.99001209258</v>
      </c>
      <c r="Q1597" s="24" t="n">
        <f aca="false">O1597+P1597/(1+H1597)^5</f>
        <v>464.231589656034</v>
      </c>
      <c r="R1597" s="24" t="n">
        <f aca="false">Q1597-'DCF Base Case'!$B$5</f>
        <v>279.231589656034</v>
      </c>
      <c r="S1597" s="32" t="n">
        <f aca="false">R1597/'DCF Base Case'!$B$6</f>
        <v>11.1692635862413</v>
      </c>
    </row>
    <row r="1598" customFormat="false" ht="15" hidden="false" customHeight="true" outlineLevel="0" collapsed="false">
      <c r="A1598" s="6" t="n">
        <v>1597</v>
      </c>
      <c r="B1598" s="30" t="n">
        <v>0.103919898929001</v>
      </c>
      <c r="C1598" s="30" t="n">
        <v>0.446203179580833</v>
      </c>
      <c r="D1598" s="30" t="n">
        <v>0.0809510417978478</v>
      </c>
      <c r="E1598" s="30" t="n">
        <v>0.319997384092895</v>
      </c>
      <c r="F1598" s="30" t="n">
        <v>0.0150925560288784</v>
      </c>
      <c r="G1598" s="30" t="n">
        <v>0.143653815646615</v>
      </c>
      <c r="H1598" s="31" t="n">
        <f aca="false">MAX(D1598,F1598+0.015)</f>
        <v>0.0809510417978478</v>
      </c>
      <c r="I1598" s="25" t="n">
        <f aca="false">(C1598-'DCF Base Case'!$B$3)*(1-E1598)+'DCF Base Case'!$B$3-G1598</f>
        <v>0.201365173626496</v>
      </c>
      <c r="J1598" s="24" t="n">
        <f aca="false">'DCF Base Case'!$B$2*(1+B1598)^1*$I1598-'DCF Base Case'!$B$2*(1+B1598)^0*B1598*'DCF Base Case'!$B$4</f>
        <v>31.7801466467082</v>
      </c>
      <c r="K1598" s="24" t="n">
        <f aca="false">'DCF Base Case'!$B$2*(1+B1598)^2*$I1598-'DCF Base Case'!$B$2*(1+B1598)^1*B1598*'DCF Base Case'!$B$4</f>
        <v>35.0827362741829</v>
      </c>
      <c r="L1598" s="24" t="n">
        <f aca="false">'DCF Base Case'!$B$2*(1+B1598)^3*$I1598-'DCF Base Case'!$B$2*(1+B1598)^2*B1598*'DCF Base Case'!$B$4</f>
        <v>38.7285306819488</v>
      </c>
      <c r="M1598" s="24" t="n">
        <f aca="false">'DCF Base Case'!$B$2*(1+B1598)^4*$I1598-'DCF Base Case'!$B$2*(1+B1598)^3*B1598*'DCF Base Case'!$B$4</f>
        <v>42.7531956760856</v>
      </c>
      <c r="N1598" s="24" t="n">
        <f aca="false">'DCF Base Case'!$B$2*(1+B1598)^5*$I1598-'DCF Base Case'!$B$2*(1+B1598)^4*B1598*'DCF Base Case'!$B$4</f>
        <v>47.1961034496363</v>
      </c>
      <c r="O1598" s="24" t="n">
        <f aca="false">J1598/(1+H1598)^1+K1598/(1+H1598)^2+L1598/(1+H1598)^3+M1598/(1+H1598)^4+N1598/(1+H1598)^5</f>
        <v>153.382189983363</v>
      </c>
      <c r="P1598" s="24" t="n">
        <f aca="false">N1598*(1+F1598)/(H1598-F1598)</f>
        <v>727.444804202706</v>
      </c>
      <c r="Q1598" s="24" t="n">
        <f aca="false">O1598+P1598/(1+H1598)^5</f>
        <v>646.294794807877</v>
      </c>
      <c r="R1598" s="24" t="n">
        <f aca="false">Q1598-'DCF Base Case'!$B$5</f>
        <v>461.294794807877</v>
      </c>
      <c r="S1598" s="32" t="n">
        <f aca="false">R1598/'DCF Base Case'!$B$6</f>
        <v>18.4517917923151</v>
      </c>
    </row>
    <row r="1599" customFormat="false" ht="15" hidden="false" customHeight="true" outlineLevel="0" collapsed="false">
      <c r="A1599" s="6" t="n">
        <v>1598</v>
      </c>
      <c r="B1599" s="30" t="n">
        <v>0.106399322237408</v>
      </c>
      <c r="C1599" s="30" t="n">
        <v>0.387481924982883</v>
      </c>
      <c r="D1599" s="30" t="n">
        <v>0.0913004219126086</v>
      </c>
      <c r="E1599" s="30" t="n">
        <v>0.282542278997137</v>
      </c>
      <c r="F1599" s="30" t="n">
        <v>0.0231845083236136</v>
      </c>
      <c r="G1599" s="30" t="n">
        <v>0.163944629944469</v>
      </c>
      <c r="H1599" s="31" t="n">
        <f aca="false">MAX(D1599,F1599+0.015)</f>
        <v>0.0913004219126086</v>
      </c>
      <c r="I1599" s="25" t="n">
        <f aca="false">(C1599-'DCF Base Case'!$B$3)*(1-E1599)+'DCF Base Case'!$B$3-G1599</f>
        <v>0.15078776515318</v>
      </c>
      <c r="J1599" s="24" t="n">
        <f aca="false">'DCF Base Case'!$B$2*(1+B1599)^1*$I1599-'DCF Base Case'!$B$2*(1+B1599)^0*B1599*'DCF Base Case'!$B$4</f>
        <v>23.7277277175072</v>
      </c>
      <c r="K1599" s="24" t="n">
        <f aca="false">'DCF Base Case'!$B$2*(1+B1599)^2*$I1599-'DCF Base Case'!$B$2*(1+B1599)^1*B1599*'DCF Base Case'!$B$4</f>
        <v>26.2523418648838</v>
      </c>
      <c r="L1599" s="24" t="n">
        <f aca="false">'DCF Base Case'!$B$2*(1+B1599)^3*$I1599-'DCF Base Case'!$B$2*(1+B1599)^2*B1599*'DCF Base Case'!$B$4</f>
        <v>29.0455732464521</v>
      </c>
      <c r="M1599" s="24" t="n">
        <f aca="false">'DCF Base Case'!$B$2*(1+B1599)^4*$I1599-'DCF Base Case'!$B$2*(1+B1599)^3*B1599*'DCF Base Case'!$B$4</f>
        <v>32.1360025538717</v>
      </c>
      <c r="N1599" s="24" t="n">
        <f aca="false">'DCF Base Case'!$B$2*(1+B1599)^5*$I1599-'DCF Base Case'!$B$2*(1+B1599)^4*B1599*'DCF Base Case'!$B$4</f>
        <v>35.5552514450232</v>
      </c>
      <c r="O1599" s="24" t="n">
        <f aca="false">J1599/(1+H1599)^1+K1599/(1+H1599)^2+L1599/(1+H1599)^3+M1599/(1+H1599)^4+N1599/(1+H1599)^5</f>
        <v>111.763240011277</v>
      </c>
      <c r="P1599" s="24" t="n">
        <f aca="false">N1599*(1+F1599)/(H1599-F1599)</f>
        <v>534.083454970735</v>
      </c>
      <c r="Q1599" s="24" t="n">
        <f aca="false">O1599+P1599/(1+H1599)^5</f>
        <v>456.817591685737</v>
      </c>
      <c r="R1599" s="24" t="n">
        <f aca="false">Q1599-'DCF Base Case'!$B$5</f>
        <v>271.817591685737</v>
      </c>
      <c r="S1599" s="32" t="n">
        <f aca="false">R1599/'DCF Base Case'!$B$6</f>
        <v>10.8727036674295</v>
      </c>
    </row>
    <row r="1600" customFormat="false" ht="15" hidden="false" customHeight="true" outlineLevel="0" collapsed="false">
      <c r="A1600" s="6" t="n">
        <v>1599</v>
      </c>
      <c r="B1600" s="30" t="n">
        <v>0.0911302032204287</v>
      </c>
      <c r="C1600" s="30" t="n">
        <v>0.424802809660577</v>
      </c>
      <c r="D1600" s="30" t="n">
        <v>0.0777108549493425</v>
      </c>
      <c r="E1600" s="30" t="n">
        <v>0.2632607139171</v>
      </c>
      <c r="F1600" s="30" t="n">
        <v>0.0210436398183681</v>
      </c>
      <c r="G1600" s="30" t="n">
        <v>0.164591563358204</v>
      </c>
      <c r="H1600" s="31" t="n">
        <f aca="false">MAX(D1600,F1600+0.015)</f>
        <v>0.0777108549493425</v>
      </c>
      <c r="I1600" s="25" t="n">
        <f aca="false">(C1600-'DCF Base Case'!$B$3)*(1-E1600)+'DCF Base Case'!$B$3-G1600</f>
        <v>0.182601248166363</v>
      </c>
      <c r="J1600" s="24" t="n">
        <f aca="false">'DCF Base Case'!$B$2*(1+B1600)^1*$I1600-'DCF Base Case'!$B$2*(1+B1600)^0*B1600*'DCF Base Case'!$B$4</f>
        <v>28.4936354839009</v>
      </c>
      <c r="K1600" s="24" t="n">
        <f aca="false">'DCF Base Case'!$B$2*(1+B1600)^2*$I1600-'DCF Base Case'!$B$2*(1+B1600)^1*B1600*'DCF Base Case'!$B$4</f>
        <v>31.0902662760376</v>
      </c>
      <c r="L1600" s="24" t="n">
        <f aca="false">'DCF Base Case'!$B$2*(1+B1600)^3*$I1600-'DCF Base Case'!$B$2*(1+B1600)^2*B1600*'DCF Base Case'!$B$4</f>
        <v>33.9235285599501</v>
      </c>
      <c r="M1600" s="24" t="n">
        <f aca="false">'DCF Base Case'!$B$2*(1+B1600)^4*$I1600-'DCF Base Case'!$B$2*(1+B1600)^3*B1600*'DCF Base Case'!$B$4</f>
        <v>37.0149866115724</v>
      </c>
      <c r="N1600" s="24" t="n">
        <f aca="false">'DCF Base Case'!$B$2*(1+B1600)^5*$I1600-'DCF Base Case'!$B$2*(1+B1600)^4*B1600*'DCF Base Case'!$B$4</f>
        <v>40.3881698636864</v>
      </c>
      <c r="O1600" s="24" t="n">
        <f aca="false">J1600/(1+H1600)^1+K1600/(1+H1600)^2+L1600/(1+H1600)^3+M1600/(1+H1600)^4+N1600/(1+H1600)^5</f>
        <v>135.528538790705</v>
      </c>
      <c r="P1600" s="24" t="n">
        <f aca="false">N1600*(1+F1600)/(H1600-F1600)</f>
        <v>727.723849988176</v>
      </c>
      <c r="Q1600" s="24" t="n">
        <f aca="false">O1600+P1600/(1+H1600)^5</f>
        <v>636.087594289046</v>
      </c>
      <c r="R1600" s="24" t="n">
        <f aca="false">Q1600-'DCF Base Case'!$B$5</f>
        <v>451.087594289046</v>
      </c>
      <c r="S1600" s="32" t="n">
        <f aca="false">R1600/'DCF Base Case'!$B$6</f>
        <v>18.0435037715619</v>
      </c>
    </row>
    <row r="1601" customFormat="false" ht="15" hidden="false" customHeight="true" outlineLevel="0" collapsed="false">
      <c r="A1601" s="6" t="n">
        <v>1600</v>
      </c>
      <c r="B1601" s="30" t="n">
        <v>0.0813454181961573</v>
      </c>
      <c r="C1601" s="30" t="n">
        <v>0.409773099965805</v>
      </c>
      <c r="D1601" s="30" t="n">
        <v>0.102540154586222</v>
      </c>
      <c r="E1601" s="30" t="n">
        <v>0.268488494577494</v>
      </c>
      <c r="F1601" s="30" t="n">
        <v>0.0174652440715968</v>
      </c>
      <c r="G1601" s="30" t="n">
        <v>0.133246849914179</v>
      </c>
      <c r="H1601" s="31" t="n">
        <f aca="false">MAX(D1601,F1601+0.015)</f>
        <v>0.102540154586222</v>
      </c>
      <c r="I1601" s="25" t="n">
        <f aca="false">(C1601-'DCF Base Case'!$B$3)*(1-E1601)+'DCF Base Case'!$B$3-G1601</f>
        <v>0.201410391618528</v>
      </c>
      <c r="J1601" s="24" t="n">
        <f aca="false">'DCF Base Case'!$B$2*(1+B1601)^1*$I1601-'DCF Base Case'!$B$2*(1+B1601)^0*B1601*'DCF Base Case'!$B$4</f>
        <v>31.2263070331462</v>
      </c>
      <c r="K1601" s="24" t="n">
        <f aca="false">'DCF Base Case'!$B$2*(1+B1601)^2*$I1601-'DCF Base Case'!$B$2*(1+B1601)^1*B1601*'DCF Base Case'!$B$4</f>
        <v>33.766424037479</v>
      </c>
      <c r="L1601" s="24" t="n">
        <f aca="false">'DCF Base Case'!$B$2*(1+B1601)^3*$I1601-'DCF Base Case'!$B$2*(1+B1601)^2*B1601*'DCF Base Case'!$B$4</f>
        <v>36.5131679217965</v>
      </c>
      <c r="M1601" s="24" t="n">
        <f aca="false">'DCF Base Case'!$B$2*(1+B1601)^4*$I1601-'DCF Base Case'!$B$2*(1+B1601)^3*B1601*'DCF Base Case'!$B$4</f>
        <v>39.4833468360616</v>
      </c>
      <c r="N1601" s="24" t="n">
        <f aca="false">'DCF Base Case'!$B$2*(1+B1601)^5*$I1601-'DCF Base Case'!$B$2*(1+B1601)^4*B1601*'DCF Base Case'!$B$4</f>
        <v>42.695136196225</v>
      </c>
      <c r="O1601" s="24" t="n">
        <f aca="false">J1601/(1+H1601)^1+K1601/(1+H1601)^2+L1601/(1+H1601)^3+M1601/(1+H1601)^4+N1601/(1+H1601)^5</f>
        <v>136.26988546395</v>
      </c>
      <c r="P1601" s="24" t="n">
        <f aca="false">N1601*(1+F1601)/(H1601-F1601)</f>
        <v>510.618429191227</v>
      </c>
      <c r="Q1601" s="24" t="n">
        <f aca="false">O1601+P1601/(1+H1601)^5</f>
        <v>449.688226825361</v>
      </c>
      <c r="R1601" s="24" t="n">
        <f aca="false">Q1601-'DCF Base Case'!$B$5</f>
        <v>264.688226825361</v>
      </c>
      <c r="S1601" s="32" t="n">
        <f aca="false">R1601/'DCF Base Case'!$B$6</f>
        <v>10.5875290730144</v>
      </c>
    </row>
    <row r="1602" customFormat="false" ht="15" hidden="false" customHeight="true" outlineLevel="0" collapsed="false">
      <c r="A1602" s="6" t="n">
        <v>1601</v>
      </c>
      <c r="B1602" s="30" t="n">
        <v>0.0891481776001992</v>
      </c>
      <c r="C1602" s="30" t="n">
        <v>0.426889121722021</v>
      </c>
      <c r="D1602" s="30" t="n">
        <v>0.0941981792724896</v>
      </c>
      <c r="E1602" s="30" t="n">
        <v>0.282743593166125</v>
      </c>
      <c r="F1602" s="30" t="n">
        <v>0.0227822533203991</v>
      </c>
      <c r="G1602" s="30" t="n">
        <v>0.182664824895102</v>
      </c>
      <c r="H1602" s="31" t="n">
        <f aca="false">MAX(D1602,F1602+0.015)</f>
        <v>0.0941981792724896</v>
      </c>
      <c r="I1602" s="25" t="n">
        <f aca="false">(C1602-'DCF Base Case'!$B$3)*(1-E1602)+'DCF Base Case'!$B$3-G1602</f>
        <v>0.1602807997793</v>
      </c>
      <c r="J1602" s="24" t="n">
        <f aca="false">'DCF Base Case'!$B$2*(1+B1602)^1*$I1602-'DCF Base Case'!$B$2*(1+B1602)^0*B1602*'DCF Base Case'!$B$4</f>
        <v>24.9247888701085</v>
      </c>
      <c r="K1602" s="24" t="n">
        <f aca="false">'DCF Base Case'!$B$2*(1+B1602)^2*$I1602-'DCF Base Case'!$B$2*(1+B1602)^1*B1602*'DCF Base Case'!$B$4</f>
        <v>27.1467883749484</v>
      </c>
      <c r="L1602" s="24" t="n">
        <f aca="false">'DCF Base Case'!$B$2*(1+B1602)^3*$I1602-'DCF Base Case'!$B$2*(1+B1602)^2*B1602*'DCF Base Case'!$B$4</f>
        <v>29.5668750862733</v>
      </c>
      <c r="M1602" s="24" t="n">
        <f aca="false">'DCF Base Case'!$B$2*(1+B1602)^4*$I1602-'DCF Base Case'!$B$2*(1+B1602)^3*B1602*'DCF Base Case'!$B$4</f>
        <v>32.2027081175473</v>
      </c>
      <c r="N1602" s="24" t="n">
        <f aca="false">'DCF Base Case'!$B$2*(1+B1602)^5*$I1602-'DCF Base Case'!$B$2*(1+B1602)^4*B1602*'DCF Base Case'!$B$4</f>
        <v>35.0735208600178</v>
      </c>
      <c r="O1602" s="24" t="n">
        <f aca="false">J1602/(1+H1602)^1+K1602/(1+H1602)^2+L1602/(1+H1602)^3+M1602/(1+H1602)^4+N1602/(1+H1602)^5</f>
        <v>112.848752125766</v>
      </c>
      <c r="P1602" s="24" t="n">
        <f aca="false">N1602*(1+F1602)/(H1602-F1602)</f>
        <v>502.30497215921</v>
      </c>
      <c r="Q1602" s="24" t="n">
        <f aca="false">O1602+P1602/(1+H1602)^5</f>
        <v>433.097572130266</v>
      </c>
      <c r="R1602" s="24" t="n">
        <f aca="false">Q1602-'DCF Base Case'!$B$5</f>
        <v>248.097572130266</v>
      </c>
      <c r="S1602" s="32" t="n">
        <f aca="false">R1602/'DCF Base Case'!$B$6</f>
        <v>9.92390288521063</v>
      </c>
    </row>
    <row r="1603" customFormat="false" ht="15" hidden="false" customHeight="true" outlineLevel="0" collapsed="false">
      <c r="A1603" s="6" t="n">
        <v>1602</v>
      </c>
      <c r="B1603" s="30" t="n">
        <v>0.114225506526622</v>
      </c>
      <c r="C1603" s="30" t="n">
        <v>0.440523725797017</v>
      </c>
      <c r="D1603" s="30" t="n">
        <v>0.10226976015718</v>
      </c>
      <c r="E1603" s="30" t="n">
        <v>0.275053316749053</v>
      </c>
      <c r="F1603" s="30" t="n">
        <v>0.0140178140557009</v>
      </c>
      <c r="G1603" s="30" t="n">
        <v>0.181004987221549</v>
      </c>
      <c r="H1603" s="31" t="n">
        <f aca="false">MAX(D1603,F1603+0.015)</f>
        <v>0.10226976015718</v>
      </c>
      <c r="I1603" s="25" t="n">
        <f aca="false">(C1603-'DCF Base Case'!$B$3)*(1-E1603)+'DCF Base Case'!$B$3-G1603</f>
        <v>0.174108157865725</v>
      </c>
      <c r="J1603" s="24" t="n">
        <f aca="false">'DCF Base Case'!$B$2*(1+B1603)^1*$I1603-'DCF Base Case'!$B$2*(1+B1603)^0*B1603*'DCF Base Case'!$B$4</f>
        <v>27.6325028529206</v>
      </c>
      <c r="K1603" s="24" t="n">
        <f aca="false">'DCF Base Case'!$B$2*(1+B1603)^2*$I1603-'DCF Base Case'!$B$2*(1+B1603)^1*B1603*'DCF Base Case'!$B$4</f>
        <v>30.7888394878938</v>
      </c>
      <c r="L1603" s="24" t="n">
        <f aca="false">'DCF Base Case'!$B$2*(1+B1603)^3*$I1603-'DCF Base Case'!$B$2*(1+B1603)^2*B1603*'DCF Base Case'!$B$4</f>
        <v>34.3057102737653</v>
      </c>
      <c r="M1603" s="24" t="n">
        <f aca="false">'DCF Base Case'!$B$2*(1+B1603)^4*$I1603-'DCF Base Case'!$B$2*(1+B1603)^3*B1603*'DCF Base Case'!$B$4</f>
        <v>38.2242974065417</v>
      </c>
      <c r="N1603" s="24" t="n">
        <f aca="false">'DCF Base Case'!$B$2*(1+B1603)^5*$I1603-'DCF Base Case'!$B$2*(1+B1603)^4*B1603*'DCF Base Case'!$B$4</f>
        <v>42.5904871394282</v>
      </c>
      <c r="O1603" s="24" t="n">
        <f aca="false">J1603/(1+H1603)^1+K1603/(1+H1603)^2+L1603/(1+H1603)^3+M1603/(1+H1603)^4+N1603/(1+H1603)^5</f>
        <v>128.0923766392</v>
      </c>
      <c r="P1603" s="24" t="n">
        <f aca="false">N1603*(1+F1603)/(H1603-F1603)</f>
        <v>489.366122521875</v>
      </c>
      <c r="Q1603" s="24" t="n">
        <f aca="false">O1603+P1603/(1+H1603)^5</f>
        <v>428.834620474367</v>
      </c>
      <c r="R1603" s="24" t="n">
        <f aca="false">Q1603-'DCF Base Case'!$B$5</f>
        <v>243.834620474367</v>
      </c>
      <c r="S1603" s="32" t="n">
        <f aca="false">R1603/'DCF Base Case'!$B$6</f>
        <v>9.75338481897468</v>
      </c>
    </row>
    <row r="1604" customFormat="false" ht="15" hidden="false" customHeight="true" outlineLevel="0" collapsed="false">
      <c r="A1604" s="6" t="n">
        <v>1603</v>
      </c>
      <c r="B1604" s="30" t="n">
        <v>0.107020258770471</v>
      </c>
      <c r="C1604" s="30" t="n">
        <v>0.447258028972742</v>
      </c>
      <c r="D1604" s="30" t="n">
        <v>0.0990941939178668</v>
      </c>
      <c r="E1604" s="30" t="n">
        <v>0.333999849959668</v>
      </c>
      <c r="F1604" s="30" t="n">
        <v>0.0215727239484722</v>
      </c>
      <c r="G1604" s="30" t="n">
        <v>0.170431376840036</v>
      </c>
      <c r="H1604" s="31" t="n">
        <f aca="false">MAX(D1604,F1604+0.015)</f>
        <v>0.0990941939178668</v>
      </c>
      <c r="I1604" s="25" t="n">
        <f aca="false">(C1604-'DCF Base Case'!$B$3)*(1-E1604)+'DCF Base Case'!$B$3-G1604</f>
        <v>0.17086251805731</v>
      </c>
      <c r="J1604" s="24" t="n">
        <f aca="false">'DCF Base Case'!$B$2*(1+B1604)^1*$I1604-'DCF Base Case'!$B$2*(1+B1604)^0*B1604*'DCF Base Case'!$B$4</f>
        <v>26.9609608726752</v>
      </c>
      <c r="K1604" s="24" t="n">
        <f aca="false">'DCF Base Case'!$B$2*(1+B1604)^2*$I1604-'DCF Base Case'!$B$2*(1+B1604)^1*B1604*'DCF Base Case'!$B$4</f>
        <v>29.8463298819695</v>
      </c>
      <c r="L1604" s="24" t="n">
        <f aca="false">'DCF Base Case'!$B$2*(1+B1604)^3*$I1604-'DCF Base Case'!$B$2*(1+B1604)^2*B1604*'DCF Base Case'!$B$4</f>
        <v>33.0404918292867</v>
      </c>
      <c r="M1604" s="24" t="n">
        <f aca="false">'DCF Base Case'!$B$2*(1+B1604)^4*$I1604-'DCF Base Case'!$B$2*(1+B1604)^3*B1604*'DCF Base Case'!$B$4</f>
        <v>36.5764938147606</v>
      </c>
      <c r="N1604" s="24" t="n">
        <f aca="false">'DCF Base Case'!$B$2*(1+B1604)^5*$I1604-'DCF Base Case'!$B$2*(1+B1604)^4*B1604*'DCF Base Case'!$B$4</f>
        <v>40.4909196477328</v>
      </c>
      <c r="O1604" s="24" t="n">
        <f aca="false">J1604/(1+H1604)^1+K1604/(1+H1604)^2+L1604/(1+H1604)^3+M1604/(1+H1604)^4+N1604/(1+H1604)^5</f>
        <v>124.432604154734</v>
      </c>
      <c r="P1604" s="24" t="n">
        <f aca="false">N1604*(1+F1604)/(H1604-F1604)</f>
        <v>533.586619242949</v>
      </c>
      <c r="Q1604" s="24" t="n">
        <f aca="false">O1604+P1604/(1+H1604)^5</f>
        <v>457.115414781775</v>
      </c>
      <c r="R1604" s="24" t="n">
        <f aca="false">Q1604-'DCF Base Case'!$B$5</f>
        <v>272.115414781775</v>
      </c>
      <c r="S1604" s="32" t="n">
        <f aca="false">R1604/'DCF Base Case'!$B$6</f>
        <v>10.884616591271</v>
      </c>
    </row>
    <row r="1605" customFormat="false" ht="15" hidden="false" customHeight="true" outlineLevel="0" collapsed="false">
      <c r="A1605" s="6" t="n">
        <v>1604</v>
      </c>
      <c r="B1605" s="30" t="n">
        <v>0.0603750845710896</v>
      </c>
      <c r="C1605" s="30" t="n">
        <v>0.41033402506212</v>
      </c>
      <c r="D1605" s="30" t="n">
        <v>0.0789224630744155</v>
      </c>
      <c r="E1605" s="30" t="n">
        <v>0.285806370013268</v>
      </c>
      <c r="F1605" s="30" t="n">
        <v>0.0195553099626657</v>
      </c>
      <c r="G1605" s="30" t="n">
        <v>0.176281000962425</v>
      </c>
      <c r="H1605" s="31" t="n">
        <f aca="false">MAX(D1605,F1605+0.015)</f>
        <v>0.0789224630744155</v>
      </c>
      <c r="I1605" s="25" t="n">
        <f aca="false">(C1605-'DCF Base Case'!$B$3)*(1-E1605)+'DCF Base Case'!$B$3-G1605</f>
        <v>0.153931774005482</v>
      </c>
      <c r="J1605" s="24" t="n">
        <f aca="false">'DCF Base Case'!$B$2*(1+B1605)^1*$I1605-'DCF Base Case'!$B$2*(1+B1605)^0*B1605*'DCF Base Case'!$B$4</f>
        <v>23.4050539746057</v>
      </c>
      <c r="K1605" s="24" t="n">
        <f aca="false">'DCF Base Case'!$B$2*(1+B1605)^2*$I1605-'DCF Base Case'!$B$2*(1+B1605)^1*B1605*'DCF Base Case'!$B$4</f>
        <v>24.8181360877134</v>
      </c>
      <c r="L1605" s="24" t="n">
        <f aca="false">'DCF Base Case'!$B$2*(1+B1605)^3*$I1605-'DCF Base Case'!$B$2*(1+B1605)^2*B1605*'DCF Base Case'!$B$4</f>
        <v>26.3165331529059</v>
      </c>
      <c r="M1605" s="24" t="n">
        <f aca="false">'DCF Base Case'!$B$2*(1+B1605)^4*$I1605-'DCF Base Case'!$B$2*(1+B1605)^3*B1605*'DCF Base Case'!$B$4</f>
        <v>27.9053960676305</v>
      </c>
      <c r="N1605" s="24" t="n">
        <f aca="false">'DCF Base Case'!$B$2*(1+B1605)^5*$I1605-'DCF Base Case'!$B$2*(1+B1605)^4*B1605*'DCF Base Case'!$B$4</f>
        <v>29.5901867152034</v>
      </c>
      <c r="O1605" s="24" t="n">
        <f aca="false">J1605/(1+H1605)^1+K1605/(1+H1605)^2+L1605/(1+H1605)^3+M1605/(1+H1605)^4+N1605/(1+H1605)^5</f>
        <v>104.799340645983</v>
      </c>
      <c r="P1605" s="24" t="n">
        <f aca="false">N1605*(1+F1605)/(H1605-F1605)</f>
        <v>508.173803306419</v>
      </c>
      <c r="Q1605" s="24" t="n">
        <f aca="false">O1605+P1605/(1+H1605)^5</f>
        <v>452.384397514473</v>
      </c>
      <c r="R1605" s="24" t="n">
        <f aca="false">Q1605-'DCF Base Case'!$B$5</f>
        <v>267.384397514473</v>
      </c>
      <c r="S1605" s="32" t="n">
        <f aca="false">R1605/'DCF Base Case'!$B$6</f>
        <v>10.6953759005789</v>
      </c>
    </row>
    <row r="1606" customFormat="false" ht="15" hidden="false" customHeight="true" outlineLevel="0" collapsed="false">
      <c r="A1606" s="6" t="n">
        <v>1605</v>
      </c>
      <c r="B1606" s="30" t="n">
        <v>0.0880224887184241</v>
      </c>
      <c r="C1606" s="30" t="n">
        <v>0.431719547426389</v>
      </c>
      <c r="D1606" s="30" t="n">
        <v>0.0550453025583744</v>
      </c>
      <c r="E1606" s="30" t="n">
        <v>0.285160929083409</v>
      </c>
      <c r="F1606" s="30" t="n">
        <v>0.0236219164291682</v>
      </c>
      <c r="G1606" s="30" t="n">
        <v>0.20641945340287</v>
      </c>
      <c r="H1606" s="31" t="n">
        <f aca="false">MAX(D1606,F1606+0.015)</f>
        <v>0.0550453025583744</v>
      </c>
      <c r="I1606" s="25" t="n">
        <f aca="false">(C1606-'DCF Base Case'!$B$3)*(1-E1606)+'DCF Base Case'!$B$3-G1606</f>
        <v>0.139261467556784</v>
      </c>
      <c r="J1606" s="24" t="n">
        <f aca="false">'DCF Base Case'!$B$2*(1+B1606)^1*$I1606-'DCF Base Case'!$B$2*(1+B1606)^0*B1606*'DCF Base Case'!$B$4</f>
        <v>21.5874454085632</v>
      </c>
      <c r="K1606" s="24" t="n">
        <f aca="false">'DCF Base Case'!$B$2*(1+B1606)^2*$I1606-'DCF Base Case'!$B$2*(1+B1606)^1*B1606*'DCF Base Case'!$B$4</f>
        <v>23.487626078498</v>
      </c>
      <c r="L1606" s="24" t="n">
        <f aca="false">'DCF Base Case'!$B$2*(1+B1606)^3*$I1606-'DCF Base Case'!$B$2*(1+B1606)^2*B1606*'DCF Base Case'!$B$4</f>
        <v>25.5550653800152</v>
      </c>
      <c r="M1606" s="24" t="n">
        <f aca="false">'DCF Base Case'!$B$2*(1+B1606)^4*$I1606-'DCF Base Case'!$B$2*(1+B1606)^3*B1606*'DCF Base Case'!$B$4</f>
        <v>27.8044858341261</v>
      </c>
      <c r="N1606" s="24" t="n">
        <f aca="false">'DCF Base Case'!$B$2*(1+B1606)^5*$I1606-'DCF Base Case'!$B$2*(1+B1606)^4*B1606*'DCF Base Case'!$B$4</f>
        <v>30.2519058747821</v>
      </c>
      <c r="O1606" s="24" t="n">
        <f aca="false">J1606/(1+H1606)^1+K1606/(1+H1606)^2+L1606/(1+H1606)^3+M1606/(1+H1606)^4+N1606/(1+H1606)^5</f>
        <v>108.904291880331</v>
      </c>
      <c r="P1606" s="24" t="n">
        <f aca="false">N1606*(1+F1606)/(H1606-F1606)</f>
        <v>985.460756515915</v>
      </c>
      <c r="Q1606" s="24" t="n">
        <f aca="false">O1606+P1606/(1+H1606)^5</f>
        <v>862.752302917129</v>
      </c>
      <c r="R1606" s="24" t="n">
        <f aca="false">Q1606-'DCF Base Case'!$B$5</f>
        <v>677.752302917129</v>
      </c>
      <c r="S1606" s="32" t="n">
        <f aca="false">R1606/'DCF Base Case'!$B$6</f>
        <v>27.1100921166852</v>
      </c>
    </row>
    <row r="1607" customFormat="false" ht="15" hidden="false" customHeight="true" outlineLevel="0" collapsed="false">
      <c r="A1607" s="6" t="n">
        <v>1606</v>
      </c>
      <c r="B1607" s="30" t="n">
        <v>0.105934175274875</v>
      </c>
      <c r="C1607" s="30" t="n">
        <v>0.448460520988588</v>
      </c>
      <c r="D1607" s="30" t="n">
        <v>0.0868582959533462</v>
      </c>
      <c r="E1607" s="30" t="n">
        <v>0.279724156426153</v>
      </c>
      <c r="F1607" s="30" t="n">
        <v>0.0212432885723939</v>
      </c>
      <c r="G1607" s="30" t="n">
        <v>0.165157990609367</v>
      </c>
      <c r="H1607" s="31" t="n">
        <f aca="false">MAX(D1607,F1607+0.015)</f>
        <v>0.0868582959533462</v>
      </c>
      <c r="I1607" s="25" t="n">
        <f aca="false">(C1607-'DCF Base Case'!$B$3)*(1-E1607)+'DCF Base Case'!$B$3-G1607</f>
        <v>0.194221429790655</v>
      </c>
      <c r="J1607" s="24" t="n">
        <f aca="false">'DCF Base Case'!$B$2*(1+B1607)^1*$I1607-'DCF Base Case'!$B$2*(1+B1607)^0*B1607*'DCF Base Case'!$B$4</f>
        <v>30.6846232701084</v>
      </c>
      <c r="K1607" s="24" t="n">
        <f aca="false">'DCF Base Case'!$B$2*(1+B1607)^2*$I1607-'DCF Base Case'!$B$2*(1+B1607)^1*B1607*'DCF Base Case'!$B$4</f>
        <v>33.9351735298476</v>
      </c>
      <c r="L1607" s="24" t="n">
        <f aca="false">'DCF Base Case'!$B$2*(1+B1607)^3*$I1607-'DCF Base Case'!$B$2*(1+B1607)^2*B1607*'DCF Base Case'!$B$4</f>
        <v>37.5300681505417</v>
      </c>
      <c r="M1607" s="24" t="n">
        <f aca="false">'DCF Base Case'!$B$2*(1+B1607)^4*$I1607-'DCF Base Case'!$B$2*(1+B1607)^3*B1607*'DCF Base Case'!$B$4</f>
        <v>41.5057849680792</v>
      </c>
      <c r="N1607" s="24" t="n">
        <f aca="false">'DCF Base Case'!$B$2*(1+B1607)^5*$I1607-'DCF Base Case'!$B$2*(1+B1607)^4*B1607*'DCF Base Case'!$B$4</f>
        <v>45.902666067809</v>
      </c>
      <c r="O1607" s="24" t="n">
        <f aca="false">J1607/(1+H1607)^1+K1607/(1+H1607)^2+L1607/(1+H1607)^3+M1607/(1+H1607)^4+N1607/(1+H1607)^5</f>
        <v>146.204940658599</v>
      </c>
      <c r="P1607" s="24" t="n">
        <f aca="false">N1607*(1+F1607)/(H1607-F1607)</f>
        <v>714.437009465888</v>
      </c>
      <c r="Q1607" s="24" t="n">
        <f aca="false">O1607+P1607/(1+H1607)^5</f>
        <v>617.289989036589</v>
      </c>
      <c r="R1607" s="24" t="n">
        <f aca="false">Q1607-'DCF Base Case'!$B$5</f>
        <v>432.289989036589</v>
      </c>
      <c r="S1607" s="32" t="n">
        <f aca="false">R1607/'DCF Base Case'!$B$6</f>
        <v>17.2915995614636</v>
      </c>
    </row>
    <row r="1608" customFormat="false" ht="15" hidden="false" customHeight="true" outlineLevel="0" collapsed="false">
      <c r="A1608" s="6" t="n">
        <v>1607</v>
      </c>
      <c r="B1608" s="30" t="n">
        <v>0.0729395097901852</v>
      </c>
      <c r="C1608" s="30" t="n">
        <v>0.396716360196404</v>
      </c>
      <c r="D1608" s="30" t="n">
        <v>0.0727663180331623</v>
      </c>
      <c r="E1608" s="30" t="n">
        <v>0.295627890619987</v>
      </c>
      <c r="F1608" s="30" t="n">
        <v>0.0193965579356712</v>
      </c>
      <c r="G1608" s="30" t="n">
        <v>0.15791129595267</v>
      </c>
      <c r="H1608" s="31" t="n">
        <f aca="false">MAX(D1608,F1608+0.015)</f>
        <v>0.0727663180331623</v>
      </c>
      <c r="I1608" s="25" t="n">
        <f aca="false">(C1608-'DCF Base Case'!$B$3)*(1-E1608)+'DCF Base Case'!$B$3-G1608</f>
        <v>0.15995626928503</v>
      </c>
      <c r="J1608" s="24" t="n">
        <f aca="false">'DCF Base Case'!$B$2*(1+B1608)^1*$I1608-'DCF Base Case'!$B$2*(1+B1608)^0*B1608*'DCF Base Case'!$B$4</f>
        <v>24.5681062998221</v>
      </c>
      <c r="K1608" s="24" t="n">
        <f aca="false">'DCF Base Case'!$B$2*(1+B1608)^2*$I1608-'DCF Base Case'!$B$2*(1+B1608)^1*B1608*'DCF Base Case'!$B$4</f>
        <v>26.3600919298043</v>
      </c>
      <c r="L1608" s="24" t="n">
        <f aca="false">'DCF Base Case'!$B$2*(1+B1608)^3*$I1608-'DCF Base Case'!$B$2*(1+B1608)^2*B1608*'DCF Base Case'!$B$4</f>
        <v>28.2827841131884</v>
      </c>
      <c r="M1608" s="24" t="n">
        <f aca="false">'DCF Base Case'!$B$2*(1+B1608)^4*$I1608-'DCF Base Case'!$B$2*(1+B1608)^3*B1608*'DCF Base Case'!$B$4</f>
        <v>30.345716521906</v>
      </c>
      <c r="N1608" s="24" t="n">
        <f aca="false">'DCF Base Case'!$B$2*(1+B1608)^5*$I1608-'DCF Base Case'!$B$2*(1+B1608)^4*B1608*'DCF Base Case'!$B$4</f>
        <v>32.5591182092457</v>
      </c>
      <c r="O1608" s="24" t="n">
        <f aca="false">J1608/(1+H1608)^1+K1608/(1+H1608)^2+L1608/(1+H1608)^3+M1608/(1+H1608)^4+N1608/(1+H1608)^5</f>
        <v>114.545171289795</v>
      </c>
      <c r="P1608" s="24" t="n">
        <f aca="false">N1608*(1+F1608)/(H1608-F1608)</f>
        <v>621.899985521689</v>
      </c>
      <c r="Q1608" s="24" t="n">
        <f aca="false">O1608+P1608/(1+H1608)^5</f>
        <v>552.263668771216</v>
      </c>
      <c r="R1608" s="24" t="n">
        <f aca="false">Q1608-'DCF Base Case'!$B$5</f>
        <v>367.263668771216</v>
      </c>
      <c r="S1608" s="32" t="n">
        <f aca="false">R1608/'DCF Base Case'!$B$6</f>
        <v>14.6905467508487</v>
      </c>
    </row>
    <row r="1609" customFormat="false" ht="15" hidden="false" customHeight="true" outlineLevel="0" collapsed="false">
      <c r="A1609" s="6" t="n">
        <v>1608</v>
      </c>
      <c r="B1609" s="30" t="n">
        <v>0.0777799238516412</v>
      </c>
      <c r="C1609" s="30" t="n">
        <v>0.420414867421999</v>
      </c>
      <c r="D1609" s="30" t="n">
        <v>0.0935849299867108</v>
      </c>
      <c r="E1609" s="30" t="n">
        <v>0.256854841278113</v>
      </c>
      <c r="F1609" s="30" t="n">
        <v>0.0141608146214316</v>
      </c>
      <c r="G1609" s="30" t="n">
        <v>0.18807075451903</v>
      </c>
      <c r="H1609" s="31" t="n">
        <f aca="false">MAX(D1609,F1609+0.015)</f>
        <v>0.0935849299867108</v>
      </c>
      <c r="I1609" s="25" t="n">
        <f aca="false">(C1609-'DCF Base Case'!$B$3)*(1-E1609)+'DCF Base Case'!$B$3-G1609</f>
        <v>0.157749648226487</v>
      </c>
      <c r="J1609" s="24" t="n">
        <f aca="false">'DCF Base Case'!$B$2*(1+B1609)^1*$I1609-'DCF Base Case'!$B$2*(1+B1609)^0*B1609*'DCF Base Case'!$B$4</f>
        <v>24.3144708899545</v>
      </c>
      <c r="K1609" s="24" t="n">
        <f aca="false">'DCF Base Case'!$B$2*(1+B1609)^2*$I1609-'DCF Base Case'!$B$2*(1+B1609)^1*B1609*'DCF Base Case'!$B$4</f>
        <v>26.2056485842681</v>
      </c>
      <c r="L1609" s="24" t="n">
        <f aca="false">'DCF Base Case'!$B$2*(1+B1609)^3*$I1609-'DCF Base Case'!$B$2*(1+B1609)^2*B1609*'DCF Base Case'!$B$4</f>
        <v>28.2439219356354</v>
      </c>
      <c r="M1609" s="24" t="n">
        <f aca="false">'DCF Base Case'!$B$2*(1+B1609)^4*$I1609-'DCF Base Case'!$B$2*(1+B1609)^3*B1609*'DCF Base Case'!$B$4</f>
        <v>30.4407320330608</v>
      </c>
      <c r="N1609" s="24" t="n">
        <f aca="false">'DCF Base Case'!$B$2*(1+B1609)^5*$I1609-'DCF Base Case'!$B$2*(1+B1609)^4*B1609*'DCF Base Case'!$B$4</f>
        <v>32.8084098525805</v>
      </c>
      <c r="O1609" s="24" t="n">
        <f aca="false">J1609/(1+H1609)^1+K1609/(1+H1609)^2+L1609/(1+H1609)^3+M1609/(1+H1609)^4+N1609/(1+H1609)^5</f>
        <v>108.001426916112</v>
      </c>
      <c r="P1609" s="24" t="n">
        <f aca="false">N1609*(1+F1609)/(H1609-F1609)</f>
        <v>418.928224878566</v>
      </c>
      <c r="Q1609" s="24" t="n">
        <f aca="false">O1609+P1609/(1+H1609)^5</f>
        <v>375.842414234251</v>
      </c>
      <c r="R1609" s="24" t="n">
        <f aca="false">Q1609-'DCF Base Case'!$B$5</f>
        <v>190.842414234251</v>
      </c>
      <c r="S1609" s="32" t="n">
        <f aca="false">R1609/'DCF Base Case'!$B$6</f>
        <v>7.63369656937004</v>
      </c>
    </row>
    <row r="1610" customFormat="false" ht="15" hidden="false" customHeight="true" outlineLevel="0" collapsed="false">
      <c r="A1610" s="6" t="n">
        <v>1609</v>
      </c>
      <c r="B1610" s="30" t="n">
        <v>0.0605602858252528</v>
      </c>
      <c r="C1610" s="30" t="n">
        <v>0.415457503956763</v>
      </c>
      <c r="D1610" s="30" t="n">
        <v>0.102786001186294</v>
      </c>
      <c r="E1610" s="30" t="n">
        <v>0.327158942141417</v>
      </c>
      <c r="F1610" s="30" t="n">
        <v>0.0220021511581179</v>
      </c>
      <c r="G1610" s="30" t="n">
        <v>0.182114276087361</v>
      </c>
      <c r="H1610" s="31" t="n">
        <f aca="false">MAX(D1610,F1610+0.015)</f>
        <v>0.102786001186294</v>
      </c>
      <c r="I1610" s="25" t="n">
        <f aca="false">(C1610-'DCF Base Case'!$B$3)*(1-E1610)+'DCF Base Case'!$B$3-G1610</f>
        <v>0.139953252848578</v>
      </c>
      <c r="J1610" s="24" t="n">
        <f aca="false">'DCF Base Case'!$B$2*(1+B1610)^1*$I1610-'DCF Base Case'!$B$2*(1+B1610)^0*B1610*'DCF Base Case'!$B$4</f>
        <v>21.2587477239331</v>
      </c>
      <c r="K1610" s="24" t="n">
        <f aca="false">'DCF Base Case'!$B$2*(1+B1610)^2*$I1610-'DCF Base Case'!$B$2*(1+B1610)^1*B1610*'DCF Base Case'!$B$4</f>
        <v>22.5461835623815</v>
      </c>
      <c r="L1610" s="24" t="n">
        <f aca="false">'DCF Base Case'!$B$2*(1+B1610)^3*$I1610-'DCF Base Case'!$B$2*(1+B1610)^2*B1610*'DCF Base Case'!$B$4</f>
        <v>23.9115868831879</v>
      </c>
      <c r="M1610" s="24" t="n">
        <f aca="false">'DCF Base Case'!$B$2*(1+B1610)^4*$I1610-'DCF Base Case'!$B$2*(1+B1610)^3*B1610*'DCF Base Case'!$B$4</f>
        <v>25.3596794193691</v>
      </c>
      <c r="N1610" s="24" t="n">
        <f aca="false">'DCF Base Case'!$B$2*(1+B1610)^5*$I1610-'DCF Base Case'!$B$2*(1+B1610)^4*B1610*'DCF Base Case'!$B$4</f>
        <v>26.8954688534429</v>
      </c>
      <c r="O1610" s="24" t="n">
        <f aca="false">J1610/(1+H1610)^1+K1610/(1+H1610)^2+L1610/(1+H1610)^3+M1610/(1+H1610)^4+N1610/(1+H1610)^5</f>
        <v>89.2825219017127</v>
      </c>
      <c r="P1610" s="24" t="n">
        <f aca="false">N1610*(1+F1610)/(H1610-F1610)</f>
        <v>340.256462337926</v>
      </c>
      <c r="Q1610" s="24" t="n">
        <f aca="false">O1610+P1610/(1+H1610)^5</f>
        <v>297.899744769186</v>
      </c>
      <c r="R1610" s="24" t="n">
        <f aca="false">Q1610-'DCF Base Case'!$B$5</f>
        <v>112.899744769186</v>
      </c>
      <c r="S1610" s="32" t="n">
        <f aca="false">R1610/'DCF Base Case'!$B$6</f>
        <v>4.51598979076744</v>
      </c>
    </row>
    <row r="1611" customFormat="false" ht="15" hidden="false" customHeight="true" outlineLevel="0" collapsed="false">
      <c r="A1611" s="6" t="n">
        <v>1610</v>
      </c>
      <c r="B1611" s="30" t="n">
        <v>0.132201262725162</v>
      </c>
      <c r="C1611" s="30" t="n">
        <v>0.382041319299024</v>
      </c>
      <c r="D1611" s="30" t="n">
        <v>0.079892307563113</v>
      </c>
      <c r="E1611" s="30" t="n">
        <v>0.305716680972243</v>
      </c>
      <c r="F1611" s="30" t="n">
        <v>0.0180244188801498</v>
      </c>
      <c r="G1611" s="30" t="n">
        <v>0.194599759641281</v>
      </c>
      <c r="H1611" s="31" t="n">
        <f aca="false">MAX(D1611,F1611+0.015)</f>
        <v>0.079892307563113</v>
      </c>
      <c r="I1611" s="25" t="n">
        <f aca="false">(C1611-'DCF Base Case'!$B$3)*(1-E1611)+'DCF Base Case'!$B$3-G1611</f>
        <v>0.11038832405378</v>
      </c>
      <c r="J1611" s="24" t="n">
        <f aca="false">'DCF Base Case'!$B$2*(1+B1611)^1*$I1611-'DCF Base Case'!$B$2*(1+B1611)^0*B1611*'DCF Base Case'!$B$4</f>
        <v>17.5472854902971</v>
      </c>
      <c r="K1611" s="24" t="n">
        <f aca="false">'DCF Base Case'!$B$2*(1+B1611)^2*$I1611-'DCF Base Case'!$B$2*(1+B1611)^1*B1611*'DCF Base Case'!$B$4</f>
        <v>19.8670587895133</v>
      </c>
      <c r="L1611" s="24" t="n">
        <f aca="false">'DCF Base Case'!$B$2*(1+B1611)^3*$I1611-'DCF Base Case'!$B$2*(1+B1611)^2*B1611*'DCF Base Case'!$B$4</f>
        <v>22.493509048122</v>
      </c>
      <c r="M1611" s="24" t="n">
        <f aca="false">'DCF Base Case'!$B$2*(1+B1611)^4*$I1611-'DCF Base Case'!$B$2*(1+B1611)^3*B1611*'DCF Base Case'!$B$4</f>
        <v>25.4671793474036</v>
      </c>
      <c r="N1611" s="24" t="n">
        <f aca="false">'DCF Base Case'!$B$2*(1+B1611)^5*$I1611-'DCF Base Case'!$B$2*(1+B1611)^4*B1611*'DCF Base Case'!$B$4</f>
        <v>28.8339726151786</v>
      </c>
      <c r="O1611" s="24" t="n">
        <f aca="false">J1611/(1+H1611)^1+K1611/(1+H1611)^2+L1611/(1+H1611)^3+M1611/(1+H1611)^4+N1611/(1+H1611)^5</f>
        <v>89.5070297781879</v>
      </c>
      <c r="P1611" s="24" t="n">
        <f aca="false">N1611*(1+F1611)/(H1611-F1611)</f>
        <v>474.457571455102</v>
      </c>
      <c r="Q1611" s="24" t="n">
        <f aca="false">O1611+P1611/(1+H1611)^5</f>
        <v>412.57592292374</v>
      </c>
      <c r="R1611" s="24" t="n">
        <f aca="false">Q1611-'DCF Base Case'!$B$5</f>
        <v>227.57592292374</v>
      </c>
      <c r="S1611" s="32" t="n">
        <f aca="false">R1611/'DCF Base Case'!$B$6</f>
        <v>9.1030369169496</v>
      </c>
    </row>
    <row r="1612" customFormat="false" ht="15" hidden="false" customHeight="true" outlineLevel="0" collapsed="false">
      <c r="A1612" s="6" t="n">
        <v>1611</v>
      </c>
      <c r="B1612" s="30" t="n">
        <v>0.089208944971259</v>
      </c>
      <c r="C1612" s="30" t="n">
        <v>0.417113119699725</v>
      </c>
      <c r="D1612" s="30" t="n">
        <v>0.0819785786932947</v>
      </c>
      <c r="E1612" s="30" t="n">
        <v>0.266792472459343</v>
      </c>
      <c r="F1612" s="30" t="n">
        <v>0.0171502817380638</v>
      </c>
      <c r="G1612" s="30" t="n">
        <v>0.171432630294317</v>
      </c>
      <c r="H1612" s="31" t="n">
        <f aca="false">MAX(D1612,F1612+0.015)</f>
        <v>0.0819785786932947</v>
      </c>
      <c r="I1612" s="25" t="n">
        <f aca="false">(C1612-'DCF Base Case'!$B$3)*(1-E1612)+'DCF Base Case'!$B$3-G1612</f>
        <v>0.169080870325203</v>
      </c>
      <c r="J1612" s="24" t="n">
        <f aca="false">'DCF Base Case'!$B$2*(1+B1612)^1*$I1612-'DCF Base Case'!$B$2*(1+B1612)^0*B1612*'DCF Base Case'!$B$4</f>
        <v>26.3157785647268</v>
      </c>
      <c r="K1612" s="24" t="n">
        <f aca="false">'DCF Base Case'!$B$2*(1+B1612)^2*$I1612-'DCF Base Case'!$B$2*(1+B1612)^1*B1612*'DCF Base Case'!$B$4</f>
        <v>28.6633814065834</v>
      </c>
      <c r="L1612" s="24" t="n">
        <f aca="false">'DCF Base Case'!$B$2*(1+B1612)^3*$I1612-'DCF Base Case'!$B$2*(1+B1612)^2*B1612*'DCF Base Case'!$B$4</f>
        <v>31.2204114211735</v>
      </c>
      <c r="M1612" s="24" t="n">
        <f aca="false">'DCF Base Case'!$B$2*(1+B1612)^4*$I1612-'DCF Base Case'!$B$2*(1+B1612)^3*B1612*'DCF Base Case'!$B$4</f>
        <v>34.005551385625</v>
      </c>
      <c r="N1612" s="24" t="n">
        <f aca="false">'DCF Base Case'!$B$2*(1+B1612)^5*$I1612-'DCF Base Case'!$B$2*(1+B1612)^4*B1612*'DCF Base Case'!$B$4</f>
        <v>37.0391507479026</v>
      </c>
      <c r="O1612" s="24" t="n">
        <f aca="false">J1612/(1+H1612)^1+K1612/(1+H1612)^2+L1612/(1+H1612)^3+M1612/(1+H1612)^4+N1612/(1+H1612)^5</f>
        <v>123.245736230711</v>
      </c>
      <c r="P1612" s="24" t="n">
        <f aca="false">N1612*(1+F1612)/(H1612-F1612)</f>
        <v>581.141020017615</v>
      </c>
      <c r="Q1612" s="24" t="n">
        <f aca="false">O1612+P1612/(1+H1612)^5</f>
        <v>515.157426756693</v>
      </c>
      <c r="R1612" s="24" t="n">
        <f aca="false">Q1612-'DCF Base Case'!$B$5</f>
        <v>330.157426756693</v>
      </c>
      <c r="S1612" s="32" t="n">
        <f aca="false">R1612/'DCF Base Case'!$B$6</f>
        <v>13.2062970702677</v>
      </c>
    </row>
    <row r="1613" customFormat="false" ht="15" hidden="false" customHeight="true" outlineLevel="0" collapsed="false">
      <c r="A1613" s="6" t="n">
        <v>1612</v>
      </c>
      <c r="B1613" s="30" t="n">
        <v>0.0731133192916019</v>
      </c>
      <c r="C1613" s="30" t="n">
        <v>0.427317820251357</v>
      </c>
      <c r="D1613" s="30" t="n">
        <v>0.0921854851706311</v>
      </c>
      <c r="E1613" s="30" t="n">
        <v>0.313334580454783</v>
      </c>
      <c r="F1613" s="30" t="n">
        <v>0.0147598689803765</v>
      </c>
      <c r="G1613" s="30" t="n">
        <v>0.133358849495203</v>
      </c>
      <c r="H1613" s="31" t="n">
        <f aca="false">MAX(D1613,F1613+0.015)</f>
        <v>0.0921854851706311</v>
      </c>
      <c r="I1613" s="25" t="n">
        <f aca="false">(C1613-'DCF Base Case'!$B$3)*(1-E1613)+'DCF Base Case'!$B$3-G1613</f>
        <v>0.200799016285964</v>
      </c>
      <c r="J1613" s="24" t="n">
        <f aca="false">'DCF Base Case'!$B$2*(1+B1613)^1*$I1613-'DCF Base Case'!$B$2*(1+B1613)^0*B1613*'DCF Base Case'!$B$4</f>
        <v>30.9265713982639</v>
      </c>
      <c r="K1613" s="24" t="n">
        <f aca="false">'DCF Base Case'!$B$2*(1+B1613)^2*$I1613-'DCF Base Case'!$B$2*(1+B1613)^1*B1613*'DCF Base Case'!$B$4</f>
        <v>33.1877156874997</v>
      </c>
      <c r="L1613" s="24" t="n">
        <f aca="false">'DCF Base Case'!$B$2*(1+B1613)^3*$I1613-'DCF Base Case'!$B$2*(1+B1613)^2*B1613*'DCF Base Case'!$B$4</f>
        <v>35.6141797411188</v>
      </c>
      <c r="M1613" s="24" t="n">
        <f aca="false">'DCF Base Case'!$B$2*(1+B1613)^4*$I1613-'DCF Base Case'!$B$2*(1+B1613)^3*B1613*'DCF Base Case'!$B$4</f>
        <v>38.2180506358397</v>
      </c>
      <c r="N1613" s="24" t="n">
        <f aca="false">'DCF Base Case'!$B$2*(1+B1613)^5*$I1613-'DCF Base Case'!$B$2*(1+B1613)^4*B1613*'DCF Base Case'!$B$4</f>
        <v>41.0122991746804</v>
      </c>
      <c r="O1613" s="24" t="n">
        <f aca="false">J1613/(1+H1613)^1+K1613/(1+H1613)^2+L1613/(1+H1613)^3+M1613/(1+H1613)^4+N1613/(1+H1613)^5</f>
        <v>136.722037386933</v>
      </c>
      <c r="P1613" s="24" t="n">
        <f aca="false">N1613*(1+F1613)/(H1613-F1613)</f>
        <v>537.517650938902</v>
      </c>
      <c r="Q1613" s="24" t="n">
        <f aca="false">O1613+P1613/(1+H1613)^5</f>
        <v>482.590311824792</v>
      </c>
      <c r="R1613" s="24" t="n">
        <f aca="false">Q1613-'DCF Base Case'!$B$5</f>
        <v>297.590311824792</v>
      </c>
      <c r="S1613" s="32" t="n">
        <f aca="false">R1613/'DCF Base Case'!$B$6</f>
        <v>11.9036124729917</v>
      </c>
    </row>
    <row r="1614" customFormat="false" ht="15" hidden="false" customHeight="true" outlineLevel="0" collapsed="false">
      <c r="A1614" s="6" t="n">
        <v>1613</v>
      </c>
      <c r="B1614" s="30" t="n">
        <v>0.0899164366706617</v>
      </c>
      <c r="C1614" s="30" t="n">
        <v>0.456353657780707</v>
      </c>
      <c r="D1614" s="30" t="n">
        <v>0.0989282965590403</v>
      </c>
      <c r="E1614" s="30" t="n">
        <v>0.266139422454095</v>
      </c>
      <c r="F1614" s="30" t="n">
        <v>0.0208632087216933</v>
      </c>
      <c r="G1614" s="30" t="n">
        <v>0.182575415932198</v>
      </c>
      <c r="H1614" s="31" t="n">
        <f aca="false">MAX(D1614,F1614+0.015)</f>
        <v>0.0989282965590403</v>
      </c>
      <c r="I1614" s="25" t="n">
        <f aca="false">(C1614-'DCF Base Case'!$B$3)*(1-E1614)+'DCF Base Case'!$B$3-G1614</f>
        <v>0.18692266785097</v>
      </c>
      <c r="J1614" s="24" t="n">
        <f aca="false">'DCF Base Case'!$B$2*(1+B1614)^1*$I1614-'DCF Base Case'!$B$2*(1+B1614)^0*B1614*'DCF Base Case'!$B$4</f>
        <v>29.1497262716626</v>
      </c>
      <c r="K1614" s="24" t="n">
        <f aca="false">'DCF Base Case'!$B$2*(1+B1614)^2*$I1614-'DCF Base Case'!$B$2*(1+B1614)^1*B1614*'DCF Base Case'!$B$4</f>
        <v>31.7707657879357</v>
      </c>
      <c r="L1614" s="24" t="n">
        <f aca="false">'DCF Base Case'!$B$2*(1+B1614)^3*$I1614-'DCF Base Case'!$B$2*(1+B1614)^2*B1614*'DCF Base Case'!$B$4</f>
        <v>34.627479837885</v>
      </c>
      <c r="M1614" s="24" t="n">
        <f aca="false">'DCF Base Case'!$B$2*(1+B1614)^4*$I1614-'DCF Base Case'!$B$2*(1+B1614)^3*B1614*'DCF Base Case'!$B$4</f>
        <v>37.7410594357928</v>
      </c>
      <c r="N1614" s="24" t="n">
        <f aca="false">'DCF Base Case'!$B$2*(1+B1614)^5*$I1614-'DCF Base Case'!$B$2*(1+B1614)^4*B1614*'DCF Base Case'!$B$4</f>
        <v>41.1346010164349</v>
      </c>
      <c r="O1614" s="24" t="n">
        <f aca="false">J1614/(1+H1614)^1+K1614/(1+H1614)^2+L1614/(1+H1614)^3+M1614/(1+H1614)^4+N1614/(1+H1614)^5</f>
        <v>130.470482244277</v>
      </c>
      <c r="P1614" s="24" t="n">
        <f aca="false">N1614*(1+F1614)/(H1614-F1614)</f>
        <v>537.920368073098</v>
      </c>
      <c r="Q1614" s="24" t="n">
        <f aca="false">O1614+P1614/(1+H1614)^5</f>
        <v>466.108546379756</v>
      </c>
      <c r="R1614" s="24" t="n">
        <f aca="false">Q1614-'DCF Base Case'!$B$5</f>
        <v>281.108546379756</v>
      </c>
      <c r="S1614" s="32" t="n">
        <f aca="false">R1614/'DCF Base Case'!$B$6</f>
        <v>11.2443418551902</v>
      </c>
    </row>
    <row r="1615" customFormat="false" ht="15" hidden="false" customHeight="true" outlineLevel="0" collapsed="false">
      <c r="A1615" s="6" t="n">
        <v>1614</v>
      </c>
      <c r="B1615" s="30" t="n">
        <v>0.0606875918792447</v>
      </c>
      <c r="C1615" s="30" t="n">
        <v>0.430970294580069</v>
      </c>
      <c r="D1615" s="30" t="n">
        <v>0.0831583346049697</v>
      </c>
      <c r="E1615" s="30" t="n">
        <v>0.277146336049027</v>
      </c>
      <c r="F1615" s="30" t="n">
        <v>0.0194424767433447</v>
      </c>
      <c r="G1615" s="30" t="n">
        <v>0.192482748973697</v>
      </c>
      <c r="H1615" s="31" t="n">
        <f aca="false">MAX(D1615,F1615+0.015)</f>
        <v>0.0831583346049697</v>
      </c>
      <c r="I1615" s="25" t="n">
        <f aca="false">(C1615-'DCF Base Case'!$B$3)*(1-E1615)+'DCF Base Case'!$B$3-G1615</f>
        <v>0.15507473120391</v>
      </c>
      <c r="J1615" s="24" t="n">
        <f aca="false">'DCF Base Case'!$B$2*(1+B1615)^1*$I1615-'DCF Base Case'!$B$2*(1+B1615)^0*B1615*'DCF Base Case'!$B$4</f>
        <v>23.5864562396147</v>
      </c>
      <c r="K1615" s="24" t="n">
        <f aca="false">'DCF Base Case'!$B$2*(1+B1615)^2*$I1615-'DCF Base Case'!$B$2*(1+B1615)^1*B1615*'DCF Base Case'!$B$4</f>
        <v>25.0178614697621</v>
      </c>
      <c r="L1615" s="24" t="n">
        <f aca="false">'DCF Base Case'!$B$2*(1+B1615)^3*$I1615-'DCF Base Case'!$B$2*(1+B1615)^2*B1615*'DCF Base Case'!$B$4</f>
        <v>26.5361352363305</v>
      </c>
      <c r="M1615" s="24" t="n">
        <f aca="false">'DCF Base Case'!$B$2*(1+B1615)^4*$I1615-'DCF Base Case'!$B$2*(1+B1615)^3*B1615*'DCF Base Case'!$B$4</f>
        <v>28.1465493816054</v>
      </c>
      <c r="N1615" s="24" t="n">
        <f aca="false">'DCF Base Case'!$B$2*(1+B1615)^5*$I1615-'DCF Base Case'!$B$2*(1+B1615)^4*B1615*'DCF Base Case'!$B$4</f>
        <v>29.8546956832853</v>
      </c>
      <c r="O1615" s="24" t="n">
        <f aca="false">J1615/(1+H1615)^1+K1615/(1+H1615)^2+L1615/(1+H1615)^3+M1615/(1+H1615)^4+N1615/(1+H1615)^5</f>
        <v>104.453424861952</v>
      </c>
      <c r="P1615" s="24" t="n">
        <f aca="false">N1615*(1+F1615)/(H1615-F1615)</f>
        <v>477.669860082316</v>
      </c>
      <c r="Q1615" s="24" t="n">
        <f aca="false">O1615+P1615/(1+H1615)^5</f>
        <v>424.835426162252</v>
      </c>
      <c r="R1615" s="24" t="n">
        <f aca="false">Q1615-'DCF Base Case'!$B$5</f>
        <v>239.835426162252</v>
      </c>
      <c r="S1615" s="32" t="n">
        <f aca="false">R1615/'DCF Base Case'!$B$6</f>
        <v>9.5934170464901</v>
      </c>
    </row>
    <row r="1616" customFormat="false" ht="15" hidden="false" customHeight="true" outlineLevel="0" collapsed="false">
      <c r="A1616" s="6" t="n">
        <v>1615</v>
      </c>
      <c r="B1616" s="30" t="n">
        <v>0.0735462252882336</v>
      </c>
      <c r="C1616" s="30" t="n">
        <v>0.373684037148951</v>
      </c>
      <c r="D1616" s="30" t="n">
        <v>0.0885525082219005</v>
      </c>
      <c r="E1616" s="30" t="n">
        <v>0.24671461616669</v>
      </c>
      <c r="F1616" s="30" t="n">
        <v>0.0181726284767844</v>
      </c>
      <c r="G1616" s="30" t="n">
        <v>0.193432508026009</v>
      </c>
      <c r="H1616" s="31" t="n">
        <f aca="false">MAX(D1616,F1616+0.015)</f>
        <v>0.0885525082219005</v>
      </c>
      <c r="I1616" s="25" t="n">
        <f aca="false">(C1616-'DCF Base Case'!$B$3)*(1-E1616)+'DCF Base Case'!$B$3-G1616</f>
        <v>0.120131115431789</v>
      </c>
      <c r="J1616" s="24" t="n">
        <f aca="false">'DCF Base Case'!$B$2*(1+B1616)^1*$I1616-'DCF Base Case'!$B$2*(1+B1616)^0*B1616*'DCF Base Case'!$B$4</f>
        <v>18.3801882191582</v>
      </c>
      <c r="K1616" s="24" t="n">
        <f aca="false">'DCF Base Case'!$B$2*(1+B1616)^2*$I1616-'DCF Base Case'!$B$2*(1+B1616)^1*B1616*'DCF Base Case'!$B$4</f>
        <v>19.7319816827646</v>
      </c>
      <c r="L1616" s="24" t="n">
        <f aca="false">'DCF Base Case'!$B$2*(1+B1616)^3*$I1616-'DCF Base Case'!$B$2*(1+B1616)^2*B1616*'DCF Base Case'!$B$4</f>
        <v>21.1831944529885</v>
      </c>
      <c r="M1616" s="24" t="n">
        <f aca="false">'DCF Base Case'!$B$2*(1+B1616)^4*$I1616-'DCF Base Case'!$B$2*(1+B1616)^3*B1616*'DCF Base Case'!$B$4</f>
        <v>22.7411384445524</v>
      </c>
      <c r="N1616" s="24" t="n">
        <f aca="false">'DCF Base Case'!$B$2*(1+B1616)^5*$I1616-'DCF Base Case'!$B$2*(1+B1616)^4*B1616*'DCF Base Case'!$B$4</f>
        <v>24.4136633359064</v>
      </c>
      <c r="O1616" s="24" t="n">
        <f aca="false">J1616/(1+H1616)^1+K1616/(1+H1616)^2+L1616/(1+H1616)^3+M1616/(1+H1616)^4+N1616/(1+H1616)^5</f>
        <v>82.1290863183475</v>
      </c>
      <c r="P1616" s="24" t="n">
        <f aca="false">N1616*(1+F1616)/(H1616-F1616)</f>
        <v>353.187926144361</v>
      </c>
      <c r="Q1616" s="24" t="n">
        <f aca="false">O1616+P1616/(1+H1616)^5</f>
        <v>313.207264277023</v>
      </c>
      <c r="R1616" s="24" t="n">
        <f aca="false">Q1616-'DCF Base Case'!$B$5</f>
        <v>128.207264277023</v>
      </c>
      <c r="S1616" s="32" t="n">
        <f aca="false">R1616/'DCF Base Case'!$B$6</f>
        <v>5.12829057108092</v>
      </c>
    </row>
    <row r="1617" customFormat="false" ht="15" hidden="false" customHeight="true" outlineLevel="0" collapsed="false">
      <c r="A1617" s="6" t="n">
        <v>1616</v>
      </c>
      <c r="B1617" s="30" t="n">
        <v>0.102499139562201</v>
      </c>
      <c r="C1617" s="30" t="n">
        <v>0.438166331628778</v>
      </c>
      <c r="D1617" s="30" t="n">
        <v>0.0918238650172311</v>
      </c>
      <c r="E1617" s="30" t="n">
        <v>0.341117848804392</v>
      </c>
      <c r="F1617" s="30" t="n">
        <v>0.0169772847822657</v>
      </c>
      <c r="G1617" s="30" t="n">
        <v>0.174485174104089</v>
      </c>
      <c r="H1617" s="31" t="n">
        <f aca="false">MAX(D1617,F1617+0.015)</f>
        <v>0.0918238650172311</v>
      </c>
      <c r="I1617" s="25" t="n">
        <f aca="false">(C1617-'DCF Base Case'!$B$3)*(1-E1617)+'DCF Base Case'!$B$3-G1617</f>
        <v>0.158560121405539</v>
      </c>
      <c r="J1617" s="24" t="n">
        <f aca="false">'DCF Base Case'!$B$2*(1+B1617)^1*$I1617-'DCF Base Case'!$B$2*(1+B1617)^0*B1617*'DCF Base Case'!$B$4</f>
        <v>24.9019263685848</v>
      </c>
      <c r="K1617" s="24" t="n">
        <f aca="false">'DCF Base Case'!$B$2*(1+B1617)^2*$I1617-'DCF Base Case'!$B$2*(1+B1617)^1*B1617*'DCF Base Case'!$B$4</f>
        <v>27.454352394806</v>
      </c>
      <c r="L1617" s="24" t="n">
        <f aca="false">'DCF Base Case'!$B$2*(1+B1617)^3*$I1617-'DCF Base Case'!$B$2*(1+B1617)^2*B1617*'DCF Base Case'!$B$4</f>
        <v>30.2683998925111</v>
      </c>
      <c r="M1617" s="24" t="n">
        <f aca="false">'DCF Base Case'!$B$2*(1+B1617)^4*$I1617-'DCF Base Case'!$B$2*(1+B1617)^3*B1617*'DCF Base Case'!$B$4</f>
        <v>33.3708848374181</v>
      </c>
      <c r="N1617" s="24" t="n">
        <f aca="false">'DCF Base Case'!$B$2*(1+B1617)^5*$I1617-'DCF Base Case'!$B$2*(1+B1617)^4*B1617*'DCF Base Case'!$B$4</f>
        <v>36.7913718196827</v>
      </c>
      <c r="O1617" s="24" t="n">
        <f aca="false">J1617/(1+H1617)^1+K1617/(1+H1617)^2+L1617/(1+H1617)^3+M1617/(1+H1617)^4+N1617/(1+H1617)^5</f>
        <v>116.290124027069</v>
      </c>
      <c r="P1617" s="24" t="n">
        <f aca="false">N1617*(1+F1617)/(H1617-F1617)</f>
        <v>499.902457789467</v>
      </c>
      <c r="Q1617" s="24" t="n">
        <f aca="false">O1617+P1617/(1+H1617)^5</f>
        <v>438.487766021405</v>
      </c>
      <c r="R1617" s="24" t="n">
        <f aca="false">Q1617-'DCF Base Case'!$B$5</f>
        <v>253.487766021405</v>
      </c>
      <c r="S1617" s="32" t="n">
        <f aca="false">R1617/'DCF Base Case'!$B$6</f>
        <v>10.1395106408562</v>
      </c>
    </row>
    <row r="1618" customFormat="false" ht="15" hidden="false" customHeight="true" outlineLevel="0" collapsed="false">
      <c r="A1618" s="6" t="n">
        <v>1617</v>
      </c>
      <c r="B1618" s="30" t="n">
        <v>0.0806601449651228</v>
      </c>
      <c r="C1618" s="30" t="n">
        <v>0.42975046055185</v>
      </c>
      <c r="D1618" s="30" t="n">
        <v>0.0843226763634446</v>
      </c>
      <c r="E1618" s="30" t="n">
        <v>0.329410415875447</v>
      </c>
      <c r="F1618" s="30" t="n">
        <v>0.0172187466506779</v>
      </c>
      <c r="G1618" s="30" t="n">
        <v>0.198132910085223</v>
      </c>
      <c r="H1618" s="31" t="n">
        <f aca="false">MAX(D1618,F1618+0.015)</f>
        <v>0.0843226763634446</v>
      </c>
      <c r="I1618" s="25" t="n">
        <f aca="false">(C1618-'DCF Base Case'!$B$3)*(1-E1618)+'DCF Base Case'!$B$3-G1618</f>
        <v>0.132876626597385</v>
      </c>
      <c r="J1618" s="24" t="n">
        <f aca="false">'DCF Base Case'!$B$2*(1+B1618)^1*$I1618-'DCF Base Case'!$B$2*(1+B1618)^0*B1618*'DCF Base Case'!$B$4</f>
        <v>20.4703271807767</v>
      </c>
      <c r="K1618" s="24" t="n">
        <f aca="false">'DCF Base Case'!$B$2*(1+B1618)^2*$I1618-'DCF Base Case'!$B$2*(1+B1618)^1*B1618*'DCF Base Case'!$B$4</f>
        <v>22.1214667386617</v>
      </c>
      <c r="L1618" s="24" t="n">
        <f aca="false">'DCF Base Case'!$B$2*(1+B1618)^3*$I1618-'DCF Base Case'!$B$2*(1+B1618)^2*B1618*'DCF Base Case'!$B$4</f>
        <v>23.9057874526433</v>
      </c>
      <c r="M1618" s="24" t="n">
        <f aca="false">'DCF Base Case'!$B$2*(1+B1618)^4*$I1618-'DCF Base Case'!$B$2*(1+B1618)^3*B1618*'DCF Base Case'!$B$4</f>
        <v>25.8340317340789</v>
      </c>
      <c r="N1618" s="24" t="n">
        <f aca="false">'DCF Base Case'!$B$2*(1+B1618)^5*$I1618-'DCF Base Case'!$B$2*(1+B1618)^4*B1618*'DCF Base Case'!$B$4</f>
        <v>27.9178084787833</v>
      </c>
      <c r="O1618" s="24" t="n">
        <f aca="false">J1618/(1+H1618)^1+K1618/(1+H1618)^2+L1618/(1+H1618)^3+M1618/(1+H1618)^4+N1618/(1+H1618)^5</f>
        <v>93.7567207735263</v>
      </c>
      <c r="P1618" s="24" t="n">
        <f aca="false">N1618*(1+F1618)/(H1618-F1618)</f>
        <v>423.202013229021</v>
      </c>
      <c r="Q1618" s="24" t="n">
        <f aca="false">O1618+P1618/(1+H1618)^5</f>
        <v>376.085417804276</v>
      </c>
      <c r="R1618" s="24" t="n">
        <f aca="false">Q1618-'DCF Base Case'!$B$5</f>
        <v>191.085417804276</v>
      </c>
      <c r="S1618" s="32" t="n">
        <f aca="false">R1618/'DCF Base Case'!$B$6</f>
        <v>7.64341671217103</v>
      </c>
    </row>
    <row r="1619" customFormat="false" ht="15" hidden="false" customHeight="true" outlineLevel="0" collapsed="false">
      <c r="A1619" s="6" t="n">
        <v>1618</v>
      </c>
      <c r="B1619" s="30" t="n">
        <v>0.10281506430667</v>
      </c>
      <c r="C1619" s="30" t="n">
        <v>0.418497220120941</v>
      </c>
      <c r="D1619" s="30" t="n">
        <v>0.0909668657164592</v>
      </c>
      <c r="E1619" s="30" t="n">
        <v>0.287312292218127</v>
      </c>
      <c r="F1619" s="30" t="n">
        <v>0.0206171942932727</v>
      </c>
      <c r="G1619" s="30" t="n">
        <v>0.160909659372069</v>
      </c>
      <c r="H1619" s="31" t="n">
        <f aca="false">MAX(D1619,F1619+0.015)</f>
        <v>0.0909668657164592</v>
      </c>
      <c r="I1619" s="25" t="n">
        <f aca="false">(C1619-'DCF Base Case'!$B$3)*(1-E1619)+'DCF Base Case'!$B$3-G1619</f>
        <v>0.174698763137367</v>
      </c>
      <c r="J1619" s="24" t="n">
        <f aca="false">'DCF Base Case'!$B$2*(1+B1619)^1*$I1619-'DCF Base Case'!$B$2*(1+B1619)^0*B1619*'DCF Base Case'!$B$4</f>
        <v>27.4885164872925</v>
      </c>
      <c r="K1619" s="24" t="n">
        <f aca="false">'DCF Base Case'!$B$2*(1+B1619)^2*$I1619-'DCF Base Case'!$B$2*(1+B1619)^1*B1619*'DCF Base Case'!$B$4</f>
        <v>30.3147500776284</v>
      </c>
      <c r="L1619" s="24" t="n">
        <f aca="false">'DCF Base Case'!$B$2*(1+B1619)^3*$I1619-'DCF Base Case'!$B$2*(1+B1619)^2*B1619*'DCF Base Case'!$B$4</f>
        <v>33.4315630563004</v>
      </c>
      <c r="M1619" s="24" t="n">
        <f aca="false">'DCF Base Case'!$B$2*(1+B1619)^4*$I1619-'DCF Base Case'!$B$2*(1+B1619)^3*B1619*'DCF Base Case'!$B$4</f>
        <v>36.8688313618064</v>
      </c>
      <c r="N1619" s="24" t="n">
        <f aca="false">'DCF Base Case'!$B$2*(1+B1619)^5*$I1619-'DCF Base Case'!$B$2*(1+B1619)^4*B1619*'DCF Base Case'!$B$4</f>
        <v>40.6595026291823</v>
      </c>
      <c r="O1619" s="24" t="n">
        <f aca="false">J1619/(1+H1619)^1+K1619/(1+H1619)^2+L1619/(1+H1619)^3+M1619/(1+H1619)^4+N1619/(1+H1619)^5</f>
        <v>128.748647506614</v>
      </c>
      <c r="P1619" s="24" t="n">
        <f aca="false">N1619*(1+F1619)/(H1619-F1619)</f>
        <v>589.878909954351</v>
      </c>
      <c r="Q1619" s="24" t="n">
        <f aca="false">O1619+P1619/(1+H1619)^5</f>
        <v>510.433623930785</v>
      </c>
      <c r="R1619" s="24" t="n">
        <f aca="false">Q1619-'DCF Base Case'!$B$5</f>
        <v>325.433623930785</v>
      </c>
      <c r="S1619" s="32" t="n">
        <f aca="false">R1619/'DCF Base Case'!$B$6</f>
        <v>13.0173449572314</v>
      </c>
    </row>
    <row r="1620" customFormat="false" ht="15" hidden="false" customHeight="true" outlineLevel="0" collapsed="false">
      <c r="A1620" s="6" t="n">
        <v>1619</v>
      </c>
      <c r="B1620" s="30" t="n">
        <v>0.0747467919650043</v>
      </c>
      <c r="C1620" s="30" t="n">
        <v>0.401564374199052</v>
      </c>
      <c r="D1620" s="30" t="n">
        <v>0.0664854052425696</v>
      </c>
      <c r="E1620" s="30" t="n">
        <v>0.305512995944989</v>
      </c>
      <c r="F1620" s="30" t="n">
        <v>0.0143551498155401</v>
      </c>
      <c r="G1620" s="30" t="n">
        <v>0.160696647273299</v>
      </c>
      <c r="H1620" s="31" t="n">
        <f aca="false">MAX(D1620,F1620+0.015)</f>
        <v>0.0664854052425696</v>
      </c>
      <c r="I1620" s="25" t="n">
        <f aca="false">(C1620-'DCF Base Case'!$B$3)*(1-E1620)+'DCF Base Case'!$B$3-G1620</f>
        <v>0.157901281372275</v>
      </c>
      <c r="J1620" s="24" t="n">
        <f aca="false">'DCF Base Case'!$B$2*(1+B1620)^1*$I1620-'DCF Base Case'!$B$2*(1+B1620)^0*B1620*'DCF Base Case'!$B$4</f>
        <v>24.2819163172445</v>
      </c>
      <c r="K1620" s="24" t="n">
        <f aca="false">'DCF Base Case'!$B$2*(1+B1620)^2*$I1620-'DCF Base Case'!$B$2*(1+B1620)^1*B1620*'DCF Base Case'!$B$4</f>
        <v>26.0969116647212</v>
      </c>
      <c r="L1620" s="24" t="n">
        <f aca="false">'DCF Base Case'!$B$2*(1+B1620)^3*$I1620-'DCF Base Case'!$B$2*(1+B1620)^2*B1620*'DCF Base Case'!$B$4</f>
        <v>28.0475720918532</v>
      </c>
      <c r="M1620" s="24" t="n">
        <f aca="false">'DCF Base Case'!$B$2*(1+B1620)^4*$I1620-'DCF Base Case'!$B$2*(1+B1620)^3*B1620*'DCF Base Case'!$B$4</f>
        <v>30.1440381281264</v>
      </c>
      <c r="N1620" s="24" t="n">
        <f aca="false">'DCF Base Case'!$B$2*(1+B1620)^5*$I1620-'DCF Base Case'!$B$2*(1+B1620)^4*B1620*'DCF Base Case'!$B$4</f>
        <v>32.3972082750746</v>
      </c>
      <c r="O1620" s="24" t="n">
        <f aca="false">J1620/(1+H1620)^1+K1620/(1+H1620)^2+L1620/(1+H1620)^3+M1620/(1+H1620)^4+N1620/(1+H1620)^5</f>
        <v>115.618248843983</v>
      </c>
      <c r="P1620" s="24" t="n">
        <f aca="false">N1620*(1+F1620)/(H1620-F1620)</f>
        <v>630.387762044794</v>
      </c>
      <c r="Q1620" s="24" t="n">
        <f aca="false">O1620+P1620/(1+H1620)^5</f>
        <v>572.530907993318</v>
      </c>
      <c r="R1620" s="24" t="n">
        <f aca="false">Q1620-'DCF Base Case'!$B$5</f>
        <v>387.530907993318</v>
      </c>
      <c r="S1620" s="32" t="n">
        <f aca="false">R1620/'DCF Base Case'!$B$6</f>
        <v>15.5012363197327</v>
      </c>
    </row>
    <row r="1621" customFormat="false" ht="15" hidden="false" customHeight="true" outlineLevel="0" collapsed="false">
      <c r="A1621" s="6" t="n">
        <v>1620</v>
      </c>
      <c r="B1621" s="30" t="n">
        <v>0.104050180160054</v>
      </c>
      <c r="C1621" s="30" t="n">
        <v>0.435059965461056</v>
      </c>
      <c r="D1621" s="30" t="n">
        <v>0.0654788286947904</v>
      </c>
      <c r="E1621" s="30" t="n">
        <v>0.277114835511139</v>
      </c>
      <c r="F1621" s="30" t="n">
        <v>0.0209904663421184</v>
      </c>
      <c r="G1621" s="30" t="n">
        <v>0.166375867630653</v>
      </c>
      <c r="H1621" s="31" t="n">
        <f aca="false">MAX(D1621,F1621+0.015)</f>
        <v>0.0654788286947904</v>
      </c>
      <c r="I1621" s="25" t="n">
        <f aca="false">(C1621-'DCF Base Case'!$B$3)*(1-E1621)+'DCF Base Case'!$B$3-G1621</f>
        <v>0.184147455680629</v>
      </c>
      <c r="J1621" s="24" t="n">
        <f aca="false">'DCF Base Case'!$B$2*(1+B1621)^1*$I1621-'DCF Base Case'!$B$2*(1+B1621)^0*B1621*'DCF Base Case'!$B$4</f>
        <v>29.0270463012347</v>
      </c>
      <c r="K1621" s="24" t="n">
        <f aca="false">'DCF Base Case'!$B$2*(1+B1621)^2*$I1621-'DCF Base Case'!$B$2*(1+B1621)^1*B1621*'DCF Base Case'!$B$4</f>
        <v>32.0473156983925</v>
      </c>
      <c r="L1621" s="24" t="n">
        <f aca="false">'DCF Base Case'!$B$2*(1+B1621)^3*$I1621-'DCF Base Case'!$B$2*(1+B1621)^2*B1621*'DCF Base Case'!$B$4</f>
        <v>35.3818446704563</v>
      </c>
      <c r="M1621" s="24" t="n">
        <f aca="false">'DCF Base Case'!$B$2*(1+B1621)^4*$I1621-'DCF Base Case'!$B$2*(1+B1621)^3*B1621*'DCF Base Case'!$B$4</f>
        <v>39.0633319828123</v>
      </c>
      <c r="N1621" s="24" t="n">
        <f aca="false">'DCF Base Case'!$B$2*(1+B1621)^5*$I1621-'DCF Base Case'!$B$2*(1+B1621)^4*B1621*'DCF Base Case'!$B$4</f>
        <v>43.127878713276</v>
      </c>
      <c r="O1621" s="24" t="n">
        <f aca="false">J1621/(1+H1621)^1+K1621/(1+H1621)^2+L1621/(1+H1621)^3+M1621/(1+H1621)^4+N1621/(1+H1621)^5</f>
        <v>146.441799478822</v>
      </c>
      <c r="P1621" s="24" t="n">
        <f aca="false">N1621*(1+F1621)/(H1621-F1621)</f>
        <v>989.767900439907</v>
      </c>
      <c r="Q1621" s="24" t="n">
        <f aca="false">O1621+P1621/(1+H1621)^5</f>
        <v>867.232611289885</v>
      </c>
      <c r="R1621" s="24" t="n">
        <f aca="false">Q1621-'DCF Base Case'!$B$5</f>
        <v>682.232611289885</v>
      </c>
      <c r="S1621" s="32" t="n">
        <f aca="false">R1621/'DCF Base Case'!$B$6</f>
        <v>27.2893044515954</v>
      </c>
    </row>
    <row r="1622" customFormat="false" ht="15" hidden="false" customHeight="true" outlineLevel="0" collapsed="false">
      <c r="A1622" s="6" t="n">
        <v>1621</v>
      </c>
      <c r="B1622" s="30" t="n">
        <v>0.118850286698676</v>
      </c>
      <c r="C1622" s="30" t="n">
        <v>0.407894696957282</v>
      </c>
      <c r="D1622" s="30" t="n">
        <v>0.0624605475679078</v>
      </c>
      <c r="E1622" s="30" t="n">
        <v>0.304526090004101</v>
      </c>
      <c r="F1622" s="30" t="n">
        <v>0.0171924064970553</v>
      </c>
      <c r="G1622" s="30" t="n">
        <v>0.132542373794458</v>
      </c>
      <c r="H1622" s="31" t="n">
        <f aca="false">MAX(D1622,F1622+0.015)</f>
        <v>0.0624605475679078</v>
      </c>
      <c r="I1622" s="25" t="n">
        <f aca="false">(C1622-'DCF Base Case'!$B$3)*(1-E1622)+'DCF Base Case'!$B$3-G1622</f>
        <v>0.190726137665548</v>
      </c>
      <c r="J1622" s="24" t="n">
        <f aca="false">'DCF Base Case'!$B$2*(1+B1622)^1*$I1622-'DCF Base Case'!$B$2*(1+B1622)^0*B1622*'DCF Base Case'!$B$4</f>
        <v>30.4251303550251</v>
      </c>
      <c r="K1622" s="24" t="n">
        <f aca="false">'DCF Base Case'!$B$2*(1+B1622)^2*$I1622-'DCF Base Case'!$B$2*(1+B1622)^1*B1622*'DCF Base Case'!$B$4</f>
        <v>34.0411658205644</v>
      </c>
      <c r="L1622" s="24" t="n">
        <f aca="false">'DCF Base Case'!$B$2*(1+B1622)^3*$I1622-'DCF Base Case'!$B$2*(1+B1622)^2*B1622*'DCF Base Case'!$B$4</f>
        <v>38.0869681378957</v>
      </c>
      <c r="M1622" s="24" t="n">
        <f aca="false">'DCF Base Case'!$B$2*(1+B1622)^4*$I1622-'DCF Base Case'!$B$2*(1+B1622)^3*B1622*'DCF Base Case'!$B$4</f>
        <v>42.6136152205679</v>
      </c>
      <c r="N1622" s="24" t="n">
        <f aca="false">'DCF Base Case'!$B$2*(1+B1622)^5*$I1622-'DCF Base Case'!$B$2*(1+B1622)^4*B1622*'DCF Base Case'!$B$4</f>
        <v>47.6782556067995</v>
      </c>
      <c r="O1622" s="24" t="n">
        <f aca="false">J1622/(1+H1622)^1+K1622/(1+H1622)^2+L1622/(1+H1622)^3+M1622/(1+H1622)^4+N1622/(1+H1622)^5</f>
        <v>159.209417741151</v>
      </c>
      <c r="P1622" s="24" t="n">
        <f aca="false">N1622*(1+F1622)/(H1622-F1622)</f>
        <v>1071.3485999426</v>
      </c>
      <c r="Q1622" s="24" t="n">
        <f aca="false">O1622+P1622/(1+H1622)^5</f>
        <v>950.556025008842</v>
      </c>
      <c r="R1622" s="24" t="n">
        <f aca="false">Q1622-'DCF Base Case'!$B$5</f>
        <v>765.556025008842</v>
      </c>
      <c r="S1622" s="32" t="n">
        <f aca="false">R1622/'DCF Base Case'!$B$6</f>
        <v>30.6222410003537</v>
      </c>
    </row>
    <row r="1623" customFormat="false" ht="15" hidden="false" customHeight="true" outlineLevel="0" collapsed="false">
      <c r="A1623" s="6" t="n">
        <v>1622</v>
      </c>
      <c r="B1623" s="30" t="n">
        <v>0.0867454023898647</v>
      </c>
      <c r="C1623" s="30" t="n">
        <v>0.436653304398631</v>
      </c>
      <c r="D1623" s="30" t="n">
        <v>0.0711042212040603</v>
      </c>
      <c r="E1623" s="30" t="n">
        <v>0.340177439772273</v>
      </c>
      <c r="F1623" s="30" t="n">
        <v>0.0159315685608674</v>
      </c>
      <c r="G1623" s="30" t="n">
        <v>0.167160728113843</v>
      </c>
      <c r="H1623" s="31" t="n">
        <f aca="false">MAX(D1623,F1623+0.015)</f>
        <v>0.0711042212040603</v>
      </c>
      <c r="I1623" s="25" t="n">
        <f aca="false">(C1623-'DCF Base Case'!$B$3)*(1-E1623)+'DCF Base Case'!$B$3-G1623</f>
        <v>0.165176040296754</v>
      </c>
      <c r="J1623" s="24" t="n">
        <f aca="false">'DCF Base Case'!$B$2*(1+B1623)^1*$I1623-'DCF Base Case'!$B$2*(1+B1623)^0*B1623*'DCF Base Case'!$B$4</f>
        <v>25.6507813443359</v>
      </c>
      <c r="K1623" s="24" t="n">
        <f aca="false">'DCF Base Case'!$B$2*(1+B1623)^2*$I1623-'DCF Base Case'!$B$2*(1+B1623)^1*B1623*'DCF Base Case'!$B$4</f>
        <v>27.8758686936647</v>
      </c>
      <c r="L1623" s="24" t="n">
        <f aca="false">'DCF Base Case'!$B$2*(1+B1623)^3*$I1623-'DCF Base Case'!$B$2*(1+B1623)^2*B1623*'DCF Base Case'!$B$4</f>
        <v>30.2939721404637</v>
      </c>
      <c r="M1623" s="24" t="n">
        <f aca="false">'DCF Base Case'!$B$2*(1+B1623)^4*$I1623-'DCF Base Case'!$B$2*(1+B1623)^3*B1623*'DCF Base Case'!$B$4</f>
        <v>32.9218349437756</v>
      </c>
      <c r="N1623" s="24" t="n">
        <f aca="false">'DCF Base Case'!$B$2*(1+B1623)^5*$I1623-'DCF Base Case'!$B$2*(1+B1623)^4*B1623*'DCF Base Case'!$B$4</f>
        <v>35.7776527633861</v>
      </c>
      <c r="O1623" s="24" t="n">
        <f aca="false">J1623/(1+H1623)^1+K1623/(1+H1623)^2+L1623/(1+H1623)^3+M1623/(1+H1623)^4+N1623/(1+H1623)^5</f>
        <v>123.288425190053</v>
      </c>
      <c r="P1623" s="24" t="n">
        <f aca="false">N1623*(1+F1623)/(H1623-F1623)</f>
        <v>658.798247863788</v>
      </c>
      <c r="Q1623" s="24" t="n">
        <f aca="false">O1623+P1623/(1+H1623)^5</f>
        <v>590.586273328773</v>
      </c>
      <c r="R1623" s="24" t="n">
        <f aca="false">Q1623-'DCF Base Case'!$B$5</f>
        <v>405.586273328773</v>
      </c>
      <c r="S1623" s="32" t="n">
        <f aca="false">R1623/'DCF Base Case'!$B$6</f>
        <v>16.2234509331509</v>
      </c>
    </row>
    <row r="1624" customFormat="false" ht="15" hidden="false" customHeight="true" outlineLevel="0" collapsed="false">
      <c r="A1624" s="6" t="n">
        <v>1623</v>
      </c>
      <c r="B1624" s="30" t="n">
        <v>0.0636005263444486</v>
      </c>
      <c r="C1624" s="30" t="n">
        <v>0.405767614115452</v>
      </c>
      <c r="D1624" s="30" t="n">
        <v>0.0835287739606546</v>
      </c>
      <c r="E1624" s="30" t="n">
        <v>0.252247166759316</v>
      </c>
      <c r="F1624" s="30" t="n">
        <v>0.026943691479065</v>
      </c>
      <c r="G1624" s="30" t="n">
        <v>0.155223916251233</v>
      </c>
      <c r="H1624" s="31" t="n">
        <f aca="false">MAX(D1624,F1624+0.015)</f>
        <v>0.0835287739606546</v>
      </c>
      <c r="I1624" s="25" t="n">
        <f aca="false">(C1624-'DCF Base Case'!$B$3)*(1-E1624)+'DCF Base Case'!$B$3-G1624</f>
        <v>0.18098209851962</v>
      </c>
      <c r="J1624" s="24" t="n">
        <f aca="false">'DCF Base Case'!$B$2*(1+B1624)^1*$I1624-'DCF Base Case'!$B$2*(1+B1624)^0*B1624*'DCF Base Case'!$B$4</f>
        <v>27.6347727208383</v>
      </c>
      <c r="K1624" s="24" t="n">
        <f aca="false">'DCF Base Case'!$B$2*(1+B1624)^2*$I1624-'DCF Base Case'!$B$2*(1+B1624)^1*B1624*'DCF Base Case'!$B$4</f>
        <v>29.3923588112928</v>
      </c>
      <c r="L1624" s="24" t="n">
        <f aca="false">'DCF Base Case'!$B$2*(1+B1624)^3*$I1624-'DCF Base Case'!$B$2*(1+B1624)^2*B1624*'DCF Base Case'!$B$4</f>
        <v>31.2617283021959</v>
      </c>
      <c r="M1624" s="24" t="n">
        <f aca="false">'DCF Base Case'!$B$2*(1+B1624)^4*$I1624-'DCF Base Case'!$B$2*(1+B1624)^3*B1624*'DCF Base Case'!$B$4</f>
        <v>33.2499906766527</v>
      </c>
      <c r="N1624" s="24" t="n">
        <f aca="false">'DCF Base Case'!$B$2*(1+B1624)^5*$I1624-'DCF Base Case'!$B$2*(1+B1624)^4*B1624*'DCF Base Case'!$B$4</f>
        <v>35.3647075846358</v>
      </c>
      <c r="O1624" s="24" t="n">
        <f aca="false">J1624/(1+H1624)^1+K1624/(1+H1624)^2+L1624/(1+H1624)^3+M1624/(1+H1624)^4+N1624/(1+H1624)^5</f>
        <v>122.916811463216</v>
      </c>
      <c r="P1624" s="24" t="n">
        <f aca="false">N1624*(1+F1624)/(H1624-F1624)</f>
        <v>641.822221728842</v>
      </c>
      <c r="Q1624" s="24" t="n">
        <f aca="false">O1624+P1624/(1+H1624)^5</f>
        <v>552.663466821782</v>
      </c>
      <c r="R1624" s="24" t="n">
        <f aca="false">Q1624-'DCF Base Case'!$B$5</f>
        <v>367.663466821782</v>
      </c>
      <c r="S1624" s="32" t="n">
        <f aca="false">R1624/'DCF Base Case'!$B$6</f>
        <v>14.7065386728713</v>
      </c>
    </row>
    <row r="1625" customFormat="false" ht="15" hidden="false" customHeight="true" outlineLevel="0" collapsed="false">
      <c r="A1625" s="6" t="n">
        <v>1624</v>
      </c>
      <c r="B1625" s="30" t="n">
        <v>0.0794011276282041</v>
      </c>
      <c r="C1625" s="30" t="n">
        <v>0.429585099730885</v>
      </c>
      <c r="D1625" s="30" t="n">
        <v>0.104956803716833</v>
      </c>
      <c r="E1625" s="30" t="n">
        <v>0.314126552834882</v>
      </c>
      <c r="F1625" s="30" t="n">
        <v>0.0144829808252875</v>
      </c>
      <c r="G1625" s="30" t="n">
        <v>0.170081526036379</v>
      </c>
      <c r="H1625" s="31" t="n">
        <f aca="false">MAX(D1625,F1625+0.015)</f>
        <v>0.104956803716833</v>
      </c>
      <c r="I1625" s="25" t="n">
        <f aca="false">(C1625-'DCF Base Case'!$B$3)*(1-E1625)+'DCF Base Case'!$B$3-G1625</f>
        <v>0.165395939035349</v>
      </c>
      <c r="J1625" s="24" t="n">
        <f aca="false">'DCF Base Case'!$B$2*(1+B1625)^1*$I1625-'DCF Base Case'!$B$2*(1+B1625)^0*B1625*'DCF Base Case'!$B$4</f>
        <v>25.5412467443001</v>
      </c>
      <c r="K1625" s="24" t="n">
        <f aca="false">'DCF Base Case'!$B$2*(1+B1625)^2*$I1625-'DCF Base Case'!$B$2*(1+B1625)^1*B1625*'DCF Base Case'!$B$4</f>
        <v>27.5692505368277</v>
      </c>
      <c r="L1625" s="24" t="n">
        <f aca="false">'DCF Base Case'!$B$2*(1+B1625)^3*$I1625-'DCF Base Case'!$B$2*(1+B1625)^2*B1625*'DCF Base Case'!$B$4</f>
        <v>29.7582801173163</v>
      </c>
      <c r="M1625" s="24" t="n">
        <f aca="false">'DCF Base Case'!$B$2*(1+B1625)^4*$I1625-'DCF Base Case'!$B$2*(1+B1625)^3*B1625*'DCF Base Case'!$B$4</f>
        <v>32.1211211149072</v>
      </c>
      <c r="N1625" s="24" t="n">
        <f aca="false">'DCF Base Case'!$B$2*(1+B1625)^5*$I1625-'DCF Base Case'!$B$2*(1+B1625)^4*B1625*'DCF Base Case'!$B$4</f>
        <v>34.6715743521129</v>
      </c>
      <c r="O1625" s="24" t="n">
        <f aca="false">J1625/(1+H1625)^1+K1625/(1+H1625)^2+L1625/(1+H1625)^3+M1625/(1+H1625)^4+N1625/(1+H1625)^5</f>
        <v>110.351871269763</v>
      </c>
      <c r="P1625" s="24" t="n">
        <f aca="false">N1625*(1+F1625)/(H1625-F1625)</f>
        <v>388.77236502763</v>
      </c>
      <c r="Q1625" s="24" t="n">
        <f aca="false">O1625+P1625/(1+H1625)^5</f>
        <v>346.382783322676</v>
      </c>
      <c r="R1625" s="24" t="n">
        <f aca="false">Q1625-'DCF Base Case'!$B$5</f>
        <v>161.382783322676</v>
      </c>
      <c r="S1625" s="32" t="n">
        <f aca="false">R1625/'DCF Base Case'!$B$6</f>
        <v>6.45531133290704</v>
      </c>
    </row>
    <row r="1626" customFormat="false" ht="15" hidden="false" customHeight="true" outlineLevel="0" collapsed="false">
      <c r="A1626" s="6" t="n">
        <v>1625</v>
      </c>
      <c r="B1626" s="30" t="n">
        <v>0.0522394104644563</v>
      </c>
      <c r="C1626" s="30" t="n">
        <v>0.418678074747435</v>
      </c>
      <c r="D1626" s="30" t="n">
        <v>0.0670129304761649</v>
      </c>
      <c r="E1626" s="30" t="n">
        <v>0.261615606490704</v>
      </c>
      <c r="F1626" s="30" t="n">
        <v>0.0193421885926693</v>
      </c>
      <c r="G1626" s="30" t="n">
        <v>0.175627203854221</v>
      </c>
      <c r="H1626" s="31" t="n">
        <f aca="false">MAX(D1626,F1626+0.015)</f>
        <v>0.0670129304761649</v>
      </c>
      <c r="I1626" s="25" t="n">
        <f aca="false">(C1626-'DCF Base Case'!$B$3)*(1-E1626)+'DCF Base Case'!$B$3-G1626</f>
        <v>0.167528181287595</v>
      </c>
      <c r="J1626" s="24" t="n">
        <f aca="false">'DCF Base Case'!$B$2*(1+B1626)^1*$I1626-'DCF Base Case'!$B$2*(1+B1626)^0*B1626*'DCF Base Case'!$B$4</f>
        <v>25.3333229980446</v>
      </c>
      <c r="K1626" s="24" t="n">
        <f aca="false">'DCF Base Case'!$B$2*(1+B1626)^2*$I1626-'DCF Base Case'!$B$2*(1+B1626)^1*B1626*'DCF Base Case'!$B$4</f>
        <v>26.6567208565681</v>
      </c>
      <c r="L1626" s="24" t="n">
        <f aca="false">'DCF Base Case'!$B$2*(1+B1626)^3*$I1626-'DCF Base Case'!$B$2*(1+B1626)^2*B1626*'DCF Base Case'!$B$4</f>
        <v>28.0492522390308</v>
      </c>
      <c r="M1626" s="24" t="n">
        <f aca="false">'DCF Base Case'!$B$2*(1+B1626)^4*$I1626-'DCF Base Case'!$B$2*(1+B1626)^3*B1626*'DCF Base Case'!$B$4</f>
        <v>29.5145286399666</v>
      </c>
      <c r="N1626" s="24" t="n">
        <f aca="false">'DCF Base Case'!$B$2*(1+B1626)^5*$I1626-'DCF Base Case'!$B$2*(1+B1626)^4*B1626*'DCF Base Case'!$B$4</f>
        <v>31.0563502162548</v>
      </c>
      <c r="O1626" s="24" t="n">
        <f aca="false">J1626/(1+H1626)^1+K1626/(1+H1626)^2+L1626/(1+H1626)^3+M1626/(1+H1626)^4+N1626/(1+H1626)^5</f>
        <v>115.469334969696</v>
      </c>
      <c r="P1626" s="24" t="n">
        <f aca="false">N1626*(1+F1626)/(H1626-F1626)</f>
        <v>664.077099460829</v>
      </c>
      <c r="Q1626" s="24" t="n">
        <f aca="false">O1626+P1626/(1+H1626)^5</f>
        <v>595.611771415912</v>
      </c>
      <c r="R1626" s="24" t="n">
        <f aca="false">Q1626-'DCF Base Case'!$B$5</f>
        <v>410.611771415912</v>
      </c>
      <c r="S1626" s="32" t="n">
        <f aca="false">R1626/'DCF Base Case'!$B$6</f>
        <v>16.4244708566365</v>
      </c>
    </row>
    <row r="1627" customFormat="false" ht="15" hidden="false" customHeight="true" outlineLevel="0" collapsed="false">
      <c r="A1627" s="6" t="n">
        <v>1626</v>
      </c>
      <c r="B1627" s="30" t="n">
        <v>0.0845573485490582</v>
      </c>
      <c r="C1627" s="30" t="n">
        <v>0.440870581983115</v>
      </c>
      <c r="D1627" s="30" t="n">
        <v>0.0929556354041151</v>
      </c>
      <c r="E1627" s="30" t="n">
        <v>0.299309048340819</v>
      </c>
      <c r="F1627" s="30" t="n">
        <v>0.0143767149863841</v>
      </c>
      <c r="G1627" s="30" t="n">
        <v>0.203636942212469</v>
      </c>
      <c r="H1627" s="31" t="n">
        <f aca="false">MAX(D1627,F1627+0.015)</f>
        <v>0.0929556354041151</v>
      </c>
      <c r="I1627" s="25" t="n">
        <f aca="false">(C1627-'DCF Base Case'!$B$3)*(1-E1627)+'DCF Base Case'!$B$3-G1627</f>
        <v>0.144187261720123</v>
      </c>
      <c r="J1627" s="24" t="n">
        <f aca="false">'DCF Base Case'!$B$2*(1+B1627)^1*$I1627-'DCF Base Case'!$B$2*(1+B1627)^0*B1627*'DCF Base Case'!$B$4</f>
        <v>22.3071819023419</v>
      </c>
      <c r="K1627" s="24" t="n">
        <f aca="false">'DCF Base Case'!$B$2*(1+B1627)^2*$I1627-'DCF Base Case'!$B$2*(1+B1627)^1*B1627*'DCF Base Case'!$B$4</f>
        <v>24.1934180576055</v>
      </c>
      <c r="L1627" s="24" t="n">
        <f aca="false">'DCF Base Case'!$B$2*(1+B1627)^3*$I1627-'DCF Base Case'!$B$2*(1+B1627)^2*B1627*'DCF Base Case'!$B$4</f>
        <v>26.2391493408955</v>
      </c>
      <c r="M1627" s="24" t="n">
        <f aca="false">'DCF Base Case'!$B$2*(1+B1627)^4*$I1627-'DCF Base Case'!$B$2*(1+B1627)^3*B1627*'DCF Base Case'!$B$4</f>
        <v>28.4578622373444</v>
      </c>
      <c r="N1627" s="24" t="n">
        <f aca="false">'DCF Base Case'!$B$2*(1+B1627)^5*$I1627-'DCF Base Case'!$B$2*(1+B1627)^4*B1627*'DCF Base Case'!$B$4</f>
        <v>30.8641836135086</v>
      </c>
      <c r="O1627" s="24" t="n">
        <f aca="false">J1627/(1+H1627)^1+K1627/(1+H1627)^2+L1627/(1+H1627)^3+M1627/(1+H1627)^4+N1627/(1+H1627)^5</f>
        <v>100.49350534051</v>
      </c>
      <c r="P1627" s="24" t="n">
        <f aca="false">N1627*(1+F1627)/(H1627-F1627)</f>
        <v>398.426308457439</v>
      </c>
      <c r="Q1627" s="24" t="n">
        <f aca="false">O1627+P1627/(1+H1627)^5</f>
        <v>355.960817756035</v>
      </c>
      <c r="R1627" s="24" t="n">
        <f aca="false">Q1627-'DCF Base Case'!$B$5</f>
        <v>170.960817756035</v>
      </c>
      <c r="S1627" s="32" t="n">
        <f aca="false">R1627/'DCF Base Case'!$B$6</f>
        <v>6.83843271024138</v>
      </c>
    </row>
    <row r="1628" customFormat="false" ht="15" hidden="false" customHeight="true" outlineLevel="0" collapsed="false">
      <c r="A1628" s="6" t="n">
        <v>1627</v>
      </c>
      <c r="B1628" s="30" t="n">
        <v>0.0724783421182474</v>
      </c>
      <c r="C1628" s="30" t="n">
        <v>0.441125736784028</v>
      </c>
      <c r="D1628" s="30" t="n">
        <v>0.107244145626181</v>
      </c>
      <c r="E1628" s="30" t="n">
        <v>0.295131535253158</v>
      </c>
      <c r="F1628" s="30" t="n">
        <v>0.0230476882346911</v>
      </c>
      <c r="G1628" s="30" t="n">
        <v>0.122024748945191</v>
      </c>
      <c r="H1628" s="31" t="n">
        <f aca="false">MAX(D1628,F1628+0.015)</f>
        <v>0.107244145626181</v>
      </c>
      <c r="I1628" s="25" t="n">
        <f aca="false">(C1628-'DCF Base Case'!$B$3)*(1-E1628)+'DCF Base Case'!$B$3-G1628</f>
        <v>0.227277971484997</v>
      </c>
      <c r="J1628" s="24" t="n">
        <f aca="false">'DCF Base Case'!$B$2*(1+B1628)^1*$I1628-'DCF Base Case'!$B$2*(1+B1628)^0*B1628*'DCF Base Case'!$B$4</f>
        <v>35.0285710102286</v>
      </c>
      <c r="K1628" s="24" t="n">
        <f aca="false">'DCF Base Case'!$B$2*(1+B1628)^2*$I1628-'DCF Base Case'!$B$2*(1+B1628)^1*B1628*'DCF Base Case'!$B$4</f>
        <v>37.5673837638213</v>
      </c>
      <c r="L1628" s="24" t="n">
        <f aca="false">'DCF Base Case'!$B$2*(1+B1628)^3*$I1628-'DCF Base Case'!$B$2*(1+B1628)^2*B1628*'DCF Base Case'!$B$4</f>
        <v>40.290205456743</v>
      </c>
      <c r="M1628" s="24" t="n">
        <f aca="false">'DCF Base Case'!$B$2*(1+B1628)^4*$I1628-'DCF Base Case'!$B$2*(1+B1628)^3*B1628*'DCF Base Case'!$B$4</f>
        <v>43.2103727518513</v>
      </c>
      <c r="N1628" s="24" t="n">
        <f aca="false">'DCF Base Case'!$B$2*(1+B1628)^5*$I1628-'DCF Base Case'!$B$2*(1+B1628)^4*B1628*'DCF Base Case'!$B$4</f>
        <v>46.342188931217</v>
      </c>
      <c r="O1628" s="24" t="n">
        <f aca="false">J1628/(1+H1628)^1+K1628/(1+H1628)^2+L1628/(1+H1628)^3+M1628/(1+H1628)^4+N1628/(1+H1628)^5</f>
        <v>148.552925403546</v>
      </c>
      <c r="P1628" s="24" t="n">
        <f aca="false">N1628*(1+F1628)/(H1628-F1628)</f>
        <v>563.091022148027</v>
      </c>
      <c r="Q1628" s="24" t="n">
        <f aca="false">O1628+P1628/(1+H1628)^5</f>
        <v>486.899387414267</v>
      </c>
      <c r="R1628" s="24" t="n">
        <f aca="false">Q1628-'DCF Base Case'!$B$5</f>
        <v>301.899387414267</v>
      </c>
      <c r="S1628" s="32" t="n">
        <f aca="false">R1628/'DCF Base Case'!$B$6</f>
        <v>12.0759754965707</v>
      </c>
    </row>
    <row r="1629" customFormat="false" ht="15" hidden="false" customHeight="true" outlineLevel="0" collapsed="false">
      <c r="A1629" s="6" t="n">
        <v>1628</v>
      </c>
      <c r="B1629" s="30" t="n">
        <v>0.0859725748853487</v>
      </c>
      <c r="C1629" s="30" t="n">
        <v>0.434117789204565</v>
      </c>
      <c r="D1629" s="30" t="n">
        <v>0.0951696129514549</v>
      </c>
      <c r="E1629" s="30" t="n">
        <v>0.255646940546646</v>
      </c>
      <c r="F1629" s="30" t="n">
        <v>0.0182027374850956</v>
      </c>
      <c r="G1629" s="30" t="n">
        <v>0.124733070014276</v>
      </c>
      <c r="H1629" s="31" t="n">
        <f aca="false">MAX(D1629,F1629+0.015)</f>
        <v>0.0951696129514549</v>
      </c>
      <c r="I1629" s="25" t="n">
        <f aca="false">(C1629-'DCF Base Case'!$B$3)*(1-E1629)+'DCF Base Case'!$B$3-G1629</f>
        <v>0.231637936814332</v>
      </c>
      <c r="J1629" s="24" t="n">
        <f aca="false">'DCF Base Case'!$B$2*(1+B1629)^1*$I1629-'DCF Base Case'!$B$2*(1+B1629)^0*B1629*'DCF Base Case'!$B$4</f>
        <v>36.1011240683403</v>
      </c>
      <c r="K1629" s="24" t="n">
        <f aca="false">'DCF Base Case'!$B$2*(1+B1629)^2*$I1629-'DCF Base Case'!$B$2*(1+B1629)^1*B1629*'DCF Base Case'!$B$4</f>
        <v>39.2048306607509</v>
      </c>
      <c r="L1629" s="24" t="n">
        <f aca="false">'DCF Base Case'!$B$2*(1+B1629)^3*$I1629-'DCF Base Case'!$B$2*(1+B1629)^2*B1629*'DCF Base Case'!$B$4</f>
        <v>42.5753709005997</v>
      </c>
      <c r="M1629" s="24" t="n">
        <f aca="false">'DCF Base Case'!$B$2*(1+B1629)^4*$I1629-'DCF Base Case'!$B$2*(1+B1629)^3*B1629*'DCF Base Case'!$B$4</f>
        <v>46.235685163623</v>
      </c>
      <c r="N1629" s="24" t="n">
        <f aca="false">'DCF Base Case'!$B$2*(1+B1629)^5*$I1629-'DCF Base Case'!$B$2*(1+B1629)^4*B1629*'DCF Base Case'!$B$4</f>
        <v>50.210686068728</v>
      </c>
      <c r="O1629" s="24" t="n">
        <f aca="false">J1629/(1+H1629)^1+K1629/(1+H1629)^2+L1629/(1+H1629)^3+M1629/(1+H1629)^4+N1629/(1+H1629)^5</f>
        <v>162.074681017304</v>
      </c>
      <c r="P1629" s="24" t="n">
        <f aca="false">N1629*(1+F1629)/(H1629-F1629)</f>
        <v>664.242347066943</v>
      </c>
      <c r="Q1629" s="24" t="n">
        <f aca="false">O1629+P1629/(1+H1629)^5</f>
        <v>583.693156547329</v>
      </c>
      <c r="R1629" s="24" t="n">
        <f aca="false">Q1629-'DCF Base Case'!$B$5</f>
        <v>398.693156547329</v>
      </c>
      <c r="S1629" s="32" t="n">
        <f aca="false">R1629/'DCF Base Case'!$B$6</f>
        <v>15.9477262618932</v>
      </c>
    </row>
    <row r="1630" customFormat="false" ht="15" hidden="false" customHeight="true" outlineLevel="0" collapsed="false">
      <c r="A1630" s="6" t="n">
        <v>1629</v>
      </c>
      <c r="B1630" s="30" t="n">
        <v>0.0987807126622675</v>
      </c>
      <c r="C1630" s="30" t="n">
        <v>0.377774029236859</v>
      </c>
      <c r="D1630" s="30" t="n">
        <v>0.0974352562706633</v>
      </c>
      <c r="E1630" s="30" t="n">
        <v>0.315754633451736</v>
      </c>
      <c r="F1630" s="30" t="n">
        <v>0.0174554245976586</v>
      </c>
      <c r="G1630" s="30" t="n">
        <v>0.177496780150111</v>
      </c>
      <c r="H1630" s="31" t="n">
        <f aca="false">MAX(D1630,F1630+0.015)</f>
        <v>0.0974352562706633</v>
      </c>
      <c r="I1630" s="25" t="n">
        <f aca="false">(C1630-'DCF Base Case'!$B$3)*(1-E1630)+'DCF Base Case'!$B$3-G1630</f>
        <v>0.122041451306204</v>
      </c>
      <c r="J1630" s="24" t="n">
        <f aca="false">'DCF Base Case'!$B$2*(1+B1630)^1*$I1630-'DCF Base Case'!$B$2*(1+B1630)^0*B1630*'DCF Base Case'!$B$4</f>
        <v>19.0143388618015</v>
      </c>
      <c r="K1630" s="24" t="n">
        <f aca="false">'DCF Base Case'!$B$2*(1+B1630)^2*$I1630-'DCF Base Case'!$B$2*(1+B1630)^1*B1630*'DCF Base Case'!$B$4</f>
        <v>20.8925888053721</v>
      </c>
      <c r="L1630" s="24" t="n">
        <f aca="false">'DCF Base Case'!$B$2*(1+B1630)^3*$I1630-'DCF Base Case'!$B$2*(1+B1630)^2*B1630*'DCF Base Case'!$B$4</f>
        <v>22.9563736169265</v>
      </c>
      <c r="M1630" s="24" t="n">
        <f aca="false">'DCF Base Case'!$B$2*(1+B1630)^4*$I1630-'DCF Base Case'!$B$2*(1+B1630)^3*B1630*'DCF Base Case'!$B$4</f>
        <v>25.2240205629478</v>
      </c>
      <c r="N1630" s="24" t="n">
        <f aca="false">'DCF Base Case'!$B$2*(1+B1630)^5*$I1630-'DCF Base Case'!$B$2*(1+B1630)^4*B1630*'DCF Base Case'!$B$4</f>
        <v>27.7156672903634</v>
      </c>
      <c r="O1630" s="24" t="n">
        <f aca="false">J1630/(1+H1630)^1+K1630/(1+H1630)^2+L1630/(1+H1630)^3+M1630/(1+H1630)^4+N1630/(1+H1630)^5</f>
        <v>86.8434795286369</v>
      </c>
      <c r="P1630" s="24" t="n">
        <f aca="false">N1630*(1+F1630)/(H1630-F1630)</f>
        <v>352.582087772038</v>
      </c>
      <c r="Q1630" s="24" t="n">
        <f aca="false">O1630+P1630/(1+H1630)^5</f>
        <v>308.339385731622</v>
      </c>
      <c r="R1630" s="24" t="n">
        <f aca="false">Q1630-'DCF Base Case'!$B$5</f>
        <v>123.339385731622</v>
      </c>
      <c r="S1630" s="32" t="n">
        <f aca="false">R1630/'DCF Base Case'!$B$6</f>
        <v>4.93357542926488</v>
      </c>
    </row>
    <row r="1631" customFormat="false" ht="15" hidden="false" customHeight="true" outlineLevel="0" collapsed="false">
      <c r="A1631" s="6" t="n">
        <v>1630</v>
      </c>
      <c r="B1631" s="30" t="n">
        <v>0.0855008628573972</v>
      </c>
      <c r="C1631" s="30" t="n">
        <v>0.417958440265557</v>
      </c>
      <c r="D1631" s="30" t="n">
        <v>0.0723801463443254</v>
      </c>
      <c r="E1631" s="30" t="n">
        <v>0.298605359572072</v>
      </c>
      <c r="F1631" s="30" t="n">
        <v>0.0129692440007065</v>
      </c>
      <c r="G1631" s="30" t="n">
        <v>0.131598308713758</v>
      </c>
      <c r="H1631" s="31" t="n">
        <f aca="false">MAX(D1631,F1631+0.015)</f>
        <v>0.0723801463443254</v>
      </c>
      <c r="I1631" s="25" t="n">
        <f aca="false">(C1631-'DCF Base Case'!$B$3)*(1-E1631)+'DCF Base Case'!$B$3-G1631</f>
        <v>0.200374197954489</v>
      </c>
      <c r="J1631" s="24" t="n">
        <f aca="false">'DCF Base Case'!$B$2*(1+B1631)^1*$I1631-'DCF Base Case'!$B$2*(1+B1631)^0*B1631*'DCF Base Case'!$B$4</f>
        <v>31.1664941387941</v>
      </c>
      <c r="K1631" s="24" t="n">
        <f aca="false">'DCF Base Case'!$B$2*(1+B1631)^2*$I1631-'DCF Base Case'!$B$2*(1+B1631)^1*B1631*'DCF Base Case'!$B$4</f>
        <v>33.831256279901</v>
      </c>
      <c r="L1631" s="24" t="n">
        <f aca="false">'DCF Base Case'!$B$2*(1+B1631)^3*$I1631-'DCF Base Case'!$B$2*(1+B1631)^2*B1631*'DCF Base Case'!$B$4</f>
        <v>36.7238578833823</v>
      </c>
      <c r="M1631" s="24" t="n">
        <f aca="false">'DCF Base Case'!$B$2*(1+B1631)^4*$I1631-'DCF Base Case'!$B$2*(1+B1631)^3*B1631*'DCF Base Case'!$B$4</f>
        <v>39.8637794198639</v>
      </c>
      <c r="N1631" s="24" t="n">
        <f aca="false">'DCF Base Case'!$B$2*(1+B1631)^5*$I1631-'DCF Base Case'!$B$2*(1+B1631)^4*B1631*'DCF Base Case'!$B$4</f>
        <v>43.2721669570192</v>
      </c>
      <c r="O1631" s="24" t="n">
        <f aca="false">J1631/(1+H1631)^1+K1631/(1+H1631)^2+L1631/(1+H1631)^3+M1631/(1+H1631)^4+N1631/(1+H1631)^5</f>
        <v>148.914240874726</v>
      </c>
      <c r="P1631" s="24" t="n">
        <f aca="false">N1631*(1+F1631)/(H1631-F1631)</f>
        <v>737.800176728541</v>
      </c>
      <c r="Q1631" s="24" t="n">
        <f aca="false">O1631+P1631/(1+H1631)^5</f>
        <v>669.143686124229</v>
      </c>
      <c r="R1631" s="24" t="n">
        <f aca="false">Q1631-'DCF Base Case'!$B$5</f>
        <v>484.143686124229</v>
      </c>
      <c r="S1631" s="32" t="n">
        <f aca="false">R1631/'DCF Base Case'!$B$6</f>
        <v>19.3657474449692</v>
      </c>
    </row>
    <row r="1632" customFormat="false" ht="15" hidden="false" customHeight="true" outlineLevel="0" collapsed="false">
      <c r="A1632" s="6" t="n">
        <v>1631</v>
      </c>
      <c r="B1632" s="30" t="n">
        <v>0.0875119929459493</v>
      </c>
      <c r="C1632" s="30" t="n">
        <v>0.409291941186686</v>
      </c>
      <c r="D1632" s="30" t="n">
        <v>0.0879953190360693</v>
      </c>
      <c r="E1632" s="30" t="n">
        <v>0.264292657914903</v>
      </c>
      <c r="F1632" s="30" t="n">
        <v>0.0255266883408483</v>
      </c>
      <c r="G1632" s="30" t="n">
        <v>0.168841290332148</v>
      </c>
      <c r="H1632" s="31" t="n">
        <f aca="false">MAX(D1632,F1632+0.015)</f>
        <v>0.0879953190360693</v>
      </c>
      <c r="I1632" s="25" t="n">
        <f aca="false">(C1632-'DCF Base Case'!$B$3)*(1-E1632)+'DCF Base Case'!$B$3-G1632</f>
        <v>0.166635841384096</v>
      </c>
      <c r="J1632" s="24" t="n">
        <f aca="false">'DCF Base Case'!$B$2*(1+B1632)^1*$I1632-'DCF Base Case'!$B$2*(1+B1632)^0*B1632*'DCF Base Case'!$B$4</f>
        <v>25.8960018448624</v>
      </c>
      <c r="K1632" s="24" t="n">
        <f aca="false">'DCF Base Case'!$B$2*(1+B1632)^2*$I1632-'DCF Base Case'!$B$2*(1+B1632)^1*B1632*'DCF Base Case'!$B$4</f>
        <v>28.1622125756383</v>
      </c>
      <c r="L1632" s="24" t="n">
        <f aca="false">'DCF Base Case'!$B$2*(1+B1632)^3*$I1632-'DCF Base Case'!$B$2*(1+B1632)^2*B1632*'DCF Base Case'!$B$4</f>
        <v>30.6267439238999</v>
      </c>
      <c r="M1632" s="24" t="n">
        <f aca="false">'DCF Base Case'!$B$2*(1+B1632)^4*$I1632-'DCF Base Case'!$B$2*(1+B1632)^3*B1632*'DCF Base Case'!$B$4</f>
        <v>33.3069513221256</v>
      </c>
      <c r="N1632" s="24" t="n">
        <f aca="false">'DCF Base Case'!$B$2*(1+B1632)^5*$I1632-'DCF Base Case'!$B$2*(1+B1632)^4*B1632*'DCF Base Case'!$B$4</f>
        <v>36.2217090112785</v>
      </c>
      <c r="O1632" s="24" t="n">
        <f aca="false">J1632/(1+H1632)^1+K1632/(1+H1632)^2+L1632/(1+H1632)^3+M1632/(1+H1632)^4+N1632/(1+H1632)^5</f>
        <v>118.902185362116</v>
      </c>
      <c r="P1632" s="24" t="n">
        <f aca="false">N1632*(1+F1632)/(H1632-F1632)</f>
        <v>594.639723569675</v>
      </c>
      <c r="Q1632" s="24" t="n">
        <f aca="false">O1632+P1632/(1+H1632)^5</f>
        <v>508.950839369309</v>
      </c>
      <c r="R1632" s="24" t="n">
        <f aca="false">Q1632-'DCF Base Case'!$B$5</f>
        <v>323.950839369309</v>
      </c>
      <c r="S1632" s="32" t="n">
        <f aca="false">R1632/'DCF Base Case'!$B$6</f>
        <v>12.9580335747724</v>
      </c>
    </row>
    <row r="1633" customFormat="false" ht="15" hidden="false" customHeight="true" outlineLevel="0" collapsed="false">
      <c r="A1633" s="6" t="n">
        <v>1632</v>
      </c>
      <c r="B1633" s="30" t="n">
        <v>0.0948377035541228</v>
      </c>
      <c r="C1633" s="30" t="n">
        <v>0.420249948938177</v>
      </c>
      <c r="D1633" s="30" t="n">
        <v>0.0960320085584289</v>
      </c>
      <c r="E1633" s="30" t="n">
        <v>0.297134256047453</v>
      </c>
      <c r="F1633" s="30" t="n">
        <v>0.0209263781584573</v>
      </c>
      <c r="G1633" s="30" t="n">
        <v>0.182781441275111</v>
      </c>
      <c r="H1633" s="31" t="n">
        <f aca="false">MAX(D1633,F1633+0.015)</f>
        <v>0.0960320085584289</v>
      </c>
      <c r="I1633" s="25" t="n">
        <f aca="false">(C1633-'DCF Base Case'!$B$3)*(1-E1633)+'DCF Base Case'!$B$3-G1633</f>
        <v>0.15122530501751</v>
      </c>
      <c r="J1633" s="24" t="n">
        <f aca="false">'DCF Base Case'!$B$2*(1+B1633)^1*$I1633-'DCF Base Case'!$B$2*(1+B1633)^0*B1633*'DCF Base Case'!$B$4</f>
        <v>23.5946950109126</v>
      </c>
      <c r="K1633" s="24" t="n">
        <f aca="false">'DCF Base Case'!$B$2*(1+B1633)^2*$I1633-'DCF Base Case'!$B$2*(1+B1633)^1*B1633*'DCF Base Case'!$B$4</f>
        <v>25.8323617018075</v>
      </c>
      <c r="L1633" s="24" t="n">
        <f aca="false">'DCF Base Case'!$B$2*(1+B1633)^3*$I1633-'DCF Base Case'!$B$2*(1+B1633)^2*B1633*'DCF Base Case'!$B$4</f>
        <v>28.2822435629864</v>
      </c>
      <c r="M1633" s="24" t="n">
        <f aca="false">'DCF Base Case'!$B$2*(1+B1633)^4*$I1633-'DCF Base Case'!$B$2*(1+B1633)^3*B1633*'DCF Base Case'!$B$4</f>
        <v>30.9644665938584</v>
      </c>
      <c r="N1633" s="24" t="n">
        <f aca="false">'DCF Base Case'!$B$2*(1+B1633)^5*$I1633-'DCF Base Case'!$B$2*(1+B1633)^4*B1633*'DCF Base Case'!$B$4</f>
        <v>33.9010654973983</v>
      </c>
      <c r="O1633" s="24" t="n">
        <f aca="false">J1633/(1+H1633)^1+K1633/(1+H1633)^2+L1633/(1+H1633)^3+M1633/(1+H1633)^4+N1633/(1+H1633)^5</f>
        <v>107.402568162883</v>
      </c>
      <c r="P1633" s="24" t="n">
        <f aca="false">N1633*(1+F1633)/(H1633-F1633)</f>
        <v>460.824199592692</v>
      </c>
      <c r="Q1633" s="24" t="n">
        <f aca="false">O1633+P1633/(1+H1633)^5</f>
        <v>398.755296944792</v>
      </c>
      <c r="R1633" s="24" t="n">
        <f aca="false">Q1633-'DCF Base Case'!$B$5</f>
        <v>213.755296944792</v>
      </c>
      <c r="S1633" s="32" t="n">
        <f aca="false">R1633/'DCF Base Case'!$B$6</f>
        <v>8.55021187779169</v>
      </c>
    </row>
    <row r="1634" customFormat="false" ht="15" hidden="false" customHeight="true" outlineLevel="0" collapsed="false">
      <c r="A1634" s="6" t="n">
        <v>1633</v>
      </c>
      <c r="B1634" s="30" t="n">
        <v>0.053044079408155</v>
      </c>
      <c r="C1634" s="30" t="n">
        <v>0.367890479302579</v>
      </c>
      <c r="D1634" s="30" t="n">
        <v>0.0841633538016841</v>
      </c>
      <c r="E1634" s="30" t="n">
        <v>0.274331883293987</v>
      </c>
      <c r="F1634" s="30" t="n">
        <v>0.0214267749437846</v>
      </c>
      <c r="G1634" s="30" t="n">
        <v>0.165666863997903</v>
      </c>
      <c r="H1634" s="31" t="n">
        <f aca="false">MAX(D1634,F1634+0.015)</f>
        <v>0.0841633538016841</v>
      </c>
      <c r="I1634" s="25" t="n">
        <f aca="false">(C1634-'DCF Base Case'!$B$3)*(1-E1634)+'DCF Base Case'!$B$3-G1634</f>
        <v>0.13696267209989</v>
      </c>
      <c r="J1634" s="24" t="n">
        <f aca="false">'DCF Base Case'!$B$2*(1+B1634)^1*$I1634-'DCF Base Case'!$B$2*(1+B1634)^0*B1634*'DCF Base Case'!$B$4</f>
        <v>20.6822792430075</v>
      </c>
      <c r="K1634" s="24" t="n">
        <f aca="false">'DCF Base Case'!$B$2*(1+B1634)^2*$I1634-'DCF Base Case'!$B$2*(1+B1634)^1*B1634*'DCF Base Case'!$B$4</f>
        <v>21.7793517055152</v>
      </c>
      <c r="L1634" s="24" t="n">
        <f aca="false">'DCF Base Case'!$B$2*(1+B1634)^3*$I1634-'DCF Base Case'!$B$2*(1+B1634)^2*B1634*'DCF Base Case'!$B$4</f>
        <v>22.9346173668407</v>
      </c>
      <c r="M1634" s="24" t="n">
        <f aca="false">'DCF Base Case'!$B$2*(1+B1634)^4*$I1634-'DCF Base Case'!$B$2*(1+B1634)^3*B1634*'DCF Base Case'!$B$4</f>
        <v>24.151163031643</v>
      </c>
      <c r="N1634" s="24" t="n">
        <f aca="false">'DCF Base Case'!$B$2*(1+B1634)^5*$I1634-'DCF Base Case'!$B$2*(1+B1634)^4*B1634*'DCF Base Case'!$B$4</f>
        <v>25.4322392412928</v>
      </c>
      <c r="O1634" s="24" t="n">
        <f aca="false">J1634/(1+H1634)^1+K1634/(1+H1634)^2+L1634/(1+H1634)^3+M1634/(1+H1634)^4+N1634/(1+H1634)^5</f>
        <v>90.0628372068528</v>
      </c>
      <c r="P1634" s="24" t="n">
        <f aca="false">N1634*(1+F1634)/(H1634-F1634)</f>
        <v>414.067368363705</v>
      </c>
      <c r="Q1634" s="24" t="n">
        <f aca="false">O1634+P1634/(1+H1634)^5</f>
        <v>366.500612320172</v>
      </c>
      <c r="R1634" s="24" t="n">
        <f aca="false">Q1634-'DCF Base Case'!$B$5</f>
        <v>181.500612320172</v>
      </c>
      <c r="S1634" s="32" t="n">
        <f aca="false">R1634/'DCF Base Case'!$B$6</f>
        <v>7.26002449280687</v>
      </c>
    </row>
    <row r="1635" customFormat="false" ht="15" hidden="false" customHeight="true" outlineLevel="0" collapsed="false">
      <c r="A1635" s="6" t="n">
        <v>1634</v>
      </c>
      <c r="B1635" s="30" t="n">
        <v>0.102561461651781</v>
      </c>
      <c r="C1635" s="30" t="n">
        <v>0.391723876074576</v>
      </c>
      <c r="D1635" s="30" t="n">
        <v>0.0848818097255044</v>
      </c>
      <c r="E1635" s="30" t="n">
        <v>0.254067417499997</v>
      </c>
      <c r="F1635" s="30" t="n">
        <v>0.0207277936859035</v>
      </c>
      <c r="G1635" s="30" t="n">
        <v>0.130985643508907</v>
      </c>
      <c r="H1635" s="31" t="n">
        <f aca="false">MAX(D1635,F1635+0.015)</f>
        <v>0.0848818097255044</v>
      </c>
      <c r="I1635" s="25" t="n">
        <f aca="false">(C1635-'DCF Base Case'!$B$3)*(1-E1635)+'DCF Base Case'!$B$3-G1635</f>
        <v>0.194242723273312</v>
      </c>
      <c r="J1635" s="24" t="n">
        <f aca="false">'DCF Base Case'!$B$2*(1+B1635)^1*$I1635-'DCF Base Case'!$B$2*(1+B1635)^0*B1635*'DCF Base Case'!$B$4</f>
        <v>30.6077160704943</v>
      </c>
      <c r="K1635" s="24" t="n">
        <f aca="false">'DCF Base Case'!$B$2*(1+B1635)^2*$I1635-'DCF Base Case'!$B$2*(1+B1635)^1*B1635*'DCF Base Case'!$B$4</f>
        <v>33.746888168507</v>
      </c>
      <c r="L1635" s="24" t="n">
        <f aca="false">'DCF Base Case'!$B$2*(1+B1635)^3*$I1635-'DCF Base Case'!$B$2*(1+B1635)^2*B1635*'DCF Base Case'!$B$4</f>
        <v>37.2080183452682</v>
      </c>
      <c r="M1635" s="24" t="n">
        <f aca="false">'DCF Base Case'!$B$2*(1+B1635)^4*$I1635-'DCF Base Case'!$B$2*(1+B1635)^3*B1635*'DCF Base Case'!$B$4</f>
        <v>41.0241270919252</v>
      </c>
      <c r="N1635" s="24" t="n">
        <f aca="false">'DCF Base Case'!$B$2*(1+B1635)^5*$I1635-'DCF Base Case'!$B$2*(1+B1635)^4*B1635*'DCF Base Case'!$B$4</f>
        <v>45.2316215294615</v>
      </c>
      <c r="O1635" s="24" t="n">
        <f aca="false">J1635/(1+H1635)^1+K1635/(1+H1635)^2+L1635/(1+H1635)^3+M1635/(1+H1635)^4+N1635/(1+H1635)^5</f>
        <v>145.737978394607</v>
      </c>
      <c r="P1635" s="24" t="n">
        <f aca="false">N1635*(1+F1635)/(H1635-F1635)</f>
        <v>719.661466245602</v>
      </c>
      <c r="Q1635" s="24" t="n">
        <f aca="false">O1635+P1635/(1+H1635)^5</f>
        <v>624.60630435792</v>
      </c>
      <c r="R1635" s="24" t="n">
        <f aca="false">Q1635-'DCF Base Case'!$B$5</f>
        <v>439.60630435792</v>
      </c>
      <c r="S1635" s="32" t="n">
        <f aca="false">R1635/'DCF Base Case'!$B$6</f>
        <v>17.5842521743168</v>
      </c>
    </row>
    <row r="1636" customFormat="false" ht="15" hidden="false" customHeight="true" outlineLevel="0" collapsed="false">
      <c r="A1636" s="6" t="n">
        <v>1635</v>
      </c>
      <c r="B1636" s="30" t="n">
        <v>0.0973500495135689</v>
      </c>
      <c r="C1636" s="30" t="n">
        <v>0.385086528486522</v>
      </c>
      <c r="D1636" s="30" t="n">
        <v>0.0807811942745603</v>
      </c>
      <c r="E1636" s="30" t="n">
        <v>0.307156244016977</v>
      </c>
      <c r="F1636" s="30" t="n">
        <v>0.0201637258538762</v>
      </c>
      <c r="G1636" s="30" t="n">
        <v>0.134130373851341</v>
      </c>
      <c r="H1636" s="31" t="n">
        <f aca="false">MAX(D1636,F1636+0.015)</f>
        <v>0.0807811942745603</v>
      </c>
      <c r="I1636" s="25" t="n">
        <f aca="false">(C1636-'DCF Base Case'!$B$3)*(1-E1636)+'DCF Base Case'!$B$3-G1636</f>
        <v>0.172604734645931</v>
      </c>
      <c r="J1636" s="24" t="n">
        <f aca="false">'DCF Base Case'!$B$2*(1+B1636)^1*$I1636-'DCF Base Case'!$B$2*(1+B1636)^0*B1636*'DCF Base Case'!$B$4</f>
        <v>27.0406603305644</v>
      </c>
      <c r="K1636" s="24" t="n">
        <f aca="false">'DCF Base Case'!$B$2*(1+B1636)^2*$I1636-'DCF Base Case'!$B$2*(1+B1636)^1*B1636*'DCF Base Case'!$B$4</f>
        <v>29.6730699526244</v>
      </c>
      <c r="L1636" s="24" t="n">
        <f aca="false">'DCF Base Case'!$B$2*(1+B1636)^3*$I1636-'DCF Base Case'!$B$2*(1+B1636)^2*B1636*'DCF Base Case'!$B$4</f>
        <v>32.561744781732</v>
      </c>
      <c r="M1636" s="24" t="n">
        <f aca="false">'DCF Base Case'!$B$2*(1+B1636)^4*$I1636-'DCF Base Case'!$B$2*(1+B1636)^3*B1636*'DCF Base Case'!$B$4</f>
        <v>35.7316322484818</v>
      </c>
      <c r="N1636" s="24" t="n">
        <f aca="false">'DCF Base Case'!$B$2*(1+B1636)^5*$I1636-'DCF Base Case'!$B$2*(1+B1636)^4*B1636*'DCF Base Case'!$B$4</f>
        <v>39.2101084170722</v>
      </c>
      <c r="O1636" s="24" t="n">
        <f aca="false">J1636/(1+H1636)^1+K1636/(1+H1636)^2+L1636/(1+H1636)^3+M1636/(1+H1636)^4+N1636/(1+H1636)^5</f>
        <v>128.992617436734</v>
      </c>
      <c r="P1636" s="24" t="n">
        <f aca="false">N1636*(1+F1636)/(H1636-F1636)</f>
        <v>659.887839859798</v>
      </c>
      <c r="Q1636" s="24" t="n">
        <f aca="false">O1636+P1636/(1+H1636)^5</f>
        <v>576.480447748147</v>
      </c>
      <c r="R1636" s="24" t="n">
        <f aca="false">Q1636-'DCF Base Case'!$B$5</f>
        <v>391.480447748147</v>
      </c>
      <c r="S1636" s="32" t="n">
        <f aca="false">R1636/'DCF Base Case'!$B$6</f>
        <v>15.6592179099259</v>
      </c>
    </row>
    <row r="1637" customFormat="false" ht="15" hidden="false" customHeight="true" outlineLevel="0" collapsed="false">
      <c r="A1637" s="6" t="n">
        <v>1636</v>
      </c>
      <c r="B1637" s="30" t="n">
        <v>0.0754024363690478</v>
      </c>
      <c r="C1637" s="30" t="n">
        <v>0.377375936110908</v>
      </c>
      <c r="D1637" s="30" t="n">
        <v>0.0663576565043429</v>
      </c>
      <c r="E1637" s="30" t="n">
        <v>0.283019734257901</v>
      </c>
      <c r="F1637" s="30" t="n">
        <v>0.0213556949389924</v>
      </c>
      <c r="G1637" s="30" t="n">
        <v>0.175519724063747</v>
      </c>
      <c r="H1637" s="31" t="n">
        <f aca="false">MAX(D1637,F1637+0.015)</f>
        <v>0.0663576565043429</v>
      </c>
      <c r="I1637" s="25" t="n">
        <f aca="false">(C1637-'DCF Base Case'!$B$3)*(1-E1637)+'DCF Base Case'!$B$3-G1637</f>
        <v>0.131843940347252</v>
      </c>
      <c r="J1637" s="24" t="n">
        <f aca="false">'DCF Base Case'!$B$2*(1+B1637)^1*$I1637-'DCF Base Case'!$B$2*(1+B1637)^0*B1637*'DCF Base Case'!$B$4</f>
        <v>20.2308671289346</v>
      </c>
      <c r="K1637" s="24" t="n">
        <f aca="false">'DCF Base Case'!$B$2*(1+B1637)^2*$I1637-'DCF Base Case'!$B$2*(1+B1637)^1*B1637*'DCF Base Case'!$B$4</f>
        <v>21.7563238003147</v>
      </c>
      <c r="L1637" s="24" t="n">
        <f aca="false">'DCF Base Case'!$B$2*(1+B1637)^3*$I1637-'DCF Base Case'!$B$2*(1+B1637)^2*B1637*'DCF Base Case'!$B$4</f>
        <v>23.3968036212923</v>
      </c>
      <c r="M1637" s="24" t="n">
        <f aca="false">'DCF Base Case'!$B$2*(1+B1637)^4*$I1637-'DCF Base Case'!$B$2*(1+B1637)^3*B1637*'DCF Base Case'!$B$4</f>
        <v>25.1609796175859</v>
      </c>
      <c r="N1637" s="24" t="n">
        <f aca="false">'DCF Base Case'!$B$2*(1+B1637)^5*$I1637-'DCF Base Case'!$B$2*(1+B1637)^4*B1637*'DCF Base Case'!$B$4</f>
        <v>27.0581787821839</v>
      </c>
      <c r="O1637" s="24" t="n">
        <f aca="false">J1637/(1+H1637)^1+K1637/(1+H1637)^2+L1637/(1+H1637)^3+M1637/(1+H1637)^4+N1637/(1+H1637)^5</f>
        <v>96.4825649888936</v>
      </c>
      <c r="P1637" s="24" t="n">
        <f aca="false">N1637*(1+F1637)/(H1637-F1637)</f>
        <v>614.107119613635</v>
      </c>
      <c r="Q1637" s="24" t="n">
        <f aca="false">O1637+P1637/(1+H1637)^5</f>
        <v>541.86150221722</v>
      </c>
      <c r="R1637" s="24" t="n">
        <f aca="false">Q1637-'DCF Base Case'!$B$5</f>
        <v>356.86150221722</v>
      </c>
      <c r="S1637" s="32" t="n">
        <f aca="false">R1637/'DCF Base Case'!$B$6</f>
        <v>14.2744600886888</v>
      </c>
    </row>
    <row r="1638" customFormat="false" ht="15" hidden="false" customHeight="true" outlineLevel="0" collapsed="false">
      <c r="A1638" s="6" t="n">
        <v>1637</v>
      </c>
      <c r="B1638" s="30" t="n">
        <v>0.103028491453643</v>
      </c>
      <c r="C1638" s="30" t="n">
        <v>0.418949127202258</v>
      </c>
      <c r="D1638" s="30" t="n">
        <v>0.0819927075937504</v>
      </c>
      <c r="E1638" s="30" t="n">
        <v>0.257651175970549</v>
      </c>
      <c r="F1638" s="30" t="n">
        <v>0.0175986477674062</v>
      </c>
      <c r="G1638" s="30" t="n">
        <v>0.139307264312221</v>
      </c>
      <c r="H1638" s="31" t="n">
        <f aca="false">MAX(D1638,F1638+0.015)</f>
        <v>0.0819927075937504</v>
      </c>
      <c r="I1638" s="25" t="n">
        <f aca="false">(C1638-'DCF Base Case'!$B$3)*(1-E1638)+'DCF Base Case'!$B$3-G1638</f>
        <v>0.205193780470712</v>
      </c>
      <c r="J1638" s="24" t="n">
        <f aca="false">'DCF Base Case'!$B$2*(1+B1638)^1*$I1638-'DCF Base Case'!$B$2*(1+B1638)^0*B1638*'DCF Base Case'!$B$4</f>
        <v>32.3703410507771</v>
      </c>
      <c r="K1638" s="24" t="n">
        <f aca="false">'DCF Base Case'!$B$2*(1+B1638)^2*$I1638-'DCF Base Case'!$B$2*(1+B1638)^1*B1638*'DCF Base Case'!$B$4</f>
        <v>35.7054084570786</v>
      </c>
      <c r="L1638" s="24" t="n">
        <f aca="false">'DCF Base Case'!$B$2*(1+B1638)^3*$I1638-'DCF Base Case'!$B$2*(1+B1638)^2*B1638*'DCF Base Case'!$B$4</f>
        <v>39.3840828271476</v>
      </c>
      <c r="M1638" s="24" t="n">
        <f aca="false">'DCF Base Case'!$B$2*(1+B1638)^4*$I1638-'DCF Base Case'!$B$2*(1+B1638)^3*B1638*'DCF Base Case'!$B$4</f>
        <v>43.4417654681139</v>
      </c>
      <c r="N1638" s="24" t="n">
        <f aca="false">'DCF Base Case'!$B$2*(1+B1638)^5*$I1638-'DCF Base Case'!$B$2*(1+B1638)^4*B1638*'DCF Base Case'!$B$4</f>
        <v>47.9175050303766</v>
      </c>
      <c r="O1638" s="24" t="n">
        <f aca="false">J1638/(1+H1638)^1+K1638/(1+H1638)^2+L1638/(1+H1638)^3+M1638/(1+H1638)^4+N1638/(1+H1638)^5</f>
        <v>155.517313498549</v>
      </c>
      <c r="P1638" s="24" t="n">
        <f aca="false">N1638*(1+F1638)/(H1638-F1638)</f>
        <v>757.224943648462</v>
      </c>
      <c r="Q1638" s="24" t="n">
        <f aca="false">O1638+P1638/(1+H1638)^5</f>
        <v>666.143688031717</v>
      </c>
      <c r="R1638" s="24" t="n">
        <f aca="false">Q1638-'DCF Base Case'!$B$5</f>
        <v>481.143688031716</v>
      </c>
      <c r="S1638" s="32" t="n">
        <f aca="false">R1638/'DCF Base Case'!$B$6</f>
        <v>19.2457475212687</v>
      </c>
    </row>
    <row r="1639" customFormat="false" ht="15" hidden="false" customHeight="true" outlineLevel="0" collapsed="false">
      <c r="A1639" s="6" t="n">
        <v>1638</v>
      </c>
      <c r="B1639" s="30" t="n">
        <v>0.0715443507870776</v>
      </c>
      <c r="C1639" s="30" t="n">
        <v>0.409951351916609</v>
      </c>
      <c r="D1639" s="30" t="n">
        <v>0.0837041330370499</v>
      </c>
      <c r="E1639" s="30" t="n">
        <v>0.346716028832241</v>
      </c>
      <c r="F1639" s="30" t="n">
        <v>0.013950599827043</v>
      </c>
      <c r="G1639" s="30" t="n">
        <v>0.162566004735106</v>
      </c>
      <c r="H1639" s="31" t="n">
        <f aca="false">MAX(D1639,F1639+0.015)</f>
        <v>0.0837041330370499</v>
      </c>
      <c r="I1639" s="25" t="n">
        <f aca="false">(C1639-'DCF Base Case'!$B$3)*(1-E1639)+'DCF Base Case'!$B$3-G1639</f>
        <v>0.150321726178759</v>
      </c>
      <c r="J1639" s="24" t="n">
        <f aca="false">'DCF Base Case'!$B$2*(1+B1639)^1*$I1639-'DCF Base Case'!$B$2*(1+B1639)^0*B1639*'DCF Base Case'!$B$4</f>
        <v>23.0448595647509</v>
      </c>
      <c r="K1639" s="24" t="n">
        <f aca="false">'DCF Base Case'!$B$2*(1+B1639)^2*$I1639-'DCF Base Case'!$B$2*(1+B1639)^1*B1639*'DCF Base Case'!$B$4</f>
        <v>24.6935890812903</v>
      </c>
      <c r="L1639" s="24" t="n">
        <f aca="false">'DCF Base Case'!$B$2*(1+B1639)^3*$I1639-'DCF Base Case'!$B$2*(1+B1639)^2*B1639*'DCF Base Case'!$B$4</f>
        <v>26.4602758807141</v>
      </c>
      <c r="M1639" s="24" t="n">
        <f aca="false">'DCF Base Case'!$B$2*(1+B1639)^4*$I1639-'DCF Base Case'!$B$2*(1+B1639)^3*B1639*'DCF Base Case'!$B$4</f>
        <v>28.3533591402468</v>
      </c>
      <c r="N1639" s="24" t="n">
        <f aca="false">'DCF Base Case'!$B$2*(1+B1639)^5*$I1639-'DCF Base Case'!$B$2*(1+B1639)^4*B1639*'DCF Base Case'!$B$4</f>
        <v>30.3818818125686</v>
      </c>
      <c r="O1639" s="24" t="n">
        <f aca="false">J1639/(1+H1639)^1+K1639/(1+H1639)^2+L1639/(1+H1639)^3+M1639/(1+H1639)^4+N1639/(1+H1639)^5</f>
        <v>103.965077059846</v>
      </c>
      <c r="P1639" s="24" t="n">
        <f aca="false">N1639*(1+F1639)/(H1639-F1639)</f>
        <v>441.636801321325</v>
      </c>
      <c r="Q1639" s="24" t="n">
        <f aca="false">O1639+P1639/(1+H1639)^5</f>
        <v>399.433862730042</v>
      </c>
      <c r="R1639" s="24" t="n">
        <f aca="false">Q1639-'DCF Base Case'!$B$5</f>
        <v>214.433862730042</v>
      </c>
      <c r="S1639" s="32" t="n">
        <f aca="false">R1639/'DCF Base Case'!$B$6</f>
        <v>8.57735450920167</v>
      </c>
    </row>
    <row r="1640" customFormat="false" ht="15" hidden="false" customHeight="true" outlineLevel="0" collapsed="false">
      <c r="A1640" s="6" t="n">
        <v>1639</v>
      </c>
      <c r="B1640" s="30" t="n">
        <v>0.0596547726082383</v>
      </c>
      <c r="C1640" s="30" t="n">
        <v>0.394158184535687</v>
      </c>
      <c r="D1640" s="30" t="n">
        <v>0.081181974996733</v>
      </c>
      <c r="E1640" s="30" t="n">
        <v>0.305604276714966</v>
      </c>
      <c r="F1640" s="30" t="n">
        <v>0.017558650931819</v>
      </c>
      <c r="G1640" s="30" t="n">
        <v>0.161219268618559</v>
      </c>
      <c r="H1640" s="31" t="n">
        <f aca="false">MAX(D1640,F1640+0.015)</f>
        <v>0.081181974996733</v>
      </c>
      <c r="I1640" s="25" t="n">
        <f aca="false">(C1640-'DCF Base Case'!$B$3)*(1-E1640)+'DCF Base Case'!$B$3-G1640</f>
        <v>0.152211044993761</v>
      </c>
      <c r="J1640" s="24" t="n">
        <f aca="false">'DCF Base Case'!$B$2*(1+B1640)^1*$I1640-'DCF Base Case'!$B$2*(1+B1640)^0*B1640*'DCF Base Case'!$B$4</f>
        <v>23.1277199784964</v>
      </c>
      <c r="K1640" s="24" t="n">
        <f aca="false">'DCF Base Case'!$B$2*(1+B1640)^2*$I1640-'DCF Base Case'!$B$2*(1+B1640)^1*B1640*'DCF Base Case'!$B$4</f>
        <v>24.5073988547607</v>
      </c>
      <c r="L1640" s="24" t="n">
        <f aca="false">'DCF Base Case'!$B$2*(1+B1640)^3*$I1640-'DCF Base Case'!$B$2*(1+B1640)^2*B1640*'DCF Base Case'!$B$4</f>
        <v>25.9693821606608</v>
      </c>
      <c r="M1640" s="24" t="n">
        <f aca="false">'DCF Base Case'!$B$2*(1+B1640)^4*$I1640-'DCF Base Case'!$B$2*(1+B1640)^3*B1640*'DCF Base Case'!$B$4</f>
        <v>27.5185797482315</v>
      </c>
      <c r="N1640" s="24" t="n">
        <f aca="false">'DCF Base Case'!$B$2*(1+B1640)^5*$I1640-'DCF Base Case'!$B$2*(1+B1640)^4*B1640*'DCF Base Case'!$B$4</f>
        <v>29.1601943656139</v>
      </c>
      <c r="O1640" s="24" t="n">
        <f aca="false">J1640/(1+H1640)^1+K1640/(1+H1640)^2+L1640/(1+H1640)^3+M1640/(1+H1640)^4+N1640/(1+H1640)^5</f>
        <v>102.780536372974</v>
      </c>
      <c r="P1640" s="24" t="n">
        <f aca="false">N1640*(1+F1640)/(H1640-F1640)</f>
        <v>466.373118281427</v>
      </c>
      <c r="Q1640" s="24" t="n">
        <f aca="false">O1640+P1640/(1+H1640)^5</f>
        <v>418.45505449469</v>
      </c>
      <c r="R1640" s="24" t="n">
        <f aca="false">Q1640-'DCF Base Case'!$B$5</f>
        <v>233.45505449469</v>
      </c>
      <c r="S1640" s="32" t="n">
        <f aca="false">R1640/'DCF Base Case'!$B$6</f>
        <v>9.33820217978759</v>
      </c>
    </row>
    <row r="1641" customFormat="false" ht="15" hidden="false" customHeight="true" outlineLevel="0" collapsed="false">
      <c r="A1641" s="6" t="n">
        <v>1640</v>
      </c>
      <c r="B1641" s="30" t="n">
        <v>0.0808339430637896</v>
      </c>
      <c r="C1641" s="30" t="n">
        <v>0.380745223674123</v>
      </c>
      <c r="D1641" s="30" t="n">
        <v>0.0778268739102758</v>
      </c>
      <c r="E1641" s="30" t="n">
        <v>0.269858975026529</v>
      </c>
      <c r="F1641" s="30" t="n">
        <v>0.019625459392493</v>
      </c>
      <c r="G1641" s="30" t="n">
        <v>0.178423647498538</v>
      </c>
      <c r="H1641" s="31" t="n">
        <f aca="false">MAX(D1641,F1641+0.015)</f>
        <v>0.0778268739102758</v>
      </c>
      <c r="I1641" s="25" t="n">
        <f aca="false">(C1641-'DCF Base Case'!$B$3)*(1-E1641)+'DCF Base Case'!$B$3-G1641</f>
        <v>0.134655727122088</v>
      </c>
      <c r="J1641" s="24" t="n">
        <f aca="false">'DCF Base Case'!$B$2*(1+B1641)^1*$I1641-'DCF Base Case'!$B$2*(1+B1641)^0*B1641*'DCF Base Case'!$B$4</f>
        <v>20.7517420203883</v>
      </c>
      <c r="K1641" s="24" t="n">
        <f aca="false">'DCF Base Case'!$B$2*(1+B1641)^2*$I1641-'DCF Base Case'!$B$2*(1+B1641)^1*B1641*'DCF Base Case'!$B$4</f>
        <v>22.4291871533389</v>
      </c>
      <c r="L1641" s="24" t="n">
        <f aca="false">'DCF Base Case'!$B$2*(1+B1641)^3*$I1641-'DCF Base Case'!$B$2*(1+B1641)^2*B1641*'DCF Base Case'!$B$4</f>
        <v>24.2422267906589</v>
      </c>
      <c r="M1641" s="24" t="n">
        <f aca="false">'DCF Base Case'!$B$2*(1+B1641)^4*$I1641-'DCF Base Case'!$B$2*(1+B1641)^3*B1641*'DCF Base Case'!$B$4</f>
        <v>26.2018215707945</v>
      </c>
      <c r="N1641" s="24" t="n">
        <f aca="false">'DCF Base Case'!$B$2*(1+B1641)^5*$I1641-'DCF Base Case'!$B$2*(1+B1641)^4*B1641*'DCF Base Case'!$B$4</f>
        <v>28.3198181238157</v>
      </c>
      <c r="O1641" s="24" t="n">
        <f aca="false">J1641/(1+H1641)^1+K1641/(1+H1641)^2+L1641/(1+H1641)^3+M1641/(1+H1641)^4+N1641/(1+H1641)^5</f>
        <v>96.8052390318085</v>
      </c>
      <c r="P1641" s="24" t="n">
        <f aca="false">N1641*(1+F1641)/(H1641-F1641)</f>
        <v>496.132401654686</v>
      </c>
      <c r="Q1641" s="24" t="n">
        <f aca="false">O1641+P1641/(1+H1641)^5</f>
        <v>437.882331271721</v>
      </c>
      <c r="R1641" s="24" t="n">
        <f aca="false">Q1641-'DCF Base Case'!$B$5</f>
        <v>252.882331271721</v>
      </c>
      <c r="S1641" s="32" t="n">
        <f aca="false">R1641/'DCF Base Case'!$B$6</f>
        <v>10.1152932508688</v>
      </c>
    </row>
    <row r="1642" customFormat="false" ht="15" hidden="false" customHeight="true" outlineLevel="0" collapsed="false">
      <c r="A1642" s="6" t="n">
        <v>1641</v>
      </c>
      <c r="B1642" s="30" t="n">
        <v>0.0851254340369652</v>
      </c>
      <c r="C1642" s="30" t="n">
        <v>0.40744146844231</v>
      </c>
      <c r="D1642" s="30" t="n">
        <v>0.0660710552566424</v>
      </c>
      <c r="E1642" s="30" t="n">
        <v>0.295986745576127</v>
      </c>
      <c r="F1642" s="30" t="n">
        <v>0.0165244247487402</v>
      </c>
      <c r="G1642" s="30" t="n">
        <v>0.183054533128596</v>
      </c>
      <c r="H1642" s="31" t="n">
        <f aca="false">MAX(D1642,F1642+0.015)</f>
        <v>0.0660710552566424</v>
      </c>
      <c r="I1642" s="25" t="n">
        <f aca="false">(C1642-'DCF Base Case'!$B$3)*(1-E1642)+'DCF Base Case'!$B$3-G1642</f>
        <v>0.142267937981613</v>
      </c>
      <c r="J1642" s="24" t="n">
        <f aca="false">'DCF Base Case'!$B$2*(1+B1642)^1*$I1642-'DCF Base Case'!$B$2*(1+B1642)^0*B1642*'DCF Base Case'!$B$4</f>
        <v>22.0145952649563</v>
      </c>
      <c r="K1642" s="24" t="n">
        <f aca="false">'DCF Base Case'!$B$2*(1+B1642)^2*$I1642-'DCF Base Case'!$B$2*(1+B1642)^1*B1642*'DCF Base Case'!$B$4</f>
        <v>23.8885972420338</v>
      </c>
      <c r="L1642" s="24" t="n">
        <f aca="false">'DCF Base Case'!$B$2*(1+B1642)^3*$I1642-'DCF Base Case'!$B$2*(1+B1642)^2*B1642*'DCF Base Case'!$B$4</f>
        <v>25.9221244507962</v>
      </c>
      <c r="M1642" s="24" t="n">
        <f aca="false">'DCF Base Case'!$B$2*(1+B1642)^4*$I1642-'DCF Base Case'!$B$2*(1+B1642)^3*B1642*'DCF Base Case'!$B$4</f>
        <v>28.1287565458304</v>
      </c>
      <c r="N1642" s="24" t="n">
        <f aca="false">'DCF Base Case'!$B$2*(1+B1642)^5*$I1642-'DCF Base Case'!$B$2*(1+B1642)^4*B1642*'DCF Base Case'!$B$4</f>
        <v>30.5232291557143</v>
      </c>
      <c r="O1642" s="24" t="n">
        <f aca="false">J1642/(1+H1642)^1+K1642/(1+H1642)^2+L1642/(1+H1642)^3+M1642/(1+H1642)^4+N1642/(1+H1642)^5</f>
        <v>107.008537968475</v>
      </c>
      <c r="P1642" s="24" t="n">
        <f aca="false">N1642*(1+F1642)/(H1642-F1642)</f>
        <v>626.230434661705</v>
      </c>
      <c r="Q1642" s="24" t="n">
        <f aca="false">O1642+P1642/(1+H1642)^5</f>
        <v>561.790687669326</v>
      </c>
      <c r="R1642" s="24" t="n">
        <f aca="false">Q1642-'DCF Base Case'!$B$5</f>
        <v>376.790687669326</v>
      </c>
      <c r="S1642" s="32" t="n">
        <f aca="false">R1642/'DCF Base Case'!$B$6</f>
        <v>15.071627506773</v>
      </c>
    </row>
    <row r="1643" customFormat="false" ht="15" hidden="false" customHeight="true" outlineLevel="0" collapsed="false">
      <c r="A1643" s="6" t="n">
        <v>1642</v>
      </c>
      <c r="B1643" s="30" t="n">
        <v>0.118318993231893</v>
      </c>
      <c r="C1643" s="30" t="n">
        <v>0.420608246699886</v>
      </c>
      <c r="D1643" s="30" t="n">
        <v>0.0737435759115752</v>
      </c>
      <c r="E1643" s="30" t="n">
        <v>0.27917663814349</v>
      </c>
      <c r="F1643" s="30" t="n">
        <v>0.0205913157171816</v>
      </c>
      <c r="G1643" s="30" t="n">
        <v>0.158790897572671</v>
      </c>
      <c r="H1643" s="31" t="n">
        <f aca="false">MAX(D1643,F1643+0.015)</f>
        <v>0.0737435759115752</v>
      </c>
      <c r="I1643" s="25" t="n">
        <f aca="false">(C1643-'DCF Base Case'!$B$3)*(1-E1643)+'DCF Base Case'!$B$3-G1643</f>
        <v>0.180686315796767</v>
      </c>
      <c r="J1643" s="24" t="n">
        <f aca="false">'DCF Base Case'!$B$2*(1+B1643)^1*$I1643-'DCF Base Case'!$B$2*(1+B1643)^0*B1643*'DCF Base Case'!$B$4</f>
        <v>28.7847285014712</v>
      </c>
      <c r="K1643" s="24" t="n">
        <f aca="false">'DCF Base Case'!$B$2*(1+B1643)^2*$I1643-'DCF Base Case'!$B$2*(1+B1643)^1*B1643*'DCF Base Case'!$B$4</f>
        <v>32.1905085982187</v>
      </c>
      <c r="L1643" s="24" t="n">
        <f aca="false">'DCF Base Case'!$B$2*(1+B1643)^3*$I1643-'DCF Base Case'!$B$2*(1+B1643)^2*B1643*'DCF Base Case'!$B$4</f>
        <v>35.9992571671825</v>
      </c>
      <c r="M1643" s="24" t="n">
        <f aca="false">'DCF Base Case'!$B$2*(1+B1643)^4*$I1643-'DCF Base Case'!$B$2*(1+B1643)^3*B1643*'DCF Base Case'!$B$4</f>
        <v>40.2586530322995</v>
      </c>
      <c r="N1643" s="24" t="n">
        <f aca="false">'DCF Base Case'!$B$2*(1+B1643)^5*$I1643-'DCF Base Case'!$B$2*(1+B1643)^4*B1643*'DCF Base Case'!$B$4</f>
        <v>45.0220163279533</v>
      </c>
      <c r="O1643" s="24" t="n">
        <f aca="false">J1643/(1+H1643)^1+K1643/(1+H1643)^2+L1643/(1+H1643)^3+M1643/(1+H1643)^4+N1643/(1+H1643)^5</f>
        <v>145.63980456807</v>
      </c>
      <c r="P1643" s="24" t="n">
        <f aca="false">N1643*(1+F1643)/(H1643-F1643)</f>
        <v>864.480244345901</v>
      </c>
      <c r="Q1643" s="24" t="n">
        <f aca="false">O1643+P1643/(1+H1643)^5</f>
        <v>751.332282748988</v>
      </c>
      <c r="R1643" s="24" t="n">
        <f aca="false">Q1643-'DCF Base Case'!$B$5</f>
        <v>566.332282748988</v>
      </c>
      <c r="S1643" s="32" t="n">
        <f aca="false">R1643/'DCF Base Case'!$B$6</f>
        <v>22.6532913099595</v>
      </c>
    </row>
    <row r="1644" customFormat="false" ht="15" hidden="false" customHeight="true" outlineLevel="0" collapsed="false">
      <c r="A1644" s="6" t="n">
        <v>1643</v>
      </c>
      <c r="B1644" s="30" t="n">
        <v>0.0778393972117653</v>
      </c>
      <c r="C1644" s="30" t="n">
        <v>0.421502183459872</v>
      </c>
      <c r="D1644" s="30" t="n">
        <v>0.0904733610216362</v>
      </c>
      <c r="E1644" s="30" t="n">
        <v>0.270685241059772</v>
      </c>
      <c r="F1644" s="30" t="n">
        <v>0.0129300138408446</v>
      </c>
      <c r="G1644" s="30" t="n">
        <v>0.175905168677437</v>
      </c>
      <c r="H1644" s="31" t="n">
        <f aca="false">MAX(D1644,F1644+0.015)</f>
        <v>0.0904733610216362</v>
      </c>
      <c r="I1644" s="25" t="n">
        <f aca="false">(C1644-'DCF Base Case'!$B$3)*(1-E1644)+'DCF Base Case'!$B$3-G1644</f>
        <v>0.16669167598315</v>
      </c>
      <c r="J1644" s="24" t="n">
        <f aca="false">'DCF Base Case'!$B$2*(1+B1644)^1*$I1644-'DCF Base Case'!$B$2*(1+B1644)^0*B1644*'DCF Base Case'!$B$4</f>
        <v>25.7130926786039</v>
      </c>
      <c r="K1644" s="24" t="n">
        <f aca="false">'DCF Base Case'!$B$2*(1+B1644)^2*$I1644-'DCF Base Case'!$B$2*(1+B1644)^1*B1644*'DCF Base Case'!$B$4</f>
        <v>27.7145843131567</v>
      </c>
      <c r="L1644" s="24" t="n">
        <f aca="false">'DCF Base Case'!$B$2*(1+B1644)^3*$I1644-'DCF Base Case'!$B$2*(1+B1644)^2*B1644*'DCF Base Case'!$B$4</f>
        <v>29.8718708500674</v>
      </c>
      <c r="M1644" s="24" t="n">
        <f aca="false">'DCF Base Case'!$B$2*(1+B1644)^4*$I1644-'DCF Base Case'!$B$2*(1+B1644)^3*B1644*'DCF Base Case'!$B$4</f>
        <v>32.1970792706244</v>
      </c>
      <c r="N1644" s="24" t="n">
        <f aca="false">'DCF Base Case'!$B$2*(1+B1644)^5*$I1644-'DCF Base Case'!$B$2*(1+B1644)^4*B1644*'DCF Base Case'!$B$4</f>
        <v>34.7032805130292</v>
      </c>
      <c r="O1644" s="24" t="n">
        <f aca="false">J1644/(1+H1644)^1+K1644/(1+H1644)^2+L1644/(1+H1644)^3+M1644/(1+H1644)^4+N1644/(1+H1644)^5</f>
        <v>115.198340074147</v>
      </c>
      <c r="P1644" s="24" t="n">
        <f aca="false">N1644*(1+F1644)/(H1644-F1644)</f>
        <v>453.32057085992</v>
      </c>
      <c r="Q1644" s="24" t="n">
        <f aca="false">O1644+P1644/(1+H1644)^5</f>
        <v>409.186691768154</v>
      </c>
      <c r="R1644" s="24" t="n">
        <f aca="false">Q1644-'DCF Base Case'!$B$5</f>
        <v>224.186691768154</v>
      </c>
      <c r="S1644" s="32" t="n">
        <f aca="false">R1644/'DCF Base Case'!$B$6</f>
        <v>8.96746767072616</v>
      </c>
    </row>
    <row r="1645" customFormat="false" ht="15" hidden="false" customHeight="true" outlineLevel="0" collapsed="false">
      <c r="A1645" s="6" t="n">
        <v>1644</v>
      </c>
      <c r="B1645" s="30" t="n">
        <v>0.0732748780702279</v>
      </c>
      <c r="C1645" s="30" t="n">
        <v>0.413271764660676</v>
      </c>
      <c r="D1645" s="30" t="n">
        <v>0.0866627295484694</v>
      </c>
      <c r="E1645" s="30" t="n">
        <v>0.248049146596579</v>
      </c>
      <c r="F1645" s="30" t="n">
        <v>0.019651658575007</v>
      </c>
      <c r="G1645" s="30" t="n">
        <v>0.177331051350309</v>
      </c>
      <c r="H1645" s="31" t="n">
        <f aca="false">MAX(D1645,F1645+0.015)</f>
        <v>0.0866627295484694</v>
      </c>
      <c r="I1645" s="25" t="n">
        <f aca="false">(C1645-'DCF Base Case'!$B$3)*(1-E1645)+'DCF Base Case'!$B$3-G1645</f>
        <v>0.165675393831379</v>
      </c>
      <c r="J1645" s="24" t="n">
        <f aca="false">'DCF Base Case'!$B$2*(1+B1645)^1*$I1645-'DCF Base Case'!$B$2*(1+B1645)^0*B1645*'DCF Base Case'!$B$4</f>
        <v>25.4644638068681</v>
      </c>
      <c r="K1645" s="24" t="n">
        <f aca="false">'DCF Base Case'!$B$2*(1+B1645)^2*$I1645-'DCF Base Case'!$B$2*(1+B1645)^1*B1645*'DCF Base Case'!$B$4</f>
        <v>27.33036928744</v>
      </c>
      <c r="L1645" s="24" t="n">
        <f aca="false">'DCF Base Case'!$B$2*(1+B1645)^3*$I1645-'DCF Base Case'!$B$2*(1+B1645)^2*B1645*'DCF Base Case'!$B$4</f>
        <v>29.3329987645915</v>
      </c>
      <c r="M1645" s="24" t="n">
        <f aca="false">'DCF Base Case'!$B$2*(1+B1645)^4*$I1645-'DCF Base Case'!$B$2*(1+B1645)^3*B1645*'DCF Base Case'!$B$4</f>
        <v>31.4823706725011</v>
      </c>
      <c r="N1645" s="24" t="n">
        <f aca="false">'DCF Base Case'!$B$2*(1+B1645)^5*$I1645-'DCF Base Case'!$B$2*(1+B1645)^4*B1645*'DCF Base Case'!$B$4</f>
        <v>33.7892375448903</v>
      </c>
      <c r="O1645" s="24" t="n">
        <f aca="false">J1645/(1+H1645)^1+K1645/(1+H1645)^2+L1645/(1+H1645)^3+M1645/(1+H1645)^4+N1645/(1+H1645)^5</f>
        <v>114.316492771916</v>
      </c>
      <c r="P1645" s="24" t="n">
        <f aca="false">N1645*(1+F1645)/(H1645-F1645)</f>
        <v>514.142687232628</v>
      </c>
      <c r="Q1645" s="24" t="n">
        <f aca="false">O1645+P1645/(1+H1645)^5</f>
        <v>453.636762757458</v>
      </c>
      <c r="R1645" s="24" t="n">
        <f aca="false">Q1645-'DCF Base Case'!$B$5</f>
        <v>268.636762757458</v>
      </c>
      <c r="S1645" s="32" t="n">
        <f aca="false">R1645/'DCF Base Case'!$B$6</f>
        <v>10.7454705102983</v>
      </c>
    </row>
    <row r="1646" customFormat="false" ht="15" hidden="false" customHeight="true" outlineLevel="0" collapsed="false">
      <c r="A1646" s="6" t="n">
        <v>1645</v>
      </c>
      <c r="B1646" s="30" t="n">
        <v>0.103805194796108</v>
      </c>
      <c r="C1646" s="30" t="n">
        <v>0.421550675196818</v>
      </c>
      <c r="D1646" s="30" t="n">
        <v>0.0632509535165545</v>
      </c>
      <c r="E1646" s="30" t="n">
        <v>0.318412194304526</v>
      </c>
      <c r="F1646" s="30" t="n">
        <v>0.0208146208540476</v>
      </c>
      <c r="G1646" s="30" t="n">
        <v>0.141394053934912</v>
      </c>
      <c r="H1646" s="31" t="n">
        <f aca="false">MAX(D1646,F1646+0.015)</f>
        <v>0.0632509535165545</v>
      </c>
      <c r="I1646" s="25" t="n">
        <f aca="false">(C1646-'DCF Base Case'!$B$3)*(1-E1646)+'DCF Base Case'!$B$3-G1646</f>
        <v>0.187323331021521</v>
      </c>
      <c r="J1646" s="24" t="n">
        <f aca="false">'DCF Base Case'!$B$2*(1+B1646)^1*$I1646-'DCF Base Case'!$B$2*(1+B1646)^0*B1646*'DCF Base Case'!$B$4</f>
        <v>29.5298749564065</v>
      </c>
      <c r="K1646" s="24" t="n">
        <f aca="false">'DCF Base Case'!$B$2*(1+B1646)^2*$I1646-'DCF Base Case'!$B$2*(1+B1646)^1*B1646*'DCF Base Case'!$B$4</f>
        <v>32.595229378561</v>
      </c>
      <c r="L1646" s="24" t="n">
        <f aca="false">'DCF Base Case'!$B$2*(1+B1646)^3*$I1646-'DCF Base Case'!$B$2*(1+B1646)^2*B1646*'DCF Base Case'!$B$4</f>
        <v>35.9787835136263</v>
      </c>
      <c r="M1646" s="24" t="n">
        <f aca="false">'DCF Base Case'!$B$2*(1+B1646)^4*$I1646-'DCF Base Case'!$B$2*(1+B1646)^3*B1646*'DCF Base Case'!$B$4</f>
        <v>39.7135681447853</v>
      </c>
      <c r="N1646" s="24" t="n">
        <f aca="false">'DCF Base Case'!$B$2*(1+B1646)^5*$I1646-'DCF Base Case'!$B$2*(1+B1646)^4*B1646*'DCF Base Case'!$B$4</f>
        <v>43.8360428221032</v>
      </c>
      <c r="O1646" s="24" t="n">
        <f aca="false">J1646/(1+H1646)^1+K1646/(1+H1646)^2+L1646/(1+H1646)^3+M1646/(1+H1646)^4+N1646/(1+H1646)^5</f>
        <v>149.870955683633</v>
      </c>
      <c r="P1646" s="24" t="n">
        <f aca="false">N1646*(1+F1646)/(H1646-F1646)</f>
        <v>1054.48493367861</v>
      </c>
      <c r="Q1646" s="24" t="n">
        <f aca="false">O1646+P1646/(1+H1646)^5</f>
        <v>925.870515118452</v>
      </c>
      <c r="R1646" s="24" t="n">
        <f aca="false">Q1646-'DCF Base Case'!$B$5</f>
        <v>740.870515118452</v>
      </c>
      <c r="S1646" s="32" t="n">
        <f aca="false">R1646/'DCF Base Case'!$B$6</f>
        <v>29.6348206047381</v>
      </c>
    </row>
    <row r="1647" customFormat="false" ht="15" hidden="false" customHeight="true" outlineLevel="0" collapsed="false">
      <c r="A1647" s="6" t="n">
        <v>1646</v>
      </c>
      <c r="B1647" s="30" t="n">
        <v>0.0728190235880294</v>
      </c>
      <c r="C1647" s="30" t="n">
        <v>0.413465640469679</v>
      </c>
      <c r="D1647" s="30" t="n">
        <v>0.0924776261262808</v>
      </c>
      <c r="E1647" s="30" t="n">
        <v>0.267517286334873</v>
      </c>
      <c r="F1647" s="30" t="n">
        <v>0.0223187415115082</v>
      </c>
      <c r="G1647" s="30" t="n">
        <v>0.13208389138903</v>
      </c>
      <c r="H1647" s="31" t="n">
        <f aca="false">MAX(D1647,F1647+0.015)</f>
        <v>0.0924776261262808</v>
      </c>
      <c r="I1647" s="25" t="n">
        <f aca="false">(C1647-'DCF Base Case'!$B$3)*(1-E1647)+'DCF Base Case'!$B$3-G1647</f>
        <v>0.205549790173024</v>
      </c>
      <c r="J1647" s="24" t="n">
        <f aca="false">'DCF Base Case'!$B$2*(1+B1647)^1*$I1647-'DCF Base Case'!$B$2*(1+B1647)^0*B1647*'DCF Base Case'!$B$4</f>
        <v>31.6583074002535</v>
      </c>
      <c r="K1647" s="24" t="n">
        <f aca="false">'DCF Base Case'!$B$2*(1+B1647)^2*$I1647-'DCF Base Case'!$B$2*(1+B1647)^1*B1647*'DCF Base Case'!$B$4</f>
        <v>33.9636344335896</v>
      </c>
      <c r="L1647" s="24" t="n">
        <f aca="false">'DCF Base Case'!$B$2*(1+B1647)^3*$I1647-'DCF Base Case'!$B$2*(1+B1647)^2*B1647*'DCF Base Case'!$B$4</f>
        <v>36.4368331305444</v>
      </c>
      <c r="M1647" s="24" t="n">
        <f aca="false">'DCF Base Case'!$B$2*(1+B1647)^4*$I1647-'DCF Base Case'!$B$2*(1+B1647)^3*B1647*'DCF Base Case'!$B$4</f>
        <v>39.0901277417506</v>
      </c>
      <c r="N1647" s="24" t="n">
        <f aca="false">'DCF Base Case'!$B$2*(1+B1647)^5*$I1647-'DCF Base Case'!$B$2*(1+B1647)^4*B1647*'DCF Base Case'!$B$4</f>
        <v>41.9366326758362</v>
      </c>
      <c r="O1647" s="24" t="n">
        <f aca="false">J1647/(1+H1647)^1+K1647/(1+H1647)^2+L1647/(1+H1647)^3+M1647/(1+H1647)^4+N1647/(1+H1647)^5</f>
        <v>139.770707053402</v>
      </c>
      <c r="P1647" s="24" t="n">
        <f aca="false">N1647*(1+F1647)/(H1647-F1647)</f>
        <v>611.078778914397</v>
      </c>
      <c r="Q1647" s="24" t="n">
        <f aca="false">O1647+P1647/(1+H1647)^5</f>
        <v>532.446785429379</v>
      </c>
      <c r="R1647" s="24" t="n">
        <f aca="false">Q1647-'DCF Base Case'!$B$5</f>
        <v>347.446785429379</v>
      </c>
      <c r="S1647" s="32" t="n">
        <f aca="false">R1647/'DCF Base Case'!$B$6</f>
        <v>13.8978714171752</v>
      </c>
    </row>
    <row r="1648" customFormat="false" ht="15" hidden="false" customHeight="true" outlineLevel="0" collapsed="false">
      <c r="A1648" s="6" t="n">
        <v>1647</v>
      </c>
      <c r="B1648" s="30" t="n">
        <v>0.0672579767942922</v>
      </c>
      <c r="C1648" s="30" t="n">
        <v>0.368035791854191</v>
      </c>
      <c r="D1648" s="30" t="n">
        <v>0.0751285434284334</v>
      </c>
      <c r="E1648" s="30" t="n">
        <v>0.324483395010726</v>
      </c>
      <c r="F1648" s="30" t="n">
        <v>0.0258877504543311</v>
      </c>
      <c r="G1648" s="30" t="n">
        <v>0.170567421419303</v>
      </c>
      <c r="H1648" s="31" t="n">
        <f aca="false">MAX(D1648,F1648+0.015)</f>
        <v>0.0751285434284334</v>
      </c>
      <c r="I1648" s="25" t="n">
        <f aca="false">(C1648-'DCF Base Case'!$B$3)*(1-E1648)+'DCF Base Case'!$B$3-G1648</f>
        <v>0.120229708559974</v>
      </c>
      <c r="J1648" s="24" t="n">
        <f aca="false">'DCF Base Case'!$B$2*(1+B1648)^1*$I1648-'DCF Base Case'!$B$2*(1+B1648)^0*B1648*'DCF Base Case'!$B$4</f>
        <v>18.3132645496461</v>
      </c>
      <c r="K1648" s="24" t="n">
        <f aca="false">'DCF Base Case'!$B$2*(1+B1648)^2*$I1648-'DCF Base Case'!$B$2*(1+B1648)^1*B1648*'DCF Base Case'!$B$4</f>
        <v>19.544977671754</v>
      </c>
      <c r="L1648" s="24" t="n">
        <f aca="false">'DCF Base Case'!$B$2*(1+B1648)^3*$I1648-'DCF Base Case'!$B$2*(1+B1648)^2*B1648*'DCF Base Case'!$B$4</f>
        <v>20.8595333264457</v>
      </c>
      <c r="M1648" s="24" t="n">
        <f aca="false">'DCF Base Case'!$B$2*(1+B1648)^4*$I1648-'DCF Base Case'!$B$2*(1+B1648)^3*B1648*'DCF Base Case'!$B$4</f>
        <v>22.2625033348556</v>
      </c>
      <c r="N1648" s="24" t="n">
        <f aca="false">'DCF Base Case'!$B$2*(1+B1648)^5*$I1648-'DCF Base Case'!$B$2*(1+B1648)^4*B1648*'DCF Base Case'!$B$4</f>
        <v>23.7598342675342</v>
      </c>
      <c r="O1648" s="24" t="n">
        <f aca="false">J1648/(1+H1648)^1+K1648/(1+H1648)^2+L1648/(1+H1648)^3+M1648/(1+H1648)^4+N1648/(1+H1648)^5</f>
        <v>83.9299301772261</v>
      </c>
      <c r="P1648" s="24" t="n">
        <f aca="false">N1648*(1+F1648)/(H1648-F1648)</f>
        <v>495.014833345761</v>
      </c>
      <c r="Q1648" s="24" t="n">
        <f aca="false">O1648+P1648/(1+H1648)^5</f>
        <v>428.530707531701</v>
      </c>
      <c r="R1648" s="24" t="n">
        <f aca="false">Q1648-'DCF Base Case'!$B$5</f>
        <v>243.530707531701</v>
      </c>
      <c r="S1648" s="32" t="n">
        <f aca="false">R1648/'DCF Base Case'!$B$6</f>
        <v>9.74122830126806</v>
      </c>
    </row>
    <row r="1649" customFormat="false" ht="15" hidden="false" customHeight="true" outlineLevel="0" collapsed="false">
      <c r="A1649" s="6" t="n">
        <v>1648</v>
      </c>
      <c r="B1649" s="30" t="n">
        <v>0.0761660864393804</v>
      </c>
      <c r="C1649" s="30" t="n">
        <v>0.404712968050591</v>
      </c>
      <c r="D1649" s="30" t="n">
        <v>0.0902067387991633</v>
      </c>
      <c r="E1649" s="30" t="n">
        <v>0.251395736424507</v>
      </c>
      <c r="F1649" s="30" t="n">
        <v>0.0170435137782742</v>
      </c>
      <c r="G1649" s="30" t="n">
        <v>0.1986938340249</v>
      </c>
      <c r="H1649" s="31" t="n">
        <f aca="false">MAX(D1649,F1649+0.015)</f>
        <v>0.0902067387991633</v>
      </c>
      <c r="I1649" s="25" t="n">
        <f aca="false">(C1649-'DCF Base Case'!$B$3)*(1-E1649)+'DCF Base Case'!$B$3-G1649</f>
        <v>0.136957465117251</v>
      </c>
      <c r="J1649" s="24" t="n">
        <f aca="false">'DCF Base Case'!$B$2*(1+B1649)^1*$I1649-'DCF Base Case'!$B$2*(1+B1649)^0*B1649*'DCF Base Case'!$B$4</f>
        <v>21.0400795143527</v>
      </c>
      <c r="K1649" s="24" t="n">
        <f aca="false">'DCF Base Case'!$B$2*(1+B1649)^2*$I1649-'DCF Base Case'!$B$2*(1+B1649)^1*B1649*'DCF Base Case'!$B$4</f>
        <v>22.6426200293343</v>
      </c>
      <c r="L1649" s="24" t="n">
        <f aca="false">'DCF Base Case'!$B$2*(1+B1649)^3*$I1649-'DCF Base Case'!$B$2*(1+B1649)^2*B1649*'DCF Base Case'!$B$4</f>
        <v>24.3672197837026</v>
      </c>
      <c r="M1649" s="24" t="n">
        <f aca="false">'DCF Base Case'!$B$2*(1+B1649)^4*$I1649-'DCF Base Case'!$B$2*(1+B1649)^3*B1649*'DCF Base Case'!$B$4</f>
        <v>26.2231755520355</v>
      </c>
      <c r="N1649" s="24" t="n">
        <f aca="false">'DCF Base Case'!$B$2*(1+B1649)^5*$I1649-'DCF Base Case'!$B$2*(1+B1649)^4*B1649*'DCF Base Case'!$B$4</f>
        <v>28.2204922078469</v>
      </c>
      <c r="O1649" s="24" t="n">
        <f aca="false">J1649/(1+H1649)^1+K1649/(1+H1649)^2+L1649/(1+H1649)^3+M1649/(1+H1649)^4+N1649/(1+H1649)^5</f>
        <v>94.0421109456276</v>
      </c>
      <c r="P1649" s="24" t="n">
        <f aca="false">N1649*(1+F1649)/(H1649-F1649)</f>
        <v>392.293649540823</v>
      </c>
      <c r="Q1649" s="24" t="n">
        <f aca="false">O1649+P1649/(1+H1649)^5</f>
        <v>348.764410636816</v>
      </c>
      <c r="R1649" s="24" t="n">
        <f aca="false">Q1649-'DCF Base Case'!$B$5</f>
        <v>163.764410636816</v>
      </c>
      <c r="S1649" s="32" t="n">
        <f aca="false">R1649/'DCF Base Case'!$B$6</f>
        <v>6.55057642547266</v>
      </c>
    </row>
    <row r="1650" customFormat="false" ht="15" hidden="false" customHeight="true" outlineLevel="0" collapsed="false">
      <c r="A1650" s="6" t="n">
        <v>1649</v>
      </c>
      <c r="B1650" s="30" t="n">
        <v>0.0671889183501448</v>
      </c>
      <c r="C1650" s="30" t="n">
        <v>0.38927522530438</v>
      </c>
      <c r="D1650" s="30" t="n">
        <v>0.0851451302157959</v>
      </c>
      <c r="E1650" s="30" t="n">
        <v>0.287979958474362</v>
      </c>
      <c r="F1650" s="30" t="n">
        <v>0.0168225534236082</v>
      </c>
      <c r="G1650" s="30" t="n">
        <v>0.166934421356003</v>
      </c>
      <c r="H1650" s="31" t="n">
        <f aca="false">MAX(D1650,F1650+0.015)</f>
        <v>0.0851451302157959</v>
      </c>
      <c r="I1650" s="25" t="n">
        <f aca="false">(C1650-'DCF Base Case'!$B$3)*(1-E1650)+'DCF Base Case'!$B$3-G1650</f>
        <v>0.147674735331791</v>
      </c>
      <c r="J1650" s="24" t="n">
        <f aca="false">'DCF Base Case'!$B$2*(1+B1650)^1*$I1650-'DCF Base Case'!$B$2*(1+B1650)^0*B1650*'DCF Base Case'!$B$4</f>
        <v>22.5592701598016</v>
      </c>
      <c r="K1650" s="24" t="n">
        <f aca="false">'DCF Base Case'!$B$2*(1+B1650)^2*$I1650-'DCF Base Case'!$B$2*(1+B1650)^1*B1650*'DCF Base Case'!$B$4</f>
        <v>24.0750031206074</v>
      </c>
      <c r="L1650" s="24" t="n">
        <f aca="false">'DCF Base Case'!$B$2*(1+B1650)^3*$I1650-'DCF Base Case'!$B$2*(1+B1650)^2*B1650*'DCF Base Case'!$B$4</f>
        <v>25.6925765395574</v>
      </c>
      <c r="M1650" s="24" t="n">
        <f aca="false">'DCF Base Case'!$B$2*(1+B1650)^4*$I1650-'DCF Base Case'!$B$2*(1+B1650)^3*B1650*'DCF Base Case'!$B$4</f>
        <v>27.4188329668786</v>
      </c>
      <c r="N1650" s="24" t="n">
        <f aca="false">'DCF Base Case'!$B$2*(1+B1650)^5*$I1650-'DCF Base Case'!$B$2*(1+B1650)^4*B1650*'DCF Base Case'!$B$4</f>
        <v>29.2610746963464</v>
      </c>
      <c r="O1650" s="24" t="n">
        <f aca="false">J1650/(1+H1650)^1+K1650/(1+H1650)^2+L1650/(1+H1650)^3+M1650/(1+H1650)^4+N1650/(1+H1650)^5</f>
        <v>100.562275553069</v>
      </c>
      <c r="P1650" s="24" t="n">
        <f aca="false">N1650*(1+F1650)/(H1650-F1650)</f>
        <v>435.48299969945</v>
      </c>
      <c r="Q1650" s="24" t="n">
        <f aca="false">O1650+P1650/(1+H1650)^5</f>
        <v>389.984633138985</v>
      </c>
      <c r="R1650" s="24" t="n">
        <f aca="false">Q1650-'DCF Base Case'!$B$5</f>
        <v>204.984633138985</v>
      </c>
      <c r="S1650" s="32" t="n">
        <f aca="false">R1650/'DCF Base Case'!$B$6</f>
        <v>8.19938532555938</v>
      </c>
    </row>
    <row r="1651" customFormat="false" ht="15" hidden="false" customHeight="true" outlineLevel="0" collapsed="false">
      <c r="A1651" s="6" t="n">
        <v>1650</v>
      </c>
      <c r="B1651" s="30" t="n">
        <v>0.103148013008963</v>
      </c>
      <c r="C1651" s="30" t="n">
        <v>0.451016903013775</v>
      </c>
      <c r="D1651" s="30" t="n">
        <v>0.0836113118262174</v>
      </c>
      <c r="E1651" s="30" t="n">
        <v>0.278494345837592</v>
      </c>
      <c r="F1651" s="30" t="n">
        <v>0.0246170653316769</v>
      </c>
      <c r="G1651" s="30" t="n">
        <v>0.154143568422528</v>
      </c>
      <c r="H1651" s="31" t="n">
        <f aca="false">MAX(D1651,F1651+0.015)</f>
        <v>0.0836113118262174</v>
      </c>
      <c r="I1651" s="25" t="n">
        <f aca="false">(C1651-'DCF Base Case'!$B$3)*(1-E1651)+'DCF Base Case'!$B$3-G1651</f>
        <v>0.207471942183616</v>
      </c>
      <c r="J1651" s="24" t="n">
        <f aca="false">'DCF Base Case'!$B$2*(1+B1651)^1*$I1651-'DCF Base Case'!$B$2*(1+B1651)^0*B1651*'DCF Base Case'!$B$4</f>
        <v>32.7377839557812</v>
      </c>
      <c r="K1651" s="24" t="n">
        <f aca="false">'DCF Base Case'!$B$2*(1+B1651)^2*$I1651-'DCF Base Case'!$B$2*(1+B1651)^1*B1651*'DCF Base Case'!$B$4</f>
        <v>36.1146213211367</v>
      </c>
      <c r="L1651" s="24" t="n">
        <f aca="false">'DCF Base Case'!$B$2*(1+B1651)^3*$I1651-'DCF Base Case'!$B$2*(1+B1651)^2*B1651*'DCF Base Case'!$B$4</f>
        <v>39.8397727509831</v>
      </c>
      <c r="M1651" s="24" t="n">
        <f aca="false">'DCF Base Case'!$B$2*(1+B1651)^4*$I1651-'DCF Base Case'!$B$2*(1+B1651)^3*B1651*'DCF Base Case'!$B$4</f>
        <v>43.9491661489756</v>
      </c>
      <c r="N1651" s="24" t="n">
        <f aca="false">'DCF Base Case'!$B$2*(1+B1651)^5*$I1651-'DCF Base Case'!$B$2*(1+B1651)^4*B1651*'DCF Base Case'!$B$4</f>
        <v>48.4824353106432</v>
      </c>
      <c r="O1651" s="24" t="n">
        <f aca="false">J1651/(1+H1651)^1+K1651/(1+H1651)^2+L1651/(1+H1651)^3+M1651/(1+H1651)^4+N1651/(1+H1651)^5</f>
        <v>156.604747136878</v>
      </c>
      <c r="P1651" s="24" t="n">
        <f aca="false">N1651*(1+F1651)/(H1651-F1651)</f>
        <v>842.047039158662</v>
      </c>
      <c r="Q1651" s="24" t="n">
        <f aca="false">O1651+P1651/(1+H1651)^5</f>
        <v>720.20178666059</v>
      </c>
      <c r="R1651" s="24" t="n">
        <f aca="false">Q1651-'DCF Base Case'!$B$5</f>
        <v>535.20178666059</v>
      </c>
      <c r="S1651" s="32" t="n">
        <f aca="false">R1651/'DCF Base Case'!$B$6</f>
        <v>21.4080714664236</v>
      </c>
    </row>
    <row r="1652" customFormat="false" ht="15" hidden="false" customHeight="true" outlineLevel="0" collapsed="false">
      <c r="A1652" s="6" t="n">
        <v>1651</v>
      </c>
      <c r="B1652" s="30" t="n">
        <v>0.0615282271254944</v>
      </c>
      <c r="C1652" s="30" t="n">
        <v>0.409561747330186</v>
      </c>
      <c r="D1652" s="30" t="n">
        <v>0.0968379252759671</v>
      </c>
      <c r="E1652" s="30" t="n">
        <v>0.290381061345476</v>
      </c>
      <c r="F1652" s="30" t="n">
        <v>0.0189854032472512</v>
      </c>
      <c r="G1652" s="30" t="n">
        <v>0.137175975493805</v>
      </c>
      <c r="H1652" s="31" t="n">
        <f aca="false">MAX(D1652,F1652+0.015)</f>
        <v>0.0968379252759671</v>
      </c>
      <c r="I1652" s="25" t="n">
        <f aca="false">(C1652-'DCF Base Case'!$B$3)*(1-E1652)+'DCF Base Case'!$B$3-G1652</f>
        <v>0.191206334935046</v>
      </c>
      <c r="J1652" s="24" t="n">
        <f aca="false">'DCF Base Case'!$B$2*(1+B1652)^1*$I1652-'DCF Base Case'!$B$2*(1+B1652)^0*B1652*'DCF Base Case'!$B$4</f>
        <v>29.1631358641247</v>
      </c>
      <c r="K1652" s="24" t="n">
        <f aca="false">'DCF Base Case'!$B$2*(1+B1652)^2*$I1652-'DCF Base Case'!$B$2*(1+B1652)^1*B1652*'DCF Base Case'!$B$4</f>
        <v>30.9574919112642</v>
      </c>
      <c r="L1652" s="24" t="n">
        <f aca="false">'DCF Base Case'!$B$2*(1+B1652)^3*$I1652-'DCF Base Case'!$B$2*(1+B1652)^2*B1652*'DCF Base Case'!$B$4</f>
        <v>32.8622515048161</v>
      </c>
      <c r="M1652" s="24" t="n">
        <f aca="false">'DCF Base Case'!$B$2*(1+B1652)^4*$I1652-'DCF Base Case'!$B$2*(1+B1652)^3*B1652*'DCF Base Case'!$B$4</f>
        <v>34.8842075792596</v>
      </c>
      <c r="N1652" s="24" t="n">
        <f aca="false">'DCF Base Case'!$B$2*(1+B1652)^5*$I1652-'DCF Base Case'!$B$2*(1+B1652)^4*B1652*'DCF Base Case'!$B$4</f>
        <v>37.0305710262891</v>
      </c>
      <c r="O1652" s="24" t="n">
        <f aca="false">J1652/(1+H1652)^1+K1652/(1+H1652)^2+L1652/(1+H1652)^3+M1652/(1+H1652)^4+N1652/(1+H1652)^5</f>
        <v>124.653605000113</v>
      </c>
      <c r="P1652" s="24" t="n">
        <f aca="false">N1652*(1+F1652)/(H1652-F1652)</f>
        <v>484.680654735645</v>
      </c>
      <c r="Q1652" s="24" t="n">
        <f aca="false">O1652+P1652/(1+H1652)^5</f>
        <v>429.965266635666</v>
      </c>
      <c r="R1652" s="24" t="n">
        <f aca="false">Q1652-'DCF Base Case'!$B$5</f>
        <v>244.965266635666</v>
      </c>
      <c r="S1652" s="32" t="n">
        <f aca="false">R1652/'DCF Base Case'!$B$6</f>
        <v>9.79861066542663</v>
      </c>
    </row>
    <row r="1653" customFormat="false" ht="15" hidden="false" customHeight="true" outlineLevel="0" collapsed="false">
      <c r="A1653" s="6" t="n">
        <v>1652</v>
      </c>
      <c r="B1653" s="30" t="n">
        <v>0.0888224976755529</v>
      </c>
      <c r="C1653" s="30" t="n">
        <v>0.43735097405594</v>
      </c>
      <c r="D1653" s="30" t="n">
        <v>0.0714247121030686</v>
      </c>
      <c r="E1653" s="30" t="n">
        <v>0.273142524019853</v>
      </c>
      <c r="F1653" s="30" t="n">
        <v>0.0178172739020471</v>
      </c>
      <c r="G1653" s="30" t="n">
        <v>0.151156442967143</v>
      </c>
      <c r="H1653" s="31" t="n">
        <f aca="false">MAX(D1653,F1653+0.015)</f>
        <v>0.0714247121030686</v>
      </c>
      <c r="I1653" s="25" t="n">
        <f aca="false">(C1653-'DCF Base Case'!$B$3)*(1-E1653)+'DCF Base Case'!$B$3-G1653</f>
        <v>0.202243910275197</v>
      </c>
      <c r="J1653" s="24" t="n">
        <f aca="false">'DCF Base Case'!$B$2*(1+B1653)^1*$I1653-'DCF Base Case'!$B$2*(1+B1653)^0*B1653*'DCF Base Case'!$B$4</f>
        <v>31.5437414663104</v>
      </c>
      <c r="K1653" s="24" t="n">
        <f aca="false">'DCF Base Case'!$B$2*(1+B1653)^2*$I1653-'DCF Base Case'!$B$2*(1+B1653)^1*B1653*'DCF Base Case'!$B$4</f>
        <v>34.34553536938</v>
      </c>
      <c r="L1653" s="24" t="n">
        <f aca="false">'DCF Base Case'!$B$2*(1+B1653)^3*$I1653-'DCF Base Case'!$B$2*(1+B1653)^2*B1653*'DCF Base Case'!$B$4</f>
        <v>37.3961916048924</v>
      </c>
      <c r="M1653" s="24" t="n">
        <f aca="false">'DCF Base Case'!$B$2*(1+B1653)^4*$I1653-'DCF Base Case'!$B$2*(1+B1653)^3*B1653*'DCF Base Case'!$B$4</f>
        <v>40.7178147467924</v>
      </c>
      <c r="N1653" s="24" t="n">
        <f aca="false">'DCF Base Case'!$B$2*(1+B1653)^5*$I1653-'DCF Base Case'!$B$2*(1+B1653)^4*B1653*'DCF Base Case'!$B$4</f>
        <v>44.334472752493</v>
      </c>
      <c r="O1653" s="24" t="n">
        <f aca="false">J1653/(1+H1653)^1+K1653/(1+H1653)^2+L1653/(1+H1653)^3+M1653/(1+H1653)^4+N1653/(1+H1653)^5</f>
        <v>152.063532984286</v>
      </c>
      <c r="P1653" s="24" t="n">
        <f aca="false">N1653*(1+F1653)/(H1653-F1653)</f>
        <v>841.756176215993</v>
      </c>
      <c r="Q1653" s="24" t="n">
        <f aca="false">O1653+P1653/(1+H1653)^5</f>
        <v>748.244375541195</v>
      </c>
      <c r="R1653" s="24" t="n">
        <f aca="false">Q1653-'DCF Base Case'!$B$5</f>
        <v>563.244375541195</v>
      </c>
      <c r="S1653" s="32" t="n">
        <f aca="false">R1653/'DCF Base Case'!$B$6</f>
        <v>22.5297750216478</v>
      </c>
    </row>
    <row r="1654" customFormat="false" ht="15" hidden="false" customHeight="true" outlineLevel="0" collapsed="false">
      <c r="A1654" s="6" t="n">
        <v>1653</v>
      </c>
      <c r="B1654" s="30" t="n">
        <v>0.0951615683696893</v>
      </c>
      <c r="C1654" s="30" t="n">
        <v>0.424910399972611</v>
      </c>
      <c r="D1654" s="30" t="n">
        <v>0.0897610959527278</v>
      </c>
      <c r="E1654" s="30" t="n">
        <v>0.259013933722878</v>
      </c>
      <c r="F1654" s="30" t="n">
        <v>0.0129545934846966</v>
      </c>
      <c r="G1654" s="30" t="n">
        <v>0.171224330242036</v>
      </c>
      <c r="H1654" s="31" t="n">
        <f aca="false">MAX(D1654,F1654+0.015)</f>
        <v>0.0897610959527278</v>
      </c>
      <c r="I1654" s="25" t="n">
        <f aca="false">(C1654-'DCF Base Case'!$B$3)*(1-E1654)+'DCF Base Case'!$B$3-G1654</f>
        <v>0.177300166937882</v>
      </c>
      <c r="J1654" s="24" t="n">
        <f aca="false">'DCF Base Case'!$B$2*(1+B1654)^1*$I1654-'DCF Base Case'!$B$2*(1+B1654)^0*B1654*'DCF Base Case'!$B$4</f>
        <v>27.7410348674971</v>
      </c>
      <c r="K1654" s="24" t="n">
        <f aca="false">'DCF Base Case'!$B$2*(1+B1654)^2*$I1654-'DCF Base Case'!$B$2*(1+B1654)^1*B1654*'DCF Base Case'!$B$4</f>
        <v>30.3809152536863</v>
      </c>
      <c r="L1654" s="24" t="n">
        <f aca="false">'DCF Base Case'!$B$2*(1+B1654)^3*$I1654-'DCF Base Case'!$B$2*(1+B1654)^2*B1654*'DCF Base Case'!$B$4</f>
        <v>33.2720107977338</v>
      </c>
      <c r="M1654" s="24" t="n">
        <f aca="false">'DCF Base Case'!$B$2*(1+B1654)^4*$I1654-'DCF Base Case'!$B$2*(1+B1654)^3*B1654*'DCF Base Case'!$B$4</f>
        <v>36.4382275280593</v>
      </c>
      <c r="N1654" s="24" t="n">
        <f aca="false">'DCF Base Case'!$B$2*(1+B1654)^5*$I1654-'DCF Base Case'!$B$2*(1+B1654)^4*B1654*'DCF Base Case'!$B$4</f>
        <v>39.9057464082411</v>
      </c>
      <c r="O1654" s="24" t="n">
        <f aca="false">J1654/(1+H1654)^1+K1654/(1+H1654)^2+L1654/(1+H1654)^3+M1654/(1+H1654)^4+N1654/(1+H1654)^5</f>
        <v>128.54813093234</v>
      </c>
      <c r="P1654" s="24" t="n">
        <f aca="false">N1654*(1+F1654)/(H1654-F1654)</f>
        <v>526.292798549031</v>
      </c>
      <c r="Q1654" s="24" t="n">
        <f aca="false">O1654+P1654/(1+H1654)^5</f>
        <v>470.977439526394</v>
      </c>
      <c r="R1654" s="24" t="n">
        <f aca="false">Q1654-'DCF Base Case'!$B$5</f>
        <v>285.977439526394</v>
      </c>
      <c r="S1654" s="32" t="n">
        <f aca="false">R1654/'DCF Base Case'!$B$6</f>
        <v>11.4390975810557</v>
      </c>
    </row>
    <row r="1655" customFormat="false" ht="15" hidden="false" customHeight="true" outlineLevel="0" collapsed="false">
      <c r="A1655" s="6" t="n">
        <v>1654</v>
      </c>
      <c r="B1655" s="30" t="n">
        <v>0.0791443956531701</v>
      </c>
      <c r="C1655" s="30" t="n">
        <v>0.444356837364821</v>
      </c>
      <c r="D1655" s="30" t="n">
        <v>0.105729606656164</v>
      </c>
      <c r="E1655" s="30" t="n">
        <v>0.334826033579678</v>
      </c>
      <c r="F1655" s="30" t="n">
        <v>0.0155114933825252</v>
      </c>
      <c r="G1655" s="30" t="n">
        <v>0.17868030647254</v>
      </c>
      <c r="H1655" s="31" t="n">
        <f aca="false">MAX(D1655,F1655+0.015)</f>
        <v>0.105729606656164</v>
      </c>
      <c r="I1655" s="25" t="n">
        <f aca="false">(C1655-'DCF Base Case'!$B$3)*(1-E1655)+'DCF Base Case'!$B$3-G1655</f>
        <v>0.160421677908766</v>
      </c>
      <c r="J1655" s="24" t="n">
        <f aca="false">'DCF Base Case'!$B$2*(1+B1655)^1*$I1655-'DCF Base Case'!$B$2*(1+B1655)^0*B1655*'DCF Base Case'!$B$4</f>
        <v>24.7578543041045</v>
      </c>
      <c r="K1655" s="24" t="n">
        <f aca="false">'DCF Base Case'!$B$2*(1+B1655)^2*$I1655-'DCF Base Case'!$B$2*(1+B1655)^1*B1655*'DCF Base Case'!$B$4</f>
        <v>26.7172997206721</v>
      </c>
      <c r="L1655" s="24" t="n">
        <f aca="false">'DCF Base Case'!$B$2*(1+B1655)^3*$I1655-'DCF Base Case'!$B$2*(1+B1655)^2*B1655*'DCF Base Case'!$B$4</f>
        <v>28.8318242605493</v>
      </c>
      <c r="M1655" s="24" t="n">
        <f aca="false">'DCF Base Case'!$B$2*(1+B1655)^4*$I1655-'DCF Base Case'!$B$2*(1+B1655)^3*B1655*'DCF Base Case'!$B$4</f>
        <v>31.1137015672289</v>
      </c>
      <c r="N1655" s="24" t="n">
        <f aca="false">'DCF Base Case'!$B$2*(1+B1655)^5*$I1655-'DCF Base Case'!$B$2*(1+B1655)^4*B1655*'DCF Base Case'!$B$4</f>
        <v>33.5761766743003</v>
      </c>
      <c r="O1655" s="24" t="n">
        <f aca="false">J1655/(1+H1655)^1+K1655/(1+H1655)^2+L1655/(1+H1655)^3+M1655/(1+H1655)^4+N1655/(1+H1655)^5</f>
        <v>106.697072709596</v>
      </c>
      <c r="P1655" s="24" t="n">
        <f aca="false">N1655*(1+F1655)/(H1655-F1655)</f>
        <v>377.939552040679</v>
      </c>
      <c r="Q1655" s="24" t="n">
        <f aca="false">O1655+P1655/(1+H1655)^5</f>
        <v>335.350466928537</v>
      </c>
      <c r="R1655" s="24" t="n">
        <f aca="false">Q1655-'DCF Base Case'!$B$5</f>
        <v>150.350466928537</v>
      </c>
      <c r="S1655" s="32" t="n">
        <f aca="false">R1655/'DCF Base Case'!$B$6</f>
        <v>6.01401867714149</v>
      </c>
    </row>
    <row r="1656" customFormat="false" ht="15" hidden="false" customHeight="true" outlineLevel="0" collapsed="false">
      <c r="A1656" s="6" t="n">
        <v>1655</v>
      </c>
      <c r="B1656" s="30" t="n">
        <v>0.109025006866784</v>
      </c>
      <c r="C1656" s="30" t="n">
        <v>0.435100190246647</v>
      </c>
      <c r="D1656" s="30" t="n">
        <v>0.0811016226138676</v>
      </c>
      <c r="E1656" s="30" t="n">
        <v>0.318469807936309</v>
      </c>
      <c r="F1656" s="30" t="n">
        <v>0.019355915835662</v>
      </c>
      <c r="G1656" s="30" t="n">
        <v>0.168094364785925</v>
      </c>
      <c r="H1656" s="31" t="n">
        <f aca="false">MAX(D1656,F1656+0.015)</f>
        <v>0.0811016226138676</v>
      </c>
      <c r="I1656" s="25" t="n">
        <f aca="false">(C1656-'DCF Base Case'!$B$3)*(1-E1656)+'DCF Base Case'!$B$3-G1656</f>
        <v>0.169840626471541</v>
      </c>
      <c r="J1656" s="24" t="n">
        <f aca="false">'DCF Base Case'!$B$2*(1+B1656)^1*$I1656-'DCF Base Case'!$B$2*(1+B1656)^0*B1656*'DCF Base Case'!$B$4</f>
        <v>26.8375790012641</v>
      </c>
      <c r="K1656" s="24" t="n">
        <f aca="false">'DCF Base Case'!$B$2*(1+B1656)^2*$I1656-'DCF Base Case'!$B$2*(1+B1656)^1*B1656*'DCF Base Case'!$B$4</f>
        <v>29.7635462361648</v>
      </c>
      <c r="L1656" s="24" t="n">
        <f aca="false">'DCF Base Case'!$B$2*(1+B1656)^3*$I1656-'DCF Base Case'!$B$2*(1+B1656)^2*B1656*'DCF Base Case'!$B$4</f>
        <v>33.0085170689425</v>
      </c>
      <c r="M1656" s="24" t="n">
        <f aca="false">'DCF Base Case'!$B$2*(1+B1656)^4*$I1656-'DCF Base Case'!$B$2*(1+B1656)^3*B1656*'DCF Base Case'!$B$4</f>
        <v>36.6072708690463</v>
      </c>
      <c r="N1656" s="24" t="n">
        <f aca="false">'DCF Base Case'!$B$2*(1+B1656)^5*$I1656-'DCF Base Case'!$B$2*(1+B1656)^4*B1656*'DCF Base Case'!$B$4</f>
        <v>40.5983788269183</v>
      </c>
      <c r="O1656" s="24" t="n">
        <f aca="false">J1656/(1+H1656)^1+K1656/(1+H1656)^2+L1656/(1+H1656)^3+M1656/(1+H1656)^4+N1656/(1+H1656)^5</f>
        <v>130.70097779788</v>
      </c>
      <c r="P1656" s="24" t="n">
        <f aca="false">N1656*(1+F1656)/(H1656-F1656)</f>
        <v>670.236034048668</v>
      </c>
      <c r="Q1656" s="24" t="n">
        <f aca="false">O1656+P1656/(1+H1656)^5</f>
        <v>584.533042891035</v>
      </c>
      <c r="R1656" s="24" t="n">
        <f aca="false">Q1656-'DCF Base Case'!$B$5</f>
        <v>399.533042891035</v>
      </c>
      <c r="S1656" s="32" t="n">
        <f aca="false">R1656/'DCF Base Case'!$B$6</f>
        <v>15.9813217156414</v>
      </c>
    </row>
    <row r="1657" customFormat="false" ht="15" hidden="false" customHeight="true" outlineLevel="0" collapsed="false">
      <c r="A1657" s="6" t="n">
        <v>1656</v>
      </c>
      <c r="B1657" s="30" t="n">
        <v>0.0576131585840787</v>
      </c>
      <c r="C1657" s="30" t="n">
        <v>0.416189407751566</v>
      </c>
      <c r="D1657" s="30" t="n">
        <v>0.0821354711507035</v>
      </c>
      <c r="E1657" s="30" t="n">
        <v>0.29362319056899</v>
      </c>
      <c r="F1657" s="30" t="n">
        <v>0.020190645932736</v>
      </c>
      <c r="G1657" s="30" t="n">
        <v>0.169312209794887</v>
      </c>
      <c r="H1657" s="31" t="n">
        <f aca="false">MAX(D1657,F1657+0.015)</f>
        <v>0.0821354711507035</v>
      </c>
      <c r="I1657" s="25" t="n">
        <f aca="false">(C1657-'DCF Base Case'!$B$3)*(1-E1657)+'DCF Base Case'!$B$3-G1657</f>
        <v>0.162845350945615</v>
      </c>
      <c r="J1657" s="24" t="n">
        <f aca="false">'DCF Base Case'!$B$2*(1+B1657)^1*$I1657-'DCF Base Case'!$B$2*(1+B1657)^0*B1657*'DCF Base Case'!$B$4</f>
        <v>24.7223537264363</v>
      </c>
      <c r="K1657" s="24" t="n">
        <f aca="false">'DCF Base Case'!$B$2*(1+B1657)^2*$I1657-'DCF Base Case'!$B$2*(1+B1657)^1*B1657*'DCF Base Case'!$B$4</f>
        <v>26.1466866122491</v>
      </c>
      <c r="L1657" s="24" t="n">
        <f aca="false">'DCF Base Case'!$B$2*(1+B1657)^3*$I1657-'DCF Base Case'!$B$2*(1+B1657)^2*B1657*'DCF Base Case'!$B$4</f>
        <v>27.6530798144888</v>
      </c>
      <c r="M1657" s="24" t="n">
        <f aca="false">'DCF Base Case'!$B$2*(1+B1657)^4*$I1657-'DCF Base Case'!$B$2*(1+B1657)^3*B1657*'DCF Base Case'!$B$4</f>
        <v>29.2462610871792</v>
      </c>
      <c r="N1657" s="24" t="n">
        <f aca="false">'DCF Base Case'!$B$2*(1+B1657)^5*$I1657-'DCF Base Case'!$B$2*(1+B1657)^4*B1657*'DCF Base Case'!$B$4</f>
        <v>30.9312305651862</v>
      </c>
      <c r="O1657" s="24" t="n">
        <f aca="false">J1657/(1+H1657)^1+K1657/(1+H1657)^2+L1657/(1+H1657)^3+M1657/(1+H1657)^4+N1657/(1+H1657)^5</f>
        <v>109.168355395387</v>
      </c>
      <c r="P1657" s="24" t="n">
        <f aca="false">N1657*(1+F1657)/(H1657-F1657)</f>
        <v>509.41708171353</v>
      </c>
      <c r="Q1657" s="24" t="n">
        <f aca="false">O1657+P1657/(1+H1657)^5</f>
        <v>452.461664419425</v>
      </c>
      <c r="R1657" s="24" t="n">
        <f aca="false">Q1657-'DCF Base Case'!$B$5</f>
        <v>267.461664419425</v>
      </c>
      <c r="S1657" s="32" t="n">
        <f aca="false">R1657/'DCF Base Case'!$B$6</f>
        <v>10.698466576777</v>
      </c>
    </row>
    <row r="1658" customFormat="false" ht="15" hidden="false" customHeight="true" outlineLevel="0" collapsed="false">
      <c r="A1658" s="6" t="n">
        <v>1657</v>
      </c>
      <c r="B1658" s="30" t="n">
        <v>0.0890799996397499</v>
      </c>
      <c r="C1658" s="30" t="n">
        <v>0.429307868734938</v>
      </c>
      <c r="D1658" s="30" t="n">
        <v>0.0828121820942643</v>
      </c>
      <c r="E1658" s="30" t="n">
        <v>0.252656068766294</v>
      </c>
      <c r="F1658" s="30" t="n">
        <v>0.0213872286319846</v>
      </c>
      <c r="G1658" s="30" t="n">
        <v>0.14893136596613</v>
      </c>
      <c r="H1658" s="31" t="n">
        <f aca="false">MAX(D1658,F1658+0.015)</f>
        <v>0.0828121820942643</v>
      </c>
      <c r="I1658" s="25" t="n">
        <f aca="false">(C1658-'DCF Base Case'!$B$3)*(1-E1658)+'DCF Base Case'!$B$3-G1658</f>
        <v>0.204754553303421</v>
      </c>
      <c r="J1658" s="24" t="n">
        <f aca="false">'DCF Base Case'!$B$2*(1+B1658)^1*$I1658-'DCF Base Case'!$B$2*(1+B1658)^0*B1658*'DCF Base Case'!$B$4</f>
        <v>31.9466448830664</v>
      </c>
      <c r="K1658" s="24" t="n">
        <f aca="false">'DCF Base Case'!$B$2*(1+B1658)^2*$I1658-'DCF Base Case'!$B$2*(1+B1658)^1*B1658*'DCF Base Case'!$B$4</f>
        <v>34.7924519977412</v>
      </c>
      <c r="L1658" s="24" t="n">
        <f aca="false">'DCF Base Case'!$B$2*(1+B1658)^3*$I1658-'DCF Base Case'!$B$2*(1+B1658)^2*B1658*'DCF Base Case'!$B$4</f>
        <v>37.891763609166</v>
      </c>
      <c r="M1658" s="24" t="n">
        <f aca="false">'DCF Base Case'!$B$2*(1+B1658)^4*$I1658-'DCF Base Case'!$B$2*(1+B1658)^3*B1658*'DCF Base Case'!$B$4</f>
        <v>41.26716189782</v>
      </c>
      <c r="N1658" s="24" t="n">
        <f aca="false">'DCF Base Case'!$B$2*(1+B1658)^5*$I1658-'DCF Base Case'!$B$2*(1+B1658)^4*B1658*'DCF Base Case'!$B$4</f>
        <v>44.9432406648113</v>
      </c>
      <c r="O1658" s="24" t="n">
        <f aca="false">J1658/(1+H1658)^1+K1658/(1+H1658)^2+L1658/(1+H1658)^3+M1658/(1+H1658)^4+N1658/(1+H1658)^5</f>
        <v>149.234725792213</v>
      </c>
      <c r="P1658" s="24" t="n">
        <f aca="false">N1658*(1+F1658)/(H1658-F1658)</f>
        <v>747.325792547182</v>
      </c>
      <c r="Q1658" s="24" t="n">
        <f aca="false">O1658+P1658/(1+H1658)^5</f>
        <v>651.281644274958</v>
      </c>
      <c r="R1658" s="24" t="n">
        <f aca="false">Q1658-'DCF Base Case'!$B$5</f>
        <v>466.281644274958</v>
      </c>
      <c r="S1658" s="32" t="n">
        <f aca="false">R1658/'DCF Base Case'!$B$6</f>
        <v>18.6512657709983</v>
      </c>
    </row>
    <row r="1659" customFormat="false" ht="15" hidden="false" customHeight="true" outlineLevel="0" collapsed="false">
      <c r="A1659" s="6" t="n">
        <v>1658</v>
      </c>
      <c r="B1659" s="30" t="n">
        <v>0.061529984810206</v>
      </c>
      <c r="C1659" s="30" t="n">
        <v>0.381584310170324</v>
      </c>
      <c r="D1659" s="30" t="n">
        <v>0.0881166561729261</v>
      </c>
      <c r="E1659" s="30" t="n">
        <v>0.276988954791912</v>
      </c>
      <c r="F1659" s="30" t="n">
        <v>0.011697995725601</v>
      </c>
      <c r="G1659" s="30" t="n">
        <v>0.157449525244886</v>
      </c>
      <c r="H1659" s="31" t="n">
        <f aca="false">MAX(D1659,F1659+0.015)</f>
        <v>0.0881166561729261</v>
      </c>
      <c r="I1659" s="25" t="n">
        <f aca="false">(C1659-'DCF Base Case'!$B$3)*(1-E1659)+'DCF Base Case'!$B$3-G1659</f>
        <v>0.154448709809316</v>
      </c>
      <c r="J1659" s="24" t="n">
        <f aca="false">'DCF Base Case'!$B$2*(1+B1659)^1*$I1659-'DCF Base Case'!$B$2*(1+B1659)^0*B1659*'DCF Base Case'!$B$4</f>
        <v>23.5053753698622</v>
      </c>
      <c r="K1659" s="24" t="n">
        <f aca="false">'DCF Base Case'!$B$2*(1+B1659)^2*$I1659-'DCF Base Case'!$B$2*(1+B1659)^1*B1659*'DCF Base Case'!$B$4</f>
        <v>24.9516607593281</v>
      </c>
      <c r="L1659" s="24" t="n">
        <f aca="false">'DCF Base Case'!$B$2*(1+B1659)^3*$I1659-'DCF Base Case'!$B$2*(1+B1659)^2*B1659*'DCF Base Case'!$B$4</f>
        <v>26.4869360668389</v>
      </c>
      <c r="M1659" s="24" t="n">
        <f aca="false">'DCF Base Case'!$B$2*(1+B1659)^4*$I1659-'DCF Base Case'!$B$2*(1+B1659)^3*B1659*'DCF Base Case'!$B$4</f>
        <v>28.1166768407004</v>
      </c>
      <c r="N1659" s="24" t="n">
        <f aca="false">'DCF Base Case'!$B$2*(1+B1659)^5*$I1659-'DCF Base Case'!$B$2*(1+B1659)^4*B1659*'DCF Base Case'!$B$4</f>
        <v>29.8466955396222</v>
      </c>
      <c r="O1659" s="24" t="n">
        <f aca="false">J1659/(1+H1659)^1+K1659/(1+H1659)^2+L1659/(1+H1659)^3+M1659/(1+H1659)^4+N1659/(1+H1659)^5</f>
        <v>102.858709970679</v>
      </c>
      <c r="P1659" s="24" t="n">
        <f aca="false">N1659*(1+F1659)/(H1659-F1659)</f>
        <v>395.137023859268</v>
      </c>
      <c r="Q1659" s="24" t="n">
        <f aca="false">O1659+P1659/(1+H1659)^5</f>
        <v>361.900858327214</v>
      </c>
      <c r="R1659" s="24" t="n">
        <f aca="false">Q1659-'DCF Base Case'!$B$5</f>
        <v>176.900858327214</v>
      </c>
      <c r="S1659" s="32" t="n">
        <f aca="false">R1659/'DCF Base Case'!$B$6</f>
        <v>7.07603433308856</v>
      </c>
    </row>
    <row r="1660" customFormat="false" ht="15" hidden="false" customHeight="true" outlineLevel="0" collapsed="false">
      <c r="A1660" s="6" t="n">
        <v>1659</v>
      </c>
      <c r="B1660" s="30" t="n">
        <v>0.11538747859916</v>
      </c>
      <c r="C1660" s="30" t="n">
        <v>0.414476035243983</v>
      </c>
      <c r="D1660" s="30" t="n">
        <v>0.0831797579122965</v>
      </c>
      <c r="E1660" s="30" t="n">
        <v>0.311660546694805</v>
      </c>
      <c r="F1660" s="30" t="n">
        <v>0.0222105919232921</v>
      </c>
      <c r="G1660" s="30" t="n">
        <v>0.18965702430262</v>
      </c>
      <c r="H1660" s="31" t="n">
        <f aca="false">MAX(D1660,F1660+0.015)</f>
        <v>0.0831797579122965</v>
      </c>
      <c r="I1660" s="25" t="n">
        <f aca="false">(C1660-'DCF Base Case'!$B$3)*(1-E1660)+'DCF Base Case'!$B$3-G1660</f>
        <v>0.136159054275653</v>
      </c>
      <c r="J1660" s="24" t="n">
        <f aca="false">'DCF Base Case'!$B$2*(1+B1660)^1*$I1660-'DCF Base Case'!$B$2*(1+B1660)^0*B1660*'DCF Base Case'!$B$4</f>
        <v>21.5192295824538</v>
      </c>
      <c r="K1660" s="24" t="n">
        <f aca="false">'DCF Base Case'!$B$2*(1+B1660)^2*$I1660-'DCF Base Case'!$B$2*(1+B1660)^1*B1660*'DCF Base Case'!$B$4</f>
        <v>24.0022792253696</v>
      </c>
      <c r="L1660" s="24" t="n">
        <f aca="false">'DCF Base Case'!$B$2*(1+B1660)^3*$I1660-'DCF Base Case'!$B$2*(1+B1660)^2*B1660*'DCF Base Case'!$B$4</f>
        <v>26.771841705818</v>
      </c>
      <c r="M1660" s="24" t="n">
        <f aca="false">'DCF Base Case'!$B$2*(1+B1660)^4*$I1660-'DCF Base Case'!$B$2*(1+B1660)^3*B1660*'DCF Base Case'!$B$4</f>
        <v>29.8609770177081</v>
      </c>
      <c r="N1660" s="24" t="n">
        <f aca="false">'DCF Base Case'!$B$2*(1+B1660)^5*$I1660-'DCF Base Case'!$B$2*(1+B1660)^4*B1660*'DCF Base Case'!$B$4</f>
        <v>33.306559864289</v>
      </c>
      <c r="O1660" s="24" t="n">
        <f aca="false">J1660/(1+H1660)^1+K1660/(1+H1660)^2+L1660/(1+H1660)^3+M1660/(1+H1660)^4+N1660/(1+H1660)^5</f>
        <v>105.419132493394</v>
      </c>
      <c r="P1660" s="24" t="n">
        <f aca="false">N1660*(1+F1660)/(H1660-F1660)</f>
        <v>558.418632131913</v>
      </c>
      <c r="Q1660" s="24" t="n">
        <f aca="false">O1660+P1660/(1+H1660)^5</f>
        <v>479.923789971518</v>
      </c>
      <c r="R1660" s="24" t="n">
        <f aca="false">Q1660-'DCF Base Case'!$B$5</f>
        <v>294.923789971518</v>
      </c>
      <c r="S1660" s="32" t="n">
        <f aca="false">R1660/'DCF Base Case'!$B$6</f>
        <v>11.7969515988607</v>
      </c>
    </row>
    <row r="1661" customFormat="false" ht="15" hidden="false" customHeight="true" outlineLevel="0" collapsed="false">
      <c r="A1661" s="6" t="n">
        <v>1660</v>
      </c>
      <c r="B1661" s="30" t="n">
        <v>0.043728885801708</v>
      </c>
      <c r="C1661" s="30" t="n">
        <v>0.427954885758443</v>
      </c>
      <c r="D1661" s="30" t="n">
        <v>0.0920004047897072</v>
      </c>
      <c r="E1661" s="30" t="n">
        <v>0.341724045972001</v>
      </c>
      <c r="F1661" s="30" t="n">
        <v>0.016162549135523</v>
      </c>
      <c r="G1661" s="30" t="n">
        <v>0.132475938530632</v>
      </c>
      <c r="H1661" s="31" t="n">
        <f aca="false">MAX(D1661,F1661+0.015)</f>
        <v>0.0920004047897072</v>
      </c>
      <c r="I1661" s="25" t="n">
        <f aca="false">(C1661-'DCF Base Case'!$B$3)*(1-E1661)+'DCF Base Case'!$B$3-G1661</f>
        <v>0.19366059814931</v>
      </c>
      <c r="J1661" s="24" t="n">
        <f aca="false">'DCF Base Case'!$B$2*(1+B1661)^1*$I1661-'DCF Base Case'!$B$2*(1+B1661)^0*B1661*'DCF Base Case'!$B$4</f>
        <v>29.118507594623</v>
      </c>
      <c r="K1661" s="24" t="n">
        <f aca="false">'DCF Base Case'!$B$2*(1+B1661)^2*$I1661-'DCF Base Case'!$B$2*(1+B1661)^1*B1661*'DCF Base Case'!$B$4</f>
        <v>30.3918274879445</v>
      </c>
      <c r="L1661" s="24" t="n">
        <f aca="false">'DCF Base Case'!$B$2*(1+B1661)^3*$I1661-'DCF Base Case'!$B$2*(1+B1661)^2*B1661*'DCF Base Case'!$B$4</f>
        <v>31.72082824147</v>
      </c>
      <c r="M1661" s="24" t="n">
        <f aca="false">'DCF Base Case'!$B$2*(1+B1661)^4*$I1661-'DCF Base Case'!$B$2*(1+B1661)^3*B1661*'DCF Base Case'!$B$4</f>
        <v>33.1079447171768</v>
      </c>
      <c r="N1661" s="24" t="n">
        <f aca="false">'DCF Base Case'!$B$2*(1+B1661)^5*$I1661-'DCF Base Case'!$B$2*(1+B1661)^4*B1661*'DCF Base Case'!$B$4</f>
        <v>34.5557182508435</v>
      </c>
      <c r="O1661" s="24" t="n">
        <f aca="false">J1661/(1+H1661)^1+K1661/(1+H1661)^2+L1661/(1+H1661)^3+M1661/(1+H1661)^4+N1661/(1+H1661)^5</f>
        <v>122.048785901341</v>
      </c>
      <c r="P1661" s="24" t="n">
        <f aca="false">N1661*(1+F1661)/(H1661-F1661)</f>
        <v>463.017136258503</v>
      </c>
      <c r="Q1661" s="24" t="n">
        <f aca="false">O1661+P1661/(1+H1661)^5</f>
        <v>420.231914932978</v>
      </c>
      <c r="R1661" s="24" t="n">
        <f aca="false">Q1661-'DCF Base Case'!$B$5</f>
        <v>235.231914932978</v>
      </c>
      <c r="S1661" s="32" t="n">
        <f aca="false">R1661/'DCF Base Case'!$B$6</f>
        <v>9.40927659731912</v>
      </c>
    </row>
    <row r="1662" customFormat="false" ht="15" hidden="false" customHeight="true" outlineLevel="0" collapsed="false">
      <c r="A1662" s="6" t="n">
        <v>1661</v>
      </c>
      <c r="B1662" s="30" t="n">
        <v>0.0901441940481538</v>
      </c>
      <c r="C1662" s="30" t="n">
        <v>0.408940540575198</v>
      </c>
      <c r="D1662" s="30" t="n">
        <v>0.092190303819763</v>
      </c>
      <c r="E1662" s="30" t="n">
        <v>0.312611315716596</v>
      </c>
      <c r="F1662" s="30" t="n">
        <v>0.0190229318653611</v>
      </c>
      <c r="G1662" s="30" t="n">
        <v>0.160245035419038</v>
      </c>
      <c r="H1662" s="31" t="n">
        <f aca="false">MAX(D1662,F1662+0.015)</f>
        <v>0.092190303819763</v>
      </c>
      <c r="I1662" s="25" t="n">
        <f aca="false">(C1662-'DCF Base Case'!$B$3)*(1-E1662)+'DCF Base Case'!$B$3-G1662</f>
        <v>0.161495535760249</v>
      </c>
      <c r="J1662" s="24" t="n">
        <f aca="false">'DCF Base Case'!$B$2*(1+B1662)^1*$I1662-'DCF Base Case'!$B$2*(1+B1662)^0*B1662*'DCF Base Case'!$B$4</f>
        <v>25.1356187535816</v>
      </c>
      <c r="K1662" s="24" t="n">
        <f aca="false">'DCF Base Case'!$B$2*(1+B1662)^2*$I1662-'DCF Base Case'!$B$2*(1+B1662)^1*B1662*'DCF Base Case'!$B$4</f>
        <v>27.4014488480248</v>
      </c>
      <c r="L1662" s="24" t="n">
        <f aca="false">'DCF Base Case'!$B$2*(1+B1662)^3*$I1662-'DCF Base Case'!$B$2*(1+B1662)^2*B1662*'DCF Base Case'!$B$4</f>
        <v>29.8715303701817</v>
      </c>
      <c r="M1662" s="24" t="n">
        <f aca="false">'DCF Base Case'!$B$2*(1+B1662)^4*$I1662-'DCF Base Case'!$B$2*(1+B1662)^3*B1662*'DCF Base Case'!$B$4</f>
        <v>32.5642754003867</v>
      </c>
      <c r="N1662" s="24" t="n">
        <f aca="false">'DCF Base Case'!$B$2*(1+B1662)^5*$I1662-'DCF Base Case'!$B$2*(1+B1662)^4*B1662*'DCF Base Case'!$B$4</f>
        <v>35.4997557611167</v>
      </c>
      <c r="O1662" s="24" t="n">
        <f aca="false">J1662/(1+H1662)^1+K1662/(1+H1662)^2+L1662/(1+H1662)^3+M1662/(1+H1662)^4+N1662/(1+H1662)^5</f>
        <v>114.639439559406</v>
      </c>
      <c r="P1662" s="24" t="n">
        <f aca="false">N1662*(1+F1662)/(H1662-F1662)</f>
        <v>494.415259560529</v>
      </c>
      <c r="Q1662" s="24" t="n">
        <f aca="false">O1662+P1662/(1+H1662)^5</f>
        <v>432.766258599114</v>
      </c>
      <c r="R1662" s="24" t="n">
        <f aca="false">Q1662-'DCF Base Case'!$B$5</f>
        <v>247.766258599114</v>
      </c>
      <c r="S1662" s="32" t="n">
        <f aca="false">R1662/'DCF Base Case'!$B$6</f>
        <v>9.91065034396458</v>
      </c>
    </row>
    <row r="1663" customFormat="false" ht="15" hidden="false" customHeight="true" outlineLevel="0" collapsed="false">
      <c r="A1663" s="6" t="n">
        <v>1662</v>
      </c>
      <c r="B1663" s="30" t="n">
        <v>0.101232447721924</v>
      </c>
      <c r="C1663" s="30" t="n">
        <v>0.413509288826747</v>
      </c>
      <c r="D1663" s="30" t="n">
        <v>0.0812601968901354</v>
      </c>
      <c r="E1663" s="30" t="n">
        <v>0.311485311600983</v>
      </c>
      <c r="F1663" s="30" t="n">
        <v>0.0238076346895818</v>
      </c>
      <c r="G1663" s="30" t="n">
        <v>0.191101223241765</v>
      </c>
      <c r="H1663" s="31" t="n">
        <f aca="false">MAX(D1663,F1663+0.015)</f>
        <v>0.0812601968901354</v>
      </c>
      <c r="I1663" s="25" t="n">
        <f aca="false">(C1663-'DCF Base Case'!$B$3)*(1-E1663)+'DCF Base Case'!$B$3-G1663</f>
        <v>0.13409908641301</v>
      </c>
      <c r="J1663" s="24" t="n">
        <f aca="false">'DCF Base Case'!$B$2*(1+B1663)^1*$I1663-'DCF Base Case'!$B$2*(1+B1663)^0*B1663*'DCF Base Case'!$B$4</f>
        <v>20.9724073017511</v>
      </c>
      <c r="K1663" s="24" t="n">
        <f aca="false">'DCF Base Case'!$B$2*(1+B1663)^2*$I1663-'DCF Base Case'!$B$2*(1+B1663)^1*B1663*'DCF Base Case'!$B$4</f>
        <v>23.0954954275285</v>
      </c>
      <c r="L1663" s="24" t="n">
        <f aca="false">'DCF Base Case'!$B$2*(1+B1663)^3*$I1663-'DCF Base Case'!$B$2*(1+B1663)^2*B1663*'DCF Base Case'!$B$4</f>
        <v>25.4335089610078</v>
      </c>
      <c r="M1663" s="24" t="n">
        <f aca="false">'DCF Base Case'!$B$2*(1+B1663)^4*$I1663-'DCF Base Case'!$B$2*(1+B1663)^3*B1663*'DCF Base Case'!$B$4</f>
        <v>28.0082053272881</v>
      </c>
      <c r="N1663" s="24" t="n">
        <f aca="false">'DCF Base Case'!$B$2*(1+B1663)^5*$I1663-'DCF Base Case'!$B$2*(1+B1663)^4*B1663*'DCF Base Case'!$B$4</f>
        <v>30.8435445088677</v>
      </c>
      <c r="O1663" s="24" t="n">
        <f aca="false">J1663/(1+H1663)^1+K1663/(1+H1663)^2+L1663/(1+H1663)^3+M1663/(1+H1663)^4+N1663/(1+H1663)^5</f>
        <v>100.630843306152</v>
      </c>
      <c r="P1663" s="24" t="n">
        <f aca="false">N1663*(1+F1663)/(H1663-F1663)</f>
        <v>549.633560968711</v>
      </c>
      <c r="Q1663" s="24" t="n">
        <f aca="false">O1663+P1663/(1+H1663)^5</f>
        <v>472.527404407273</v>
      </c>
      <c r="R1663" s="24" t="n">
        <f aca="false">Q1663-'DCF Base Case'!$B$5</f>
        <v>287.527404407273</v>
      </c>
      <c r="S1663" s="32" t="n">
        <f aca="false">R1663/'DCF Base Case'!$B$6</f>
        <v>11.5010961762909</v>
      </c>
    </row>
    <row r="1664" customFormat="false" ht="15" hidden="false" customHeight="true" outlineLevel="0" collapsed="false">
      <c r="A1664" s="6" t="n">
        <v>1663</v>
      </c>
      <c r="B1664" s="30" t="n">
        <v>0.0865403740496528</v>
      </c>
      <c r="C1664" s="30" t="n">
        <v>0.370827958506256</v>
      </c>
      <c r="D1664" s="30" t="n">
        <v>0.0833697330496787</v>
      </c>
      <c r="E1664" s="30" t="n">
        <v>0.26236377229733</v>
      </c>
      <c r="F1664" s="30" t="n">
        <v>0.0188582503299347</v>
      </c>
      <c r="G1664" s="30" t="n">
        <v>0.151691091125404</v>
      </c>
      <c r="H1664" s="31" t="n">
        <f aca="false">MAX(D1664,F1664+0.015)</f>
        <v>0.0833697330496787</v>
      </c>
      <c r="I1664" s="25" t="n">
        <f aca="false">(C1664-'DCF Base Case'!$B$3)*(1-E1664)+'DCF Base Case'!$B$3-G1664</f>
        <v>0.155952335712486</v>
      </c>
      <c r="J1664" s="24" t="n">
        <f aca="false">'DCF Base Case'!$B$2*(1+B1664)^1*$I1664-'DCF Base Case'!$B$2*(1+B1664)^0*B1664*'DCF Base Case'!$B$4</f>
        <v>24.1935832038334</v>
      </c>
      <c r="K1664" s="24" t="n">
        <f aca="false">'DCF Base Case'!$B$2*(1+B1664)^2*$I1664-'DCF Base Case'!$B$2*(1+B1664)^1*B1664*'DCF Base Case'!$B$4</f>
        <v>26.2873049438945</v>
      </c>
      <c r="L1664" s="24" t="n">
        <f aca="false">'DCF Base Case'!$B$2*(1+B1664)^3*$I1664-'DCF Base Case'!$B$2*(1+B1664)^2*B1664*'DCF Base Case'!$B$4</f>
        <v>28.5622181464965</v>
      </c>
      <c r="M1664" s="24" t="n">
        <f aca="false">'DCF Base Case'!$B$2*(1+B1664)^4*$I1664-'DCF Base Case'!$B$2*(1+B1664)^3*B1664*'DCF Base Case'!$B$4</f>
        <v>31.0340031885821</v>
      </c>
      <c r="N1664" s="24" t="n">
        <f aca="false">'DCF Base Case'!$B$2*(1+B1664)^5*$I1664-'DCF Base Case'!$B$2*(1+B1664)^4*B1664*'DCF Base Case'!$B$4</f>
        <v>33.7196974327801</v>
      </c>
      <c r="O1664" s="24" t="n">
        <f aca="false">J1664/(1+H1664)^1+K1664/(1+H1664)^2+L1664/(1+H1664)^3+M1664/(1+H1664)^4+N1664/(1+H1664)^5</f>
        <v>112.314428225135</v>
      </c>
      <c r="P1664" s="24" t="n">
        <f aca="false">N1664*(1+F1664)/(H1664-F1664)</f>
        <v>532.550027989086</v>
      </c>
      <c r="Q1664" s="24" t="n">
        <f aca="false">O1664+P1664/(1+H1664)^5</f>
        <v>469.157213787606</v>
      </c>
      <c r="R1664" s="24" t="n">
        <f aca="false">Q1664-'DCF Base Case'!$B$5</f>
        <v>284.157213787606</v>
      </c>
      <c r="S1664" s="32" t="n">
        <f aca="false">R1664/'DCF Base Case'!$B$6</f>
        <v>11.3662885515042</v>
      </c>
    </row>
    <row r="1665" customFormat="false" ht="15" hidden="false" customHeight="true" outlineLevel="0" collapsed="false">
      <c r="A1665" s="6" t="n">
        <v>1664</v>
      </c>
      <c r="B1665" s="30" t="n">
        <v>0.0895846038550645</v>
      </c>
      <c r="C1665" s="30" t="n">
        <v>0.391306133774466</v>
      </c>
      <c r="D1665" s="30" t="n">
        <v>0.0709121081960979</v>
      </c>
      <c r="E1665" s="30" t="n">
        <v>0.316891709288507</v>
      </c>
      <c r="F1665" s="30" t="n">
        <v>0.0153915678312314</v>
      </c>
      <c r="G1665" s="30" t="n">
        <v>0.165234991061824</v>
      </c>
      <c r="H1665" s="31" t="n">
        <f aca="false">MAX(D1665,F1665+0.015)</f>
        <v>0.0709121081960979</v>
      </c>
      <c r="I1665" s="25" t="n">
        <f aca="false">(C1665-'DCF Base Case'!$B$3)*(1-E1665)+'DCF Base Case'!$B$3-G1665</f>
        <v>0.14326539533328</v>
      </c>
      <c r="J1665" s="24" t="n">
        <f aca="false">'DCF Base Case'!$B$2*(1+B1665)^1*$I1665-'DCF Base Case'!$B$2*(1+B1665)^0*B1665*'DCF Base Case'!$B$4</f>
        <v>22.2447734811814</v>
      </c>
      <c r="K1665" s="24" t="n">
        <f aca="false">'DCF Base Case'!$B$2*(1+B1665)^2*$I1665-'DCF Base Case'!$B$2*(1+B1665)^1*B1665*'DCF Base Case'!$B$4</f>
        <v>24.2375627013387</v>
      </c>
      <c r="L1665" s="24" t="n">
        <f aca="false">'DCF Base Case'!$B$2*(1+B1665)^3*$I1665-'DCF Base Case'!$B$2*(1+B1665)^2*B1665*'DCF Base Case'!$B$4</f>
        <v>26.4088751543504</v>
      </c>
      <c r="M1665" s="24" t="n">
        <f aca="false">'DCF Base Case'!$B$2*(1+B1665)^4*$I1665-'DCF Base Case'!$B$2*(1+B1665)^3*B1665*'DCF Base Case'!$B$4</f>
        <v>28.7747037733107</v>
      </c>
      <c r="N1665" s="24" t="n">
        <f aca="false">'DCF Base Case'!$B$2*(1+B1665)^5*$I1665-'DCF Base Case'!$B$2*(1+B1665)^4*B1665*'DCF Base Case'!$B$4</f>
        <v>31.3524742118896</v>
      </c>
      <c r="O1665" s="24" t="n">
        <f aca="false">J1665/(1+H1665)^1+K1665/(1+H1665)^2+L1665/(1+H1665)^3+M1665/(1+H1665)^4+N1665/(1+H1665)^5</f>
        <v>107.544493726648</v>
      </c>
      <c r="P1665" s="24" t="n">
        <f aca="false">N1665*(1+F1665)/(H1665-F1665)</f>
        <v>573.392076809543</v>
      </c>
      <c r="Q1665" s="24" t="n">
        <f aca="false">O1665+P1665/(1+H1665)^5</f>
        <v>514.627096812124</v>
      </c>
      <c r="R1665" s="24" t="n">
        <f aca="false">Q1665-'DCF Base Case'!$B$5</f>
        <v>329.627096812124</v>
      </c>
      <c r="S1665" s="32" t="n">
        <f aca="false">R1665/'DCF Base Case'!$B$6</f>
        <v>13.185083872485</v>
      </c>
    </row>
    <row r="1666" customFormat="false" ht="15" hidden="false" customHeight="true" outlineLevel="0" collapsed="false">
      <c r="A1666" s="6" t="n">
        <v>1665</v>
      </c>
      <c r="B1666" s="30" t="n">
        <v>0.110852826132391</v>
      </c>
      <c r="C1666" s="30" t="n">
        <v>0.438374616926484</v>
      </c>
      <c r="D1666" s="30" t="n">
        <v>0.0937433302540689</v>
      </c>
      <c r="E1666" s="30" t="n">
        <v>0.288584542858696</v>
      </c>
      <c r="F1666" s="30" t="n">
        <v>0.0219518196165955</v>
      </c>
      <c r="G1666" s="30" t="n">
        <v>0.197435096949025</v>
      </c>
      <c r="H1666" s="31" t="n">
        <f aca="false">MAX(D1666,F1666+0.015)</f>
        <v>0.0937433302540689</v>
      </c>
      <c r="I1666" s="25" t="n">
        <f aca="false">(C1666-'DCF Base Case'!$B$3)*(1-E1666)+'DCF Base Case'!$B$3-G1666</f>
        <v>0.151947372122504</v>
      </c>
      <c r="J1666" s="24" t="n">
        <f aca="false">'DCF Base Case'!$B$2*(1+B1666)^1*$I1666-'DCF Base Case'!$B$2*(1+B1666)^0*B1666*'DCF Base Case'!$B$4</f>
        <v>23.9925095294468</v>
      </c>
      <c r="K1666" s="24" t="n">
        <f aca="false">'DCF Base Case'!$B$2*(1+B1666)^2*$I1666-'DCF Base Case'!$B$2*(1+B1666)^1*B1666*'DCF Base Case'!$B$4</f>
        <v>26.6521470167943</v>
      </c>
      <c r="L1666" s="24" t="n">
        <f aca="false">'DCF Base Case'!$B$2*(1+B1666)^3*$I1666-'DCF Base Case'!$B$2*(1+B1666)^2*B1666*'DCF Base Case'!$B$4</f>
        <v>29.6066128361019</v>
      </c>
      <c r="M1666" s="24" t="n">
        <f aca="false">'DCF Base Case'!$B$2*(1+B1666)^4*$I1666-'DCF Base Case'!$B$2*(1+B1666)^3*B1666*'DCF Base Case'!$B$4</f>
        <v>32.8885895411913</v>
      </c>
      <c r="N1666" s="24" t="n">
        <f aca="false">'DCF Base Case'!$B$2*(1+B1666)^5*$I1666-'DCF Base Case'!$B$2*(1+B1666)^4*B1666*'DCF Base Case'!$B$4</f>
        <v>36.5343826393406</v>
      </c>
      <c r="O1666" s="24" t="n">
        <f aca="false">J1666/(1+H1666)^1+K1666/(1+H1666)^2+L1666/(1+H1666)^3+M1666/(1+H1666)^4+N1666/(1+H1666)^5</f>
        <v>113.166297096455</v>
      </c>
      <c r="P1666" s="24" t="n">
        <f aca="false">N1666*(1+F1666)/(H1666-F1666)</f>
        <v>520.066766743231</v>
      </c>
      <c r="Q1666" s="24" t="n">
        <f aca="false">O1666+P1666/(1+H1666)^5</f>
        <v>445.429321629693</v>
      </c>
      <c r="R1666" s="24" t="n">
        <f aca="false">Q1666-'DCF Base Case'!$B$5</f>
        <v>260.429321629693</v>
      </c>
      <c r="S1666" s="32" t="n">
        <f aca="false">R1666/'DCF Base Case'!$B$6</f>
        <v>10.4171728651877</v>
      </c>
    </row>
    <row r="1667" customFormat="false" ht="15" hidden="false" customHeight="true" outlineLevel="0" collapsed="false">
      <c r="A1667" s="6" t="n">
        <v>1666</v>
      </c>
      <c r="B1667" s="30" t="n">
        <v>0.0990481928309572</v>
      </c>
      <c r="C1667" s="30" t="n">
        <v>0.378646289785204</v>
      </c>
      <c r="D1667" s="30" t="n">
        <v>0.0791861347323489</v>
      </c>
      <c r="E1667" s="30" t="n">
        <v>0.300942119403677</v>
      </c>
      <c r="F1667" s="30" t="n">
        <v>0.0168137493964653</v>
      </c>
      <c r="G1667" s="30" t="n">
        <v>0.202234065280153</v>
      </c>
      <c r="H1667" s="31" t="n">
        <f aca="false">MAX(D1667,F1667+0.015)</f>
        <v>0.0791861347323489</v>
      </c>
      <c r="I1667" s="25" t="n">
        <f aca="false">(C1667-'DCF Base Case'!$B$3)*(1-E1667)+'DCF Base Case'!$B$3-G1667</f>
        <v>0.101584083075231</v>
      </c>
      <c r="J1667" s="24" t="n">
        <f aca="false">'DCF Base Case'!$B$2*(1+B1667)^1*$I1667-'DCF Base Case'!$B$2*(1+B1667)^0*B1667*'DCF Base Case'!$B$4</f>
        <v>15.7577817851976</v>
      </c>
      <c r="K1667" s="24" t="n">
        <f aca="false">'DCF Base Case'!$B$2*(1+B1667)^2*$I1667-'DCF Base Case'!$B$2*(1+B1667)^1*B1667*'DCF Base Case'!$B$4</f>
        <v>17.318561594046</v>
      </c>
      <c r="L1667" s="24" t="n">
        <f aca="false">'DCF Base Case'!$B$2*(1+B1667)^3*$I1667-'DCF Base Case'!$B$2*(1+B1667)^2*B1667*'DCF Base Case'!$B$4</f>
        <v>19.0339338223678</v>
      </c>
      <c r="M1667" s="24" t="n">
        <f aca="false">'DCF Base Case'!$B$2*(1+B1667)^4*$I1667-'DCF Base Case'!$B$2*(1+B1667)^3*B1667*'DCF Base Case'!$B$4</f>
        <v>20.9192105699374</v>
      </c>
      <c r="N1667" s="24" t="n">
        <f aca="false">'DCF Base Case'!$B$2*(1+B1667)^5*$I1667-'DCF Base Case'!$B$2*(1+B1667)^4*B1667*'DCF Base Case'!$B$4</f>
        <v>22.99122057234</v>
      </c>
      <c r="O1667" s="24" t="n">
        <f aca="false">J1667/(1+H1667)^1+K1667/(1+H1667)^2+L1667/(1+H1667)^3+M1667/(1+H1667)^4+N1667/(1+H1667)^5</f>
        <v>75.7449921411031</v>
      </c>
      <c r="P1667" s="24" t="n">
        <f aca="false">N1667*(1+F1667)/(H1667-F1667)</f>
        <v>374.809926980821</v>
      </c>
      <c r="Q1667" s="24" t="n">
        <f aca="false">O1667+P1667/(1+H1667)^5</f>
        <v>331.797657039759</v>
      </c>
      <c r="R1667" s="24" t="n">
        <f aca="false">Q1667-'DCF Base Case'!$B$5</f>
        <v>146.797657039759</v>
      </c>
      <c r="S1667" s="32" t="n">
        <f aca="false">R1667/'DCF Base Case'!$B$6</f>
        <v>5.87190628159036</v>
      </c>
    </row>
    <row r="1668" customFormat="false" ht="15" hidden="false" customHeight="true" outlineLevel="0" collapsed="false">
      <c r="A1668" s="6" t="n">
        <v>1667</v>
      </c>
      <c r="B1668" s="30" t="n">
        <v>0.088724308806665</v>
      </c>
      <c r="C1668" s="30" t="n">
        <v>0.41601912117206</v>
      </c>
      <c r="D1668" s="30" t="n">
        <v>0.0973721861879191</v>
      </c>
      <c r="E1668" s="30" t="n">
        <v>0.274712771275275</v>
      </c>
      <c r="F1668" s="30" t="n">
        <v>0.0199871579312538</v>
      </c>
      <c r="G1668" s="30" t="n">
        <v>0.186747020105305</v>
      </c>
      <c r="H1668" s="31" t="n">
        <f aca="false">MAX(D1668,F1668+0.015)</f>
        <v>0.0973721861879191</v>
      </c>
      <c r="I1668" s="25" t="n">
        <f aca="false">(C1668-'DCF Base Case'!$B$3)*(1-E1668)+'DCF Base Case'!$B$3-G1668</f>
        <v>0.15069899565186</v>
      </c>
      <c r="J1668" s="24" t="n">
        <f aca="false">'DCF Base Case'!$B$2*(1+B1668)^1*$I1668-'DCF Base Case'!$B$2*(1+B1668)^0*B1668*'DCF Base Case'!$B$4</f>
        <v>23.4041499391358</v>
      </c>
      <c r="K1668" s="24" t="n">
        <f aca="false">'DCF Base Case'!$B$2*(1+B1668)^2*$I1668-'DCF Base Case'!$B$2*(1+B1668)^1*B1668*'DCF Base Case'!$B$4</f>
        <v>25.4806669656932</v>
      </c>
      <c r="L1668" s="24" t="n">
        <f aca="false">'DCF Base Case'!$B$2*(1+B1668)^3*$I1668-'DCF Base Case'!$B$2*(1+B1668)^2*B1668*'DCF Base Case'!$B$4</f>
        <v>27.7414215301571</v>
      </c>
      <c r="M1668" s="24" t="n">
        <f aca="false">'DCF Base Case'!$B$2*(1+B1668)^4*$I1668-'DCF Base Case'!$B$2*(1+B1668)^3*B1668*'DCF Base Case'!$B$4</f>
        <v>30.2027599807346</v>
      </c>
      <c r="N1668" s="24" t="n">
        <f aca="false">'DCF Base Case'!$B$2*(1+B1668)^5*$I1668-'DCF Base Case'!$B$2*(1+B1668)^4*B1668*'DCF Base Case'!$B$4</f>
        <v>32.8824789840789</v>
      </c>
      <c r="O1668" s="24" t="n">
        <f aca="false">J1668/(1+H1668)^1+K1668/(1+H1668)^2+L1668/(1+H1668)^3+M1668/(1+H1668)^4+N1668/(1+H1668)^5</f>
        <v>104.969723956142</v>
      </c>
      <c r="P1668" s="24" t="n">
        <f aca="false">N1668*(1+F1668)/(H1668-F1668)</f>
        <v>433.413375174622</v>
      </c>
      <c r="Q1668" s="24" t="n">
        <f aca="false">O1668+P1668/(1+H1668)^5</f>
        <v>377.322977245625</v>
      </c>
      <c r="R1668" s="24" t="n">
        <f aca="false">Q1668-'DCF Base Case'!$B$5</f>
        <v>192.322977245625</v>
      </c>
      <c r="S1668" s="32" t="n">
        <f aca="false">R1668/'DCF Base Case'!$B$6</f>
        <v>7.69291908982499</v>
      </c>
    </row>
    <row r="1669" customFormat="false" ht="15" hidden="false" customHeight="true" outlineLevel="0" collapsed="false">
      <c r="A1669" s="6" t="n">
        <v>1668</v>
      </c>
      <c r="B1669" s="30" t="n">
        <v>0.0587715086564955</v>
      </c>
      <c r="C1669" s="30" t="n">
        <v>0.396078779371986</v>
      </c>
      <c r="D1669" s="30" t="n">
        <v>0.0941206862491703</v>
      </c>
      <c r="E1669" s="30" t="n">
        <v>0.281508423536207</v>
      </c>
      <c r="F1669" s="30" t="n">
        <v>0.0244442724522201</v>
      </c>
      <c r="G1669" s="30" t="n">
        <v>0.135168616754791</v>
      </c>
      <c r="H1669" s="31" t="n">
        <f aca="false">MAX(D1669,F1669+0.015)</f>
        <v>0.0941206862491703</v>
      </c>
      <c r="I1669" s="25" t="n">
        <f aca="false">(C1669-'DCF Base Case'!$B$3)*(1-E1669)+'DCF Base Case'!$B$3-G1669</f>
        <v>0.186006744899749</v>
      </c>
      <c r="J1669" s="24" t="n">
        <f aca="false">'DCF Base Case'!$B$2*(1+B1669)^1*$I1669-'DCF Base Case'!$B$2*(1+B1669)^0*B1669*'DCF Base Case'!$B$4</f>
        <v>28.300447015424</v>
      </c>
      <c r="K1669" s="24" t="n">
        <f aca="false">'DCF Base Case'!$B$2*(1+B1669)^2*$I1669-'DCF Base Case'!$B$2*(1+B1669)^1*B1669*'DCF Base Case'!$B$4</f>
        <v>29.9637069821736</v>
      </c>
      <c r="L1669" s="24" t="n">
        <f aca="false">'DCF Base Case'!$B$2*(1+B1669)^3*$I1669-'DCF Base Case'!$B$2*(1+B1669)^2*B1669*'DCF Base Case'!$B$4</f>
        <v>31.7247192464572</v>
      </c>
      <c r="M1669" s="24" t="n">
        <f aca="false">'DCF Base Case'!$B$2*(1+B1669)^4*$I1669-'DCF Base Case'!$B$2*(1+B1669)^3*B1669*'DCF Base Case'!$B$4</f>
        <v>33.5892288582752</v>
      </c>
      <c r="N1669" s="24" t="n">
        <f aca="false">'DCF Base Case'!$B$2*(1+B1669)^5*$I1669-'DCF Base Case'!$B$2*(1+B1669)^4*B1669*'DCF Base Case'!$B$4</f>
        <v>35.5633185128843</v>
      </c>
      <c r="O1669" s="24" t="n">
        <f aca="false">J1669/(1+H1669)^1+K1669/(1+H1669)^2+L1669/(1+H1669)^3+M1669/(1+H1669)^4+N1669/(1+H1669)^5</f>
        <v>121.238461281495</v>
      </c>
      <c r="P1669" s="24" t="n">
        <f aca="false">N1669*(1+F1669)/(H1669-F1669)</f>
        <v>522.883368625855</v>
      </c>
      <c r="Q1669" s="24" t="n">
        <f aca="false">O1669+P1669/(1+H1669)^5</f>
        <v>454.725287368593</v>
      </c>
      <c r="R1669" s="24" t="n">
        <f aca="false">Q1669-'DCF Base Case'!$B$5</f>
        <v>269.725287368593</v>
      </c>
      <c r="S1669" s="32" t="n">
        <f aca="false">R1669/'DCF Base Case'!$B$6</f>
        <v>10.7890114947437</v>
      </c>
    </row>
    <row r="1670" customFormat="false" ht="15" hidden="false" customHeight="true" outlineLevel="0" collapsed="false">
      <c r="A1670" s="6" t="n">
        <v>1669</v>
      </c>
      <c r="B1670" s="30" t="n">
        <v>0.055085391643199</v>
      </c>
      <c r="C1670" s="30" t="n">
        <v>0.417524960089193</v>
      </c>
      <c r="D1670" s="30" t="n">
        <v>0.0945238793642605</v>
      </c>
      <c r="E1670" s="30" t="n">
        <v>0.27444523659036</v>
      </c>
      <c r="F1670" s="30" t="n">
        <v>0.0207763972149028</v>
      </c>
      <c r="G1670" s="30" t="n">
        <v>0.183007570828847</v>
      </c>
      <c r="H1670" s="31" t="n">
        <f aca="false">MAX(D1670,F1670+0.015)</f>
        <v>0.0945238793642605</v>
      </c>
      <c r="I1670" s="25" t="n">
        <f aca="false">(C1670-'DCF Base Case'!$B$3)*(1-E1670)+'DCF Base Case'!$B$3-G1670</f>
        <v>0.155607533563034</v>
      </c>
      <c r="J1670" s="24" t="n">
        <f aca="false">'DCF Base Case'!$B$2*(1+B1670)^1*$I1670-'DCF Base Case'!$B$2*(1+B1670)^0*B1670*'DCF Base Case'!$B$4</f>
        <v>23.56636769269</v>
      </c>
      <c r="K1670" s="24" t="n">
        <f aca="false">'DCF Base Case'!$B$2*(1+B1670)^2*$I1670-'DCF Base Case'!$B$2*(1+B1670)^1*B1670*'DCF Base Case'!$B$4</f>
        <v>24.8645302866494</v>
      </c>
      <c r="L1670" s="24" t="n">
        <f aca="false">'DCF Base Case'!$B$2*(1+B1670)^3*$I1670-'DCF Base Case'!$B$2*(1+B1670)^2*B1670*'DCF Base Case'!$B$4</f>
        <v>26.2342026755137</v>
      </c>
      <c r="M1670" s="24" t="n">
        <f aca="false">'DCF Base Case'!$B$2*(1+B1670)^4*$I1670-'DCF Base Case'!$B$2*(1+B1670)^3*B1670*'DCF Base Case'!$B$4</f>
        <v>27.6793240043414</v>
      </c>
      <c r="N1670" s="24" t="n">
        <f aca="false">'DCF Base Case'!$B$2*(1+B1670)^5*$I1670-'DCF Base Case'!$B$2*(1+B1670)^4*B1670*'DCF Base Case'!$B$4</f>
        <v>29.2040504075396</v>
      </c>
      <c r="O1670" s="24" t="n">
        <f aca="false">J1670/(1+H1670)^1+K1670/(1+H1670)^2+L1670/(1+H1670)^3+M1670/(1+H1670)^4+N1670/(1+H1670)^5</f>
        <v>100.172117721877</v>
      </c>
      <c r="P1670" s="24" t="n">
        <f aca="false">N1670*(1+F1670)/(H1670-F1670)</f>
        <v>404.228110442009</v>
      </c>
      <c r="Q1670" s="24" t="n">
        <f aca="false">O1670+P1670/(1+H1670)^5</f>
        <v>357.50797559747</v>
      </c>
      <c r="R1670" s="24" t="n">
        <f aca="false">Q1670-'DCF Base Case'!$B$5</f>
        <v>172.50797559747</v>
      </c>
      <c r="S1670" s="32" t="n">
        <f aca="false">R1670/'DCF Base Case'!$B$6</f>
        <v>6.9003190238988</v>
      </c>
    </row>
    <row r="1671" customFormat="false" ht="15" hidden="false" customHeight="true" outlineLevel="0" collapsed="false">
      <c r="A1671" s="6" t="n">
        <v>1670</v>
      </c>
      <c r="B1671" s="30" t="n">
        <v>0.072238304900722</v>
      </c>
      <c r="C1671" s="30" t="n">
        <v>0.392108073363471</v>
      </c>
      <c r="D1671" s="30" t="n">
        <v>0.087086987971185</v>
      </c>
      <c r="E1671" s="30" t="n">
        <v>0.307438940941459</v>
      </c>
      <c r="F1671" s="30" t="n">
        <v>0.014617118998382</v>
      </c>
      <c r="G1671" s="30" t="n">
        <v>0.16108699727255</v>
      </c>
      <c r="H1671" s="31" t="n">
        <f aca="false">MAX(D1671,F1671+0.015)</f>
        <v>0.087086987971185</v>
      </c>
      <c r="I1671" s="25" t="n">
        <f aca="false">(C1671-'DCF Base Case'!$B$3)*(1-E1671)+'DCF Base Case'!$B$3-G1671</f>
        <v>0.150438847603849</v>
      </c>
      <c r="J1671" s="24" t="n">
        <f aca="false">'DCF Base Case'!$B$2*(1+B1671)^1*$I1671-'DCF Base Case'!$B$2*(1+B1671)^0*B1671*'DCF Base Case'!$B$4</f>
        <v>23.0751761408474</v>
      </c>
      <c r="K1671" s="24" t="n">
        <f aca="false">'DCF Base Case'!$B$2*(1+B1671)^2*$I1671-'DCF Base Case'!$B$2*(1+B1671)^1*B1671*'DCF Base Case'!$B$4</f>
        <v>24.7420877505478</v>
      </c>
      <c r="L1671" s="24" t="n">
        <f aca="false">'DCF Base Case'!$B$2*(1+B1671)^3*$I1671-'DCF Base Case'!$B$2*(1+B1671)^2*B1671*'DCF Base Case'!$B$4</f>
        <v>26.5294142293523</v>
      </c>
      <c r="M1671" s="24" t="n">
        <f aca="false">'DCF Base Case'!$B$2*(1+B1671)^4*$I1671-'DCF Base Case'!$B$2*(1+B1671)^3*B1671*'DCF Base Case'!$B$4</f>
        <v>28.4458541432898</v>
      </c>
      <c r="N1671" s="24" t="n">
        <f aca="false">'DCF Base Case'!$B$2*(1+B1671)^5*$I1671-'DCF Base Case'!$B$2*(1+B1671)^4*B1671*'DCF Base Case'!$B$4</f>
        <v>30.5007344280543</v>
      </c>
      <c r="O1671" s="24" t="n">
        <f aca="false">J1671/(1+H1671)^1+K1671/(1+H1671)^2+L1671/(1+H1671)^3+M1671/(1+H1671)^4+N1671/(1+H1671)^5</f>
        <v>103.273029616322</v>
      </c>
      <c r="P1671" s="24" t="n">
        <f aca="false">N1671*(1+F1671)/(H1671-F1671)</f>
        <v>427.026676484554</v>
      </c>
      <c r="Q1671" s="24" t="n">
        <f aca="false">O1671+P1671/(1+H1671)^5</f>
        <v>384.549574853871</v>
      </c>
      <c r="R1671" s="24" t="n">
        <f aca="false">Q1671-'DCF Base Case'!$B$5</f>
        <v>199.549574853871</v>
      </c>
      <c r="S1671" s="32" t="n">
        <f aca="false">R1671/'DCF Base Case'!$B$6</f>
        <v>7.98198299415483</v>
      </c>
    </row>
    <row r="1672" customFormat="false" ht="15" hidden="false" customHeight="true" outlineLevel="0" collapsed="false">
      <c r="A1672" s="6" t="n">
        <v>1671</v>
      </c>
      <c r="B1672" s="30" t="n">
        <v>0.0849179128505145</v>
      </c>
      <c r="C1672" s="30" t="n">
        <v>0.421023750725086</v>
      </c>
      <c r="D1672" s="30" t="n">
        <v>0.0849043179299028</v>
      </c>
      <c r="E1672" s="30" t="n">
        <v>0.266312919269955</v>
      </c>
      <c r="F1672" s="30" t="n">
        <v>0.0237716027951837</v>
      </c>
      <c r="G1672" s="30" t="n">
        <v>0.154342661587722</v>
      </c>
      <c r="H1672" s="31" t="n">
        <f aca="false">MAX(D1672,F1672+0.015)</f>
        <v>0.0849043179299028</v>
      </c>
      <c r="I1672" s="25" t="n">
        <f aca="false">(C1672-'DCF Base Case'!$B$3)*(1-E1672)+'DCF Base Case'!$B$3-G1672</f>
        <v>0.189177704504875</v>
      </c>
      <c r="J1672" s="24" t="n">
        <f aca="false">'DCF Base Case'!$B$2*(1+B1672)^1*$I1672-'DCF Base Case'!$B$2*(1+B1672)^0*B1672*'DCF Base Case'!$B$4</f>
        <v>29.3907377268459</v>
      </c>
      <c r="K1672" s="24" t="n">
        <f aca="false">'DCF Base Case'!$B$2*(1+B1672)^2*$I1672-'DCF Base Case'!$B$2*(1+B1672)^1*B1672*'DCF Base Case'!$B$4</f>
        <v>31.8865378317465</v>
      </c>
      <c r="L1672" s="24" t="n">
        <f aca="false">'DCF Base Case'!$B$2*(1+B1672)^3*$I1672-'DCF Base Case'!$B$2*(1+B1672)^2*B1672*'DCF Base Case'!$B$4</f>
        <v>34.5942760724474</v>
      </c>
      <c r="M1672" s="24" t="n">
        <f aca="false">'DCF Base Case'!$B$2*(1+B1672)^4*$I1672-'DCF Base Case'!$B$2*(1+B1672)^3*B1672*'DCF Base Case'!$B$4</f>
        <v>37.5319497930941</v>
      </c>
      <c r="N1672" s="24" t="n">
        <f aca="false">'DCF Base Case'!$B$2*(1+B1672)^5*$I1672-'DCF Base Case'!$B$2*(1+B1672)^4*B1672*'DCF Base Case'!$B$4</f>
        <v>40.7190846347339</v>
      </c>
      <c r="O1672" s="24" t="n">
        <f aca="false">J1672/(1+H1672)^1+K1672/(1+H1672)^2+L1672/(1+H1672)^3+M1672/(1+H1672)^4+N1672/(1+H1672)^5</f>
        <v>135.456527548865</v>
      </c>
      <c r="P1672" s="24" t="n">
        <f aca="false">N1672*(1+F1672)/(H1672-F1672)</f>
        <v>681.910535937884</v>
      </c>
      <c r="Q1672" s="24" t="n">
        <f aca="false">O1672+P1672/(1+H1672)^5</f>
        <v>589.158024430943</v>
      </c>
      <c r="R1672" s="24" t="n">
        <f aca="false">Q1672-'DCF Base Case'!$B$5</f>
        <v>404.158024430943</v>
      </c>
      <c r="S1672" s="32" t="n">
        <f aca="false">R1672/'DCF Base Case'!$B$6</f>
        <v>16.1663209772377</v>
      </c>
    </row>
    <row r="1673" customFormat="false" ht="15" hidden="false" customHeight="true" outlineLevel="0" collapsed="false">
      <c r="A1673" s="6" t="n">
        <v>1672</v>
      </c>
      <c r="B1673" s="30" t="n">
        <v>0.083880888419114</v>
      </c>
      <c r="C1673" s="30" t="n">
        <v>0.378260185306012</v>
      </c>
      <c r="D1673" s="30" t="n">
        <v>0.0771501153546952</v>
      </c>
      <c r="E1673" s="30" t="n">
        <v>0.295239463869915</v>
      </c>
      <c r="F1673" s="30" t="n">
        <v>0.0204913550810321</v>
      </c>
      <c r="G1673" s="30" t="n">
        <v>0.179423103233847</v>
      </c>
      <c r="H1673" s="31" t="n">
        <f aca="false">MAX(D1673,F1673+0.015)</f>
        <v>0.0771501153546952</v>
      </c>
      <c r="I1673" s="25" t="n">
        <f aca="false">(C1673-'DCF Base Case'!$B$3)*(1-E1673)+'DCF Base Case'!$B$3-G1673</f>
        <v>0.125540878062172</v>
      </c>
      <c r="J1673" s="24" t="n">
        <f aca="false">'DCF Base Case'!$B$2*(1+B1673)^1*$I1673-'DCF Base Case'!$B$2*(1+B1673)^0*B1673*'DCF Base Case'!$B$4</f>
        <v>19.3654651101836</v>
      </c>
      <c r="K1673" s="24" t="n">
        <f aca="false">'DCF Base Case'!$B$2*(1+B1673)^2*$I1673-'DCF Base Case'!$B$2*(1+B1673)^1*B1673*'DCF Base Case'!$B$4</f>
        <v>20.9898575282751</v>
      </c>
      <c r="L1673" s="24" t="n">
        <f aca="false">'DCF Base Case'!$B$2*(1+B1673)^3*$I1673-'DCF Base Case'!$B$2*(1+B1673)^2*B1673*'DCF Base Case'!$B$4</f>
        <v>22.7505054255375</v>
      </c>
      <c r="M1673" s="24" t="n">
        <f aca="false">'DCF Base Case'!$B$2*(1+B1673)^4*$I1673-'DCF Base Case'!$B$2*(1+B1673)^3*B1673*'DCF Base Case'!$B$4</f>
        <v>24.6588380326155</v>
      </c>
      <c r="N1673" s="24" t="n">
        <f aca="false">'DCF Base Case'!$B$2*(1+B1673)^5*$I1673-'DCF Base Case'!$B$2*(1+B1673)^4*B1673*'DCF Base Case'!$B$4</f>
        <v>26.7272432741743</v>
      </c>
      <c r="O1673" s="24" t="n">
        <f aca="false">J1673/(1+H1673)^1+K1673/(1+H1673)^2+L1673/(1+H1673)^3+M1673/(1+H1673)^4+N1673/(1+H1673)^5</f>
        <v>91.0225941665407</v>
      </c>
      <c r="P1673" s="24" t="n">
        <f aca="false">N1673*(1+F1673)/(H1673-F1673)</f>
        <v>481.389295754161</v>
      </c>
      <c r="Q1673" s="24" t="n">
        <f aca="false">O1673+P1673/(1+H1673)^5</f>
        <v>423.005152623929</v>
      </c>
      <c r="R1673" s="24" t="n">
        <f aca="false">Q1673-'DCF Base Case'!$B$5</f>
        <v>238.005152623929</v>
      </c>
      <c r="S1673" s="32" t="n">
        <f aca="false">R1673/'DCF Base Case'!$B$6</f>
        <v>9.52020610495715</v>
      </c>
    </row>
    <row r="1674" customFormat="false" ht="15" hidden="false" customHeight="true" outlineLevel="0" collapsed="false">
      <c r="A1674" s="6" t="n">
        <v>1673</v>
      </c>
      <c r="B1674" s="30" t="n">
        <v>0.101867146127315</v>
      </c>
      <c r="C1674" s="30" t="n">
        <v>0.452040939923655</v>
      </c>
      <c r="D1674" s="30" t="n">
        <v>0.076773552898084</v>
      </c>
      <c r="E1674" s="30" t="n">
        <v>0.250765302307523</v>
      </c>
      <c r="F1674" s="30" t="n">
        <v>0.0150673557836671</v>
      </c>
      <c r="G1674" s="30" t="n">
        <v>0.15103706241739</v>
      </c>
      <c r="H1674" s="31" t="n">
        <f aca="false">MAX(D1674,F1674+0.015)</f>
        <v>0.076773552898084</v>
      </c>
      <c r="I1674" s="25" t="n">
        <f aca="false">(C1674-'DCF Base Case'!$B$3)*(1-E1674)+'DCF Base Case'!$B$3-G1674</f>
        <v>0.220247183850911</v>
      </c>
      <c r="J1674" s="24" t="n">
        <f aca="false">'DCF Base Case'!$B$2*(1+B1674)^1*$I1674-'DCF Base Case'!$B$2*(1+B1674)^0*B1674*'DCF Base Case'!$B$4</f>
        <v>34.7459326216415</v>
      </c>
      <c r="K1674" s="24" t="n">
        <f aca="false">'DCF Base Case'!$B$2*(1+B1674)^2*$I1674-'DCF Base Case'!$B$2*(1+B1674)^1*B1674*'DCF Base Case'!$B$4</f>
        <v>38.2854016173401</v>
      </c>
      <c r="L1674" s="24" t="n">
        <f aca="false">'DCF Base Case'!$B$2*(1+B1674)^3*$I1674-'DCF Base Case'!$B$2*(1+B1674)^2*B1674*'DCF Base Case'!$B$4</f>
        <v>42.1854262184366</v>
      </c>
      <c r="M1674" s="24" t="n">
        <f aca="false">'DCF Base Case'!$B$2*(1+B1674)^4*$I1674-'DCF Base Case'!$B$2*(1+B1674)^3*B1674*'DCF Base Case'!$B$4</f>
        <v>46.4827351954731</v>
      </c>
      <c r="N1674" s="24" t="n">
        <f aca="false">'DCF Base Case'!$B$2*(1+B1674)^5*$I1674-'DCF Base Case'!$B$2*(1+B1674)^4*B1674*'DCF Base Case'!$B$4</f>
        <v>51.2177987740277</v>
      </c>
      <c r="O1674" s="24" t="n">
        <f aca="false">J1674/(1+H1674)^1+K1674/(1+H1674)^2+L1674/(1+H1674)^3+M1674/(1+H1674)^4+N1674/(1+H1674)^5</f>
        <v>169.040107771303</v>
      </c>
      <c r="P1674" s="24" t="n">
        <f aca="false">N1674*(1+F1674)/(H1674-F1674)</f>
        <v>842.533132842592</v>
      </c>
      <c r="Q1674" s="24" t="n">
        <f aca="false">O1674+P1674/(1+H1674)^5</f>
        <v>751.096533459733</v>
      </c>
      <c r="R1674" s="24" t="n">
        <f aca="false">Q1674-'DCF Base Case'!$B$5</f>
        <v>566.096533459733</v>
      </c>
      <c r="S1674" s="32" t="n">
        <f aca="false">R1674/'DCF Base Case'!$B$6</f>
        <v>22.6438613383893</v>
      </c>
    </row>
    <row r="1675" customFormat="false" ht="15" hidden="false" customHeight="true" outlineLevel="0" collapsed="false">
      <c r="A1675" s="6" t="n">
        <v>1674</v>
      </c>
      <c r="B1675" s="30" t="n">
        <v>0.0687182099960205</v>
      </c>
      <c r="C1675" s="30" t="n">
        <v>0.408991437839807</v>
      </c>
      <c r="D1675" s="30" t="n">
        <v>0.0987792039611272</v>
      </c>
      <c r="E1675" s="30" t="n">
        <v>0.32526065449981</v>
      </c>
      <c r="F1675" s="30" t="n">
        <v>0.0211520336219816</v>
      </c>
      <c r="G1675" s="30" t="n">
        <v>0.210163523134687</v>
      </c>
      <c r="H1675" s="31" t="n">
        <f aca="false">MAX(D1675,F1675+0.015)</f>
        <v>0.0987792039611272</v>
      </c>
      <c r="I1675" s="25" t="n">
        <f aca="false">(C1675-'DCF Base Case'!$B$3)*(1-E1675)+'DCF Base Case'!$B$3-G1675</f>
        <v>0.108082977033501</v>
      </c>
      <c r="J1675" s="24" t="n">
        <f aca="false">'DCF Base Case'!$B$2*(1+B1675)^1*$I1675-'DCF Base Case'!$B$2*(1+B1675)^0*B1675*'DCF Base Case'!$B$4</f>
        <v>16.4500614197286</v>
      </c>
      <c r="K1675" s="24" t="n">
        <f aca="false">'DCF Base Case'!$B$2*(1+B1675)^2*$I1675-'DCF Base Case'!$B$2*(1+B1675)^1*B1675*'DCF Base Case'!$B$4</f>
        <v>17.5804801948169</v>
      </c>
      <c r="L1675" s="24" t="n">
        <f aca="false">'DCF Base Case'!$B$2*(1+B1675)^3*$I1675-'DCF Base Case'!$B$2*(1+B1675)^2*B1675*'DCF Base Case'!$B$4</f>
        <v>18.7885793246752</v>
      </c>
      <c r="M1675" s="24" t="n">
        <f aca="false">'DCF Base Case'!$B$2*(1+B1675)^4*$I1675-'DCF Base Case'!$B$2*(1+B1675)^3*B1675*'DCF Base Case'!$B$4</f>
        <v>20.0796968642351</v>
      </c>
      <c r="N1675" s="24" t="n">
        <f aca="false">'DCF Base Case'!$B$2*(1+B1675)^5*$I1675-'DCF Base Case'!$B$2*(1+B1675)^4*B1675*'DCF Base Case'!$B$4</f>
        <v>21.4595376900081</v>
      </c>
      <c r="O1675" s="24" t="n">
        <f aca="false">J1675/(1+H1675)^1+K1675/(1+H1675)^2+L1675/(1+H1675)^3+M1675/(1+H1675)^4+N1675/(1+H1675)^5</f>
        <v>70.870710192223</v>
      </c>
      <c r="P1675" s="24" t="n">
        <f aca="false">N1675*(1+F1675)/(H1675-F1675)</f>
        <v>282.290987253581</v>
      </c>
      <c r="Q1675" s="24" t="n">
        <f aca="false">O1675+P1675/(1+H1675)^5</f>
        <v>247.127094490197</v>
      </c>
      <c r="R1675" s="24" t="n">
        <f aca="false">Q1675-'DCF Base Case'!$B$5</f>
        <v>62.127094490197</v>
      </c>
      <c r="S1675" s="32" t="n">
        <f aca="false">R1675/'DCF Base Case'!$B$6</f>
        <v>2.48508377960788</v>
      </c>
    </row>
    <row r="1676" customFormat="false" ht="15" hidden="false" customHeight="true" outlineLevel="0" collapsed="false">
      <c r="A1676" s="6" t="n">
        <v>1675</v>
      </c>
      <c r="B1676" s="30" t="n">
        <v>0.0824723793876773</v>
      </c>
      <c r="C1676" s="30" t="n">
        <v>0.377157716526277</v>
      </c>
      <c r="D1676" s="30" t="n">
        <v>0.0965849587467699</v>
      </c>
      <c r="E1676" s="30" t="n">
        <v>0.24851894086499</v>
      </c>
      <c r="F1676" s="30" t="n">
        <v>0.0162766732629016</v>
      </c>
      <c r="G1676" s="30" t="n">
        <v>0.177468175924658</v>
      </c>
      <c r="H1676" s="31" t="n">
        <f aca="false">MAX(D1676,F1676+0.015)</f>
        <v>0.0965849587467699</v>
      </c>
      <c r="I1676" s="25" t="n">
        <f aca="false">(C1676-'DCF Base Case'!$B$3)*(1-E1676)+'DCF Base Case'!$B$3-G1676</f>
        <v>0.138266166663899</v>
      </c>
      <c r="J1676" s="24" t="n">
        <f aca="false">'DCF Base Case'!$B$2*(1+B1676)^1*$I1676-'DCF Base Case'!$B$2*(1+B1676)^0*B1676*'DCF Base Case'!$B$4</f>
        <v>21.3432945801988</v>
      </c>
      <c r="K1676" s="24" t="n">
        <f aca="false">'DCF Base Case'!$B$2*(1+B1676)^2*$I1676-'DCF Base Case'!$B$2*(1+B1676)^1*B1676*'DCF Base Case'!$B$4</f>
        <v>23.1035268681999</v>
      </c>
      <c r="L1676" s="24" t="n">
        <f aca="false">'DCF Base Case'!$B$2*(1+B1676)^3*$I1676-'DCF Base Case'!$B$2*(1+B1676)^2*B1676*'DCF Base Case'!$B$4</f>
        <v>25.0089297012675</v>
      </c>
      <c r="M1676" s="24" t="n">
        <f aca="false">'DCF Base Case'!$B$2*(1+B1676)^4*$I1676-'DCF Base Case'!$B$2*(1+B1676)^3*B1676*'DCF Base Case'!$B$4</f>
        <v>27.0714756396702</v>
      </c>
      <c r="N1676" s="24" t="n">
        <f aca="false">'DCF Base Case'!$B$2*(1+B1676)^5*$I1676-'DCF Base Case'!$B$2*(1+B1676)^4*B1676*'DCF Base Case'!$B$4</f>
        <v>29.3041246492093</v>
      </c>
      <c r="O1676" s="24" t="n">
        <f aca="false">J1676/(1+H1676)^1+K1676/(1+H1676)^2+L1676/(1+H1676)^3+M1676/(1+H1676)^4+N1676/(1+H1676)^5</f>
        <v>94.8442749385916</v>
      </c>
      <c r="P1676" s="24" t="n">
        <f aca="false">N1676*(1+F1676)/(H1676-F1676)</f>
        <v>370.834691986571</v>
      </c>
      <c r="Q1676" s="24" t="n">
        <f aca="false">O1676+P1676/(1+H1676)^5</f>
        <v>328.711268691985</v>
      </c>
      <c r="R1676" s="24" t="n">
        <f aca="false">Q1676-'DCF Base Case'!$B$5</f>
        <v>143.711268691985</v>
      </c>
      <c r="S1676" s="32" t="n">
        <f aca="false">R1676/'DCF Base Case'!$B$6</f>
        <v>5.7484507476794</v>
      </c>
    </row>
    <row r="1677" customFormat="false" ht="15" hidden="false" customHeight="true" outlineLevel="0" collapsed="false">
      <c r="A1677" s="6" t="n">
        <v>1676</v>
      </c>
      <c r="B1677" s="30" t="n">
        <v>0.0879179998330527</v>
      </c>
      <c r="C1677" s="30" t="n">
        <v>0.409899738233621</v>
      </c>
      <c r="D1677" s="30" t="n">
        <v>0.07201130963898</v>
      </c>
      <c r="E1677" s="30" t="n">
        <v>0.279341217700781</v>
      </c>
      <c r="F1677" s="30" t="n">
        <v>0.0229494616412139</v>
      </c>
      <c r="G1677" s="30" t="n">
        <v>0.165665785189559</v>
      </c>
      <c r="H1677" s="31" t="n">
        <f aca="false">MAX(D1677,F1677+0.015)</f>
        <v>0.07201130963898</v>
      </c>
      <c r="I1677" s="25" t="n">
        <f aca="false">(C1677-'DCF Base Case'!$B$3)*(1-E1677)+'DCF Base Case'!$B$3-G1677</f>
        <v>0.166046419331752</v>
      </c>
      <c r="J1677" s="24" t="n">
        <f aca="false">'DCF Base Case'!$B$2*(1+B1677)^1*$I1677-'DCF Base Case'!$B$2*(1+B1677)^0*B1677*'DCF Base Case'!$B$4</f>
        <v>25.8110655185581</v>
      </c>
      <c r="K1677" s="24" t="n">
        <f aca="false">'DCF Base Case'!$B$2*(1+B1677)^2*$I1677-'DCF Base Case'!$B$2*(1+B1677)^1*B1677*'DCF Base Case'!$B$4</f>
        <v>28.0803227725096</v>
      </c>
      <c r="L1677" s="24" t="n">
        <f aca="false">'DCF Base Case'!$B$2*(1+B1677)^3*$I1677-'DCF Base Case'!$B$2*(1+B1677)^2*B1677*'DCF Base Case'!$B$4</f>
        <v>30.5490885853352</v>
      </c>
      <c r="M1677" s="24" t="n">
        <f aca="false">'DCF Base Case'!$B$2*(1+B1677)^4*$I1677-'DCF Base Case'!$B$2*(1+B1677)^3*B1677*'DCF Base Case'!$B$4</f>
        <v>33.2349033504806</v>
      </c>
      <c r="N1677" s="24" t="n">
        <f aca="false">'DCF Base Case'!$B$2*(1+B1677)^5*$I1677-'DCF Base Case'!$B$2*(1+B1677)^4*B1677*'DCF Base Case'!$B$4</f>
        <v>36.1568495776997</v>
      </c>
      <c r="O1677" s="24" t="n">
        <f aca="false">J1677/(1+H1677)^1+K1677/(1+H1677)^2+L1677/(1+H1677)^3+M1677/(1+H1677)^4+N1677/(1+H1677)^5</f>
        <v>124.012189635749</v>
      </c>
      <c r="P1677" s="24" t="n">
        <f aca="false">N1677*(1+F1677)/(H1677-F1677)</f>
        <v>753.877632408675</v>
      </c>
      <c r="Q1677" s="24" t="n">
        <f aca="false">O1677+P1677/(1+H1677)^5</f>
        <v>656.493074758146</v>
      </c>
      <c r="R1677" s="24" t="n">
        <f aca="false">Q1677-'DCF Base Case'!$B$5</f>
        <v>471.493074758146</v>
      </c>
      <c r="S1677" s="32" t="n">
        <f aca="false">R1677/'DCF Base Case'!$B$6</f>
        <v>18.8597229903259</v>
      </c>
    </row>
    <row r="1678" customFormat="false" ht="15" hidden="false" customHeight="true" outlineLevel="0" collapsed="false">
      <c r="A1678" s="6" t="n">
        <v>1677</v>
      </c>
      <c r="B1678" s="30" t="n">
        <v>0.071875189637543</v>
      </c>
      <c r="C1678" s="30" t="n">
        <v>0.380821183307482</v>
      </c>
      <c r="D1678" s="30" t="n">
        <v>0.0760944595874886</v>
      </c>
      <c r="E1678" s="30" t="n">
        <v>0.291354304865444</v>
      </c>
      <c r="F1678" s="30" t="n">
        <v>0.0205731379117477</v>
      </c>
      <c r="G1678" s="30" t="n">
        <v>0.14910041412932</v>
      </c>
      <c r="H1678" s="31" t="n">
        <f aca="false">MAX(D1678,F1678+0.015)</f>
        <v>0.0760944595874886</v>
      </c>
      <c r="I1678" s="25" t="n">
        <f aca="false">(C1678-'DCF Base Case'!$B$3)*(1-E1678)+'DCF Base Case'!$B$3-G1678</f>
        <v>0.158642937670082</v>
      </c>
      <c r="J1678" s="24" t="n">
        <f aca="false">'DCF Base Case'!$B$2*(1+B1678)^1*$I1678-'DCF Base Case'!$B$2*(1+B1678)^0*B1678*'DCF Base Case'!$B$4</f>
        <v>24.3439301155443</v>
      </c>
      <c r="K1678" s="24" t="n">
        <f aca="false">'DCF Base Case'!$B$2*(1+B1678)^2*$I1678-'DCF Base Case'!$B$2*(1+B1678)^1*B1678*'DCF Base Case'!$B$4</f>
        <v>26.0936547091221</v>
      </c>
      <c r="L1678" s="24" t="n">
        <f aca="false">'DCF Base Case'!$B$2*(1+B1678)^3*$I1678-'DCF Base Case'!$B$2*(1+B1678)^2*B1678*'DCF Base Case'!$B$4</f>
        <v>27.9691410896768</v>
      </c>
      <c r="M1678" s="24" t="n">
        <f aca="false">'DCF Base Case'!$B$2*(1+B1678)^4*$I1678-'DCF Base Case'!$B$2*(1+B1678)^3*B1678*'DCF Base Case'!$B$4</f>
        <v>29.9794284094966</v>
      </c>
      <c r="N1678" s="24" t="n">
        <f aca="false">'DCF Base Case'!$B$2*(1+B1678)^5*$I1678-'DCF Base Case'!$B$2*(1+B1678)^4*B1678*'DCF Base Case'!$B$4</f>
        <v>32.1342055116543</v>
      </c>
      <c r="O1678" s="24" t="n">
        <f aca="false">J1678/(1+H1678)^1+K1678/(1+H1678)^2+L1678/(1+H1678)^3+M1678/(1+H1678)^4+N1678/(1+H1678)^5</f>
        <v>112.228885678206</v>
      </c>
      <c r="P1678" s="24" t="n">
        <f aca="false">N1678*(1+F1678)/(H1678-F1678)</f>
        <v>590.679507682889</v>
      </c>
      <c r="Q1678" s="24" t="n">
        <f aca="false">O1678+P1678/(1+H1678)^5</f>
        <v>521.583723516294</v>
      </c>
      <c r="R1678" s="24" t="n">
        <f aca="false">Q1678-'DCF Base Case'!$B$5</f>
        <v>336.583723516294</v>
      </c>
      <c r="S1678" s="32" t="n">
        <f aca="false">R1678/'DCF Base Case'!$B$6</f>
        <v>13.4633489406517</v>
      </c>
    </row>
    <row r="1679" customFormat="false" ht="15" hidden="false" customHeight="true" outlineLevel="0" collapsed="false">
      <c r="A1679" s="6" t="n">
        <v>1678</v>
      </c>
      <c r="B1679" s="30" t="n">
        <v>0.0482238222849453</v>
      </c>
      <c r="C1679" s="30" t="n">
        <v>0.405946990897361</v>
      </c>
      <c r="D1679" s="30" t="n">
        <v>0.0751252186112723</v>
      </c>
      <c r="E1679" s="30" t="n">
        <v>0.300711253259724</v>
      </c>
      <c r="F1679" s="30" t="n">
        <v>0.0162720453500288</v>
      </c>
      <c r="G1679" s="30" t="n">
        <v>0.145424452924596</v>
      </c>
      <c r="H1679" s="31" t="n">
        <f aca="false">MAX(D1679,F1679+0.015)</f>
        <v>0.0751252186112723</v>
      </c>
      <c r="I1679" s="25" t="n">
        <f aca="false">(C1679-'DCF Base Case'!$B$3)*(1-E1679)+'DCF Base Case'!$B$3-G1679</f>
        <v>0.17754217250677</v>
      </c>
      <c r="J1679" s="24" t="n">
        <f aca="false">'DCF Base Case'!$B$2*(1+B1679)^1*$I1679-'DCF Base Case'!$B$2*(1+B1679)^0*B1679*'DCF Base Case'!$B$4</f>
        <v>26.7752969019243</v>
      </c>
      <c r="K1679" s="24" t="n">
        <f aca="false">'DCF Base Case'!$B$2*(1+B1679)^2*$I1679-'DCF Base Case'!$B$2*(1+B1679)^1*B1679*'DCF Base Case'!$B$4</f>
        <v>28.0665040613494</v>
      </c>
      <c r="L1679" s="24" t="n">
        <f aca="false">'DCF Base Case'!$B$2*(1+B1679)^3*$I1679-'DCF Base Case'!$B$2*(1+B1679)^2*B1679*'DCF Base Case'!$B$4</f>
        <v>29.4199781653636</v>
      </c>
      <c r="M1679" s="24" t="n">
        <f aca="false">'DCF Base Case'!$B$2*(1+B1679)^4*$I1679-'DCF Base Case'!$B$2*(1+B1679)^3*B1679*'DCF Base Case'!$B$4</f>
        <v>30.838721964037</v>
      </c>
      <c r="N1679" s="24" t="n">
        <f aca="false">'DCF Base Case'!$B$2*(1+B1679)^5*$I1679-'DCF Base Case'!$B$2*(1+B1679)^4*B1679*'DCF Base Case'!$B$4</f>
        <v>32.3258830115256</v>
      </c>
      <c r="O1679" s="24" t="n">
        <f aca="false">J1679/(1+H1679)^1+K1679/(1+H1679)^2+L1679/(1+H1679)^3+M1679/(1+H1679)^4+N1679/(1+H1679)^5</f>
        <v>118.444263559206</v>
      </c>
      <c r="P1679" s="24" t="n">
        <f aca="false">N1679*(1+F1679)/(H1679-F1679)</f>
        <v>558.200848406976</v>
      </c>
      <c r="Q1679" s="24" t="n">
        <f aca="false">O1679+P1679/(1+H1679)^5</f>
        <v>507.037508945409</v>
      </c>
      <c r="R1679" s="24" t="n">
        <f aca="false">Q1679-'DCF Base Case'!$B$5</f>
        <v>322.037508945409</v>
      </c>
      <c r="S1679" s="32" t="n">
        <f aca="false">R1679/'DCF Base Case'!$B$6</f>
        <v>12.8815003578163</v>
      </c>
    </row>
    <row r="1680" customFormat="false" ht="15" hidden="false" customHeight="true" outlineLevel="0" collapsed="false">
      <c r="A1680" s="6" t="n">
        <v>1679</v>
      </c>
      <c r="B1680" s="30" t="n">
        <v>0.0931421641829996</v>
      </c>
      <c r="C1680" s="30" t="n">
        <v>0.453117264460043</v>
      </c>
      <c r="D1680" s="30" t="n">
        <v>0.0932393299022823</v>
      </c>
      <c r="E1680" s="30" t="n">
        <v>0.28356463894784</v>
      </c>
      <c r="F1680" s="30" t="n">
        <v>0.0206275392679502</v>
      </c>
      <c r="G1680" s="30" t="n">
        <v>0.132643255480278</v>
      </c>
      <c r="H1680" s="31" t="n">
        <f aca="false">MAX(D1680,F1680+0.015)</f>
        <v>0.0932393299022823</v>
      </c>
      <c r="I1680" s="25" t="n">
        <f aca="false">(C1680-'DCF Base Case'!$B$3)*(1-E1680)+'DCF Base Case'!$B$3-G1680</f>
        <v>0.228849378545339</v>
      </c>
      <c r="J1680" s="24" t="n">
        <f aca="false">'DCF Base Case'!$B$2*(1+B1680)^1*$I1680-'DCF Base Case'!$B$2*(1+B1680)^0*B1680*'DCF Base Case'!$B$4</f>
        <v>35.868742801377</v>
      </c>
      <c r="K1680" s="24" t="n">
        <f aca="false">'DCF Base Case'!$B$2*(1+B1680)^2*$I1680-'DCF Base Case'!$B$2*(1+B1680)^1*B1680*'DCF Base Case'!$B$4</f>
        <v>39.2096351324207</v>
      </c>
      <c r="L1680" s="24" t="n">
        <f aca="false">'DCF Base Case'!$B$2*(1+B1680)^3*$I1680-'DCF Base Case'!$B$2*(1+B1680)^2*B1680*'DCF Base Case'!$B$4</f>
        <v>42.8617054054801</v>
      </c>
      <c r="M1680" s="24" t="n">
        <f aca="false">'DCF Base Case'!$B$2*(1+B1680)^4*$I1680-'DCF Base Case'!$B$2*(1+B1680)^3*B1680*'DCF Base Case'!$B$4</f>
        <v>46.8539374075207</v>
      </c>
      <c r="N1680" s="24" t="n">
        <f aca="false">'DCF Base Case'!$B$2*(1+B1680)^5*$I1680-'DCF Base Case'!$B$2*(1+B1680)^4*B1680*'DCF Base Case'!$B$4</f>
        <v>51.218014538152</v>
      </c>
      <c r="O1680" s="24" t="n">
        <f aca="false">J1680/(1+H1680)^1+K1680/(1+H1680)^2+L1680/(1+H1680)^3+M1680/(1+H1680)^4+N1680/(1+H1680)^5</f>
        <v>164.018831242046</v>
      </c>
      <c r="P1680" s="24" t="n">
        <f aca="false">N1680*(1+F1680)/(H1680-F1680)</f>
        <v>719.91773908338</v>
      </c>
      <c r="Q1680" s="24" t="n">
        <f aca="false">O1680+P1680/(1+H1680)^5</f>
        <v>625.024895642414</v>
      </c>
      <c r="R1680" s="24" t="n">
        <f aca="false">Q1680-'DCF Base Case'!$B$5</f>
        <v>440.024895642414</v>
      </c>
      <c r="S1680" s="32" t="n">
        <f aca="false">R1680/'DCF Base Case'!$B$6</f>
        <v>17.6009958256966</v>
      </c>
    </row>
    <row r="1681" customFormat="false" ht="15" hidden="false" customHeight="true" outlineLevel="0" collapsed="false">
      <c r="A1681" s="6" t="n">
        <v>1680</v>
      </c>
      <c r="B1681" s="30" t="n">
        <v>0.0655791784148416</v>
      </c>
      <c r="C1681" s="30" t="n">
        <v>0.364261113354832</v>
      </c>
      <c r="D1681" s="30" t="n">
        <v>0.104028612840343</v>
      </c>
      <c r="E1681" s="30" t="n">
        <v>0.32496019190115</v>
      </c>
      <c r="F1681" s="30" t="n">
        <v>0.0207491843250484</v>
      </c>
      <c r="G1681" s="30" t="n">
        <v>0.16825483010524</v>
      </c>
      <c r="H1681" s="31" t="n">
        <f aca="false">MAX(D1681,F1681+0.015)</f>
        <v>0.104028612840343</v>
      </c>
      <c r="I1681" s="25" t="n">
        <f aca="false">(C1681-'DCF Base Case'!$B$3)*(1-E1681)+'DCF Base Case'!$B$3-G1681</f>
        <v>0.119880746898829</v>
      </c>
      <c r="J1681" s="24" t="n">
        <f aca="false">'DCF Base Case'!$B$2*(1+B1681)^1*$I1681-'DCF Base Case'!$B$2*(1+B1681)^0*B1681*'DCF Base Case'!$B$4</f>
        <v>18.2373826031861</v>
      </c>
      <c r="K1681" s="24" t="n">
        <f aca="false">'DCF Base Case'!$B$2*(1+B1681)^2*$I1681-'DCF Base Case'!$B$2*(1+B1681)^1*B1681*'DCF Base Case'!$B$4</f>
        <v>19.4333751707402</v>
      </c>
      <c r="L1681" s="24" t="n">
        <f aca="false">'DCF Base Case'!$B$2*(1+B1681)^3*$I1681-'DCF Base Case'!$B$2*(1+B1681)^2*B1681*'DCF Base Case'!$B$4</f>
        <v>20.7077999482647</v>
      </c>
      <c r="M1681" s="24" t="n">
        <f aca="false">'DCF Base Case'!$B$2*(1+B1681)^4*$I1681-'DCF Base Case'!$B$2*(1+B1681)^3*B1681*'DCF Base Case'!$B$4</f>
        <v>22.0658004556508</v>
      </c>
      <c r="N1681" s="24" t="n">
        <f aca="false">'DCF Base Case'!$B$2*(1+B1681)^5*$I1681-'DCF Base Case'!$B$2*(1+B1681)^4*B1681*'DCF Base Case'!$B$4</f>
        <v>23.5128575205982</v>
      </c>
      <c r="O1681" s="24" t="n">
        <f aca="false">J1681/(1+H1681)^1+K1681/(1+H1681)^2+L1681/(1+H1681)^3+M1681/(1+H1681)^4+N1681/(1+H1681)^5</f>
        <v>77.0386258979296</v>
      </c>
      <c r="P1681" s="24" t="n">
        <f aca="false">N1681*(1+F1681)/(H1681-F1681)</f>
        <v>288.195182930367</v>
      </c>
      <c r="Q1681" s="24" t="n">
        <f aca="false">O1681+P1681/(1+H1681)^5</f>
        <v>252.744011039471</v>
      </c>
      <c r="R1681" s="24" t="n">
        <f aca="false">Q1681-'DCF Base Case'!$B$5</f>
        <v>67.7440110394707</v>
      </c>
      <c r="S1681" s="32" t="n">
        <f aca="false">R1681/'DCF Base Case'!$B$6</f>
        <v>2.70976044157883</v>
      </c>
    </row>
    <row r="1682" customFormat="false" ht="15" hidden="false" customHeight="true" outlineLevel="0" collapsed="false">
      <c r="A1682" s="6" t="n">
        <v>1681</v>
      </c>
      <c r="B1682" s="30" t="n">
        <v>0.0573752954521789</v>
      </c>
      <c r="C1682" s="30" t="n">
        <v>0.396912081913735</v>
      </c>
      <c r="D1682" s="30" t="n">
        <v>0.104716310662443</v>
      </c>
      <c r="E1682" s="30" t="n">
        <v>0.283423285927073</v>
      </c>
      <c r="F1682" s="30" t="n">
        <v>0.0170765455674544</v>
      </c>
      <c r="G1682" s="30" t="n">
        <v>0.13254874394103</v>
      </c>
      <c r="H1682" s="31" t="n">
        <f aca="false">MAX(D1682,F1682+0.015)</f>
        <v>0.104716310662443</v>
      </c>
      <c r="I1682" s="25" t="n">
        <f aca="false">(C1682-'DCF Base Case'!$B$3)*(1-E1682)+'DCF Base Case'!$B$3-G1682</f>
        <v>0.188714238663078</v>
      </c>
      <c r="J1682" s="24" t="n">
        <f aca="false">'DCF Base Case'!$B$2*(1+B1682)^1*$I1682-'DCF Base Case'!$B$2*(1+B1682)^0*B1682*'DCF Base Case'!$B$4</f>
        <v>28.6839746748318</v>
      </c>
      <c r="K1682" s="24" t="n">
        <f aca="false">'DCF Base Case'!$B$2*(1+B1682)^2*$I1682-'DCF Base Case'!$B$2*(1+B1682)^1*B1682*'DCF Base Case'!$B$4</f>
        <v>30.3297261965431</v>
      </c>
      <c r="L1682" s="24" t="n">
        <f aca="false">'DCF Base Case'!$B$2*(1+B1682)^3*$I1682-'DCF Base Case'!$B$2*(1+B1682)^2*B1682*'DCF Base Case'!$B$4</f>
        <v>32.0699031980534</v>
      </c>
      <c r="M1682" s="24" t="n">
        <f aca="false">'DCF Base Case'!$B$2*(1+B1682)^4*$I1682-'DCF Base Case'!$B$2*(1+B1682)^3*B1682*'DCF Base Case'!$B$4</f>
        <v>33.9099233691645</v>
      </c>
      <c r="N1682" s="24" t="n">
        <f aca="false">'DCF Base Case'!$B$2*(1+B1682)^5*$I1682-'DCF Base Case'!$B$2*(1+B1682)^4*B1682*'DCF Base Case'!$B$4</f>
        <v>35.8555152412311</v>
      </c>
      <c r="O1682" s="24" t="n">
        <f aca="false">J1682/(1+H1682)^1+K1682/(1+H1682)^2+L1682/(1+H1682)^3+M1682/(1+H1682)^4+N1682/(1+H1682)^5</f>
        <v>119.164839811883</v>
      </c>
      <c r="P1682" s="24" t="n">
        <f aca="false">N1682*(1+F1682)/(H1682-F1682)</f>
        <v>416.110238789056</v>
      </c>
      <c r="Q1682" s="24" t="n">
        <f aca="false">O1682+P1682/(1+H1682)^5</f>
        <v>372.068183346048</v>
      </c>
      <c r="R1682" s="24" t="n">
        <f aca="false">Q1682-'DCF Base Case'!$B$5</f>
        <v>187.068183346047</v>
      </c>
      <c r="S1682" s="32" t="n">
        <f aca="false">R1682/'DCF Base Case'!$B$6</f>
        <v>7.4827273338419</v>
      </c>
    </row>
    <row r="1683" customFormat="false" ht="15" hidden="false" customHeight="true" outlineLevel="0" collapsed="false">
      <c r="A1683" s="6" t="n">
        <v>1682</v>
      </c>
      <c r="B1683" s="30" t="n">
        <v>0.119537074246005</v>
      </c>
      <c r="C1683" s="30" t="n">
        <v>0.423221068993168</v>
      </c>
      <c r="D1683" s="30" t="n">
        <v>0.0656759276130089</v>
      </c>
      <c r="E1683" s="30" t="n">
        <v>0.259770756340308</v>
      </c>
      <c r="F1683" s="30" t="n">
        <v>0.0141980450390519</v>
      </c>
      <c r="G1683" s="30" t="n">
        <v>0.162428839433326</v>
      </c>
      <c r="H1683" s="31" t="n">
        <f aca="false">MAX(D1683,F1683+0.015)</f>
        <v>0.0656759276130089</v>
      </c>
      <c r="I1683" s="25" t="n">
        <f aca="false">(C1683-'DCF Base Case'!$B$3)*(1-E1683)+'DCF Base Case'!$B$3-G1683</f>
        <v>0.184621970692573</v>
      </c>
      <c r="J1683" s="24" t="n">
        <f aca="false">'DCF Base Case'!$B$2*(1+B1683)^1*$I1683-'DCF Base Case'!$B$2*(1+B1683)^0*B1683*'DCF Base Case'!$B$4</f>
        <v>29.4502291590806</v>
      </c>
      <c r="K1683" s="24" t="n">
        <f aca="false">'DCF Base Case'!$B$2*(1+B1683)^2*$I1683-'DCF Base Case'!$B$2*(1+B1683)^1*B1683*'DCF Base Case'!$B$4</f>
        <v>32.9706233886315</v>
      </c>
      <c r="L1683" s="24" t="n">
        <f aca="false">'DCF Base Case'!$B$2*(1+B1683)^3*$I1683-'DCF Base Case'!$B$2*(1+B1683)^2*B1683*'DCF Base Case'!$B$4</f>
        <v>36.9118352445754</v>
      </c>
      <c r="M1683" s="24" t="n">
        <f aca="false">'DCF Base Case'!$B$2*(1+B1683)^4*$I1683-'DCF Base Case'!$B$2*(1+B1683)^3*B1683*'DCF Base Case'!$B$4</f>
        <v>41.3241680347626</v>
      </c>
      <c r="N1683" s="24" t="n">
        <f aca="false">'DCF Base Case'!$B$2*(1+B1683)^5*$I1683-'DCF Base Case'!$B$2*(1+B1683)^4*B1683*'DCF Base Case'!$B$4</f>
        <v>46.2639381772884</v>
      </c>
      <c r="O1683" s="24" t="n">
        <f aca="false">J1683/(1+H1683)^1+K1683/(1+H1683)^2+L1683/(1+H1683)^3+M1683/(1+H1683)^4+N1683/(1+H1683)^5</f>
        <v>152.867592455312</v>
      </c>
      <c r="P1683" s="24" t="n">
        <f aca="false">N1683*(1+F1683)/(H1683-F1683)</f>
        <v>911.474856950526</v>
      </c>
      <c r="Q1683" s="24" t="n">
        <f aca="false">O1683+P1683/(1+H1683)^5</f>
        <v>816.02849623027</v>
      </c>
      <c r="R1683" s="24" t="n">
        <f aca="false">Q1683-'DCF Base Case'!$B$5</f>
        <v>631.02849623027</v>
      </c>
      <c r="S1683" s="32" t="n">
        <f aca="false">R1683/'DCF Base Case'!$B$6</f>
        <v>25.2411398492108</v>
      </c>
    </row>
    <row r="1684" customFormat="false" ht="15" hidden="false" customHeight="true" outlineLevel="0" collapsed="false">
      <c r="A1684" s="6" t="n">
        <v>1683</v>
      </c>
      <c r="B1684" s="30" t="n">
        <v>0.0942904511622414</v>
      </c>
      <c r="C1684" s="30" t="n">
        <v>0.405498109543385</v>
      </c>
      <c r="D1684" s="30" t="n">
        <v>0.0935475125613557</v>
      </c>
      <c r="E1684" s="30" t="n">
        <v>0.281889133659425</v>
      </c>
      <c r="F1684" s="30" t="n">
        <v>0.0231518783629861</v>
      </c>
      <c r="G1684" s="30" t="n">
        <v>0.157972266692584</v>
      </c>
      <c r="H1684" s="31" t="n">
        <f aca="false">MAX(D1684,F1684+0.015)</f>
        <v>0.0935475125613557</v>
      </c>
      <c r="I1684" s="25" t="n">
        <f aca="false">(C1684-'DCF Base Case'!$B$3)*(1-E1684)+'DCF Base Case'!$B$3-G1684</f>
        <v>0.169865919426807</v>
      </c>
      <c r="J1684" s="24" t="n">
        <f aca="false">'DCF Base Case'!$B$2*(1+B1684)^1*$I1684-'DCF Base Case'!$B$2*(1+B1684)^0*B1684*'DCF Base Case'!$B$4</f>
        <v>26.5428213104084</v>
      </c>
      <c r="K1684" s="24" t="n">
        <f aca="false">'DCF Base Case'!$B$2*(1+B1684)^2*$I1684-'DCF Base Case'!$B$2*(1+B1684)^1*B1684*'DCF Base Case'!$B$4</f>
        <v>29.0455559068856</v>
      </c>
      <c r="L1684" s="24" t="n">
        <f aca="false">'DCF Base Case'!$B$2*(1+B1684)^3*$I1684-'DCF Base Case'!$B$2*(1+B1684)^2*B1684*'DCF Base Case'!$B$4</f>
        <v>31.7842744776039</v>
      </c>
      <c r="M1684" s="24" t="n">
        <f aca="false">'DCF Base Case'!$B$2*(1+B1684)^4*$I1684-'DCF Base Case'!$B$2*(1+B1684)^3*B1684*'DCF Base Case'!$B$4</f>
        <v>34.7812280579617</v>
      </c>
      <c r="N1684" s="24" t="n">
        <f aca="false">'DCF Base Case'!$B$2*(1+B1684)^5*$I1684-'DCF Base Case'!$B$2*(1+B1684)^4*B1684*'DCF Base Case'!$B$4</f>
        <v>38.0607657435237</v>
      </c>
      <c r="O1684" s="24" t="n">
        <f aca="false">J1684/(1+H1684)^1+K1684/(1+H1684)^2+L1684/(1+H1684)^3+M1684/(1+H1684)^4+N1684/(1+H1684)^5</f>
        <v>121.526093050352</v>
      </c>
      <c r="P1684" s="24" t="n">
        <f aca="false">N1684*(1+F1684)/(H1684-F1684)</f>
        <v>553.186918562086</v>
      </c>
      <c r="Q1684" s="24" t="n">
        <f aca="false">O1684+P1684/(1+H1684)^5</f>
        <v>475.265640886748</v>
      </c>
      <c r="R1684" s="24" t="n">
        <f aca="false">Q1684-'DCF Base Case'!$B$5</f>
        <v>290.265640886748</v>
      </c>
      <c r="S1684" s="32" t="n">
        <f aca="false">R1684/'DCF Base Case'!$B$6</f>
        <v>11.6106256354699</v>
      </c>
    </row>
    <row r="1685" customFormat="false" ht="15" hidden="false" customHeight="true" outlineLevel="0" collapsed="false">
      <c r="A1685" s="6" t="n">
        <v>1684</v>
      </c>
      <c r="B1685" s="30" t="n">
        <v>0.137589457841205</v>
      </c>
      <c r="C1685" s="30" t="n">
        <v>0.425613583253746</v>
      </c>
      <c r="D1685" s="30" t="n">
        <v>0.0750633700906854</v>
      </c>
      <c r="E1685" s="30" t="n">
        <v>0.258309148857482</v>
      </c>
      <c r="F1685" s="30" t="n">
        <v>0.018537076978598</v>
      </c>
      <c r="G1685" s="30" t="n">
        <v>0.133077981635648</v>
      </c>
      <c r="H1685" s="31" t="n">
        <f aca="false">MAX(D1685,F1685+0.015)</f>
        <v>0.0750633700906854</v>
      </c>
      <c r="I1685" s="25" t="n">
        <f aca="false">(C1685-'DCF Base Case'!$B$3)*(1-E1685)+'DCF Base Case'!$B$3-G1685</f>
        <v>0.216175908537112</v>
      </c>
      <c r="J1685" s="24" t="n">
        <f aca="false">'DCF Base Case'!$B$2*(1+B1685)^1*$I1685-'DCF Base Case'!$B$2*(1+B1685)^0*B1685*'DCF Base Case'!$B$4</f>
        <v>35.059803874095</v>
      </c>
      <c r="K1685" s="24" t="n">
        <f aca="false">'DCF Base Case'!$B$2*(1+B1685)^2*$I1685-'DCF Base Case'!$B$2*(1+B1685)^1*B1685*'DCF Base Case'!$B$4</f>
        <v>39.8836632811507</v>
      </c>
      <c r="L1685" s="24" t="n">
        <f aca="false">'DCF Base Case'!$B$2*(1+B1685)^3*$I1685-'DCF Base Case'!$B$2*(1+B1685)^2*B1685*'DCF Base Case'!$B$4</f>
        <v>45.3712348887254</v>
      </c>
      <c r="M1685" s="24" t="n">
        <f aca="false">'DCF Base Case'!$B$2*(1+B1685)^4*$I1685-'DCF Base Case'!$B$2*(1+B1685)^3*B1685*'DCF Base Case'!$B$4</f>
        <v>51.6138384986511</v>
      </c>
      <c r="N1685" s="24" t="n">
        <f aca="false">'DCF Base Case'!$B$2*(1+B1685)^5*$I1685-'DCF Base Case'!$B$2*(1+B1685)^4*B1685*'DCF Base Case'!$B$4</f>
        <v>58.715358554784</v>
      </c>
      <c r="O1685" s="24" t="n">
        <f aca="false">J1685/(1+H1685)^1+K1685/(1+H1685)^2+L1685/(1+H1685)^3+M1685/(1+H1685)^4+N1685/(1+H1685)^5</f>
        <v>183.162006696689</v>
      </c>
      <c r="P1685" s="24" t="n">
        <f aca="false">N1685*(1+F1685)/(H1685-F1685)</f>
        <v>1057.98145223416</v>
      </c>
      <c r="Q1685" s="24" t="n">
        <f aca="false">O1685+P1685/(1+H1685)^5</f>
        <v>919.890947631268</v>
      </c>
      <c r="R1685" s="24" t="n">
        <f aca="false">Q1685-'DCF Base Case'!$B$5</f>
        <v>734.890947631268</v>
      </c>
      <c r="S1685" s="32" t="n">
        <f aca="false">R1685/'DCF Base Case'!$B$6</f>
        <v>29.3956379052507</v>
      </c>
    </row>
    <row r="1686" customFormat="false" ht="15" hidden="false" customHeight="true" outlineLevel="0" collapsed="false">
      <c r="A1686" s="6" t="n">
        <v>1685</v>
      </c>
      <c r="B1686" s="30" t="n">
        <v>0.09617284375856</v>
      </c>
      <c r="C1686" s="30" t="n">
        <v>0.376669839960666</v>
      </c>
      <c r="D1686" s="30" t="n">
        <v>0.0867783801646296</v>
      </c>
      <c r="E1686" s="30" t="n">
        <v>0.253938302791339</v>
      </c>
      <c r="F1686" s="30" t="n">
        <v>0.0178429098673068</v>
      </c>
      <c r="G1686" s="30" t="n">
        <v>0.179546900547438</v>
      </c>
      <c r="H1686" s="31" t="n">
        <f aca="false">MAX(D1686,F1686+0.015)</f>
        <v>0.0867783801646296</v>
      </c>
      <c r="I1686" s="25" t="n">
        <f aca="false">(C1686-'DCF Base Case'!$B$3)*(1-E1686)+'DCF Base Case'!$B$3-G1686</f>
        <v>0.134484018903805</v>
      </c>
      <c r="J1686" s="24" t="n">
        <f aca="false">'DCF Base Case'!$B$2*(1+B1686)^1*$I1686-'DCF Base Case'!$B$2*(1+B1686)^0*B1686*'DCF Base Case'!$B$4</f>
        <v>20.9572188987206</v>
      </c>
      <c r="K1686" s="24" t="n">
        <f aca="false">'DCF Base Case'!$B$2*(1+B1686)^2*$I1686-'DCF Base Case'!$B$2*(1+B1686)^1*B1686*'DCF Base Case'!$B$4</f>
        <v>22.9727342374812</v>
      </c>
      <c r="L1686" s="24" t="n">
        <f aca="false">'DCF Base Case'!$B$2*(1+B1686)^3*$I1686-'DCF Base Case'!$B$2*(1+B1686)^2*B1686*'DCF Base Case'!$B$4</f>
        <v>25.1820874180094</v>
      </c>
      <c r="M1686" s="24" t="n">
        <f aca="false">'DCF Base Case'!$B$2*(1+B1686)^4*$I1686-'DCF Base Case'!$B$2*(1+B1686)^3*B1686*'DCF Base Case'!$B$4</f>
        <v>27.603920376776</v>
      </c>
      <c r="N1686" s="24" t="n">
        <f aca="false">'DCF Base Case'!$B$2*(1+B1686)^5*$I1686-'DCF Base Case'!$B$2*(1+B1686)^4*B1686*'DCF Base Case'!$B$4</f>
        <v>30.2586678982954</v>
      </c>
      <c r="O1686" s="24" t="n">
        <f aca="false">J1686/(1+H1686)^1+K1686/(1+H1686)^2+L1686/(1+H1686)^3+M1686/(1+H1686)^4+N1686/(1+H1686)^5</f>
        <v>98.100435307907</v>
      </c>
      <c r="P1686" s="24" t="n">
        <f aca="false">N1686*(1+F1686)/(H1686-F1686)</f>
        <v>446.773924214535</v>
      </c>
      <c r="Q1686" s="24" t="n">
        <f aca="false">O1686+P1686/(1+H1686)^5</f>
        <v>392.802288461072</v>
      </c>
      <c r="R1686" s="24" t="n">
        <f aca="false">Q1686-'DCF Base Case'!$B$5</f>
        <v>207.802288461072</v>
      </c>
      <c r="S1686" s="32" t="n">
        <f aca="false">R1686/'DCF Base Case'!$B$6</f>
        <v>8.31209153844288</v>
      </c>
    </row>
    <row r="1687" customFormat="false" ht="15" hidden="false" customHeight="true" outlineLevel="0" collapsed="false">
      <c r="A1687" s="6" t="n">
        <v>1686</v>
      </c>
      <c r="B1687" s="30" t="n">
        <v>0.132716366239627</v>
      </c>
      <c r="C1687" s="30" t="n">
        <v>0.410164320509579</v>
      </c>
      <c r="D1687" s="30" t="n">
        <v>0.0833465080563097</v>
      </c>
      <c r="E1687" s="30" t="n">
        <v>0.262951788215663</v>
      </c>
      <c r="F1687" s="30" t="n">
        <v>0.0157993522573297</v>
      </c>
      <c r="G1687" s="30" t="n">
        <v>0.150809917989415</v>
      </c>
      <c r="H1687" s="31" t="n">
        <f aca="false">MAX(D1687,F1687+0.015)</f>
        <v>0.0833465080563097</v>
      </c>
      <c r="I1687" s="25" t="n">
        <f aca="false">(C1687-'DCF Base Case'!$B$3)*(1-E1687)+'DCF Base Case'!$B$3-G1687</f>
        <v>0.185684693447944</v>
      </c>
      <c r="J1687" s="24" t="n">
        <f aca="false">'DCF Base Case'!$B$2*(1+B1687)^1*$I1687-'DCF Base Case'!$B$2*(1+B1687)^0*B1687*'DCF Base Case'!$B$4</f>
        <v>29.9202570350154</v>
      </c>
      <c r="K1687" s="24" t="n">
        <f aca="false">'DCF Base Case'!$B$2*(1+B1687)^2*$I1687-'DCF Base Case'!$B$2*(1+B1687)^1*B1687*'DCF Base Case'!$B$4</f>
        <v>33.8911648256583</v>
      </c>
      <c r="L1687" s="24" t="n">
        <f aca="false">'DCF Base Case'!$B$2*(1+B1687)^3*$I1687-'DCF Base Case'!$B$2*(1+B1687)^2*B1687*'DCF Base Case'!$B$4</f>
        <v>38.3890770689479</v>
      </c>
      <c r="M1687" s="24" t="n">
        <f aca="false">'DCF Base Case'!$B$2*(1+B1687)^4*$I1687-'DCF Base Case'!$B$2*(1+B1687)^3*B1687*'DCF Base Case'!$B$4</f>
        <v>43.4839358808316</v>
      </c>
      <c r="N1687" s="24" t="n">
        <f aca="false">'DCF Base Case'!$B$2*(1+B1687)^5*$I1687-'DCF Base Case'!$B$2*(1+B1687)^4*B1687*'DCF Base Case'!$B$4</f>
        <v>49.2549658407325</v>
      </c>
      <c r="O1687" s="24" t="n">
        <f aca="false">J1687/(1+H1687)^1+K1687/(1+H1687)^2+L1687/(1+H1687)^3+M1687/(1+H1687)^4+N1687/(1+H1687)^5</f>
        <v>151.264709783378</v>
      </c>
      <c r="P1687" s="24" t="n">
        <f aca="false">N1687*(1+F1687)/(H1687-F1687)</f>
        <v>740.714569024512</v>
      </c>
      <c r="Q1687" s="24" t="n">
        <f aca="false">O1687+P1687/(1+H1687)^5</f>
        <v>647.644336132918</v>
      </c>
      <c r="R1687" s="24" t="n">
        <f aca="false">Q1687-'DCF Base Case'!$B$5</f>
        <v>462.644336132918</v>
      </c>
      <c r="S1687" s="32" t="n">
        <f aca="false">R1687/'DCF Base Case'!$B$6</f>
        <v>18.5057734453167</v>
      </c>
    </row>
    <row r="1688" customFormat="false" ht="15" hidden="false" customHeight="true" outlineLevel="0" collapsed="false">
      <c r="A1688" s="6" t="n">
        <v>1687</v>
      </c>
      <c r="B1688" s="30" t="n">
        <v>0.107988213598505</v>
      </c>
      <c r="C1688" s="30" t="n">
        <v>0.410970083201489</v>
      </c>
      <c r="D1688" s="30" t="n">
        <v>0.109742439680979</v>
      </c>
      <c r="E1688" s="30" t="n">
        <v>0.292092706378758</v>
      </c>
      <c r="F1688" s="30" t="n">
        <v>0.0152290430242382</v>
      </c>
      <c r="G1688" s="30" t="n">
        <v>0.15778462493312</v>
      </c>
      <c r="H1688" s="31" t="n">
        <f aca="false">MAX(D1688,F1688+0.015)</f>
        <v>0.109742439680979</v>
      </c>
      <c r="I1688" s="25" t="n">
        <f aca="false">(C1688-'DCF Base Case'!$B$3)*(1-E1688)+'DCF Base Case'!$B$3-G1688</f>
        <v>0.171116146254581</v>
      </c>
      <c r="J1688" s="24" t="n">
        <f aca="false">'DCF Base Case'!$B$2*(1+B1688)^1*$I1688-'DCF Base Case'!$B$2*(1+B1688)^0*B1688*'DCF Base Case'!$B$4</f>
        <v>27.0214788857852</v>
      </c>
      <c r="K1688" s="24" t="n">
        <f aca="false">'DCF Base Case'!$B$2*(1+B1688)^2*$I1688-'DCF Base Case'!$B$2*(1+B1688)^1*B1688*'DCF Base Case'!$B$4</f>
        <v>29.9394801194509</v>
      </c>
      <c r="L1688" s="24" t="n">
        <f aca="false">'DCF Base Case'!$B$2*(1+B1688)^3*$I1688-'DCF Base Case'!$B$2*(1+B1688)^2*B1688*'DCF Base Case'!$B$4</f>
        <v>33.1725910936184</v>
      </c>
      <c r="M1688" s="24" t="n">
        <f aca="false">'DCF Base Case'!$B$2*(1+B1688)^4*$I1688-'DCF Base Case'!$B$2*(1+B1688)^3*B1688*'DCF Base Case'!$B$4</f>
        <v>36.7548399462519</v>
      </c>
      <c r="N1688" s="24" t="n">
        <f aca="false">'DCF Base Case'!$B$2*(1+B1688)^5*$I1688-'DCF Base Case'!$B$2*(1+B1688)^4*B1688*'DCF Base Case'!$B$4</f>
        <v>40.7239294531466</v>
      </c>
      <c r="O1688" s="24" t="n">
        <f aca="false">J1688/(1+H1688)^1+K1688/(1+H1688)^2+L1688/(1+H1688)^3+M1688/(1+H1688)^4+N1688/(1+H1688)^5</f>
        <v>121.362328844906</v>
      </c>
      <c r="P1688" s="24" t="n">
        <f aca="false">N1688*(1+F1688)/(H1688-F1688)</f>
        <v>437.441858925678</v>
      </c>
      <c r="Q1688" s="24" t="n">
        <f aca="false">O1688+P1688/(1+H1688)^5</f>
        <v>381.264174415353</v>
      </c>
      <c r="R1688" s="24" t="n">
        <f aca="false">Q1688-'DCF Base Case'!$B$5</f>
        <v>196.264174415353</v>
      </c>
      <c r="S1688" s="32" t="n">
        <f aca="false">R1688/'DCF Base Case'!$B$6</f>
        <v>7.85056697661413</v>
      </c>
    </row>
    <row r="1689" customFormat="false" ht="15" hidden="false" customHeight="true" outlineLevel="0" collapsed="false">
      <c r="A1689" s="6" t="n">
        <v>1688</v>
      </c>
      <c r="B1689" s="30" t="n">
        <v>0.0725054408198315</v>
      </c>
      <c r="C1689" s="30" t="n">
        <v>0.424245279990159</v>
      </c>
      <c r="D1689" s="30" t="n">
        <v>0.0669734237777822</v>
      </c>
      <c r="E1689" s="30" t="n">
        <v>0.254068754831753</v>
      </c>
      <c r="F1689" s="30" t="n">
        <v>0.0169633701845008</v>
      </c>
      <c r="G1689" s="30" t="n">
        <v>0.181478299719376</v>
      </c>
      <c r="H1689" s="31" t="n">
        <f aca="false">MAX(D1689,F1689+0.015)</f>
        <v>0.0669734237777822</v>
      </c>
      <c r="I1689" s="25" t="n">
        <f aca="false">(C1689-'DCF Base Case'!$B$3)*(1-E1689)+'DCF Base Case'!$B$3-G1689</f>
        <v>0.168008448368563</v>
      </c>
      <c r="J1689" s="24" t="n">
        <f aca="false">'DCF Base Case'!$B$2*(1+B1689)^1*$I1689-'DCF Base Case'!$B$2*(1+B1689)^0*B1689*'DCF Base Case'!$B$4</f>
        <v>25.812147704386</v>
      </c>
      <c r="K1689" s="24" t="n">
        <f aca="false">'DCF Base Case'!$B$2*(1+B1689)^2*$I1689-'DCF Base Case'!$B$2*(1+B1689)^1*B1689*'DCF Base Case'!$B$4</f>
        <v>27.6836688521991</v>
      </c>
      <c r="L1689" s="24" t="n">
        <f aca="false">'DCF Base Case'!$B$2*(1+B1689)^3*$I1689-'DCF Base Case'!$B$2*(1+B1689)^2*B1689*'DCF Base Case'!$B$4</f>
        <v>29.6908854658381</v>
      </c>
      <c r="M1689" s="24" t="n">
        <f aca="false">'DCF Base Case'!$B$2*(1+B1689)^4*$I1689-'DCF Base Case'!$B$2*(1+B1689)^3*B1689*'DCF Base Case'!$B$4</f>
        <v>31.8436362048698</v>
      </c>
      <c r="N1689" s="24" t="n">
        <f aca="false">'DCF Base Case'!$B$2*(1+B1689)^5*$I1689-'DCF Base Case'!$B$2*(1+B1689)^4*B1689*'DCF Base Case'!$B$4</f>
        <v>34.1524730852102</v>
      </c>
      <c r="O1689" s="24" t="n">
        <f aca="false">J1689/(1+H1689)^1+K1689/(1+H1689)^2+L1689/(1+H1689)^3+M1689/(1+H1689)^4+N1689/(1+H1689)^5</f>
        <v>122.220473514104</v>
      </c>
      <c r="P1689" s="24" t="n">
        <f aca="false">N1689*(1+F1689)/(H1689-F1689)</f>
        <v>694.496638842573</v>
      </c>
      <c r="Q1689" s="24" t="n">
        <f aca="false">O1689+P1689/(1+H1689)^5</f>
        <v>624.44987961947</v>
      </c>
      <c r="R1689" s="24" t="n">
        <f aca="false">Q1689-'DCF Base Case'!$B$5</f>
        <v>439.44987961947</v>
      </c>
      <c r="S1689" s="32" t="n">
        <f aca="false">R1689/'DCF Base Case'!$B$6</f>
        <v>17.5779951847788</v>
      </c>
    </row>
    <row r="1690" customFormat="false" ht="15" hidden="false" customHeight="true" outlineLevel="0" collapsed="false">
      <c r="A1690" s="6" t="n">
        <v>1689</v>
      </c>
      <c r="B1690" s="30" t="n">
        <v>0.116678696590913</v>
      </c>
      <c r="C1690" s="30" t="n">
        <v>0.446995025617143</v>
      </c>
      <c r="D1690" s="30" t="n">
        <v>0.0908278167194228</v>
      </c>
      <c r="E1690" s="30" t="n">
        <v>0.277357036832319</v>
      </c>
      <c r="F1690" s="30" t="n">
        <v>0.0222074772160718</v>
      </c>
      <c r="G1690" s="30" t="n">
        <v>0.142468470440966</v>
      </c>
      <c r="H1690" s="31" t="n">
        <f aca="false">MAX(D1690,F1690+0.015)</f>
        <v>0.0908278167194228</v>
      </c>
      <c r="I1690" s="25" t="n">
        <f aca="false">(C1690-'DCF Base Case'!$B$3)*(1-E1690)+'DCF Base Case'!$B$3-G1690</f>
        <v>0.216605754180421</v>
      </c>
      <c r="J1690" s="24" t="n">
        <f aca="false">'DCF Base Case'!$B$2*(1+B1690)^1*$I1690-'DCF Base Case'!$B$2*(1+B1690)^0*B1690*'DCF Base Case'!$B$4</f>
        <v>34.5649072014108</v>
      </c>
      <c r="K1690" s="24" t="n">
        <f aca="false">'DCF Base Case'!$B$2*(1+B1690)^2*$I1690-'DCF Base Case'!$B$2*(1+B1690)^1*B1690*'DCF Base Case'!$B$4</f>
        <v>38.5978955214572</v>
      </c>
      <c r="L1690" s="24" t="n">
        <f aca="false">'DCF Base Case'!$B$2*(1+B1690)^3*$I1690-'DCF Base Case'!$B$2*(1+B1690)^2*B1690*'DCF Base Case'!$B$4</f>
        <v>43.1014476620531</v>
      </c>
      <c r="M1690" s="24" t="n">
        <f aca="false">'DCF Base Case'!$B$2*(1+B1690)^4*$I1690-'DCF Base Case'!$B$2*(1+B1690)^3*B1690*'DCF Base Case'!$B$4</f>
        <v>48.1304683964429</v>
      </c>
      <c r="N1690" s="24" t="n">
        <f aca="false">'DCF Base Case'!$B$2*(1+B1690)^5*$I1690-'DCF Base Case'!$B$2*(1+B1690)^4*B1690*'DCF Base Case'!$B$4</f>
        <v>53.74626871525</v>
      </c>
      <c r="O1690" s="24" t="n">
        <f aca="false">J1690/(1+H1690)^1+K1690/(1+H1690)^2+L1690/(1+H1690)^3+M1690/(1+H1690)^4+N1690/(1+H1690)^5</f>
        <v>166.123651845337</v>
      </c>
      <c r="P1690" s="24" t="n">
        <f aca="false">N1690*(1+F1690)/(H1690-F1690)</f>
        <v>800.634886840073</v>
      </c>
      <c r="Q1690" s="24" t="n">
        <f aca="false">O1690+P1690/(1+H1690)^5</f>
        <v>684.509920684544</v>
      </c>
      <c r="R1690" s="24" t="n">
        <f aca="false">Q1690-'DCF Base Case'!$B$5</f>
        <v>499.509920684544</v>
      </c>
      <c r="S1690" s="32" t="n">
        <f aca="false">R1690/'DCF Base Case'!$B$6</f>
        <v>19.9803968273818</v>
      </c>
    </row>
    <row r="1691" customFormat="false" ht="15" hidden="false" customHeight="true" outlineLevel="0" collapsed="false">
      <c r="A1691" s="6" t="n">
        <v>1690</v>
      </c>
      <c r="B1691" s="30" t="n">
        <v>0.0527561178826861</v>
      </c>
      <c r="C1691" s="30" t="n">
        <v>0.409385000750696</v>
      </c>
      <c r="D1691" s="30" t="n">
        <v>0.0739375374113627</v>
      </c>
      <c r="E1691" s="30" t="n">
        <v>0.277835274699943</v>
      </c>
      <c r="F1691" s="30" t="n">
        <v>0.0197893754111287</v>
      </c>
      <c r="G1691" s="30" t="n">
        <v>0.170886603578866</v>
      </c>
      <c r="H1691" s="31" t="n">
        <f aca="false">MAX(D1691,F1691+0.015)</f>
        <v>0.0739375374113627</v>
      </c>
      <c r="I1691" s="25" t="n">
        <f aca="false">(C1691-'DCF Base Case'!$B$3)*(1-E1691)+'DCF Base Case'!$B$3-G1691</f>
        <v>0.160875388741217</v>
      </c>
      <c r="J1691" s="24" t="n">
        <f aca="false">'DCF Base Case'!$B$2*(1+B1691)^1*$I1691-'DCF Base Case'!$B$2*(1+B1691)^0*B1691*'DCF Base Case'!$B$4</f>
        <v>24.3280805957506</v>
      </c>
      <c r="K1691" s="24" t="n">
        <f aca="false">'DCF Base Case'!$B$2*(1+B1691)^2*$I1691-'DCF Base Case'!$B$2*(1+B1691)^1*B1691*'DCF Base Case'!$B$4</f>
        <v>25.6115356835195</v>
      </c>
      <c r="L1691" s="24" t="n">
        <f aca="false">'DCF Base Case'!$B$2*(1+B1691)^3*$I1691-'DCF Base Case'!$B$2*(1+B1691)^2*B1691*'DCF Base Case'!$B$4</f>
        <v>26.9627008791959</v>
      </c>
      <c r="M1691" s="24" t="n">
        <f aca="false">'DCF Base Case'!$B$2*(1+B1691)^4*$I1691-'DCF Base Case'!$B$2*(1+B1691)^3*B1691*'DCF Base Case'!$B$4</f>
        <v>28.3851483052144</v>
      </c>
      <c r="N1691" s="24" t="n">
        <f aca="false">'DCF Base Case'!$B$2*(1+B1691)^5*$I1691-'DCF Base Case'!$B$2*(1+B1691)^4*B1691*'DCF Base Case'!$B$4</f>
        <v>29.8826385353218</v>
      </c>
      <c r="O1691" s="24" t="n">
        <f aca="false">J1691/(1+H1691)^1+K1691/(1+H1691)^2+L1691/(1+H1691)^3+M1691/(1+H1691)^4+N1691/(1+H1691)^5</f>
        <v>108.885149178109</v>
      </c>
      <c r="P1691" s="24" t="n">
        <f aca="false">N1691*(1+F1691)/(H1691-F1691)</f>
        <v>562.789135620903</v>
      </c>
      <c r="Q1691" s="24" t="n">
        <f aca="false">O1691+P1691/(1+H1691)^5</f>
        <v>502.843755268784</v>
      </c>
      <c r="R1691" s="24" t="n">
        <f aca="false">Q1691-'DCF Base Case'!$B$5</f>
        <v>317.843755268784</v>
      </c>
      <c r="S1691" s="32" t="n">
        <f aca="false">R1691/'DCF Base Case'!$B$6</f>
        <v>12.7137502107513</v>
      </c>
    </row>
    <row r="1692" customFormat="false" ht="15" hidden="false" customHeight="true" outlineLevel="0" collapsed="false">
      <c r="A1692" s="6" t="n">
        <v>1691</v>
      </c>
      <c r="B1692" s="30" t="n">
        <v>0.1104893430118</v>
      </c>
      <c r="C1692" s="30" t="n">
        <v>0.436848197979396</v>
      </c>
      <c r="D1692" s="30" t="n">
        <v>0.0871450007388446</v>
      </c>
      <c r="E1692" s="30" t="n">
        <v>0.268510533412409</v>
      </c>
      <c r="F1692" s="30" t="n">
        <v>0.019747249024761</v>
      </c>
      <c r="G1692" s="30" t="n">
        <v>0.15319742964963</v>
      </c>
      <c r="H1692" s="31" t="n">
        <f aca="false">MAX(D1692,F1692+0.015)</f>
        <v>0.0871450007388446</v>
      </c>
      <c r="I1692" s="25" t="n">
        <f aca="false">(C1692-'DCF Base Case'!$B$3)*(1-E1692)+'DCF Base Case'!$B$3-G1692</f>
        <v>0.201258795013682</v>
      </c>
      <c r="J1692" s="24" t="n">
        <f aca="false">'DCF Base Case'!$B$2*(1+B1692)^1*$I1692-'DCF Base Case'!$B$2*(1+B1692)^0*B1692*'DCF Base Case'!$B$4</f>
        <v>31.9262546801617</v>
      </c>
      <c r="K1692" s="24" t="n">
        <f aca="false">'DCF Base Case'!$B$2*(1+B1692)^2*$I1692-'DCF Base Case'!$B$2*(1+B1692)^1*B1692*'DCF Base Case'!$B$4</f>
        <v>35.4537655846002</v>
      </c>
      <c r="L1692" s="24" t="n">
        <f aca="false">'DCF Base Case'!$B$2*(1+B1692)^3*$I1692-'DCF Base Case'!$B$2*(1+B1692)^2*B1692*'DCF Base Case'!$B$4</f>
        <v>39.3710288513371</v>
      </c>
      <c r="M1692" s="24" t="n">
        <f aca="false">'DCF Base Case'!$B$2*(1+B1692)^4*$I1692-'DCF Base Case'!$B$2*(1+B1692)^3*B1692*'DCF Base Case'!$B$4</f>
        <v>43.7211079628199</v>
      </c>
      <c r="N1692" s="24" t="n">
        <f aca="false">'DCF Base Case'!$B$2*(1+B1692)^5*$I1692-'DCF Base Case'!$B$2*(1+B1692)^4*B1692*'DCF Base Case'!$B$4</f>
        <v>48.5518244573799</v>
      </c>
      <c r="O1692" s="24" t="n">
        <f aca="false">J1692/(1+H1692)^1+K1692/(1+H1692)^2+L1692/(1+H1692)^3+M1692/(1+H1692)^4+N1692/(1+H1692)^5</f>
        <v>153.278189878388</v>
      </c>
      <c r="P1692" s="24" t="n">
        <f aca="false">N1692*(1+F1692)/(H1692-F1692)</f>
        <v>734.602982538368</v>
      </c>
      <c r="Q1692" s="24" t="n">
        <f aca="false">O1692+P1692/(1+H1692)^5</f>
        <v>637.021889648954</v>
      </c>
      <c r="R1692" s="24" t="n">
        <f aca="false">Q1692-'DCF Base Case'!$B$5</f>
        <v>452.021889648954</v>
      </c>
      <c r="S1692" s="32" t="n">
        <f aca="false">R1692/'DCF Base Case'!$B$6</f>
        <v>18.0808755859582</v>
      </c>
    </row>
    <row r="1693" customFormat="false" ht="15" hidden="false" customHeight="true" outlineLevel="0" collapsed="false">
      <c r="A1693" s="6" t="n">
        <v>1692</v>
      </c>
      <c r="B1693" s="30" t="n">
        <v>0.0859422044720397</v>
      </c>
      <c r="C1693" s="30" t="n">
        <v>0.45414613991789</v>
      </c>
      <c r="D1693" s="30" t="n">
        <v>0.0870040867097189</v>
      </c>
      <c r="E1693" s="30" t="n">
        <v>0.29316653969614</v>
      </c>
      <c r="F1693" s="30" t="n">
        <v>0.016484190573707</v>
      </c>
      <c r="G1693" s="30" t="n">
        <v>0.189617753047881</v>
      </c>
      <c r="H1693" s="31" t="n">
        <f aca="false">MAX(D1693,F1693+0.015)</f>
        <v>0.0870040867097189</v>
      </c>
      <c r="I1693" s="25" t="n">
        <f aca="false">(C1693-'DCF Base Case'!$B$3)*(1-E1693)+'DCF Base Case'!$B$3-G1693</f>
        <v>0.16949958467442</v>
      </c>
      <c r="J1693" s="24" t="n">
        <f aca="false">'DCF Base Case'!$B$2*(1+B1693)^1*$I1693-'DCF Base Case'!$B$2*(1+B1693)^0*B1693*'DCF Base Case'!$B$4</f>
        <v>26.3158305431197</v>
      </c>
      <c r="K1693" s="24" t="n">
        <f aca="false">'DCF Base Case'!$B$2*(1+B1693)^2*$I1693-'DCF Base Case'!$B$2*(1+B1693)^1*B1693*'DCF Base Case'!$B$4</f>
        <v>28.5774710325081</v>
      </c>
      <c r="L1693" s="24" t="n">
        <f aca="false">'DCF Base Case'!$B$2*(1+B1693)^3*$I1693-'DCF Base Case'!$B$2*(1+B1693)^2*B1693*'DCF Base Case'!$B$4</f>
        <v>31.0334818912777</v>
      </c>
      <c r="M1693" s="24" t="n">
        <f aca="false">'DCF Base Case'!$B$2*(1+B1693)^4*$I1693-'DCF Base Case'!$B$2*(1+B1693)^3*B1693*'DCF Base Case'!$B$4</f>
        <v>33.7005677374572</v>
      </c>
      <c r="N1693" s="24" t="n">
        <f aca="false">'DCF Base Case'!$B$2*(1+B1693)^5*$I1693-'DCF Base Case'!$B$2*(1+B1693)^4*B1693*'DCF Base Case'!$B$4</f>
        <v>36.5968688207736</v>
      </c>
      <c r="O1693" s="24" t="n">
        <f aca="false">J1693/(1+H1693)^1+K1693/(1+H1693)^2+L1693/(1+H1693)^3+M1693/(1+H1693)^4+N1693/(1+H1693)^5</f>
        <v>120.811254440969</v>
      </c>
      <c r="P1693" s="24" t="n">
        <f aca="false">N1693*(1+F1693)/(H1693-F1693)</f>
        <v>527.512668326513</v>
      </c>
      <c r="Q1693" s="24" t="n">
        <f aca="false">O1693+P1693/(1+H1693)^5</f>
        <v>468.409046730073</v>
      </c>
      <c r="R1693" s="24" t="n">
        <f aca="false">Q1693-'DCF Base Case'!$B$5</f>
        <v>283.409046730073</v>
      </c>
      <c r="S1693" s="32" t="n">
        <f aca="false">R1693/'DCF Base Case'!$B$6</f>
        <v>11.3363618692029</v>
      </c>
    </row>
    <row r="1694" customFormat="false" ht="15" hidden="false" customHeight="true" outlineLevel="0" collapsed="false">
      <c r="A1694" s="6" t="n">
        <v>1693</v>
      </c>
      <c r="B1694" s="30" t="n">
        <v>0.106567539632131</v>
      </c>
      <c r="C1694" s="30" t="n">
        <v>0.434517967414718</v>
      </c>
      <c r="D1694" s="30" t="n">
        <v>0.0873638037142881</v>
      </c>
      <c r="E1694" s="30" t="n">
        <v>0.311397096588773</v>
      </c>
      <c r="F1694" s="30" t="n">
        <v>0.0238457281678488</v>
      </c>
      <c r="G1694" s="30" t="n">
        <v>0.171716431056971</v>
      </c>
      <c r="H1694" s="31" t="n">
        <f aca="false">MAX(D1694,F1694+0.015)</f>
        <v>0.0873638037142881</v>
      </c>
      <c r="I1694" s="25" t="n">
        <f aca="false">(C1694-'DCF Base Case'!$B$3)*(1-E1694)+'DCF Base Case'!$B$3-G1694</f>
        <v>0.167975525445689</v>
      </c>
      <c r="J1694" s="24" t="n">
        <f aca="false">'DCF Base Case'!$B$2*(1+B1694)^1*$I1694-'DCF Base Case'!$B$2*(1+B1694)^0*B1694*'DCF Base Case'!$B$4</f>
        <v>26.4884894696736</v>
      </c>
      <c r="K1694" s="24" t="n">
        <f aca="false">'DCF Base Case'!$B$2*(1+B1694)^2*$I1694-'DCF Base Case'!$B$2*(1+B1694)^1*B1694*'DCF Base Case'!$B$4</f>
        <v>29.3113026210283</v>
      </c>
      <c r="L1694" s="24" t="n">
        <f aca="false">'DCF Base Case'!$B$2*(1+B1694)^3*$I1694-'DCF Base Case'!$B$2*(1+B1694)^2*B1694*'DCF Base Case'!$B$4</f>
        <v>32.4349360247641</v>
      </c>
      <c r="M1694" s="24" t="n">
        <f aca="false">'DCF Base Case'!$B$2*(1+B1694)^4*$I1694-'DCF Base Case'!$B$2*(1+B1694)^3*B1694*'DCF Base Case'!$B$4</f>
        <v>35.8914473550488</v>
      </c>
      <c r="N1694" s="24" t="n">
        <f aca="false">'DCF Base Case'!$B$2*(1+B1694)^5*$I1694-'DCF Base Case'!$B$2*(1+B1694)^4*B1694*'DCF Base Case'!$B$4</f>
        <v>39.7163105935125</v>
      </c>
      <c r="O1694" s="24" t="n">
        <f aca="false">J1694/(1+H1694)^1+K1694/(1+H1694)^2+L1694/(1+H1694)^3+M1694/(1+H1694)^4+N1694/(1+H1694)^5</f>
        <v>126.18029232093</v>
      </c>
      <c r="P1694" s="24" t="n">
        <f aca="false">N1694*(1+F1694)/(H1694-F1694)</f>
        <v>640.185877640854</v>
      </c>
      <c r="Q1694" s="24" t="n">
        <f aca="false">O1694+P1694/(1+H1694)^5</f>
        <v>547.325370103874</v>
      </c>
      <c r="R1694" s="24" t="n">
        <f aca="false">Q1694-'DCF Base Case'!$B$5</f>
        <v>362.325370103874</v>
      </c>
      <c r="S1694" s="32" t="n">
        <f aca="false">R1694/'DCF Base Case'!$B$6</f>
        <v>14.493014804155</v>
      </c>
    </row>
    <row r="1695" customFormat="false" ht="15" hidden="false" customHeight="true" outlineLevel="0" collapsed="false">
      <c r="A1695" s="6" t="n">
        <v>1694</v>
      </c>
      <c r="B1695" s="30" t="n">
        <v>0.0876642524121245</v>
      </c>
      <c r="C1695" s="30" t="n">
        <v>0.430847190197659</v>
      </c>
      <c r="D1695" s="30" t="n">
        <v>0.0750546216278428</v>
      </c>
      <c r="E1695" s="30" t="n">
        <v>0.263053291031392</v>
      </c>
      <c r="F1695" s="30" t="n">
        <v>0.0191531744828393</v>
      </c>
      <c r="G1695" s="30" t="n">
        <v>0.132776619943797</v>
      </c>
      <c r="H1695" s="31" t="n">
        <f aca="false">MAX(D1695,F1695+0.015)</f>
        <v>0.0750546216278428</v>
      </c>
      <c r="I1695" s="25" t="n">
        <f aca="false">(C1695-'DCF Base Case'!$B$3)*(1-E1695)+'DCF Base Case'!$B$3-G1695</f>
        <v>0.218931726774821</v>
      </c>
      <c r="J1695" s="24" t="n">
        <f aca="false">'DCF Base Case'!$B$2*(1+B1695)^1*$I1695-'DCF Base Case'!$B$2*(1+B1695)^0*B1695*'DCF Base Case'!$B$4</f>
        <v>34.1466713771227</v>
      </c>
      <c r="K1695" s="24" t="n">
        <f aca="false">'DCF Base Case'!$B$2*(1+B1695)^2*$I1695-'DCF Base Case'!$B$2*(1+B1695)^1*B1695*'DCF Base Case'!$B$4</f>
        <v>37.1401137957607</v>
      </c>
      <c r="L1695" s="24" t="n">
        <f aca="false">'DCF Base Case'!$B$2*(1+B1695)^3*$I1695-'DCF Base Case'!$B$2*(1+B1695)^2*B1695*'DCF Base Case'!$B$4</f>
        <v>40.3959741061673</v>
      </c>
      <c r="M1695" s="24" t="n">
        <f aca="false">'DCF Base Case'!$B$2*(1+B1695)^4*$I1695-'DCF Base Case'!$B$2*(1+B1695)^3*B1695*'DCF Base Case'!$B$4</f>
        <v>43.937256976644</v>
      </c>
      <c r="N1695" s="24" t="n">
        <f aca="false">'DCF Base Case'!$B$2*(1+B1695)^5*$I1695-'DCF Base Case'!$B$2*(1+B1695)^4*B1695*'DCF Base Case'!$B$4</f>
        <v>47.7889837625409</v>
      </c>
      <c r="O1695" s="24" t="n">
        <f aca="false">J1695/(1+H1695)^1+K1695/(1+H1695)^2+L1695/(1+H1695)^3+M1695/(1+H1695)^4+N1695/(1+H1695)^5</f>
        <v>162.583156646342</v>
      </c>
      <c r="P1695" s="24" t="n">
        <f aca="false">N1695*(1+F1695)/(H1695-F1695)</f>
        <v>871.252838599467</v>
      </c>
      <c r="Q1695" s="24" t="n">
        <f aca="false">O1695+P1695/(1+H1695)^5</f>
        <v>769.307685823615</v>
      </c>
      <c r="R1695" s="24" t="n">
        <f aca="false">Q1695-'DCF Base Case'!$B$5</f>
        <v>584.307685823615</v>
      </c>
      <c r="S1695" s="32" t="n">
        <f aca="false">R1695/'DCF Base Case'!$B$6</f>
        <v>23.3723074329446</v>
      </c>
    </row>
    <row r="1696" customFormat="false" ht="15" hidden="false" customHeight="true" outlineLevel="0" collapsed="false">
      <c r="A1696" s="6" t="n">
        <v>1695</v>
      </c>
      <c r="B1696" s="30" t="n">
        <v>0.108066485243944</v>
      </c>
      <c r="C1696" s="30" t="n">
        <v>0.400260610552108</v>
      </c>
      <c r="D1696" s="30" t="n">
        <v>0.0798135987634807</v>
      </c>
      <c r="E1696" s="30" t="n">
        <v>0.273934166632858</v>
      </c>
      <c r="F1696" s="30" t="n">
        <v>0.0194995842056491</v>
      </c>
      <c r="G1696" s="30" t="n">
        <v>0.158238908282227</v>
      </c>
      <c r="H1696" s="31" t="n">
        <f aca="false">MAX(D1696,F1696+0.015)</f>
        <v>0.0798135987634807</v>
      </c>
      <c r="I1696" s="25" t="n">
        <f aca="false">(C1696-'DCF Base Case'!$B$3)*(1-E1696)+'DCF Base Case'!$B$3-G1696</f>
        <v>0.167988087144602</v>
      </c>
      <c r="J1696" s="24" t="n">
        <f aca="false">'DCF Base Case'!$B$2*(1+B1696)^1*$I1696-'DCF Base Case'!$B$2*(1+B1696)^0*B1696*'DCF Base Case'!$B$4</f>
        <v>26.5204963355388</v>
      </c>
      <c r="K1696" s="24" t="n">
        <f aca="false">'DCF Base Case'!$B$2*(1+B1696)^2*$I1696-'DCF Base Case'!$B$2*(1+B1696)^1*B1696*'DCF Base Case'!$B$4</f>
        <v>29.3864731614454</v>
      </c>
      <c r="L1696" s="24" t="n">
        <f aca="false">'DCF Base Case'!$B$2*(1+B1696)^3*$I1696-'DCF Base Case'!$B$2*(1+B1696)^2*B1696*'DCF Base Case'!$B$4</f>
        <v>32.5621660297183</v>
      </c>
      <c r="M1696" s="24" t="n">
        <f aca="false">'DCF Base Case'!$B$2*(1+B1696)^4*$I1696-'DCF Base Case'!$B$2*(1+B1696)^3*B1696*'DCF Base Case'!$B$4</f>
        <v>36.0810448644797</v>
      </c>
      <c r="N1696" s="24" t="n">
        <f aca="false">'DCF Base Case'!$B$2*(1+B1696)^5*$I1696-'DCF Base Case'!$B$2*(1+B1696)^4*B1696*'DCF Base Case'!$B$4</f>
        <v>39.9801965669131</v>
      </c>
      <c r="O1696" s="24" t="n">
        <f aca="false">J1696/(1+H1696)^1+K1696/(1+H1696)^2+L1696/(1+H1696)^3+M1696/(1+H1696)^4+N1696/(1+H1696)^5</f>
        <v>129.397708789604</v>
      </c>
      <c r="P1696" s="24" t="n">
        <f aca="false">N1696*(1+F1696)/(H1696-F1696)</f>
        <v>675.793081844118</v>
      </c>
      <c r="Q1696" s="24" t="n">
        <f aca="false">O1696+P1696/(1+H1696)^5</f>
        <v>589.72823869527</v>
      </c>
      <c r="R1696" s="24" t="n">
        <f aca="false">Q1696-'DCF Base Case'!$B$5</f>
        <v>404.72823869527</v>
      </c>
      <c r="S1696" s="32" t="n">
        <f aca="false">R1696/'DCF Base Case'!$B$6</f>
        <v>16.1891295478108</v>
      </c>
    </row>
    <row r="1697" customFormat="false" ht="15" hidden="false" customHeight="true" outlineLevel="0" collapsed="false">
      <c r="A1697" s="6" t="n">
        <v>1696</v>
      </c>
      <c r="B1697" s="30" t="n">
        <v>0.0886386245120418</v>
      </c>
      <c r="C1697" s="30" t="n">
        <v>0.413009974781492</v>
      </c>
      <c r="D1697" s="30" t="n">
        <v>0.0800826594661016</v>
      </c>
      <c r="E1697" s="30" t="n">
        <v>0.262108397234729</v>
      </c>
      <c r="F1697" s="30" t="n">
        <v>0.0232173265403304</v>
      </c>
      <c r="G1697" s="30" t="n">
        <v>0.128407505269979</v>
      </c>
      <c r="H1697" s="31" t="n">
        <f aca="false">MAX(D1697,F1697+0.015)</f>
        <v>0.0800826594661016</v>
      </c>
      <c r="I1697" s="25" t="n">
        <f aca="false">(C1697-'DCF Base Case'!$B$3)*(1-E1697)+'DCF Base Case'!$B$3-G1697</f>
        <v>0.210423178620095</v>
      </c>
      <c r="J1697" s="24" t="n">
        <f aca="false">'DCF Base Case'!$B$2*(1+B1697)^1*$I1697-'DCF Base Case'!$B$2*(1+B1697)^0*B1697*'DCF Base Case'!$B$4</f>
        <v>32.8302679454453</v>
      </c>
      <c r="K1697" s="24" t="n">
        <f aca="false">'DCF Base Case'!$B$2*(1+B1697)^2*$I1697-'DCF Base Case'!$B$2*(1+B1697)^1*B1697*'DCF Base Case'!$B$4</f>
        <v>35.7402977384913</v>
      </c>
      <c r="L1697" s="24" t="n">
        <f aca="false">'DCF Base Case'!$B$2*(1+B1697)^3*$I1697-'DCF Base Case'!$B$2*(1+B1697)^2*B1697*'DCF Base Case'!$B$4</f>
        <v>38.908268569682</v>
      </c>
      <c r="M1697" s="24" t="n">
        <f aca="false">'DCF Base Case'!$B$2*(1+B1697)^4*$I1697-'DCF Base Case'!$B$2*(1+B1697)^3*B1697*'DCF Base Case'!$B$4</f>
        <v>42.3570439778437</v>
      </c>
      <c r="N1697" s="24" t="n">
        <f aca="false">'DCF Base Case'!$B$2*(1+B1697)^5*$I1697-'DCF Base Case'!$B$2*(1+B1697)^4*B1697*'DCF Base Case'!$B$4</f>
        <v>46.1115140944359</v>
      </c>
      <c r="O1697" s="24" t="n">
        <f aca="false">J1697/(1+H1697)^1+K1697/(1+H1697)^2+L1697/(1+H1697)^3+M1697/(1+H1697)^4+N1697/(1+H1697)^5</f>
        <v>154.407348904814</v>
      </c>
      <c r="P1697" s="24" t="n">
        <f aca="false">N1697*(1+F1697)/(H1697-F1697)</f>
        <v>829.716415026081</v>
      </c>
      <c r="Q1697" s="24" t="n">
        <f aca="false">O1697+P1697/(1+H1697)^5</f>
        <v>718.882351380449</v>
      </c>
      <c r="R1697" s="24" t="n">
        <f aca="false">Q1697-'DCF Base Case'!$B$5</f>
        <v>533.882351380449</v>
      </c>
      <c r="S1697" s="32" t="n">
        <f aca="false">R1697/'DCF Base Case'!$B$6</f>
        <v>21.355294055218</v>
      </c>
    </row>
    <row r="1698" customFormat="false" ht="15" hidden="false" customHeight="true" outlineLevel="0" collapsed="false">
      <c r="A1698" s="6" t="n">
        <v>1697</v>
      </c>
      <c r="B1698" s="30" t="n">
        <v>0.0857442186685394</v>
      </c>
      <c r="C1698" s="30" t="n">
        <v>0.402749799681498</v>
      </c>
      <c r="D1698" s="30" t="n">
        <v>0.0896067063539914</v>
      </c>
      <c r="E1698" s="30" t="n">
        <v>0.252666951544234</v>
      </c>
      <c r="F1698" s="30" t="n">
        <v>0.0173489656020506</v>
      </c>
      <c r="G1698" s="30" t="n">
        <v>0.163038727455398</v>
      </c>
      <c r="H1698" s="31" t="n">
        <f aca="false">MAX(D1698,F1698+0.015)</f>
        <v>0.0896067063539914</v>
      </c>
      <c r="I1698" s="25" t="n">
        <f aca="false">(C1698-'DCF Base Case'!$B$3)*(1-E1698)+'DCF Base Case'!$B$3-G1698</f>
        <v>0.170796211806275</v>
      </c>
      <c r="J1698" s="24" t="n">
        <f aca="false">'DCF Base Case'!$B$2*(1+B1698)^1*$I1698-'DCF Base Case'!$B$2*(1+B1698)^0*B1698*'DCF Base Case'!$B$4</f>
        <v>26.5159575819687</v>
      </c>
      <c r="K1698" s="24" t="n">
        <f aca="false">'DCF Base Case'!$B$2*(1+B1698)^2*$I1698-'DCF Base Case'!$B$2*(1+B1698)^1*B1698*'DCF Base Case'!$B$4</f>
        <v>28.7895476470828</v>
      </c>
      <c r="L1698" s="24" t="n">
        <f aca="false">'DCF Base Case'!$B$2*(1+B1698)^3*$I1698-'DCF Base Case'!$B$2*(1+B1698)^2*B1698*'DCF Base Case'!$B$4</f>
        <v>31.2580849159026</v>
      </c>
      <c r="M1698" s="24" t="n">
        <f aca="false">'DCF Base Case'!$B$2*(1+B1698)^4*$I1698-'DCF Base Case'!$B$2*(1+B1698)^3*B1698*'DCF Base Case'!$B$4</f>
        <v>33.9382849840915</v>
      </c>
      <c r="N1698" s="24" t="n">
        <f aca="false">'DCF Base Case'!$B$2*(1+B1698)^5*$I1698-'DCF Base Case'!$B$2*(1+B1698)^4*B1698*'DCF Base Case'!$B$4</f>
        <v>36.8482967130026</v>
      </c>
      <c r="O1698" s="24" t="n">
        <f aca="false">J1698/(1+H1698)^1+K1698/(1+H1698)^2+L1698/(1+H1698)^3+M1698/(1+H1698)^4+N1698/(1+H1698)^5</f>
        <v>120.817138354925</v>
      </c>
      <c r="P1698" s="24" t="n">
        <f aca="false">N1698*(1+F1698)/(H1698-F1698)</f>
        <v>518.803607129991</v>
      </c>
      <c r="Q1698" s="24" t="n">
        <f aca="false">O1698+P1698/(1+H1698)^5</f>
        <v>458.612863361494</v>
      </c>
      <c r="R1698" s="24" t="n">
        <f aca="false">Q1698-'DCF Base Case'!$B$5</f>
        <v>273.612863361494</v>
      </c>
      <c r="S1698" s="32" t="n">
        <f aca="false">R1698/'DCF Base Case'!$B$6</f>
        <v>10.9445145344597</v>
      </c>
    </row>
    <row r="1699" customFormat="false" ht="15" hidden="false" customHeight="true" outlineLevel="0" collapsed="false">
      <c r="A1699" s="6" t="n">
        <v>1698</v>
      </c>
      <c r="B1699" s="30" t="n">
        <v>0.11332669046939</v>
      </c>
      <c r="C1699" s="30" t="n">
        <v>0.428602473028987</v>
      </c>
      <c r="D1699" s="30" t="n">
        <v>0.0719816296804425</v>
      </c>
      <c r="E1699" s="30" t="n">
        <v>0.267527620748089</v>
      </c>
      <c r="F1699" s="30" t="n">
        <v>0.0225353162963138</v>
      </c>
      <c r="G1699" s="30" t="n">
        <v>0.141440081344428</v>
      </c>
      <c r="H1699" s="31" t="n">
        <f aca="false">MAX(D1699,F1699+0.015)</f>
        <v>0.0719816296804425</v>
      </c>
      <c r="I1699" s="25" t="n">
        <f aca="false">(C1699-'DCF Base Case'!$B$3)*(1-E1699)+'DCF Base Case'!$B$3-G1699</f>
        <v>0.207277982525619</v>
      </c>
      <c r="J1699" s="24" t="n">
        <f aca="false">'DCF Base Case'!$B$2*(1+B1699)^1*$I1699-'DCF Base Case'!$B$2*(1+B1699)^0*B1699*'DCF Base Case'!$B$4</f>
        <v>32.9684048888589</v>
      </c>
      <c r="K1699" s="24" t="n">
        <f aca="false">'DCF Base Case'!$B$2*(1+B1699)^2*$I1699-'DCF Base Case'!$B$2*(1+B1699)^1*B1699*'DCF Base Case'!$B$4</f>
        <v>36.7046051049682</v>
      </c>
      <c r="L1699" s="24" t="n">
        <f aca="false">'DCF Base Case'!$B$2*(1+B1699)^3*$I1699-'DCF Base Case'!$B$2*(1+B1699)^2*B1699*'DCF Base Case'!$B$4</f>
        <v>40.8642165265001</v>
      </c>
      <c r="M1699" s="24" t="n">
        <f aca="false">'DCF Base Case'!$B$2*(1+B1699)^4*$I1699-'DCF Base Case'!$B$2*(1+B1699)^3*B1699*'DCF Base Case'!$B$4</f>
        <v>45.4952229440729</v>
      </c>
      <c r="N1699" s="24" t="n">
        <f aca="false">'DCF Base Case'!$B$2*(1+B1699)^5*$I1699-'DCF Base Case'!$B$2*(1+B1699)^4*B1699*'DCF Base Case'!$B$4</f>
        <v>50.6510459924917</v>
      </c>
      <c r="O1699" s="24" t="n">
        <f aca="false">J1699/(1+H1699)^1+K1699/(1+H1699)^2+L1699/(1+H1699)^3+M1699/(1+H1699)^4+N1699/(1+H1699)^5</f>
        <v>166.101261068975</v>
      </c>
      <c r="P1699" s="24" t="n">
        <f aca="false">N1699*(1+F1699)/(H1699-F1699)</f>
        <v>1047.44883470516</v>
      </c>
      <c r="Q1699" s="24" t="n">
        <f aca="false">O1699+P1699/(1+H1699)^5</f>
        <v>906.040575570352</v>
      </c>
      <c r="R1699" s="24" t="n">
        <f aca="false">Q1699-'DCF Base Case'!$B$5</f>
        <v>721.040575570352</v>
      </c>
      <c r="S1699" s="32" t="n">
        <f aca="false">R1699/'DCF Base Case'!$B$6</f>
        <v>28.8416230228141</v>
      </c>
    </row>
    <row r="1700" customFormat="false" ht="15" hidden="false" customHeight="true" outlineLevel="0" collapsed="false">
      <c r="A1700" s="6" t="n">
        <v>1699</v>
      </c>
      <c r="B1700" s="30" t="n">
        <v>0.0884075297729708</v>
      </c>
      <c r="C1700" s="30" t="n">
        <v>0.413978531309411</v>
      </c>
      <c r="D1700" s="30" t="n">
        <v>0.0807563863408716</v>
      </c>
      <c r="E1700" s="30" t="n">
        <v>0.344103913211024</v>
      </c>
      <c r="F1700" s="30" t="n">
        <v>0.0177125090046741</v>
      </c>
      <c r="G1700" s="30" t="n">
        <v>0.175743482436541</v>
      </c>
      <c r="H1700" s="31" t="n">
        <f aca="false">MAX(D1700,F1700+0.015)</f>
        <v>0.0807563863408716</v>
      </c>
      <c r="I1700" s="25" t="n">
        <f aca="false">(C1700-'DCF Base Case'!$B$3)*(1-E1700)+'DCF Base Case'!$B$3-G1700</f>
        <v>0.140516924981382</v>
      </c>
      <c r="J1700" s="24" t="n">
        <f aca="false">'DCF Base Case'!$B$2*(1+B1700)^1*$I1700-'DCF Base Case'!$B$2*(1+B1700)^0*B1700*'DCF Base Case'!$B$4</f>
        <v>21.7916807309782</v>
      </c>
      <c r="K1700" s="24" t="n">
        <f aca="false">'DCF Base Case'!$B$2*(1+B1700)^2*$I1700-'DCF Base Case'!$B$2*(1+B1700)^1*B1700*'DCF Base Case'!$B$4</f>
        <v>23.7182293940052</v>
      </c>
      <c r="L1700" s="24" t="n">
        <f aca="false">'DCF Base Case'!$B$2*(1+B1700)^3*$I1700-'DCF Base Case'!$B$2*(1+B1700)^2*B1700*'DCF Base Case'!$B$4</f>
        <v>25.8150994653179</v>
      </c>
      <c r="M1700" s="24" t="n">
        <f aca="false">'DCF Base Case'!$B$2*(1+B1700)^4*$I1700-'DCF Base Case'!$B$2*(1+B1700)^3*B1700*'DCF Base Case'!$B$4</f>
        <v>28.0973486398902</v>
      </c>
      <c r="N1700" s="24" t="n">
        <f aca="false">'DCF Base Case'!$B$2*(1+B1700)^5*$I1700-'DCF Base Case'!$B$2*(1+B1700)^4*B1700*'DCF Base Case'!$B$4</f>
        <v>30.5813658263128</v>
      </c>
      <c r="O1700" s="24" t="n">
        <f aca="false">J1700/(1+H1700)^1+K1700/(1+H1700)^2+L1700/(1+H1700)^3+M1700/(1+H1700)^4+N1700/(1+H1700)^5</f>
        <v>102.254396128437</v>
      </c>
      <c r="P1700" s="24" t="n">
        <f aca="false">N1700*(1+F1700)/(H1700-F1700)</f>
        <v>493.672658772479</v>
      </c>
      <c r="Q1700" s="24" t="n">
        <f aca="false">O1700+P1700/(1+H1700)^5</f>
        <v>437.065630950818</v>
      </c>
      <c r="R1700" s="24" t="n">
        <f aca="false">Q1700-'DCF Base Case'!$B$5</f>
        <v>252.065630950818</v>
      </c>
      <c r="S1700" s="32" t="n">
        <f aca="false">R1700/'DCF Base Case'!$B$6</f>
        <v>10.0826252380327</v>
      </c>
    </row>
    <row r="1701" customFormat="false" ht="15" hidden="false" customHeight="true" outlineLevel="0" collapsed="false">
      <c r="A1701" s="6" t="n">
        <v>1700</v>
      </c>
      <c r="B1701" s="30" t="n">
        <v>0.0732977909149366</v>
      </c>
      <c r="C1701" s="30" t="n">
        <v>0.419470787916045</v>
      </c>
      <c r="D1701" s="30" t="n">
        <v>0.0945786635653713</v>
      </c>
      <c r="E1701" s="30" t="n">
        <v>0.265471628073518</v>
      </c>
      <c r="F1701" s="30" t="n">
        <v>0.0191478359205627</v>
      </c>
      <c r="G1701" s="30" t="n">
        <v>0.147226367800142</v>
      </c>
      <c r="H1701" s="31" t="n">
        <f aca="false">MAX(D1701,F1701+0.015)</f>
        <v>0.0945786635653713</v>
      </c>
      <c r="I1701" s="25" t="n">
        <f aca="false">(C1701-'DCF Base Case'!$B$3)*(1-E1701)+'DCF Base Case'!$B$3-G1701</f>
        <v>0.195398138768107</v>
      </c>
      <c r="J1701" s="24" t="n">
        <f aca="false">'DCF Base Case'!$B$2*(1+B1701)^1*$I1701-'DCF Base Case'!$B$2*(1+B1701)^0*B1701*'DCF Base Case'!$B$4</f>
        <v>30.0906112593814</v>
      </c>
      <c r="K1701" s="24" t="n">
        <f aca="false">'DCF Base Case'!$B$2*(1+B1701)^2*$I1701-'DCF Base Case'!$B$2*(1+B1701)^1*B1701*'DCF Base Case'!$B$4</f>
        <v>32.2961865919741</v>
      </c>
      <c r="L1701" s="24" t="n">
        <f aca="false">'DCF Base Case'!$B$2*(1+B1701)^3*$I1701-'DCF Base Case'!$B$2*(1+B1701)^2*B1701*'DCF Base Case'!$B$4</f>
        <v>34.6634257241425</v>
      </c>
      <c r="M1701" s="24" t="n">
        <f aca="false">'DCF Base Case'!$B$2*(1+B1701)^4*$I1701-'DCF Base Case'!$B$2*(1+B1701)^3*B1701*'DCF Base Case'!$B$4</f>
        <v>37.2041782552661</v>
      </c>
      <c r="N1701" s="24" t="n">
        <f aca="false">'DCF Base Case'!$B$2*(1+B1701)^5*$I1701-'DCF Base Case'!$B$2*(1+B1701)^4*B1701*'DCF Base Case'!$B$4</f>
        <v>39.9311623341826</v>
      </c>
      <c r="O1701" s="24" t="n">
        <f aca="false">J1701/(1+H1701)^1+K1701/(1+H1701)^2+L1701/(1+H1701)^3+M1701/(1+H1701)^4+N1701/(1+H1701)^5</f>
        <v>132.211108605233</v>
      </c>
      <c r="P1701" s="24" t="n">
        <f aca="false">N1701*(1+F1701)/(H1701-F1701)</f>
        <v>539.51095260819</v>
      </c>
      <c r="Q1701" s="24" t="n">
        <f aca="false">O1701+P1701/(1+H1701)^5</f>
        <v>475.583501038542</v>
      </c>
      <c r="R1701" s="24" t="n">
        <f aca="false">Q1701-'DCF Base Case'!$B$5</f>
        <v>290.583501038542</v>
      </c>
      <c r="S1701" s="32" t="n">
        <f aca="false">R1701/'DCF Base Case'!$B$6</f>
        <v>11.6233400415417</v>
      </c>
    </row>
    <row r="1702" customFormat="false" ht="15" hidden="false" customHeight="true" outlineLevel="0" collapsed="false">
      <c r="A1702" s="6" t="n">
        <v>1701</v>
      </c>
      <c r="B1702" s="30" t="n">
        <v>0.0651225102264076</v>
      </c>
      <c r="C1702" s="30" t="n">
        <v>0.426288904861107</v>
      </c>
      <c r="D1702" s="30" t="n">
        <v>0.0789059895952799</v>
      </c>
      <c r="E1702" s="30" t="n">
        <v>0.244168307105464</v>
      </c>
      <c r="F1702" s="30" t="n">
        <v>0.0252447405443276</v>
      </c>
      <c r="G1702" s="30" t="n">
        <v>0.149068808719558</v>
      </c>
      <c r="H1702" s="31" t="n">
        <f aca="false">MAX(D1702,F1702+0.015)</f>
        <v>0.0789059895952799</v>
      </c>
      <c r="I1702" s="25" t="n">
        <f aca="false">(C1702-'DCF Base Case'!$B$3)*(1-E1702)+'DCF Base Case'!$B$3-G1702</f>
        <v>0.204875735827481</v>
      </c>
      <c r="J1702" s="24" t="n">
        <f aca="false">'DCF Base Case'!$B$2*(1+B1702)^1*$I1702-'DCF Base Case'!$B$2*(1+B1702)^0*B1702*'DCF Base Case'!$B$4</f>
        <v>31.3582919947272</v>
      </c>
      <c r="K1702" s="24" t="n">
        <f aca="false">'DCF Base Case'!$B$2*(1+B1702)^2*$I1702-'DCF Base Case'!$B$2*(1+B1702)^1*B1702*'DCF Base Case'!$B$4</f>
        <v>33.4004226858365</v>
      </c>
      <c r="L1702" s="24" t="n">
        <f aca="false">'DCF Base Case'!$B$2*(1+B1702)^3*$I1702-'DCF Base Case'!$B$2*(1+B1702)^2*B1702*'DCF Base Case'!$B$4</f>
        <v>35.5755420537612</v>
      </c>
      <c r="M1702" s="24" t="n">
        <f aca="false">'DCF Base Case'!$B$2*(1+B1702)^4*$I1702-'DCF Base Case'!$B$2*(1+B1702)^3*B1702*'DCF Base Case'!$B$4</f>
        <v>37.8923106549673</v>
      </c>
      <c r="N1702" s="24" t="n">
        <f aca="false">'DCF Base Case'!$B$2*(1+B1702)^5*$I1702-'DCF Base Case'!$B$2*(1+B1702)^4*B1702*'DCF Base Case'!$B$4</f>
        <v>40.3599530430976</v>
      </c>
      <c r="O1702" s="24" t="n">
        <f aca="false">J1702/(1+H1702)^1+K1702/(1+H1702)^2+L1702/(1+H1702)^3+M1702/(1+H1702)^4+N1702/(1+H1702)^5</f>
        <v>141.65845914106</v>
      </c>
      <c r="P1702" s="24" t="n">
        <f aca="false">N1702*(1+F1702)/(H1702-F1702)</f>
        <v>771.111934922757</v>
      </c>
      <c r="Q1702" s="24" t="n">
        <f aca="false">O1702+P1702/(1+H1702)^5</f>
        <v>669.130451469817</v>
      </c>
      <c r="R1702" s="24" t="n">
        <f aca="false">Q1702-'DCF Base Case'!$B$5</f>
        <v>484.130451469817</v>
      </c>
      <c r="S1702" s="32" t="n">
        <f aca="false">R1702/'DCF Base Case'!$B$6</f>
        <v>19.3652180587927</v>
      </c>
    </row>
    <row r="1703" customFormat="false" ht="15" hidden="false" customHeight="true" outlineLevel="0" collapsed="false">
      <c r="A1703" s="6" t="n">
        <v>1702</v>
      </c>
      <c r="B1703" s="30" t="n">
        <v>0.0848718584189681</v>
      </c>
      <c r="C1703" s="30" t="n">
        <v>0.44286459694114</v>
      </c>
      <c r="D1703" s="30" t="n">
        <v>0.083440836963936</v>
      </c>
      <c r="E1703" s="30" t="n">
        <v>0.275218681554217</v>
      </c>
      <c r="F1703" s="30" t="n">
        <v>0.0143813155941915</v>
      </c>
      <c r="G1703" s="30" t="n">
        <v>0.134288730815974</v>
      </c>
      <c r="H1703" s="31" t="n">
        <f aca="false">MAX(D1703,F1703+0.015)</f>
        <v>0.083440836963936</v>
      </c>
      <c r="I1703" s="25" t="n">
        <f aca="false">(C1703-'DCF Base Case'!$B$3)*(1-E1703)+'DCF Base Case'!$B$3-G1703</f>
        <v>0.222469684250034</v>
      </c>
      <c r="J1703" s="24" t="n">
        <f aca="false">'DCF Base Case'!$B$2*(1+B1703)^1*$I1703-'DCF Base Case'!$B$2*(1+B1703)^0*B1703*'DCF Base Case'!$B$4</f>
        <v>34.6267168860387</v>
      </c>
      <c r="K1703" s="24" t="n">
        <f aca="false">'DCF Base Case'!$B$2*(1+B1703)^2*$I1703-'DCF Base Case'!$B$2*(1+B1703)^1*B1703*'DCF Base Case'!$B$4</f>
        <v>37.5655506991043</v>
      </c>
      <c r="L1703" s="24" t="n">
        <f aca="false">'DCF Base Case'!$B$2*(1+B1703)^3*$I1703-'DCF Base Case'!$B$2*(1+B1703)^2*B1703*'DCF Base Case'!$B$4</f>
        <v>40.7538087994692</v>
      </c>
      <c r="M1703" s="24" t="n">
        <f aca="false">'DCF Base Case'!$B$2*(1+B1703)^4*$I1703-'DCF Base Case'!$B$2*(1+B1703)^3*B1703*'DCF Base Case'!$B$4</f>
        <v>44.2126602899315</v>
      </c>
      <c r="N1703" s="24" t="n">
        <f aca="false">'DCF Base Case'!$B$2*(1+B1703)^5*$I1703-'DCF Base Case'!$B$2*(1+B1703)^4*B1703*'DCF Base Case'!$B$4</f>
        <v>47.9650709343845</v>
      </c>
      <c r="O1703" s="24" t="n">
        <f aca="false">J1703/(1+H1703)^1+K1703/(1+H1703)^2+L1703/(1+H1703)^3+M1703/(1+H1703)^4+N1703/(1+H1703)^5</f>
        <v>160.22244755022</v>
      </c>
      <c r="P1703" s="24" t="n">
        <f aca="false">N1703*(1+F1703)/(H1703-F1703)</f>
        <v>704.535316665338</v>
      </c>
      <c r="Q1703" s="24" t="n">
        <f aca="false">O1703+P1703/(1+H1703)^5</f>
        <v>632.151553876202</v>
      </c>
      <c r="R1703" s="24" t="n">
        <f aca="false">Q1703-'DCF Base Case'!$B$5</f>
        <v>447.151553876202</v>
      </c>
      <c r="S1703" s="32" t="n">
        <f aca="false">R1703/'DCF Base Case'!$B$6</f>
        <v>17.8860621550481</v>
      </c>
    </row>
    <row r="1704" customFormat="false" ht="15" hidden="false" customHeight="true" outlineLevel="0" collapsed="false">
      <c r="A1704" s="6" t="n">
        <v>1703</v>
      </c>
      <c r="B1704" s="30" t="n">
        <v>0.0865793136100446</v>
      </c>
      <c r="C1704" s="30" t="n">
        <v>0.420548010867721</v>
      </c>
      <c r="D1704" s="30" t="n">
        <v>0.0883607794903185</v>
      </c>
      <c r="E1704" s="30" t="n">
        <v>0.267660083945077</v>
      </c>
      <c r="F1704" s="30" t="n">
        <v>0.0194294326176058</v>
      </c>
      <c r="G1704" s="30" t="n">
        <v>0.131504686060641</v>
      </c>
      <c r="H1704" s="31" t="n">
        <f aca="false">MAX(D1704,F1704+0.015)</f>
        <v>0.0883607794903185</v>
      </c>
      <c r="I1704" s="25" t="n">
        <f aca="false">(C1704-'DCF Base Case'!$B$3)*(1-E1704)+'DCF Base Case'!$B$3-G1704</f>
        <v>0.211275219828151</v>
      </c>
      <c r="J1704" s="24" t="n">
        <f aca="false">'DCF Base Case'!$B$2*(1+B1704)^1*$I1704-'DCF Base Case'!$B$2*(1+B1704)^0*B1704*'DCF Base Case'!$B$4</f>
        <v>32.9106360706304</v>
      </c>
      <c r="K1704" s="24" t="n">
        <f aca="false">'DCF Base Case'!$B$2*(1+B1704)^2*$I1704-'DCF Base Case'!$B$2*(1+B1704)^1*B1704*'DCF Base Case'!$B$4</f>
        <v>35.7600163520955</v>
      </c>
      <c r="L1704" s="24" t="n">
        <f aca="false">'DCF Base Case'!$B$2*(1+B1704)^3*$I1704-'DCF Base Case'!$B$2*(1+B1704)^2*B1704*'DCF Base Case'!$B$4</f>
        <v>38.8560940225439</v>
      </c>
      <c r="M1704" s="24" t="n">
        <f aca="false">'DCF Base Case'!$B$2*(1+B1704)^4*$I1704-'DCF Base Case'!$B$2*(1+B1704)^3*B1704*'DCF Base Case'!$B$4</f>
        <v>42.2202279725831</v>
      </c>
      <c r="N1704" s="24" t="n">
        <f aca="false">'DCF Base Case'!$B$2*(1+B1704)^5*$I1704-'DCF Base Case'!$B$2*(1+B1704)^4*B1704*'DCF Base Case'!$B$4</f>
        <v>45.875626330909</v>
      </c>
      <c r="O1704" s="24" t="n">
        <f aca="false">J1704/(1+H1704)^1+K1704/(1+H1704)^2+L1704/(1+H1704)^3+M1704/(1+H1704)^4+N1704/(1+H1704)^5</f>
        <v>150.6994482035</v>
      </c>
      <c r="P1704" s="24" t="n">
        <f aca="false">N1704*(1+F1704)/(H1704-F1704)</f>
        <v>678.457129350088</v>
      </c>
      <c r="Q1704" s="24" t="n">
        <f aca="false">O1704+P1704/(1+H1704)^5</f>
        <v>594.980708722089</v>
      </c>
      <c r="R1704" s="24" t="n">
        <f aca="false">Q1704-'DCF Base Case'!$B$5</f>
        <v>409.980708722089</v>
      </c>
      <c r="S1704" s="32" t="n">
        <f aca="false">R1704/'DCF Base Case'!$B$6</f>
        <v>16.3992283488836</v>
      </c>
    </row>
    <row r="1705" customFormat="false" ht="15" hidden="false" customHeight="true" outlineLevel="0" collapsed="false">
      <c r="A1705" s="6" t="n">
        <v>1704</v>
      </c>
      <c r="B1705" s="30" t="n">
        <v>0.0998317183310501</v>
      </c>
      <c r="C1705" s="30" t="n">
        <v>0.421145232404079</v>
      </c>
      <c r="D1705" s="30" t="n">
        <v>0.106710269836011</v>
      </c>
      <c r="E1705" s="30" t="n">
        <v>0.279854015096127</v>
      </c>
      <c r="F1705" s="30" t="n">
        <v>0.0155010798712701</v>
      </c>
      <c r="G1705" s="30" t="n">
        <v>0.164130853112946</v>
      </c>
      <c r="H1705" s="31" t="n">
        <f aca="false">MAX(D1705,F1705+0.015)</f>
        <v>0.106710269836011</v>
      </c>
      <c r="I1705" s="25" t="n">
        <f aca="false">(C1705-'DCF Base Case'!$B$3)*(1-E1705)+'DCF Base Case'!$B$3-G1705</f>
        <v>0.175536217026756</v>
      </c>
      <c r="J1705" s="24" t="n">
        <f aca="false">'DCF Base Case'!$B$2*(1+B1705)^1*$I1705-'DCF Base Case'!$B$2*(1+B1705)^0*B1705*'DCF Base Case'!$B$4</f>
        <v>27.559475409531</v>
      </c>
      <c r="K1705" s="24" t="n">
        <f aca="false">'DCF Base Case'!$B$2*(1+B1705)^2*$I1705-'DCF Base Case'!$B$2*(1+B1705)^1*B1705*'DCF Base Case'!$B$4</f>
        <v>30.3107851959668</v>
      </c>
      <c r="L1705" s="24" t="n">
        <f aca="false">'DCF Base Case'!$B$2*(1+B1705)^3*$I1705-'DCF Base Case'!$B$2*(1+B1705)^2*B1705*'DCF Base Case'!$B$4</f>
        <v>33.3367629660436</v>
      </c>
      <c r="M1705" s="24" t="n">
        <f aca="false">'DCF Base Case'!$B$2*(1+B1705)^4*$I1705-'DCF Base Case'!$B$2*(1+B1705)^3*B1705*'DCF Base Case'!$B$4</f>
        <v>36.6648292965386</v>
      </c>
      <c r="N1705" s="24" t="n">
        <f aca="false">'DCF Base Case'!$B$2*(1+B1705)^5*$I1705-'DCF Base Case'!$B$2*(1+B1705)^4*B1705*'DCF Base Case'!$B$4</f>
        <v>40.3251422075267</v>
      </c>
      <c r="O1705" s="24" t="n">
        <f aca="false">J1705/(1+H1705)^1+K1705/(1+H1705)^2+L1705/(1+H1705)^3+M1705/(1+H1705)^4+N1705/(1+H1705)^5</f>
        <v>122.972638929395</v>
      </c>
      <c r="P1705" s="24" t="n">
        <f aca="false">N1705*(1+F1705)/(H1705-F1705)</f>
        <v>448.970388548963</v>
      </c>
      <c r="Q1705" s="24" t="n">
        <f aca="false">O1705+P1705/(1+H1705)^5</f>
        <v>393.398361121914</v>
      </c>
      <c r="R1705" s="24" t="n">
        <f aca="false">Q1705-'DCF Base Case'!$B$5</f>
        <v>208.398361121914</v>
      </c>
      <c r="S1705" s="32" t="n">
        <f aca="false">R1705/'DCF Base Case'!$B$6</f>
        <v>8.33593444487654</v>
      </c>
    </row>
    <row r="1706" customFormat="false" ht="15" hidden="false" customHeight="true" outlineLevel="0" collapsed="false">
      <c r="A1706" s="6" t="n">
        <v>1705</v>
      </c>
      <c r="B1706" s="30" t="n">
        <v>0.0831005521583176</v>
      </c>
      <c r="C1706" s="30" t="n">
        <v>0.420759263233114</v>
      </c>
      <c r="D1706" s="30" t="n">
        <v>0.0852958126789771</v>
      </c>
      <c r="E1706" s="30" t="n">
        <v>0.255114808933028</v>
      </c>
      <c r="F1706" s="30" t="n">
        <v>0.0129859112499368</v>
      </c>
      <c r="G1706" s="30" t="n">
        <v>0.171236653092422</v>
      </c>
      <c r="H1706" s="31" t="n">
        <f aca="false">MAX(D1706,F1706+0.015)</f>
        <v>0.0852958126789771</v>
      </c>
      <c r="I1706" s="25" t="n">
        <f aca="false">(C1706-'DCF Base Case'!$B$3)*(1-E1706)+'DCF Base Case'!$B$3-G1706</f>
        <v>0.175345616255468</v>
      </c>
      <c r="J1706" s="24" t="n">
        <f aca="false">'DCF Base Case'!$B$2*(1+B1706)^1*$I1706-'DCF Base Case'!$B$2*(1+B1706)^0*B1706*'DCF Base Case'!$B$4</f>
        <v>27.1764679969128</v>
      </c>
      <c r="K1706" s="24" t="n">
        <f aca="false">'DCF Base Case'!$B$2*(1+B1706)^2*$I1706-'DCF Base Case'!$B$2*(1+B1706)^1*B1706*'DCF Base Case'!$B$4</f>
        <v>29.4348474931691</v>
      </c>
      <c r="L1706" s="24" t="n">
        <f aca="false">'DCF Base Case'!$B$2*(1+B1706)^3*$I1706-'DCF Base Case'!$B$2*(1+B1706)^2*B1706*'DCF Base Case'!$B$4</f>
        <v>31.8808995725474</v>
      </c>
      <c r="M1706" s="24" t="n">
        <f aca="false">'DCF Base Case'!$B$2*(1+B1706)^4*$I1706-'DCF Base Case'!$B$2*(1+B1706)^3*B1706*'DCF Base Case'!$B$4</f>
        <v>34.5302199303299</v>
      </c>
      <c r="N1706" s="24" t="n">
        <f aca="false">'DCF Base Case'!$B$2*(1+B1706)^5*$I1706-'DCF Base Case'!$B$2*(1+B1706)^4*B1706*'DCF Base Case'!$B$4</f>
        <v>37.3997002726885</v>
      </c>
      <c r="O1706" s="24" t="n">
        <f aca="false">J1706/(1+H1706)^1+K1706/(1+H1706)^2+L1706/(1+H1706)^3+M1706/(1+H1706)^4+N1706/(1+H1706)^5</f>
        <v>124.697564098192</v>
      </c>
      <c r="P1706" s="24" t="n">
        <f aca="false">N1706*(1+F1706)/(H1706-F1706)</f>
        <v>523.930591972689</v>
      </c>
      <c r="Q1706" s="24" t="n">
        <f aca="false">O1706+P1706/(1+H1706)^5</f>
        <v>472.66060723233</v>
      </c>
      <c r="R1706" s="24" t="n">
        <f aca="false">Q1706-'DCF Base Case'!$B$5</f>
        <v>287.66060723233</v>
      </c>
      <c r="S1706" s="32" t="n">
        <f aca="false">R1706/'DCF Base Case'!$B$6</f>
        <v>11.5064242892932</v>
      </c>
    </row>
    <row r="1707" customFormat="false" ht="15" hidden="false" customHeight="true" outlineLevel="0" collapsed="false">
      <c r="A1707" s="6" t="n">
        <v>1706</v>
      </c>
      <c r="B1707" s="30" t="n">
        <v>0.119589846415799</v>
      </c>
      <c r="C1707" s="30" t="n">
        <v>0.426042433308947</v>
      </c>
      <c r="D1707" s="30" t="n">
        <v>0.0939462708931223</v>
      </c>
      <c r="E1707" s="30" t="n">
        <v>0.310754629950182</v>
      </c>
      <c r="F1707" s="30" t="n">
        <v>0.0203014285074582</v>
      </c>
      <c r="G1707" s="30" t="n">
        <v>0.148822333237867</v>
      </c>
      <c r="H1707" s="31" t="n">
        <f aca="false">MAX(D1707,F1707+0.015)</f>
        <v>0.0939462708931223</v>
      </c>
      <c r="I1707" s="25" t="n">
        <f aca="false">(C1707-'DCF Base Case'!$B$3)*(1-E1707)+'DCF Base Case'!$B$3-G1707</f>
        <v>0.185223543258607</v>
      </c>
      <c r="J1707" s="24" t="n">
        <f aca="false">'DCF Base Case'!$B$2*(1+B1707)^1*$I1707-'DCF Base Case'!$B$2*(1+B1707)^0*B1707*'DCF Base Case'!$B$4</f>
        <v>29.5490719287679</v>
      </c>
      <c r="K1707" s="24" t="n">
        <f aca="false">'DCF Base Case'!$B$2*(1+B1707)^2*$I1707-'DCF Base Case'!$B$2*(1+B1707)^1*B1707*'DCF Base Case'!$B$4</f>
        <v>33.0828409024586</v>
      </c>
      <c r="L1707" s="24" t="n">
        <f aca="false">'DCF Base Case'!$B$2*(1+B1707)^3*$I1707-'DCF Base Case'!$B$2*(1+B1707)^2*B1707*'DCF Base Case'!$B$4</f>
        <v>37.0392127649819</v>
      </c>
      <c r="M1707" s="24" t="n">
        <f aca="false">'DCF Base Case'!$B$2*(1+B1707)^4*$I1707-'DCF Base Case'!$B$2*(1+B1707)^3*B1707*'DCF Base Case'!$B$4</f>
        <v>41.4687265309082</v>
      </c>
      <c r="N1707" s="24" t="n">
        <f aca="false">'DCF Base Case'!$B$2*(1+B1707)^5*$I1707-'DCF Base Case'!$B$2*(1+B1707)^4*B1707*'DCF Base Case'!$B$4</f>
        <v>46.4279651677983</v>
      </c>
      <c r="O1707" s="24" t="n">
        <f aca="false">J1707/(1+H1707)^1+K1707/(1+H1707)^2+L1707/(1+H1707)^3+M1707/(1+H1707)^4+N1707/(1+H1707)^5</f>
        <v>141.539258237744</v>
      </c>
      <c r="P1707" s="24" t="n">
        <f aca="false">N1707*(1+F1707)/(H1707-F1707)</f>
        <v>643.229283258272</v>
      </c>
      <c r="Q1707" s="24" t="n">
        <f aca="false">O1707+P1707/(1+H1707)^5</f>
        <v>552.10796693667</v>
      </c>
      <c r="R1707" s="24" t="n">
        <f aca="false">Q1707-'DCF Base Case'!$B$5</f>
        <v>367.10796693667</v>
      </c>
      <c r="S1707" s="32" t="n">
        <f aca="false">R1707/'DCF Base Case'!$B$6</f>
        <v>14.6843186774668</v>
      </c>
    </row>
    <row r="1708" customFormat="false" ht="15" hidden="false" customHeight="true" outlineLevel="0" collapsed="false">
      <c r="A1708" s="6" t="n">
        <v>1707</v>
      </c>
      <c r="B1708" s="30" t="n">
        <v>0.0940339318626509</v>
      </c>
      <c r="C1708" s="30" t="n">
        <v>0.438529290852267</v>
      </c>
      <c r="D1708" s="30" t="n">
        <v>0.0908287960455991</v>
      </c>
      <c r="E1708" s="30" t="n">
        <v>0.302578008059059</v>
      </c>
      <c r="F1708" s="30" t="n">
        <v>0.0175048547177942</v>
      </c>
      <c r="G1708" s="30" t="n">
        <v>0.160999326485346</v>
      </c>
      <c r="H1708" s="31" t="n">
        <f aca="false">MAX(D1708,F1708+0.015)</f>
        <v>0.0908287960455991</v>
      </c>
      <c r="I1708" s="25" t="n">
        <f aca="false">(C1708-'DCF Base Case'!$B$3)*(1-E1708)+'DCF Base Case'!$B$3-G1708</f>
        <v>0.184175786112968</v>
      </c>
      <c r="J1708" s="24" t="n">
        <f aca="false">'DCF Base Case'!$B$2*(1+B1708)^1*$I1708-'DCF Base Case'!$B$2*(1+B1708)^0*B1708*'DCF Base Case'!$B$4</f>
        <v>28.8076635144819</v>
      </c>
      <c r="K1708" s="24" t="n">
        <f aca="false">'DCF Base Case'!$B$2*(1+B1708)^2*$I1708-'DCF Base Case'!$B$2*(1+B1708)^1*B1708*'DCF Base Case'!$B$4</f>
        <v>31.5165613825249</v>
      </c>
      <c r="L1708" s="24" t="n">
        <f aca="false">'DCF Base Case'!$B$2*(1+B1708)^3*$I1708-'DCF Base Case'!$B$2*(1+B1708)^2*B1708*'DCF Base Case'!$B$4</f>
        <v>34.4801875681143</v>
      </c>
      <c r="M1708" s="24" t="n">
        <f aca="false">'DCF Base Case'!$B$2*(1+B1708)^4*$I1708-'DCF Base Case'!$B$2*(1+B1708)^3*B1708*'DCF Base Case'!$B$4</f>
        <v>37.7224951765057</v>
      </c>
      <c r="N1708" s="24" t="n">
        <f aca="false">'DCF Base Case'!$B$2*(1+B1708)^5*$I1708-'DCF Base Case'!$B$2*(1+B1708)^4*B1708*'DCF Base Case'!$B$4</f>
        <v>41.2696897176224</v>
      </c>
      <c r="O1708" s="24" t="n">
        <f aca="false">J1708/(1+H1708)^1+K1708/(1+H1708)^2+L1708/(1+H1708)^3+M1708/(1+H1708)^4+N1708/(1+H1708)^5</f>
        <v>132.823090237609</v>
      </c>
      <c r="P1708" s="24" t="n">
        <f aca="false">N1708*(1+F1708)/(H1708-F1708)</f>
        <v>572.693023314804</v>
      </c>
      <c r="Q1708" s="24" t="n">
        <f aca="false">O1708+P1708/(1+H1708)^5</f>
        <v>503.62240435486</v>
      </c>
      <c r="R1708" s="24" t="n">
        <f aca="false">Q1708-'DCF Base Case'!$B$5</f>
        <v>318.62240435486</v>
      </c>
      <c r="S1708" s="32" t="n">
        <f aca="false">R1708/'DCF Base Case'!$B$6</f>
        <v>12.7448961741944</v>
      </c>
    </row>
    <row r="1709" customFormat="false" ht="15" hidden="false" customHeight="true" outlineLevel="0" collapsed="false">
      <c r="A1709" s="6" t="n">
        <v>1708</v>
      </c>
      <c r="B1709" s="30" t="n">
        <v>0.0875786558924361</v>
      </c>
      <c r="C1709" s="30" t="n">
        <v>0.412779797041286</v>
      </c>
      <c r="D1709" s="30" t="n">
        <v>0.097847541476136</v>
      </c>
      <c r="E1709" s="30" t="n">
        <v>0.244561586963821</v>
      </c>
      <c r="F1709" s="30" t="n">
        <v>0.0194674018249167</v>
      </c>
      <c r="G1709" s="30" t="n">
        <v>0.16351914875645</v>
      </c>
      <c r="H1709" s="31" t="n">
        <f aca="false">MAX(D1709,F1709+0.015)</f>
        <v>0.097847541476136</v>
      </c>
      <c r="I1709" s="25" t="n">
        <f aca="false">(C1709-'DCF Base Case'!$B$3)*(1-E1709)+'DCF Base Case'!$B$3-G1709</f>
        <v>0.180103572359112</v>
      </c>
      <c r="J1709" s="24" t="n">
        <f aca="false">'DCF Base Case'!$B$2*(1+B1709)^1*$I1709-'DCF Base Case'!$B$2*(1+B1709)^0*B1709*'DCF Base Case'!$B$4</f>
        <v>28.0211690132915</v>
      </c>
      <c r="K1709" s="24" t="n">
        <f aca="false">'DCF Base Case'!$B$2*(1+B1709)^2*$I1709-'DCF Base Case'!$B$2*(1+B1709)^1*B1709*'DCF Base Case'!$B$4</f>
        <v>30.4752253320104</v>
      </c>
      <c r="L1709" s="24" t="n">
        <f aca="false">'DCF Base Case'!$B$2*(1+B1709)^3*$I1709-'DCF Base Case'!$B$2*(1+B1709)^2*B1709*'DCF Base Case'!$B$4</f>
        <v>33.1442046046069</v>
      </c>
      <c r="M1709" s="24" t="n">
        <f aca="false">'DCF Base Case'!$B$2*(1+B1709)^4*$I1709-'DCF Base Case'!$B$2*(1+B1709)^3*B1709*'DCF Base Case'!$B$4</f>
        <v>36.0469294945023</v>
      </c>
      <c r="N1709" s="24" t="n">
        <f aca="false">'DCF Base Case'!$B$2*(1+B1709)^5*$I1709-'DCF Base Case'!$B$2*(1+B1709)^4*B1709*'DCF Base Case'!$B$4</f>
        <v>39.2038711286802</v>
      </c>
      <c r="O1709" s="24" t="n">
        <f aca="false">J1709/(1+H1709)^1+K1709/(1+H1709)^2+L1709/(1+H1709)^3+M1709/(1+H1709)^4+N1709/(1+H1709)^5</f>
        <v>125.253496779868</v>
      </c>
      <c r="P1709" s="24" t="n">
        <f aca="false">N1709*(1+F1709)/(H1709-F1709)</f>
        <v>509.913210398481</v>
      </c>
      <c r="Q1709" s="24" t="n">
        <f aca="false">O1709+P1709/(1+H1709)^5</f>
        <v>444.985490063218</v>
      </c>
      <c r="R1709" s="24" t="n">
        <f aca="false">Q1709-'DCF Base Case'!$B$5</f>
        <v>259.985490063218</v>
      </c>
      <c r="S1709" s="32" t="n">
        <f aca="false">R1709/'DCF Base Case'!$B$6</f>
        <v>10.3994196025287</v>
      </c>
    </row>
    <row r="1710" customFormat="false" ht="15" hidden="false" customHeight="true" outlineLevel="0" collapsed="false">
      <c r="A1710" s="6" t="n">
        <v>1709</v>
      </c>
      <c r="B1710" s="30" t="n">
        <v>0.0606287898299002</v>
      </c>
      <c r="C1710" s="30" t="n">
        <v>0.417930444795002</v>
      </c>
      <c r="D1710" s="30" t="n">
        <v>0.0770304978886058</v>
      </c>
      <c r="E1710" s="30" t="n">
        <v>0.270434199874818</v>
      </c>
      <c r="F1710" s="30" t="n">
        <v>0.0254427904764427</v>
      </c>
      <c r="G1710" s="30" t="n">
        <v>0.189380990474501</v>
      </c>
      <c r="H1710" s="31" t="n">
        <f aca="false">MAX(D1710,F1710+0.015)</f>
        <v>0.0770304978886058</v>
      </c>
      <c r="I1710" s="25" t="n">
        <f aca="false">(C1710-'DCF Base Case'!$B$3)*(1-E1710)+'DCF Base Case'!$B$3-G1710</f>
        <v>0.150683214862764</v>
      </c>
      <c r="J1710" s="24" t="n">
        <f aca="false">'DCF Base Case'!$B$2*(1+B1710)^1*$I1710-'DCF Base Case'!$B$2*(1+B1710)^0*B1710*'DCF Base Case'!$B$4</f>
        <v>22.9100133592379</v>
      </c>
      <c r="K1710" s="24" t="n">
        <f aca="false">'DCF Base Case'!$B$2*(1+B1710)^2*$I1710-'DCF Base Case'!$B$2*(1+B1710)^1*B1710*'DCF Base Case'!$B$4</f>
        <v>24.2990197441954</v>
      </c>
      <c r="L1710" s="24" t="n">
        <f aca="false">'DCF Base Case'!$B$2*(1+B1710)^3*$I1710-'DCF Base Case'!$B$2*(1+B1710)^2*B1710*'DCF Base Case'!$B$4</f>
        <v>25.7722399053388</v>
      </c>
      <c r="M1710" s="24" t="n">
        <f aca="false">'DCF Base Case'!$B$2*(1+B1710)^4*$I1710-'DCF Base Case'!$B$2*(1+B1710)^3*B1710*'DCF Base Case'!$B$4</f>
        <v>27.3347796220054</v>
      </c>
      <c r="N1710" s="24" t="n">
        <f aca="false">'DCF Base Case'!$B$2*(1+B1710)^5*$I1710-'DCF Base Case'!$B$2*(1+B1710)^4*B1710*'DCF Base Case'!$B$4</f>
        <v>28.9920542307546</v>
      </c>
      <c r="O1710" s="24" t="n">
        <f aca="false">J1710/(1+H1710)^1+K1710/(1+H1710)^2+L1710/(1+H1710)^3+M1710/(1+H1710)^4+N1710/(1+H1710)^5</f>
        <v>103.166912659307</v>
      </c>
      <c r="P1710" s="24" t="n">
        <f aca="false">N1710*(1+F1710)/(H1710-F1710)</f>
        <v>576.294130586229</v>
      </c>
      <c r="Q1710" s="24" t="n">
        <f aca="false">O1710+P1710/(1+H1710)^5</f>
        <v>500.819845833739</v>
      </c>
      <c r="R1710" s="24" t="n">
        <f aca="false">Q1710-'DCF Base Case'!$B$5</f>
        <v>315.819845833739</v>
      </c>
      <c r="S1710" s="32" t="n">
        <f aca="false">R1710/'DCF Base Case'!$B$6</f>
        <v>12.6327938333496</v>
      </c>
    </row>
    <row r="1711" customFormat="false" ht="15" hidden="false" customHeight="true" outlineLevel="0" collapsed="false">
      <c r="A1711" s="6" t="n">
        <v>1710</v>
      </c>
      <c r="B1711" s="30" t="n">
        <v>0.102395534297431</v>
      </c>
      <c r="C1711" s="30" t="n">
        <v>0.426029243231465</v>
      </c>
      <c r="D1711" s="30" t="n">
        <v>0.0831885197531012</v>
      </c>
      <c r="E1711" s="30" t="n">
        <v>0.334981365845227</v>
      </c>
      <c r="F1711" s="30" t="n">
        <v>0.02223467239103</v>
      </c>
      <c r="G1711" s="30" t="n">
        <v>0.150117298219063</v>
      </c>
      <c r="H1711" s="31" t="n">
        <f aca="false">MAX(D1711,F1711+0.015)</f>
        <v>0.0831885197531012</v>
      </c>
      <c r="I1711" s="25" t="n">
        <f aca="false">(C1711-'DCF Base Case'!$B$3)*(1-E1711)+'DCF Base Case'!$B$3-G1711</f>
        <v>0.176747664784597</v>
      </c>
      <c r="J1711" s="24" t="n">
        <f aca="false">'DCF Base Case'!$B$2*(1+B1711)^1*$I1711-'DCF Base Case'!$B$2*(1+B1711)^0*B1711*'DCF Base Case'!$B$4</f>
        <v>27.8072256974318</v>
      </c>
      <c r="K1711" s="24" t="n">
        <f aca="false">'DCF Base Case'!$B$2*(1+B1711)^2*$I1711-'DCF Base Case'!$B$2*(1+B1711)^1*B1711*'DCF Base Case'!$B$4</f>
        <v>30.6545614300496</v>
      </c>
      <c r="L1711" s="24" t="n">
        <f aca="false">'DCF Base Case'!$B$2*(1+B1711)^3*$I1711-'DCF Base Case'!$B$2*(1+B1711)^2*B1711*'DCF Base Case'!$B$4</f>
        <v>33.793451626333</v>
      </c>
      <c r="M1711" s="24" t="n">
        <f aca="false">'DCF Base Case'!$B$2*(1+B1711)^4*$I1711-'DCF Base Case'!$B$2*(1+B1711)^3*B1711*'DCF Base Case'!$B$4</f>
        <v>37.2537501613657</v>
      </c>
      <c r="N1711" s="24" t="n">
        <f aca="false">'DCF Base Case'!$B$2*(1+B1711)^5*$I1711-'DCF Base Case'!$B$2*(1+B1711)^4*B1711*'DCF Base Case'!$B$4</f>
        <v>41.0683678137218</v>
      </c>
      <c r="O1711" s="24" t="n">
        <f aca="false">J1711/(1+H1711)^1+K1711/(1+H1711)^2+L1711/(1+H1711)^3+M1711/(1+H1711)^4+N1711/(1+H1711)^5</f>
        <v>132.991710282655</v>
      </c>
      <c r="P1711" s="24" t="n">
        <f aca="false">N1711*(1+F1711)/(H1711-F1711)</f>
        <v>688.742570560318</v>
      </c>
      <c r="Q1711" s="24" t="n">
        <f aca="false">O1711+P1711/(1+H1711)^5</f>
        <v>594.879716191293</v>
      </c>
      <c r="R1711" s="24" t="n">
        <f aca="false">Q1711-'DCF Base Case'!$B$5</f>
        <v>409.879716191293</v>
      </c>
      <c r="S1711" s="32" t="n">
        <f aca="false">R1711/'DCF Base Case'!$B$6</f>
        <v>16.3951886476517</v>
      </c>
    </row>
    <row r="1712" customFormat="false" ht="15" hidden="false" customHeight="true" outlineLevel="0" collapsed="false">
      <c r="A1712" s="6" t="n">
        <v>1711</v>
      </c>
      <c r="B1712" s="30" t="n">
        <v>0.0600924546125925</v>
      </c>
      <c r="C1712" s="30" t="n">
        <v>0.415659604813474</v>
      </c>
      <c r="D1712" s="30" t="n">
        <v>0.0843854395713371</v>
      </c>
      <c r="E1712" s="30" t="n">
        <v>0.252973981920872</v>
      </c>
      <c r="F1712" s="30" t="n">
        <v>0.0208778985783921</v>
      </c>
      <c r="G1712" s="30" t="n">
        <v>0.159696568667719</v>
      </c>
      <c r="H1712" s="31" t="n">
        <f aca="false">MAX(D1712,F1712+0.015)</f>
        <v>0.0843854395713371</v>
      </c>
      <c r="I1712" s="25" t="n">
        <f aca="false">(C1712-'DCF Base Case'!$B$3)*(1-E1712)+'DCF Base Case'!$B$3-G1712</f>
        <v>0.183698588442148</v>
      </c>
      <c r="J1712" s="24" t="n">
        <f aca="false">'DCF Base Case'!$B$2*(1+B1712)^1*$I1712-'DCF Base Case'!$B$2*(1+B1712)^0*B1712*'DCF Base Case'!$B$4</f>
        <v>27.9755335143584</v>
      </c>
      <c r="K1712" s="24" t="n">
        <f aca="false">'DCF Base Case'!$B$2*(1+B1712)^2*$I1712-'DCF Base Case'!$B$2*(1+B1712)^1*B1712*'DCF Base Case'!$B$4</f>
        <v>29.6566519923331</v>
      </c>
      <c r="L1712" s="24" t="n">
        <f aca="false">'DCF Base Case'!$B$2*(1+B1712)^3*$I1712-'DCF Base Case'!$B$2*(1+B1712)^2*B1712*'DCF Base Case'!$B$4</f>
        <v>31.4387930061438</v>
      </c>
      <c r="M1712" s="24" t="n">
        <f aca="false">'DCF Base Case'!$B$2*(1+B1712)^4*$I1712-'DCF Base Case'!$B$2*(1+B1712)^3*B1712*'DCF Base Case'!$B$4</f>
        <v>33.3280272479402</v>
      </c>
      <c r="N1712" s="24" t="n">
        <f aca="false">'DCF Base Case'!$B$2*(1+B1712)^5*$I1712-'DCF Base Case'!$B$2*(1+B1712)^4*B1712*'DCF Base Case'!$B$4</f>
        <v>35.3307902126643</v>
      </c>
      <c r="O1712" s="24" t="n">
        <f aca="false">J1712/(1+H1712)^1+K1712/(1+H1712)^2+L1712/(1+H1712)^3+M1712/(1+H1712)^4+N1712/(1+H1712)^5</f>
        <v>123.341083014226</v>
      </c>
      <c r="P1712" s="24" t="n">
        <f aca="false">N1712*(1+F1712)/(H1712-F1712)</f>
        <v>567.939213256982</v>
      </c>
      <c r="Q1712" s="24" t="n">
        <f aca="false">O1712+P1712/(1+H1712)^5</f>
        <v>502.117967783939</v>
      </c>
      <c r="R1712" s="24" t="n">
        <f aca="false">Q1712-'DCF Base Case'!$B$5</f>
        <v>317.117967783939</v>
      </c>
      <c r="S1712" s="32" t="n">
        <f aca="false">R1712/'DCF Base Case'!$B$6</f>
        <v>12.6847187113576</v>
      </c>
    </row>
    <row r="1713" customFormat="false" ht="15" hidden="false" customHeight="true" outlineLevel="0" collapsed="false">
      <c r="A1713" s="6" t="n">
        <v>1712</v>
      </c>
      <c r="B1713" s="30" t="n">
        <v>0.101410785327609</v>
      </c>
      <c r="C1713" s="30" t="n">
        <v>0.426869419383573</v>
      </c>
      <c r="D1713" s="30" t="n">
        <v>0.0783090957630178</v>
      </c>
      <c r="E1713" s="30" t="n">
        <v>0.298933050273512</v>
      </c>
      <c r="F1713" s="30" t="n">
        <v>0.0173568476716281</v>
      </c>
      <c r="G1713" s="30" t="n">
        <v>0.156471923160664</v>
      </c>
      <c r="H1713" s="31" t="n">
        <f aca="false">MAX(D1713,F1713+0.015)</f>
        <v>0.0783090957630178</v>
      </c>
      <c r="I1713" s="25" t="n">
        <f aca="false">(C1713-'DCF Base Case'!$B$3)*(1-E1713)+'DCF Base Case'!$B$3-G1713</f>
        <v>0.181653415153651</v>
      </c>
      <c r="J1713" s="24" t="n">
        <f aca="false">'DCF Base Case'!$B$2*(1+B1713)^1*$I1713-'DCF Base Case'!$B$2*(1+B1713)^0*B1713*'DCF Base Case'!$B$4</f>
        <v>28.5697425268895</v>
      </c>
      <c r="K1713" s="24" t="n">
        <f aca="false">'DCF Base Case'!$B$2*(1+B1713)^2*$I1713-'DCF Base Case'!$B$2*(1+B1713)^1*B1713*'DCF Base Case'!$B$4</f>
        <v>31.467022553149</v>
      </c>
      <c r="L1713" s="24" t="n">
        <f aca="false">'DCF Base Case'!$B$2*(1+B1713)^3*$I1713-'DCF Base Case'!$B$2*(1+B1713)^2*B1713*'DCF Base Case'!$B$4</f>
        <v>34.6581180221854</v>
      </c>
      <c r="M1713" s="24" t="n">
        <f aca="false">'DCF Base Case'!$B$2*(1+B1713)^4*$I1713-'DCF Base Case'!$B$2*(1+B1713)^3*B1713*'DCF Base Case'!$B$4</f>
        <v>38.1728249887922</v>
      </c>
      <c r="N1713" s="24" t="n">
        <f aca="false">'DCF Base Case'!$B$2*(1+B1713)^5*$I1713-'DCF Base Case'!$B$2*(1+B1713)^4*B1713*'DCF Base Case'!$B$4</f>
        <v>42.043961149079</v>
      </c>
      <c r="O1713" s="24" t="n">
        <f aca="false">J1713/(1+H1713)^1+K1713/(1+H1713)^2+L1713/(1+H1713)^3+M1713/(1+H1713)^4+N1713/(1+H1713)^5</f>
        <v>138.273929006849</v>
      </c>
      <c r="P1713" s="24" t="n">
        <f aca="false">N1713*(1+F1713)/(H1713-F1713)</f>
        <v>701.75773851888</v>
      </c>
      <c r="Q1713" s="24" t="n">
        <f aca="false">O1713+P1713/(1+H1713)^5</f>
        <v>619.634892196225</v>
      </c>
      <c r="R1713" s="24" t="n">
        <f aca="false">Q1713-'DCF Base Case'!$B$5</f>
        <v>434.634892196225</v>
      </c>
      <c r="S1713" s="32" t="n">
        <f aca="false">R1713/'DCF Base Case'!$B$6</f>
        <v>17.385395687849</v>
      </c>
    </row>
    <row r="1714" customFormat="false" ht="15" hidden="false" customHeight="true" outlineLevel="0" collapsed="false">
      <c r="A1714" s="6" t="n">
        <v>1713</v>
      </c>
      <c r="B1714" s="30" t="n">
        <v>0.0785531462069955</v>
      </c>
      <c r="C1714" s="30" t="n">
        <v>0.432338327284576</v>
      </c>
      <c r="D1714" s="30" t="n">
        <v>0.081913703731402</v>
      </c>
      <c r="E1714" s="30" t="n">
        <v>0.3209977362574</v>
      </c>
      <c r="F1714" s="30" t="n">
        <v>0.0252887676069475</v>
      </c>
      <c r="G1714" s="30" t="n">
        <v>0.150334058840459</v>
      </c>
      <c r="H1714" s="31" t="n">
        <f aca="false">MAX(D1714,F1714+0.015)</f>
        <v>0.081913703731402</v>
      </c>
      <c r="I1714" s="25" t="n">
        <f aca="false">(C1714-'DCF Base Case'!$B$3)*(1-E1714)+'DCF Base Case'!$B$3-G1714</f>
        <v>0.184954349801919</v>
      </c>
      <c r="J1714" s="24" t="n">
        <f aca="false">'DCF Base Case'!$B$2*(1+B1714)^1*$I1714-'DCF Base Case'!$B$2*(1+B1714)^0*B1714*'DCF Base Case'!$B$4</f>
        <v>28.5833427171113</v>
      </c>
      <c r="K1714" s="24" t="n">
        <f aca="false">'DCF Base Case'!$B$2*(1+B1714)^2*$I1714-'DCF Base Case'!$B$2*(1+B1714)^1*B1714*'DCF Base Case'!$B$4</f>
        <v>30.8286542166532</v>
      </c>
      <c r="L1714" s="24" t="n">
        <f aca="false">'DCF Base Case'!$B$2*(1+B1714)^3*$I1714-'DCF Base Case'!$B$2*(1+B1714)^2*B1714*'DCF Base Case'!$B$4</f>
        <v>33.2503419986989</v>
      </c>
      <c r="M1714" s="24" t="n">
        <f aca="false">'DCF Base Case'!$B$2*(1+B1714)^4*$I1714-'DCF Base Case'!$B$2*(1+B1714)^3*B1714*'DCF Base Case'!$B$4</f>
        <v>35.8622609751553</v>
      </c>
      <c r="N1714" s="24" t="n">
        <f aca="false">'DCF Base Case'!$B$2*(1+B1714)^5*$I1714-'DCF Base Case'!$B$2*(1+B1714)^4*B1714*'DCF Base Case'!$B$4</f>
        <v>38.6793544048501</v>
      </c>
      <c r="O1714" s="24" t="n">
        <f aca="false">J1714/(1+H1714)^1+K1714/(1+H1714)^2+L1714/(1+H1714)^3+M1714/(1+H1714)^4+N1714/(1+H1714)^5</f>
        <v>131.278153356115</v>
      </c>
      <c r="P1714" s="24" t="n">
        <f aca="false">N1714*(1+F1714)/(H1714-F1714)</f>
        <v>700.354125299477</v>
      </c>
      <c r="Q1714" s="24" t="n">
        <f aca="false">O1714+P1714/(1+H1714)^5</f>
        <v>603.726771082398</v>
      </c>
      <c r="R1714" s="24" t="n">
        <f aca="false">Q1714-'DCF Base Case'!$B$5</f>
        <v>418.726771082398</v>
      </c>
      <c r="S1714" s="32" t="n">
        <f aca="false">R1714/'DCF Base Case'!$B$6</f>
        <v>16.7490708432959</v>
      </c>
    </row>
    <row r="1715" customFormat="false" ht="15" hidden="false" customHeight="true" outlineLevel="0" collapsed="false">
      <c r="A1715" s="6" t="n">
        <v>1714</v>
      </c>
      <c r="B1715" s="30" t="n">
        <v>0.0429534516869302</v>
      </c>
      <c r="C1715" s="30" t="n">
        <v>0.413804664498626</v>
      </c>
      <c r="D1715" s="30" t="n">
        <v>0.0812383091290385</v>
      </c>
      <c r="E1715" s="30" t="n">
        <v>0.260627858467884</v>
      </c>
      <c r="F1715" s="30" t="n">
        <v>0.0169752712570657</v>
      </c>
      <c r="G1715" s="30" t="n">
        <v>0.156831459401246</v>
      </c>
      <c r="H1715" s="31" t="n">
        <f aca="false">MAX(D1715,F1715+0.015)</f>
        <v>0.0812383091290385</v>
      </c>
      <c r="I1715" s="25" t="n">
        <f aca="false">(C1715-'DCF Base Case'!$B$3)*(1-E1715)+'DCF Base Case'!$B$3-G1715</f>
        <v>0.183005803165907</v>
      </c>
      <c r="J1715" s="24" t="n">
        <f aca="false">'DCF Base Case'!$B$2*(1+B1715)^1*$I1715-'DCF Base Case'!$B$2*(1+B1715)^0*B1715*'DCF Base Case'!$B$4</f>
        <v>27.488799928302</v>
      </c>
      <c r="K1715" s="24" t="n">
        <f aca="false">'DCF Base Case'!$B$2*(1+B1715)^2*$I1715-'DCF Base Case'!$B$2*(1+B1715)^1*B1715*'DCF Base Case'!$B$4</f>
        <v>28.669538767954</v>
      </c>
      <c r="L1715" s="24" t="n">
        <f aca="false">'DCF Base Case'!$B$2*(1+B1715)^3*$I1715-'DCF Base Case'!$B$2*(1+B1715)^2*B1715*'DCF Base Case'!$B$4</f>
        <v>29.9009944163098</v>
      </c>
      <c r="M1715" s="24" t="n">
        <f aca="false">'DCF Base Case'!$B$2*(1+B1715)^4*$I1715-'DCF Base Case'!$B$2*(1+B1715)^3*B1715*'DCF Base Case'!$B$4</f>
        <v>31.185345335362</v>
      </c>
      <c r="N1715" s="24" t="n">
        <f aca="false">'DCF Base Case'!$B$2*(1+B1715)^5*$I1715-'DCF Base Case'!$B$2*(1+B1715)^4*B1715*'DCF Base Case'!$B$4</f>
        <v>32.5248635595647</v>
      </c>
      <c r="O1715" s="24" t="n">
        <f aca="false">J1715/(1+H1715)^1+K1715/(1+H1715)^2+L1715/(1+H1715)^3+M1715/(1+H1715)^4+N1715/(1+H1715)^5</f>
        <v>118.428335855298</v>
      </c>
      <c r="P1715" s="24" t="n">
        <f aca="false">N1715*(1+F1715)/(H1715-F1715)</f>
        <v>514.712392012723</v>
      </c>
      <c r="Q1715" s="24" t="n">
        <f aca="false">O1715+P1715/(1+H1715)^5</f>
        <v>466.731564954712</v>
      </c>
      <c r="R1715" s="24" t="n">
        <f aca="false">Q1715-'DCF Base Case'!$B$5</f>
        <v>281.731564954712</v>
      </c>
      <c r="S1715" s="32" t="n">
        <f aca="false">R1715/'DCF Base Case'!$B$6</f>
        <v>11.2692625981885</v>
      </c>
    </row>
    <row r="1716" customFormat="false" ht="15" hidden="false" customHeight="true" outlineLevel="0" collapsed="false">
      <c r="A1716" s="6" t="n">
        <v>1715</v>
      </c>
      <c r="B1716" s="30" t="n">
        <v>0.117945252356232</v>
      </c>
      <c r="C1716" s="30" t="n">
        <v>0.426955573749806</v>
      </c>
      <c r="D1716" s="30" t="n">
        <v>0.0991195849311895</v>
      </c>
      <c r="E1716" s="30" t="n">
        <v>0.294550057484005</v>
      </c>
      <c r="F1716" s="30" t="n">
        <v>0.0181394273207619</v>
      </c>
      <c r="G1716" s="30" t="n">
        <v>0.157316817375024</v>
      </c>
      <c r="H1716" s="31" t="n">
        <f aca="false">MAX(D1716,F1716+0.015)</f>
        <v>0.0991195849311895</v>
      </c>
      <c r="I1716" s="25" t="n">
        <f aca="false">(C1716-'DCF Base Case'!$B$3)*(1-E1716)+'DCF Base Case'!$B$3-G1716</f>
        <v>0.182170475056581</v>
      </c>
      <c r="J1716" s="24" t="n">
        <f aca="false">'DCF Base Case'!$B$2*(1+B1716)^1*$I1716-'DCF Base Case'!$B$2*(1+B1716)^0*B1716*'DCF Base Case'!$B$4</f>
        <v>29.0171477200531</v>
      </c>
      <c r="K1716" s="24" t="n">
        <f aca="false">'DCF Base Case'!$B$2*(1+B1716)^2*$I1716-'DCF Base Case'!$B$2*(1+B1716)^1*B1716*'DCF Base Case'!$B$4</f>
        <v>32.4395825305528</v>
      </c>
      <c r="L1716" s="24" t="n">
        <f aca="false">'DCF Base Case'!$B$2*(1+B1716)^3*$I1716-'DCF Base Case'!$B$2*(1+B1716)^2*B1716*'DCF Base Case'!$B$4</f>
        <v>36.2656772784497</v>
      </c>
      <c r="M1716" s="24" t="n">
        <f aca="false">'DCF Base Case'!$B$2*(1+B1716)^4*$I1716-'DCF Base Case'!$B$2*(1+B1716)^3*B1716*'DCF Base Case'!$B$4</f>
        <v>40.5430417369261</v>
      </c>
      <c r="N1716" s="24" t="n">
        <f aca="false">'DCF Base Case'!$B$2*(1+B1716)^5*$I1716-'DCF Base Case'!$B$2*(1+B1716)^4*B1716*'DCF Base Case'!$B$4</f>
        <v>45.3249010258771</v>
      </c>
      <c r="O1716" s="24" t="n">
        <f aca="false">J1716/(1+H1716)^1+K1716/(1+H1716)^2+L1716/(1+H1716)^3+M1716/(1+H1716)^4+N1716/(1+H1716)^5</f>
        <v>136.601732835654</v>
      </c>
      <c r="P1716" s="24" t="n">
        <f aca="false">N1716*(1+F1716)/(H1716-F1716)</f>
        <v>569.85649491888</v>
      </c>
      <c r="Q1716" s="24" t="n">
        <f aca="false">O1716+P1716/(1+H1716)^5</f>
        <v>491.857199774857</v>
      </c>
      <c r="R1716" s="24" t="n">
        <f aca="false">Q1716-'DCF Base Case'!$B$5</f>
        <v>306.857199774857</v>
      </c>
      <c r="S1716" s="32" t="n">
        <f aca="false">R1716/'DCF Base Case'!$B$6</f>
        <v>12.2742879909943</v>
      </c>
    </row>
    <row r="1717" customFormat="false" ht="15" hidden="false" customHeight="true" outlineLevel="0" collapsed="false">
      <c r="A1717" s="6" t="n">
        <v>1716</v>
      </c>
      <c r="B1717" s="30" t="n">
        <v>0.102105982762039</v>
      </c>
      <c r="C1717" s="30" t="n">
        <v>0.434135102263243</v>
      </c>
      <c r="D1717" s="30" t="n">
        <v>0.0959647195427096</v>
      </c>
      <c r="E1717" s="30" t="n">
        <v>0.272725828452875</v>
      </c>
      <c r="F1717" s="30" t="n">
        <v>0.0199834706018439</v>
      </c>
      <c r="G1717" s="30" t="n">
        <v>0.179041736169228</v>
      </c>
      <c r="H1717" s="31" t="n">
        <f aca="false">MAX(D1717,F1717+0.015)</f>
        <v>0.0959647195427096</v>
      </c>
      <c r="I1717" s="25" t="n">
        <f aca="false">(C1717-'DCF Base Case'!$B$3)*(1-E1717)+'DCF Base Case'!$B$3-G1717</f>
        <v>0.172147868367672</v>
      </c>
      <c r="J1717" s="24" t="n">
        <f aca="false">'DCF Base Case'!$B$2*(1+B1717)^1*$I1717-'DCF Base Case'!$B$2*(1+B1717)^0*B1717*'DCF Base Case'!$B$4</f>
        <v>27.0659923439079</v>
      </c>
      <c r="K1717" s="24" t="n">
        <f aca="false">'DCF Base Case'!$B$2*(1+B1717)^2*$I1717-'DCF Base Case'!$B$2*(1+B1717)^1*B1717*'DCF Base Case'!$B$4</f>
        <v>29.8295920916125</v>
      </c>
      <c r="L1717" s="24" t="n">
        <f aca="false">'DCF Base Case'!$B$2*(1+B1717)^3*$I1717-'DCF Base Case'!$B$2*(1+B1717)^2*B1717*'DCF Base Case'!$B$4</f>
        <v>32.8753719075173</v>
      </c>
      <c r="M1717" s="24" t="n">
        <f aca="false">'DCF Base Case'!$B$2*(1+B1717)^4*$I1717-'DCF Base Case'!$B$2*(1+B1717)^3*B1717*'DCF Base Case'!$B$4</f>
        <v>36.2321440648019</v>
      </c>
      <c r="N1717" s="24" t="n">
        <f aca="false">'DCF Base Case'!$B$2*(1+B1717)^5*$I1717-'DCF Base Case'!$B$2*(1+B1717)^4*B1717*'DCF Base Case'!$B$4</f>
        <v>39.9316627421143</v>
      </c>
      <c r="O1717" s="24" t="n">
        <f aca="false">J1717/(1+H1717)^1+K1717/(1+H1717)^2+L1717/(1+H1717)^3+M1717/(1+H1717)^4+N1717/(1+H1717)^5</f>
        <v>124.871841883065</v>
      </c>
      <c r="P1717" s="24" t="n">
        <f aca="false">N1717*(1+F1717)/(H1717-F1717)</f>
        <v>536.04851879051</v>
      </c>
      <c r="Q1717" s="24" t="n">
        <f aca="false">O1717+P1717/(1+H1717)^5</f>
        <v>463.888650149568</v>
      </c>
      <c r="R1717" s="24" t="n">
        <f aca="false">Q1717-'DCF Base Case'!$B$5</f>
        <v>278.888650149568</v>
      </c>
      <c r="S1717" s="32" t="n">
        <f aca="false">R1717/'DCF Base Case'!$B$6</f>
        <v>11.1555460059827</v>
      </c>
    </row>
    <row r="1718" customFormat="false" ht="15" hidden="false" customHeight="true" outlineLevel="0" collapsed="false">
      <c r="A1718" s="6" t="n">
        <v>1717</v>
      </c>
      <c r="B1718" s="30" t="n">
        <v>0.0818630018498421</v>
      </c>
      <c r="C1718" s="30" t="n">
        <v>0.386330315678495</v>
      </c>
      <c r="D1718" s="30" t="n">
        <v>0.0761310182662767</v>
      </c>
      <c r="E1718" s="30" t="n">
        <v>0.273235176367604</v>
      </c>
      <c r="F1718" s="30" t="n">
        <v>0.0217270544594736</v>
      </c>
      <c r="G1718" s="30" t="n">
        <v>0.195017698633735</v>
      </c>
      <c r="H1718" s="31" t="n">
        <f aca="false">MAX(D1718,F1718+0.015)</f>
        <v>0.0761310182662767</v>
      </c>
      <c r="I1718" s="25" t="n">
        <f aca="false">(C1718-'DCF Base Case'!$B$3)*(1-E1718)+'DCF Base Case'!$B$3-G1718</f>
        <v>0.121274158031983</v>
      </c>
      <c r="J1718" s="24" t="n">
        <f aca="false">'DCF Base Case'!$B$2*(1+B1718)^1*$I1718-'DCF Base Case'!$B$2*(1+B1718)^0*B1718*'DCF Base Case'!$B$4</f>
        <v>18.6681895169707</v>
      </c>
      <c r="K1718" s="24" t="n">
        <f aca="false">'DCF Base Case'!$B$2*(1+B1718)^2*$I1718-'DCF Base Case'!$B$2*(1+B1718)^1*B1718*'DCF Base Case'!$B$4</f>
        <v>20.1964235499317</v>
      </c>
      <c r="L1718" s="24" t="n">
        <f aca="false">'DCF Base Case'!$B$2*(1+B1718)^3*$I1718-'DCF Base Case'!$B$2*(1+B1718)^2*B1718*'DCF Base Case'!$B$4</f>
        <v>21.8497634083599</v>
      </c>
      <c r="M1718" s="24" t="n">
        <f aca="false">'DCF Base Case'!$B$2*(1+B1718)^4*$I1718-'DCF Base Case'!$B$2*(1+B1718)^3*B1718*'DCF Base Case'!$B$4</f>
        <v>23.6384506306771</v>
      </c>
      <c r="N1718" s="24" t="n">
        <f aca="false">'DCF Base Case'!$B$2*(1+B1718)^5*$I1718-'DCF Base Case'!$B$2*(1+B1718)^4*B1718*'DCF Base Case'!$B$4</f>
        <v>25.5735651583836</v>
      </c>
      <c r="O1718" s="24" t="n">
        <f aca="false">J1718/(1+H1718)^1+K1718/(1+H1718)^2+L1718/(1+H1718)^3+M1718/(1+H1718)^4+N1718/(1+H1718)^5</f>
        <v>87.666476222862</v>
      </c>
      <c r="P1718" s="24" t="n">
        <f aca="false">N1718*(1+F1718)/(H1718-F1718)</f>
        <v>480.281243736055</v>
      </c>
      <c r="Q1718" s="24" t="n">
        <f aca="false">O1718+P1718/(1+H1718)^5</f>
        <v>420.456177967292</v>
      </c>
      <c r="R1718" s="24" t="n">
        <f aca="false">Q1718-'DCF Base Case'!$B$5</f>
        <v>235.456177967292</v>
      </c>
      <c r="S1718" s="32" t="n">
        <f aca="false">R1718/'DCF Base Case'!$B$6</f>
        <v>9.41824711869168</v>
      </c>
    </row>
    <row r="1719" customFormat="false" ht="15" hidden="false" customHeight="true" outlineLevel="0" collapsed="false">
      <c r="A1719" s="6" t="n">
        <v>1718</v>
      </c>
      <c r="B1719" s="30" t="n">
        <v>0.0609215288624605</v>
      </c>
      <c r="C1719" s="30" t="n">
        <v>0.39005257174445</v>
      </c>
      <c r="D1719" s="30" t="n">
        <v>0.0810635125323042</v>
      </c>
      <c r="E1719" s="30" t="n">
        <v>0.304037496740028</v>
      </c>
      <c r="F1719" s="30" t="n">
        <v>0.0172301092079313</v>
      </c>
      <c r="G1719" s="30" t="n">
        <v>0.156534650928506</v>
      </c>
      <c r="H1719" s="31" t="n">
        <f aca="false">MAX(D1719,F1719+0.015)</f>
        <v>0.0810635125323042</v>
      </c>
      <c r="I1719" s="25" t="n">
        <f aca="false">(C1719-'DCF Base Case'!$B$3)*(1-E1719)+'DCF Base Case'!$B$3-G1719</f>
        <v>0.154452187881955</v>
      </c>
      <c r="J1719" s="24" t="n">
        <f aca="false">'DCF Base Case'!$B$2*(1+B1719)^1*$I1719-'DCF Base Case'!$B$2*(1+B1719)^0*B1719*'DCF Base Case'!$B$4</f>
        <v>23.4949307885103</v>
      </c>
      <c r="K1719" s="24" t="n">
        <f aca="false">'DCF Base Case'!$B$2*(1+B1719)^2*$I1719-'DCF Base Case'!$B$2*(1+B1719)^1*B1719*'DCF Base Case'!$B$4</f>
        <v>24.926277892664</v>
      </c>
      <c r="L1719" s="24" t="n">
        <f aca="false">'DCF Base Case'!$B$2*(1+B1719)^3*$I1719-'DCF Base Case'!$B$2*(1+B1719)^2*B1719*'DCF Base Case'!$B$4</f>
        <v>26.4448248507356</v>
      </c>
      <c r="M1719" s="24" t="n">
        <f aca="false">'DCF Base Case'!$B$2*(1+B1719)^4*$I1719-'DCF Base Case'!$B$2*(1+B1719)^3*B1719*'DCF Base Case'!$B$4</f>
        <v>28.0558840111424</v>
      </c>
      <c r="N1719" s="24" t="n">
        <f aca="false">'DCF Base Case'!$B$2*(1+B1719)^5*$I1719-'DCF Base Case'!$B$2*(1+B1719)^4*B1719*'DCF Base Case'!$B$4</f>
        <v>29.7650913586891</v>
      </c>
      <c r="O1719" s="24" t="n">
        <f aca="false">J1719/(1+H1719)^1+K1719/(1+H1719)^2+L1719/(1+H1719)^3+M1719/(1+H1719)^4+N1719/(1+H1719)^5</f>
        <v>104.691320263141</v>
      </c>
      <c r="P1719" s="24" t="n">
        <f aca="false">N1719*(1+F1719)/(H1719-F1719)</f>
        <v>474.327633441763</v>
      </c>
      <c r="Q1719" s="24" t="n">
        <f aca="false">O1719+P1719/(1+H1719)^5</f>
        <v>425.925966278376</v>
      </c>
      <c r="R1719" s="24" t="n">
        <f aca="false">Q1719-'DCF Base Case'!$B$5</f>
        <v>240.925966278376</v>
      </c>
      <c r="S1719" s="32" t="n">
        <f aca="false">R1719/'DCF Base Case'!$B$6</f>
        <v>9.63703865113504</v>
      </c>
    </row>
    <row r="1720" customFormat="false" ht="15" hidden="false" customHeight="true" outlineLevel="0" collapsed="false">
      <c r="A1720" s="6" t="n">
        <v>1719</v>
      </c>
      <c r="B1720" s="30" t="n">
        <v>0.0598715969925794</v>
      </c>
      <c r="C1720" s="30" t="n">
        <v>0.413861052398249</v>
      </c>
      <c r="D1720" s="30" t="n">
        <v>0.0832246101794379</v>
      </c>
      <c r="E1720" s="30" t="n">
        <v>0.264208157840782</v>
      </c>
      <c r="F1720" s="30" t="n">
        <v>0.0183416687168316</v>
      </c>
      <c r="G1720" s="30" t="n">
        <v>0.19208525213583</v>
      </c>
      <c r="H1720" s="31" t="n">
        <f aca="false">MAX(D1720,F1720+0.015)</f>
        <v>0.0832246101794379</v>
      </c>
      <c r="I1720" s="25" t="n">
        <f aca="false">(C1720-'DCF Base Case'!$B$3)*(1-E1720)+'DCF Base Case'!$B$3-G1720</f>
        <v>0.146777394525532</v>
      </c>
      <c r="J1720" s="24" t="n">
        <f aca="false">'DCF Base Case'!$B$2*(1+B1720)^1*$I1720-'DCF Base Case'!$B$2*(1+B1720)^0*B1720*'DCF Base Case'!$B$4</f>
        <v>22.2965113261192</v>
      </c>
      <c r="K1720" s="24" t="n">
        <f aca="false">'DCF Base Case'!$B$2*(1+B1720)^2*$I1720-'DCF Base Case'!$B$2*(1+B1720)^1*B1720*'DCF Base Case'!$B$4</f>
        <v>23.631439066577</v>
      </c>
      <c r="L1720" s="24" t="n">
        <f aca="false">'DCF Base Case'!$B$2*(1+B1720)^3*$I1720-'DCF Base Case'!$B$2*(1+B1720)^2*B1720*'DCF Base Case'!$B$4</f>
        <v>25.0462910627258</v>
      </c>
      <c r="M1720" s="24" t="n">
        <f aca="false">'DCF Base Case'!$B$2*(1+B1720)^4*$I1720-'DCF Base Case'!$B$2*(1+B1720)^3*B1720*'DCF Base Case'!$B$4</f>
        <v>26.5458525073922</v>
      </c>
      <c r="N1720" s="24" t="n">
        <f aca="false">'DCF Base Case'!$B$2*(1+B1720)^5*$I1720-'DCF Base Case'!$B$2*(1+B1720)^4*B1720*'DCF Base Case'!$B$4</f>
        <v>28.1351950905393</v>
      </c>
      <c r="O1720" s="24" t="n">
        <f aca="false">J1720/(1+H1720)^1+K1720/(1+H1720)^2+L1720/(1+H1720)^3+M1720/(1+H1720)^4+N1720/(1+H1720)^5</f>
        <v>98.5744000910456</v>
      </c>
      <c r="P1720" s="24" t="n">
        <f aca="false">N1720*(1+F1720)/(H1720-F1720)</f>
        <v>441.583579170587</v>
      </c>
      <c r="Q1720" s="24" t="n">
        <f aca="false">O1720+P1720/(1+H1720)^5</f>
        <v>394.662070832814</v>
      </c>
      <c r="R1720" s="24" t="n">
        <f aca="false">Q1720-'DCF Base Case'!$B$5</f>
        <v>209.662070832814</v>
      </c>
      <c r="S1720" s="32" t="n">
        <f aca="false">R1720/'DCF Base Case'!$B$6</f>
        <v>8.38648283331254</v>
      </c>
    </row>
    <row r="1721" customFormat="false" ht="15" hidden="false" customHeight="true" outlineLevel="0" collapsed="false">
      <c r="A1721" s="6" t="n">
        <v>1720</v>
      </c>
      <c r="B1721" s="30" t="n">
        <v>0.0680602614501544</v>
      </c>
      <c r="C1721" s="30" t="n">
        <v>0.387616850040866</v>
      </c>
      <c r="D1721" s="30" t="n">
        <v>0.0987747769221218</v>
      </c>
      <c r="E1721" s="30" t="n">
        <v>0.281801676690835</v>
      </c>
      <c r="F1721" s="30" t="n">
        <v>0.0217545382685007</v>
      </c>
      <c r="G1721" s="30" t="n">
        <v>0.174573137336071</v>
      </c>
      <c r="H1721" s="31" t="n">
        <f aca="false">MAX(D1721,F1721+0.015)</f>
        <v>0.0987747769221218</v>
      </c>
      <c r="I1721" s="25" t="n">
        <f aca="false">(C1721-'DCF Base Case'!$B$3)*(1-E1721)+'DCF Base Case'!$B$3-G1721</f>
        <v>0.140446852419468</v>
      </c>
      <c r="J1721" s="24" t="n">
        <f aca="false">'DCF Base Case'!$B$2*(1+B1721)^1*$I1721-'DCF Base Case'!$B$2*(1+B1721)^0*B1721*'DCF Base Case'!$B$4</f>
        <v>21.4547646403651</v>
      </c>
      <c r="K1721" s="24" t="n">
        <f aca="false">'DCF Base Case'!$B$2*(1+B1721)^2*$I1721-'DCF Base Case'!$B$2*(1+B1721)^1*B1721*'DCF Base Case'!$B$4</f>
        <v>22.9149815311398</v>
      </c>
      <c r="L1721" s="24" t="n">
        <f aca="false">'DCF Base Case'!$B$2*(1+B1721)^3*$I1721-'DCF Base Case'!$B$2*(1+B1721)^2*B1721*'DCF Base Case'!$B$4</f>
        <v>24.4745811652747</v>
      </c>
      <c r="M1721" s="24" t="n">
        <f aca="false">'DCF Base Case'!$B$2*(1+B1721)^4*$I1721-'DCF Base Case'!$B$2*(1+B1721)^3*B1721*'DCF Base Case'!$B$4</f>
        <v>26.1403275582663</v>
      </c>
      <c r="N1721" s="24" t="n">
        <f aca="false">'DCF Base Case'!$B$2*(1+B1721)^5*$I1721-'DCF Base Case'!$B$2*(1+B1721)^4*B1721*'DCF Base Case'!$B$4</f>
        <v>27.9194450862746</v>
      </c>
      <c r="O1721" s="24" t="n">
        <f aca="false">J1721/(1+H1721)^1+K1721/(1+H1721)^2+L1721/(1+H1721)^3+M1721/(1+H1721)^4+N1721/(1+H1721)^5</f>
        <v>92.3226492896465</v>
      </c>
      <c r="P1721" s="24" t="n">
        <f aca="false">N1721*(1+F1721)/(H1721-F1721)</f>
        <v>370.380827448891</v>
      </c>
      <c r="Q1721" s="24" t="n">
        <f aca="false">O1721+P1721/(1+H1721)^5</f>
        <v>323.585082543995</v>
      </c>
      <c r="R1721" s="24" t="n">
        <f aca="false">Q1721-'DCF Base Case'!$B$5</f>
        <v>138.585082543995</v>
      </c>
      <c r="S1721" s="32" t="n">
        <f aca="false">R1721/'DCF Base Case'!$B$6</f>
        <v>5.5434033017598</v>
      </c>
    </row>
    <row r="1722" customFormat="false" ht="15" hidden="false" customHeight="true" outlineLevel="0" collapsed="false">
      <c r="A1722" s="6" t="n">
        <v>1721</v>
      </c>
      <c r="B1722" s="30" t="n">
        <v>0.0892902873743465</v>
      </c>
      <c r="C1722" s="30" t="n">
        <v>0.406953716054848</v>
      </c>
      <c r="D1722" s="30" t="n">
        <v>0.094147138247322</v>
      </c>
      <c r="E1722" s="30" t="n">
        <v>0.315168420180371</v>
      </c>
      <c r="F1722" s="30" t="n">
        <v>0.0232265692777759</v>
      </c>
      <c r="G1722" s="30" t="n">
        <v>0.14171778182679</v>
      </c>
      <c r="H1722" s="31" t="n">
        <f aca="false">MAX(D1722,F1722+0.015)</f>
        <v>0.094147138247322</v>
      </c>
      <c r="I1722" s="25" t="n">
        <f aca="false">(C1722-'DCF Base Case'!$B$3)*(1-E1722)+'DCF Base Case'!$B$3-G1722</f>
        <v>0.177948869075968</v>
      </c>
      <c r="J1722" s="24" t="n">
        <f aca="false">'DCF Base Case'!$B$2*(1+B1722)^1*$I1722-'DCF Base Case'!$B$2*(1+B1722)^0*B1722*'DCF Base Case'!$B$4</f>
        <v>27.7180935863083</v>
      </c>
      <c r="K1722" s="24" t="n">
        <f aca="false">'DCF Base Case'!$B$2*(1+B1722)^2*$I1722-'DCF Base Case'!$B$2*(1+B1722)^1*B1722*'DCF Base Case'!$B$4</f>
        <v>30.1930501280988</v>
      </c>
      <c r="L1722" s="24" t="n">
        <f aca="false">'DCF Base Case'!$B$2*(1+B1722)^3*$I1722-'DCF Base Case'!$B$2*(1+B1722)^2*B1722*'DCF Base Case'!$B$4</f>
        <v>32.8889962507448</v>
      </c>
      <c r="M1722" s="24" t="n">
        <f aca="false">'DCF Base Case'!$B$2*(1+B1722)^4*$I1722-'DCF Base Case'!$B$2*(1+B1722)^3*B1722*'DCF Base Case'!$B$4</f>
        <v>35.8256641774276</v>
      </c>
      <c r="N1722" s="24" t="n">
        <f aca="false">'DCF Base Case'!$B$2*(1+B1722)^5*$I1722-'DCF Base Case'!$B$2*(1+B1722)^4*B1722*'DCF Base Case'!$B$4</f>
        <v>39.024548027207</v>
      </c>
      <c r="O1722" s="24" t="n">
        <f aca="false">J1722/(1+H1722)^1+K1722/(1+H1722)^2+L1722/(1+H1722)^3+M1722/(1+H1722)^4+N1722/(1+H1722)^5</f>
        <v>125.54575500826</v>
      </c>
      <c r="P1722" s="24" t="n">
        <f aca="false">N1722*(1+F1722)/(H1722-F1722)</f>
        <v>563.037705078783</v>
      </c>
      <c r="Q1722" s="24" t="n">
        <f aca="false">O1722+P1722/(1+H1722)^5</f>
        <v>484.598982883301</v>
      </c>
      <c r="R1722" s="24" t="n">
        <f aca="false">Q1722-'DCF Base Case'!$B$5</f>
        <v>299.598982883301</v>
      </c>
      <c r="S1722" s="32" t="n">
        <f aca="false">R1722/'DCF Base Case'!$B$6</f>
        <v>11.9839593153321</v>
      </c>
    </row>
    <row r="1723" customFormat="false" ht="15" hidden="false" customHeight="true" outlineLevel="0" collapsed="false">
      <c r="A1723" s="6" t="n">
        <v>1722</v>
      </c>
      <c r="B1723" s="30" t="n">
        <v>0.11809548282482</v>
      </c>
      <c r="C1723" s="30" t="n">
        <v>0.417357931193521</v>
      </c>
      <c r="D1723" s="30" t="n">
        <v>0.0766946750870068</v>
      </c>
      <c r="E1723" s="30" t="n">
        <v>0.275062809724996</v>
      </c>
      <c r="F1723" s="30" t="n">
        <v>0.0223388704511397</v>
      </c>
      <c r="G1723" s="30" t="n">
        <v>0.177968691863965</v>
      </c>
      <c r="H1723" s="31" t="n">
        <f aca="false">MAX(D1723,F1723+0.015)</f>
        <v>0.0766946750870068</v>
      </c>
      <c r="I1723" s="25" t="n">
        <f aca="false">(C1723-'DCF Base Case'!$B$3)*(1-E1723)+'DCF Base Case'!$B$3-G1723</f>
        <v>0.160347759378704</v>
      </c>
      <c r="J1723" s="24" t="n">
        <f aca="false">'DCF Base Case'!$B$2*(1+B1723)^1*$I1723-'DCF Base Case'!$B$2*(1+B1723)^0*B1723*'DCF Base Case'!$B$4</f>
        <v>25.4824799388615</v>
      </c>
      <c r="K1723" s="24" t="n">
        <f aca="false">'DCF Base Case'!$B$2*(1+B1723)^2*$I1723-'DCF Base Case'!$B$2*(1+B1723)^1*B1723*'DCF Base Case'!$B$4</f>
        <v>28.4918457108151</v>
      </c>
      <c r="L1723" s="24" t="n">
        <f aca="false">'DCF Base Case'!$B$2*(1+B1723)^3*$I1723-'DCF Base Case'!$B$2*(1+B1723)^2*B1723*'DCF Base Case'!$B$4</f>
        <v>31.8566039866041</v>
      </c>
      <c r="M1723" s="24" t="n">
        <f aca="false">'DCF Base Case'!$B$2*(1+B1723)^4*$I1723-'DCF Base Case'!$B$2*(1+B1723)^3*B1723*'DCF Base Case'!$B$4</f>
        <v>35.6187250155612</v>
      </c>
      <c r="N1723" s="24" t="n">
        <f aca="false">'DCF Base Case'!$B$2*(1+B1723)^5*$I1723-'DCF Base Case'!$B$2*(1+B1723)^4*B1723*'DCF Base Case'!$B$4</f>
        <v>39.8251355438784</v>
      </c>
      <c r="O1723" s="24" t="n">
        <f aca="false">J1723/(1+H1723)^1+K1723/(1+H1723)^2+L1723/(1+H1723)^3+M1723/(1+H1723)^4+N1723/(1+H1723)^5</f>
        <v>127.793824061304</v>
      </c>
      <c r="P1723" s="24" t="n">
        <f aca="false">N1723*(1+F1723)/(H1723-F1723)</f>
        <v>749.042063864992</v>
      </c>
      <c r="Q1723" s="24" t="n">
        <f aca="false">O1723+P1723/(1+H1723)^5</f>
        <v>645.45236150413</v>
      </c>
      <c r="R1723" s="24" t="n">
        <f aca="false">Q1723-'DCF Base Case'!$B$5</f>
        <v>460.45236150413</v>
      </c>
      <c r="S1723" s="32" t="n">
        <f aca="false">R1723/'DCF Base Case'!$B$6</f>
        <v>18.4180944601652</v>
      </c>
    </row>
    <row r="1724" customFormat="false" ht="15" hidden="false" customHeight="true" outlineLevel="0" collapsed="false">
      <c r="A1724" s="6" t="n">
        <v>1723</v>
      </c>
      <c r="B1724" s="30" t="n">
        <v>0.0846773058913631</v>
      </c>
      <c r="C1724" s="30" t="n">
        <v>0.42879523869144</v>
      </c>
      <c r="D1724" s="30" t="n">
        <v>0.0865384663883538</v>
      </c>
      <c r="E1724" s="30" t="n">
        <v>0.265768099104238</v>
      </c>
      <c r="F1724" s="30" t="n">
        <v>0.0164734683797829</v>
      </c>
      <c r="G1724" s="30" t="n">
        <v>0.174779417874657</v>
      </c>
      <c r="H1724" s="31" t="n">
        <f aca="false">MAX(D1724,F1724+0.015)</f>
        <v>0.0865384663883538</v>
      </c>
      <c r="I1724" s="25" t="n">
        <f aca="false">(C1724-'DCF Base Case'!$B$3)*(1-E1724)+'DCF Base Case'!$B$3-G1724</f>
        <v>0.174605578208362</v>
      </c>
      <c r="J1724" s="24" t="n">
        <f aca="false">'DCF Base Case'!$B$2*(1+B1724)^1*$I1724-'DCF Base Case'!$B$2*(1+B1724)^0*B1724*'DCF Base Case'!$B$4</f>
        <v>27.0933064032468</v>
      </c>
      <c r="K1724" s="24" t="n">
        <f aca="false">'DCF Base Case'!$B$2*(1+B1724)^2*$I1724-'DCF Base Case'!$B$2*(1+B1724)^1*B1724*'DCF Base Case'!$B$4</f>
        <v>29.3874945971629</v>
      </c>
      <c r="L1724" s="24" t="n">
        <f aca="false">'DCF Base Case'!$B$2*(1+B1724)^3*$I1724-'DCF Base Case'!$B$2*(1+B1724)^2*B1724*'DCF Base Case'!$B$4</f>
        <v>31.8759484665477</v>
      </c>
      <c r="M1724" s="24" t="n">
        <f aca="false">'DCF Base Case'!$B$2*(1+B1724)^4*$I1724-'DCF Base Case'!$B$2*(1+B1724)^3*B1724*'DCF Base Case'!$B$4</f>
        <v>34.5751179054269</v>
      </c>
      <c r="N1724" s="24" t="n">
        <f aca="false">'DCF Base Case'!$B$2*(1+B1724)^5*$I1724-'DCF Base Case'!$B$2*(1+B1724)^4*B1724*'DCF Base Case'!$B$4</f>
        <v>37.5028457405346</v>
      </c>
      <c r="O1724" s="24" t="n">
        <f aca="false">J1724/(1+H1724)^1+K1724/(1+H1724)^2+L1724/(1+H1724)^3+M1724/(1+H1724)^4+N1724/(1+H1724)^5</f>
        <v>124.250767041329</v>
      </c>
      <c r="P1724" s="24" t="n">
        <f aca="false">N1724*(1+F1724)/(H1724-F1724)</f>
        <v>544.075483729122</v>
      </c>
      <c r="Q1724" s="24" t="n">
        <f aca="false">O1724+P1724/(1+H1724)^5</f>
        <v>483.531250320929</v>
      </c>
      <c r="R1724" s="24" t="n">
        <f aca="false">Q1724-'DCF Base Case'!$B$5</f>
        <v>298.531250320929</v>
      </c>
      <c r="S1724" s="32" t="n">
        <f aca="false">R1724/'DCF Base Case'!$B$6</f>
        <v>11.9412500128372</v>
      </c>
    </row>
    <row r="1725" customFormat="false" ht="15" hidden="false" customHeight="true" outlineLevel="0" collapsed="false">
      <c r="A1725" s="6" t="n">
        <v>1724</v>
      </c>
      <c r="B1725" s="30" t="n">
        <v>0.0883279167585631</v>
      </c>
      <c r="C1725" s="30" t="n">
        <v>0.38373033018396</v>
      </c>
      <c r="D1725" s="30" t="n">
        <v>0.0943187764237645</v>
      </c>
      <c r="E1725" s="30" t="n">
        <v>0.267681154170851</v>
      </c>
      <c r="F1725" s="30" t="n">
        <v>0.0247966951442883</v>
      </c>
      <c r="G1725" s="30" t="n">
        <v>0.137923159619758</v>
      </c>
      <c r="H1725" s="31" t="n">
        <f aca="false">MAX(D1725,F1725+0.015)</f>
        <v>0.0943187764237645</v>
      </c>
      <c r="I1725" s="25" t="n">
        <f aca="false">(C1725-'DCF Base Case'!$B$3)*(1-E1725)+'DCF Base Case'!$B$3-G1725</f>
        <v>0.177888342932409</v>
      </c>
      <c r="J1725" s="24" t="n">
        <f aca="false">'DCF Base Case'!$B$2*(1+B1725)^1*$I1725-'DCF Base Case'!$B$2*(1+B1725)^0*B1725*'DCF Base Case'!$B$4</f>
        <v>27.6878967655931</v>
      </c>
      <c r="K1725" s="24" t="n">
        <f aca="false">'DCF Base Case'!$B$2*(1+B1725)^2*$I1725-'DCF Base Case'!$B$2*(1+B1725)^1*B1725*'DCF Base Case'!$B$4</f>
        <v>30.1335110063241</v>
      </c>
      <c r="L1725" s="24" t="n">
        <f aca="false">'DCF Base Case'!$B$2*(1+B1725)^3*$I1725-'DCF Base Case'!$B$2*(1+B1725)^2*B1725*'DCF Base Case'!$B$4</f>
        <v>32.7951412581339</v>
      </c>
      <c r="M1725" s="24" t="n">
        <f aca="false">'DCF Base Case'!$B$2*(1+B1725)^4*$I1725-'DCF Base Case'!$B$2*(1+B1725)^3*B1725*'DCF Base Case'!$B$4</f>
        <v>35.6918677652677</v>
      </c>
      <c r="N1725" s="24" t="n">
        <f aca="false">'DCF Base Case'!$B$2*(1+B1725)^5*$I1725-'DCF Base Case'!$B$2*(1+B1725)^4*B1725*'DCF Base Case'!$B$4</f>
        <v>38.8444560901959</v>
      </c>
      <c r="O1725" s="24" t="n">
        <f aca="false">J1725/(1+H1725)^1+K1725/(1+H1725)^2+L1725/(1+H1725)^3+M1725/(1+H1725)^4+N1725/(1+H1725)^5</f>
        <v>125.129884820495</v>
      </c>
      <c r="P1725" s="24" t="n">
        <f aca="false">N1725*(1+F1725)/(H1725-F1725)</f>
        <v>572.590312218715</v>
      </c>
      <c r="Q1725" s="24" t="n">
        <f aca="false">O1725+P1725/(1+H1725)^5</f>
        <v>489.988613947143</v>
      </c>
      <c r="R1725" s="24" t="n">
        <f aca="false">Q1725-'DCF Base Case'!$B$5</f>
        <v>304.988613947143</v>
      </c>
      <c r="S1725" s="32" t="n">
        <f aca="false">R1725/'DCF Base Case'!$B$6</f>
        <v>12.1995445578857</v>
      </c>
    </row>
    <row r="1726" customFormat="false" ht="15" hidden="false" customHeight="true" outlineLevel="0" collapsed="false">
      <c r="A1726" s="6" t="n">
        <v>1725</v>
      </c>
      <c r="B1726" s="30" t="n">
        <v>0.0862762442008928</v>
      </c>
      <c r="C1726" s="30" t="n">
        <v>0.397636573709933</v>
      </c>
      <c r="D1726" s="30" t="n">
        <v>0.0742703522758493</v>
      </c>
      <c r="E1726" s="30" t="n">
        <v>0.267542210289084</v>
      </c>
      <c r="F1726" s="30" t="n">
        <v>0.0252574531234346</v>
      </c>
      <c r="G1726" s="30" t="n">
        <v>0.168444267814426</v>
      </c>
      <c r="H1726" s="31" t="n">
        <f aca="false">MAX(D1726,F1726+0.015)</f>
        <v>0.0742703522758493</v>
      </c>
      <c r="I1726" s="25" t="n">
        <f aca="false">(C1726-'DCF Base Case'!$B$3)*(1-E1726)+'DCF Base Case'!$B$3-G1726</f>
        <v>0.157588225410954</v>
      </c>
      <c r="J1726" s="24" t="n">
        <f aca="false">'DCF Base Case'!$B$2*(1+B1726)^1*$I1726-'DCF Base Case'!$B$2*(1+B1726)^0*B1726*'DCF Base Case'!$B$4</f>
        <v>24.4464284540319</v>
      </c>
      <c r="K1726" s="24" t="n">
        <f aca="false">'DCF Base Case'!$B$2*(1+B1726)^2*$I1726-'DCF Base Case'!$B$2*(1+B1726)^1*B1726*'DCF Base Case'!$B$4</f>
        <v>26.5555744851716</v>
      </c>
      <c r="L1726" s="24" t="n">
        <f aca="false">'DCF Base Case'!$B$2*(1+B1726)^3*$I1726-'DCF Base Case'!$B$2*(1+B1726)^2*B1726*'DCF Base Case'!$B$4</f>
        <v>28.8466897143493</v>
      </c>
      <c r="M1726" s="24" t="n">
        <f aca="false">'DCF Base Case'!$B$2*(1+B1726)^4*$I1726-'DCF Base Case'!$B$2*(1+B1726)^3*B1726*'DCF Base Case'!$B$4</f>
        <v>31.3354737605319</v>
      </c>
      <c r="N1726" s="24" t="n">
        <f aca="false">'DCF Base Case'!$B$2*(1+B1726)^5*$I1726-'DCF Base Case'!$B$2*(1+B1726)^4*B1726*'DCF Base Case'!$B$4</f>
        <v>34.0389807468462</v>
      </c>
      <c r="O1726" s="24" t="n">
        <f aca="false">J1726/(1+H1726)^1+K1726/(1+H1726)^2+L1726/(1+H1726)^3+M1726/(1+H1726)^4+N1726/(1+H1726)^5</f>
        <v>116.353341081669</v>
      </c>
      <c r="P1726" s="24" t="n">
        <f aca="false">N1726*(1+F1726)/(H1726-F1726)</f>
        <v>712.031308307331</v>
      </c>
      <c r="Q1726" s="24" t="n">
        <f aca="false">O1726+P1726/(1+H1726)^5</f>
        <v>614.011511959625</v>
      </c>
      <c r="R1726" s="24" t="n">
        <f aca="false">Q1726-'DCF Base Case'!$B$5</f>
        <v>429.011511959625</v>
      </c>
      <c r="S1726" s="32" t="n">
        <f aca="false">R1726/'DCF Base Case'!$B$6</f>
        <v>17.160460478385</v>
      </c>
    </row>
    <row r="1727" customFormat="false" ht="15" hidden="false" customHeight="true" outlineLevel="0" collapsed="false">
      <c r="A1727" s="6" t="n">
        <v>1726</v>
      </c>
      <c r="B1727" s="30" t="n">
        <v>0.0727311370843607</v>
      </c>
      <c r="C1727" s="30" t="n">
        <v>0.371821647555697</v>
      </c>
      <c r="D1727" s="30" t="n">
        <v>0.0660650119901755</v>
      </c>
      <c r="E1727" s="30" t="n">
        <v>0.266505153339416</v>
      </c>
      <c r="F1727" s="30" t="n">
        <v>0.0167860069972374</v>
      </c>
      <c r="G1727" s="30" t="n">
        <v>0.160570659976237</v>
      </c>
      <c r="H1727" s="31" t="n">
        <f aca="false">MAX(D1727,F1727+0.015)</f>
        <v>0.0660650119901755</v>
      </c>
      <c r="I1727" s="25" t="n">
        <f aca="false">(C1727-'DCF Base Case'!$B$3)*(1-E1727)+'DCF Base Case'!$B$3-G1727</f>
        <v>0.146804272316839</v>
      </c>
      <c r="J1727" s="24" t="n">
        <f aca="false">'DCF Base Case'!$B$2*(1+B1727)^1*$I1727-'DCF Base Case'!$B$2*(1+B1727)^0*B1727*'DCF Base Case'!$B$4</f>
        <v>22.5184390795193</v>
      </c>
      <c r="K1727" s="24" t="n">
        <f aca="false">'DCF Base Case'!$B$2*(1+B1727)^2*$I1727-'DCF Base Case'!$B$2*(1+B1727)^1*B1727*'DCF Base Case'!$B$4</f>
        <v>24.1562307591376</v>
      </c>
      <c r="L1727" s="24" t="n">
        <f aca="false">'DCF Base Case'!$B$2*(1+B1727)^3*$I1727-'DCF Base Case'!$B$2*(1+B1727)^2*B1727*'DCF Base Case'!$B$4</f>
        <v>25.9131408899219</v>
      </c>
      <c r="M1727" s="24" t="n">
        <f aca="false">'DCF Base Case'!$B$2*(1+B1727)^4*$I1727-'DCF Base Case'!$B$2*(1+B1727)^3*B1727*'DCF Base Case'!$B$4</f>
        <v>27.7978330922732</v>
      </c>
      <c r="N1727" s="24" t="n">
        <f aca="false">'DCF Base Case'!$B$2*(1+B1727)^5*$I1727-'DCF Base Case'!$B$2*(1+B1727)^4*B1727*'DCF Base Case'!$B$4</f>
        <v>29.8196011015555</v>
      </c>
      <c r="O1727" s="24" t="n">
        <f aca="false">J1727/(1+H1727)^1+K1727/(1+H1727)^2+L1727/(1+H1727)^3+M1727/(1+H1727)^4+N1727/(1+H1727)^5</f>
        <v>106.943862508865</v>
      </c>
      <c r="P1727" s="24" t="n">
        <f aca="false">N1727*(1+F1727)/(H1727-F1727)</f>
        <v>615.27527064814</v>
      </c>
      <c r="Q1727" s="24" t="n">
        <f aca="false">O1727+P1727/(1+H1727)^5</f>
        <v>553.782798943843</v>
      </c>
      <c r="R1727" s="24" t="n">
        <f aca="false">Q1727-'DCF Base Case'!$B$5</f>
        <v>368.782798943843</v>
      </c>
      <c r="S1727" s="32" t="n">
        <f aca="false">R1727/'DCF Base Case'!$B$6</f>
        <v>14.7513119577537</v>
      </c>
    </row>
    <row r="1728" customFormat="false" ht="15" hidden="false" customHeight="true" outlineLevel="0" collapsed="false">
      <c r="A1728" s="6" t="n">
        <v>1727</v>
      </c>
      <c r="B1728" s="30" t="n">
        <v>0.0475952964545111</v>
      </c>
      <c r="C1728" s="30" t="n">
        <v>0.393685526920945</v>
      </c>
      <c r="D1728" s="30" t="n">
        <v>0.0963050275266182</v>
      </c>
      <c r="E1728" s="30" t="n">
        <v>0.327242900855869</v>
      </c>
      <c r="F1728" s="30" t="n">
        <v>0.0122559939929745</v>
      </c>
      <c r="G1728" s="30" t="n">
        <v>0.149082788918438</v>
      </c>
      <c r="H1728" s="31" t="n">
        <f aca="false">MAX(D1728,F1728+0.015)</f>
        <v>0.0963050275266182</v>
      </c>
      <c r="I1728" s="25" t="n">
        <f aca="false">(C1728-'DCF Base Case'!$B$3)*(1-E1728)+'DCF Base Case'!$B$3-G1728</f>
        <v>0.158313521259189</v>
      </c>
      <c r="J1728" s="24" t="n">
        <f aca="false">'DCF Base Case'!$B$2*(1+B1728)^1*$I1728-'DCF Base Case'!$B$2*(1+B1728)^0*B1728*'DCF Base Case'!$B$4</f>
        <v>23.8409929946831</v>
      </c>
      <c r="K1728" s="24" t="n">
        <f aca="false">'DCF Base Case'!$B$2*(1+B1728)^2*$I1728-'DCF Base Case'!$B$2*(1+B1728)^1*B1728*'DCF Base Case'!$B$4</f>
        <v>24.9757121240349</v>
      </c>
      <c r="L1728" s="24" t="n">
        <f aca="false">'DCF Base Case'!$B$2*(1+B1728)^3*$I1728-'DCF Base Case'!$B$2*(1+B1728)^2*B1728*'DCF Base Case'!$B$4</f>
        <v>26.1644385467409</v>
      </c>
      <c r="M1728" s="24" t="n">
        <f aca="false">'DCF Base Case'!$B$2*(1+B1728)^4*$I1728-'DCF Base Case'!$B$2*(1+B1728)^3*B1728*'DCF Base Case'!$B$4</f>
        <v>27.4097427559389</v>
      </c>
      <c r="N1728" s="24" t="n">
        <f aca="false">'DCF Base Case'!$B$2*(1+B1728)^5*$I1728-'DCF Base Case'!$B$2*(1+B1728)^4*B1728*'DCF Base Case'!$B$4</f>
        <v>28.7143175881497</v>
      </c>
      <c r="O1728" s="24" t="n">
        <f aca="false">J1728/(1+H1728)^1+K1728/(1+H1728)^2+L1728/(1+H1728)^3+M1728/(1+H1728)^4+N1728/(1+H1728)^5</f>
        <v>99.4910134169775</v>
      </c>
      <c r="P1728" s="24" t="n">
        <f aca="false">N1728*(1+F1728)/(H1728-F1728)</f>
        <v>345.824798572937</v>
      </c>
      <c r="Q1728" s="24" t="n">
        <f aca="false">O1728+P1728/(1+H1728)^5</f>
        <v>317.864095632839</v>
      </c>
      <c r="R1728" s="24" t="n">
        <f aca="false">Q1728-'DCF Base Case'!$B$5</f>
        <v>132.864095632839</v>
      </c>
      <c r="S1728" s="32" t="n">
        <f aca="false">R1728/'DCF Base Case'!$B$6</f>
        <v>5.31456382531354</v>
      </c>
    </row>
    <row r="1729" customFormat="false" ht="15" hidden="false" customHeight="true" outlineLevel="0" collapsed="false">
      <c r="A1729" s="6" t="n">
        <v>1728</v>
      </c>
      <c r="B1729" s="30" t="n">
        <v>0.0713438759985372</v>
      </c>
      <c r="C1729" s="30" t="n">
        <v>0.41111545651878</v>
      </c>
      <c r="D1729" s="30" t="n">
        <v>0.071582502853359</v>
      </c>
      <c r="E1729" s="30" t="n">
        <v>0.328599926844337</v>
      </c>
      <c r="F1729" s="30" t="n">
        <v>0.0195151225939506</v>
      </c>
      <c r="G1729" s="30" t="n">
        <v>0.162606392080182</v>
      </c>
      <c r="H1729" s="31" t="n">
        <f aca="false">MAX(D1729,F1729+0.015)</f>
        <v>0.071582502853359</v>
      </c>
      <c r="I1729" s="25" t="n">
        <f aca="false">(C1729-'DCF Base Case'!$B$3)*(1-E1729)+'DCF Base Case'!$B$3-G1729</f>
        <v>0.156134545991715</v>
      </c>
      <c r="J1729" s="24" t="n">
        <f aca="false">'DCF Base Case'!$B$2*(1+B1729)^1*$I1729-'DCF Base Case'!$B$2*(1+B1729)^0*B1729*'DCF Base Case'!$B$4</f>
        <v>23.9443536430115</v>
      </c>
      <c r="K1729" s="24" t="n">
        <f aca="false">'DCF Base Case'!$B$2*(1+B1729)^2*$I1729-'DCF Base Case'!$B$2*(1+B1729)^1*B1729*'DCF Base Case'!$B$4</f>
        <v>25.6526366401836</v>
      </c>
      <c r="L1729" s="24" t="n">
        <f aca="false">'DCF Base Case'!$B$2*(1+B1729)^3*$I1729-'DCF Base Case'!$B$2*(1+B1729)^2*B1729*'DCF Base Case'!$B$4</f>
        <v>27.4827951676764</v>
      </c>
      <c r="M1729" s="24" t="n">
        <f aca="false">'DCF Base Case'!$B$2*(1+B1729)^4*$I1729-'DCF Base Case'!$B$2*(1+B1729)^3*B1729*'DCF Base Case'!$B$4</f>
        <v>29.4435242982123</v>
      </c>
      <c r="N1729" s="24" t="n">
        <f aca="false">'DCF Base Case'!$B$2*(1+B1729)^5*$I1729-'DCF Base Case'!$B$2*(1+B1729)^4*B1729*'DCF Base Case'!$B$4</f>
        <v>31.5441394447039</v>
      </c>
      <c r="O1729" s="24" t="n">
        <f aca="false">J1729/(1+H1729)^1+K1729/(1+H1729)^2+L1729/(1+H1729)^3+M1729/(1+H1729)^4+N1729/(1+H1729)^5</f>
        <v>111.674517779705</v>
      </c>
      <c r="P1729" s="24" t="n">
        <f aca="false">N1729*(1+F1729)/(H1729-F1729)</f>
        <v>617.655949518927</v>
      </c>
      <c r="Q1729" s="24" t="n">
        <f aca="false">O1729+P1729/(1+H1729)^5</f>
        <v>548.812517447579</v>
      </c>
      <c r="R1729" s="24" t="n">
        <f aca="false">Q1729-'DCF Base Case'!$B$5</f>
        <v>363.812517447579</v>
      </c>
      <c r="S1729" s="32" t="n">
        <f aca="false">R1729/'DCF Base Case'!$B$6</f>
        <v>14.5525006979031</v>
      </c>
    </row>
    <row r="1730" customFormat="false" ht="15" hidden="false" customHeight="true" outlineLevel="0" collapsed="false">
      <c r="A1730" s="6" t="n">
        <v>1729</v>
      </c>
      <c r="B1730" s="30" t="n">
        <v>0.1233248369457</v>
      </c>
      <c r="C1730" s="30" t="n">
        <v>0.425720818751502</v>
      </c>
      <c r="D1730" s="30" t="n">
        <v>0.0894033374714856</v>
      </c>
      <c r="E1730" s="30" t="n">
        <v>0.262485610556677</v>
      </c>
      <c r="F1730" s="30" t="n">
        <v>0.0138628221848051</v>
      </c>
      <c r="G1730" s="30" t="n">
        <v>0.152912680798307</v>
      </c>
      <c r="H1730" s="31" t="n">
        <f aca="false">MAX(D1730,F1730+0.015)</f>
        <v>0.0894033374714856</v>
      </c>
      <c r="I1730" s="25" t="n">
        <f aca="false">(C1730-'DCF Base Case'!$B$3)*(1-E1730)+'DCF Base Case'!$B$3-G1730</f>
        <v>0.195185678288887</v>
      </c>
      <c r="J1730" s="24" t="n">
        <f aca="false">'DCF Base Case'!$B$2*(1+B1730)^1*$I1730-'DCF Base Case'!$B$2*(1+B1730)^0*B1730*'DCF Base Case'!$B$4</f>
        <v>31.2557903937961</v>
      </c>
      <c r="K1730" s="24" t="n">
        <f aca="false">'DCF Base Case'!$B$2*(1+B1730)^2*$I1730-'DCF Base Case'!$B$2*(1+B1730)^1*B1730*'DCF Base Case'!$B$4</f>
        <v>35.11040564772</v>
      </c>
      <c r="L1730" s="24" t="n">
        <f aca="false">'DCF Base Case'!$B$2*(1+B1730)^3*$I1730-'DCF Base Case'!$B$2*(1+B1730)^2*B1730*'DCF Base Case'!$B$4</f>
        <v>39.4403906993225</v>
      </c>
      <c r="M1730" s="24" t="n">
        <f aca="false">'DCF Base Case'!$B$2*(1+B1730)^4*$I1730-'DCF Base Case'!$B$2*(1+B1730)^3*B1730*'DCF Base Case'!$B$4</f>
        <v>44.3043704513911</v>
      </c>
      <c r="N1730" s="24" t="n">
        <f aca="false">'DCF Base Case'!$B$2*(1+B1730)^5*$I1730-'DCF Base Case'!$B$2*(1+B1730)^4*B1730*'DCF Base Case'!$B$4</f>
        <v>49.7681997132908</v>
      </c>
      <c r="O1730" s="24" t="n">
        <f aca="false">J1730/(1+H1730)^1+K1730/(1+H1730)^2+L1730/(1+H1730)^3+M1730/(1+H1730)^4+N1730/(1+H1730)^5</f>
        <v>152.669875222097</v>
      </c>
      <c r="P1730" s="24" t="n">
        <f aca="false">N1730*(1+F1730)/(H1730-F1730)</f>
        <v>667.961122913745</v>
      </c>
      <c r="Q1730" s="24" t="n">
        <f aca="false">O1730+P1730/(1+H1730)^5</f>
        <v>587.988931465199</v>
      </c>
      <c r="R1730" s="24" t="n">
        <f aca="false">Q1730-'DCF Base Case'!$B$5</f>
        <v>402.988931465199</v>
      </c>
      <c r="S1730" s="32" t="n">
        <f aca="false">R1730/'DCF Base Case'!$B$6</f>
        <v>16.119557258608</v>
      </c>
    </row>
    <row r="1731" customFormat="false" ht="15" hidden="false" customHeight="true" outlineLevel="0" collapsed="false">
      <c r="A1731" s="6" t="n">
        <v>1730</v>
      </c>
      <c r="B1731" s="30" t="n">
        <v>0.131522929775724</v>
      </c>
      <c r="C1731" s="30" t="n">
        <v>0.441327599527868</v>
      </c>
      <c r="D1731" s="30" t="n">
        <v>0.0880198832082216</v>
      </c>
      <c r="E1731" s="30" t="n">
        <v>0.259020184264013</v>
      </c>
      <c r="F1731" s="30" t="n">
        <v>0.0226248627914492</v>
      </c>
      <c r="G1731" s="30" t="n">
        <v>0.138684808365058</v>
      </c>
      <c r="H1731" s="31" t="n">
        <f aca="false">MAX(D1731,F1731+0.015)</f>
        <v>0.0880198832082216</v>
      </c>
      <c r="I1731" s="25" t="n">
        <f aca="false">(C1731-'DCF Base Case'!$B$3)*(1-E1731)+'DCF Base Case'!$B$3-G1731</f>
        <v>0.222002658966629</v>
      </c>
      <c r="J1731" s="24" t="n">
        <f aca="false">'DCF Base Case'!$B$2*(1+B1731)^1*$I1731-'DCF Base Case'!$B$2*(1+B1731)^0*B1731*'DCF Base Case'!$B$4</f>
        <v>35.8520346238041</v>
      </c>
      <c r="K1731" s="24" t="n">
        <f aca="false">'DCF Base Case'!$B$2*(1+B1731)^2*$I1731-'DCF Base Case'!$B$2*(1+B1731)^1*B1731*'DCF Base Case'!$B$4</f>
        <v>40.5673992559475</v>
      </c>
      <c r="L1731" s="24" t="n">
        <f aca="false">'DCF Base Case'!$B$2*(1+B1731)^3*$I1731-'DCF Base Case'!$B$2*(1+B1731)^2*B1731*'DCF Base Case'!$B$4</f>
        <v>45.9029424594712</v>
      </c>
      <c r="M1731" s="24" t="n">
        <f aca="false">'DCF Base Case'!$B$2*(1+B1731)^4*$I1731-'DCF Base Case'!$B$2*(1+B1731)^3*B1731*'DCF Base Case'!$B$4</f>
        <v>51.9402319370674</v>
      </c>
      <c r="N1731" s="24" t="n">
        <f aca="false">'DCF Base Case'!$B$2*(1+B1731)^5*$I1731-'DCF Base Case'!$B$2*(1+B1731)^4*B1731*'DCF Base Case'!$B$4</f>
        <v>58.7715634146611</v>
      </c>
      <c r="O1731" s="24" t="n">
        <f aca="false">J1731/(1+H1731)^1+K1731/(1+H1731)^2+L1731/(1+H1731)^3+M1731/(1+H1731)^4+N1731/(1+H1731)^5</f>
        <v>178.470868482464</v>
      </c>
      <c r="P1731" s="24" t="n">
        <f aca="false">N1731*(1+F1731)/(H1731-F1731)</f>
        <v>919.049517683797</v>
      </c>
      <c r="Q1731" s="24" t="n">
        <f aca="false">O1731+P1731/(1+H1731)^5</f>
        <v>781.245201754901</v>
      </c>
      <c r="R1731" s="24" t="n">
        <f aca="false">Q1731-'DCF Base Case'!$B$5</f>
        <v>596.245201754901</v>
      </c>
      <c r="S1731" s="32" t="n">
        <f aca="false">R1731/'DCF Base Case'!$B$6</f>
        <v>23.8498080701961</v>
      </c>
    </row>
    <row r="1732" customFormat="false" ht="15" hidden="false" customHeight="true" outlineLevel="0" collapsed="false">
      <c r="A1732" s="6" t="n">
        <v>1731</v>
      </c>
      <c r="B1732" s="30" t="n">
        <v>0.0571100480359542</v>
      </c>
      <c r="C1732" s="30" t="n">
        <v>0.389174484173542</v>
      </c>
      <c r="D1732" s="30" t="n">
        <v>0.106499400031576</v>
      </c>
      <c r="E1732" s="30" t="n">
        <v>0.333098385264152</v>
      </c>
      <c r="F1732" s="30" t="n">
        <v>0.0175520953872589</v>
      </c>
      <c r="G1732" s="30" t="n">
        <v>0.151628619753359</v>
      </c>
      <c r="H1732" s="31" t="n">
        <f aca="false">MAX(D1732,F1732+0.015)</f>
        <v>0.106499400031576</v>
      </c>
      <c r="I1732" s="25" t="n">
        <f aca="false">(C1732-'DCF Base Case'!$B$3)*(1-E1732)+'DCF Base Case'!$B$3-G1732</f>
        <v>0.151215262240307</v>
      </c>
      <c r="J1732" s="24" t="n">
        <f aca="false">'DCF Base Case'!$B$2*(1+B1732)^1*$I1732-'DCF Base Case'!$B$2*(1+B1732)^0*B1732*'DCF Base Case'!$B$4</f>
        <v>22.9299913949835</v>
      </c>
      <c r="K1732" s="24" t="n">
        <f aca="false">'DCF Base Case'!$B$2*(1+B1732)^2*$I1732-'DCF Base Case'!$B$2*(1+B1732)^1*B1732*'DCF Base Case'!$B$4</f>
        <v>24.239524305015</v>
      </c>
      <c r="L1732" s="24" t="n">
        <f aca="false">'DCF Base Case'!$B$2*(1+B1732)^3*$I1732-'DCF Base Case'!$B$2*(1+B1732)^2*B1732*'DCF Base Case'!$B$4</f>
        <v>25.6238447024431</v>
      </c>
      <c r="M1732" s="24" t="n">
        <f aca="false">'DCF Base Case'!$B$2*(1+B1732)^4*$I1732-'DCF Base Case'!$B$2*(1+B1732)^3*B1732*'DCF Base Case'!$B$4</f>
        <v>27.0872237042654</v>
      </c>
      <c r="N1732" s="24" t="n">
        <f aca="false">'DCF Base Case'!$B$2*(1+B1732)^5*$I1732-'DCF Base Case'!$B$2*(1+B1732)^4*B1732*'DCF Base Case'!$B$4</f>
        <v>28.6341763511767</v>
      </c>
      <c r="O1732" s="24" t="n">
        <f aca="false">J1732/(1+H1732)^1+K1732/(1+H1732)^2+L1732/(1+H1732)^3+M1732/(1+H1732)^4+N1732/(1+H1732)^5</f>
        <v>94.7689073652432</v>
      </c>
      <c r="P1732" s="24" t="n">
        <f aca="false">N1732*(1+F1732)/(H1732-F1732)</f>
        <v>327.573345390739</v>
      </c>
      <c r="Q1732" s="24" t="n">
        <f aca="false">O1732+P1732/(1+H1732)^5</f>
        <v>292.262332623909</v>
      </c>
      <c r="R1732" s="24" t="n">
        <f aca="false">Q1732-'DCF Base Case'!$B$5</f>
        <v>107.262332623909</v>
      </c>
      <c r="S1732" s="32" t="n">
        <f aca="false">R1732/'DCF Base Case'!$B$6</f>
        <v>4.29049330495637</v>
      </c>
    </row>
    <row r="1733" customFormat="false" ht="15" hidden="false" customHeight="true" outlineLevel="0" collapsed="false">
      <c r="A1733" s="6" t="n">
        <v>1732</v>
      </c>
      <c r="B1733" s="30" t="n">
        <v>0.0558847342617561</v>
      </c>
      <c r="C1733" s="30" t="n">
        <v>0.403000545998838</v>
      </c>
      <c r="D1733" s="30" t="n">
        <v>0.0867821402718693</v>
      </c>
      <c r="E1733" s="30" t="n">
        <v>0.303875760439616</v>
      </c>
      <c r="F1733" s="30" t="n">
        <v>0.0226229364654991</v>
      </c>
      <c r="G1733" s="30" t="n">
        <v>0.161097471513879</v>
      </c>
      <c r="H1733" s="31" t="n">
        <f aca="false">MAX(D1733,F1733+0.015)</f>
        <v>0.0867821402718693</v>
      </c>
      <c r="I1733" s="25" t="n">
        <f aca="false">(C1733-'DCF Base Case'!$B$3)*(1-E1733)+'DCF Base Case'!$B$3-G1733</f>
        <v>0.158944825969132</v>
      </c>
      <c r="J1733" s="24" t="n">
        <f aca="false">'DCF Base Case'!$B$2*(1+B1733)^1*$I1733-'DCF Base Case'!$B$2*(1+B1733)^0*B1733*'DCF Base Case'!$B$4</f>
        <v>24.0918766289125</v>
      </c>
      <c r="K1733" s="24" t="n">
        <f aca="false">'DCF Base Case'!$B$2*(1+B1733)^2*$I1733-'DCF Base Case'!$B$2*(1+B1733)^1*B1733*'DCF Base Case'!$B$4</f>
        <v>25.4382447521863</v>
      </c>
      <c r="L1733" s="24" t="n">
        <f aca="false">'DCF Base Case'!$B$2*(1+B1733)^3*$I1733-'DCF Base Case'!$B$2*(1+B1733)^2*B1733*'DCF Base Case'!$B$4</f>
        <v>26.8598543002478</v>
      </c>
      <c r="M1733" s="24" t="n">
        <f aca="false">'DCF Base Case'!$B$2*(1+B1733)^4*$I1733-'DCF Base Case'!$B$2*(1+B1733)^3*B1733*'DCF Base Case'!$B$4</f>
        <v>28.3609101201266</v>
      </c>
      <c r="N1733" s="24" t="n">
        <f aca="false">'DCF Base Case'!$B$2*(1+B1733)^5*$I1733-'DCF Base Case'!$B$2*(1+B1733)^4*B1733*'DCF Base Case'!$B$4</f>
        <v>29.9458520456114</v>
      </c>
      <c r="O1733" s="24" t="n">
        <f aca="false">J1733/(1+H1733)^1+K1733/(1+H1733)^2+L1733/(1+H1733)^3+M1733/(1+H1733)^4+N1733/(1+H1733)^5</f>
        <v>104.714636508518</v>
      </c>
      <c r="P1733" s="24" t="n">
        <f aca="false">N1733*(1+F1733)/(H1733-F1733)</f>
        <v>477.301982210758</v>
      </c>
      <c r="Q1733" s="24" t="n">
        <f aca="false">O1733+P1733/(1+H1733)^5</f>
        <v>419.548018043533</v>
      </c>
      <c r="R1733" s="24" t="n">
        <f aca="false">Q1733-'DCF Base Case'!$B$5</f>
        <v>234.548018043533</v>
      </c>
      <c r="S1733" s="32" t="n">
        <f aca="false">R1733/'DCF Base Case'!$B$6</f>
        <v>9.38192072174131</v>
      </c>
    </row>
    <row r="1734" customFormat="false" ht="15" hidden="false" customHeight="true" outlineLevel="0" collapsed="false">
      <c r="A1734" s="6" t="n">
        <v>1733</v>
      </c>
      <c r="B1734" s="30" t="n">
        <v>0.101980537901733</v>
      </c>
      <c r="C1734" s="30" t="n">
        <v>0.403964308037375</v>
      </c>
      <c r="D1734" s="30" t="n">
        <v>0.0909074678669676</v>
      </c>
      <c r="E1734" s="30" t="n">
        <v>0.267110678306164</v>
      </c>
      <c r="F1734" s="30" t="n">
        <v>0.020989430792953</v>
      </c>
      <c r="G1734" s="30" t="n">
        <v>0.174008972306338</v>
      </c>
      <c r="H1734" s="31" t="n">
        <f aca="false">MAX(D1734,F1734+0.015)</f>
        <v>0.0909074678669676</v>
      </c>
      <c r="I1734" s="25" t="n">
        <f aca="false">(C1734-'DCF Base Case'!$B$3)*(1-E1734)+'DCF Base Case'!$B$3-G1734</f>
        <v>0.156776543579495</v>
      </c>
      <c r="J1734" s="24" t="n">
        <f aca="false">'DCF Base Case'!$B$2*(1+B1734)^1*$I1734-'DCF Base Case'!$B$2*(1+B1734)^0*B1734*'DCF Base Case'!$B$4</f>
        <v>24.6072661346229</v>
      </c>
      <c r="K1734" s="24" t="n">
        <f aca="false">'DCF Base Case'!$B$2*(1+B1734)^2*$I1734-'DCF Base Case'!$B$2*(1+B1734)^1*B1734*'DCF Base Case'!$B$4</f>
        <v>27.1167283713228</v>
      </c>
      <c r="L1734" s="24" t="n">
        <f aca="false">'DCF Base Case'!$B$2*(1+B1734)^3*$I1734-'DCF Base Case'!$B$2*(1+B1734)^2*B1734*'DCF Base Case'!$B$4</f>
        <v>29.8821069167655</v>
      </c>
      <c r="M1734" s="24" t="n">
        <f aca="false">'DCF Base Case'!$B$2*(1+B1734)^4*$I1734-'DCF Base Case'!$B$2*(1+B1734)^3*B1734*'DCF Base Case'!$B$4</f>
        <v>32.9295002537744</v>
      </c>
      <c r="N1734" s="24" t="n">
        <f aca="false">'DCF Base Case'!$B$2*(1+B1734)^5*$I1734-'DCF Base Case'!$B$2*(1+B1734)^4*B1734*'DCF Base Case'!$B$4</f>
        <v>36.2876684024895</v>
      </c>
      <c r="O1734" s="24" t="n">
        <f aca="false">J1734/(1+H1734)^1+K1734/(1+H1734)^2+L1734/(1+H1734)^3+M1734/(1+H1734)^4+N1734/(1+H1734)^5</f>
        <v>115.096407818084</v>
      </c>
      <c r="P1734" s="24" t="n">
        <f aca="false">N1734*(1+F1734)/(H1734-F1734)</f>
        <v>529.896539684619</v>
      </c>
      <c r="Q1734" s="24" t="n">
        <f aca="false">O1734+P1734/(1+H1734)^5</f>
        <v>458.062756429664</v>
      </c>
      <c r="R1734" s="24" t="n">
        <f aca="false">Q1734-'DCF Base Case'!$B$5</f>
        <v>273.062756429664</v>
      </c>
      <c r="S1734" s="32" t="n">
        <f aca="false">R1734/'DCF Base Case'!$B$6</f>
        <v>10.9225102571866</v>
      </c>
    </row>
    <row r="1735" customFormat="false" ht="15" hidden="false" customHeight="true" outlineLevel="0" collapsed="false">
      <c r="A1735" s="6" t="n">
        <v>1734</v>
      </c>
      <c r="B1735" s="30" t="n">
        <v>0.091390691939655</v>
      </c>
      <c r="C1735" s="30" t="n">
        <v>0.430258792635543</v>
      </c>
      <c r="D1735" s="30" t="n">
        <v>0.0677256102150325</v>
      </c>
      <c r="E1735" s="30" t="n">
        <v>0.257765281580234</v>
      </c>
      <c r="F1735" s="30" t="n">
        <v>0.0182989460318678</v>
      </c>
      <c r="G1735" s="30" t="n">
        <v>0.137259564841714</v>
      </c>
      <c r="H1735" s="31" t="n">
        <f aca="false">MAX(D1735,F1735+0.015)</f>
        <v>0.0677256102150325</v>
      </c>
      <c r="I1735" s="25" t="n">
        <f aca="false">(C1735-'DCF Base Case'!$B$3)*(1-E1735)+'DCF Base Case'!$B$3-G1735</f>
        <v>0.215602935563187</v>
      </c>
      <c r="J1735" s="24" t="n">
        <f aca="false">'DCF Base Case'!$B$2*(1+B1735)^1*$I1735-'DCF Base Case'!$B$2*(1+B1735)^0*B1735*'DCF Base Case'!$B$4</f>
        <v>33.721970859199</v>
      </c>
      <c r="K1735" s="24" t="n">
        <f aca="false">'DCF Base Case'!$B$2*(1+B1735)^2*$I1735-'DCF Base Case'!$B$2*(1+B1735)^1*B1735*'DCF Base Case'!$B$4</f>
        <v>36.8038451095901</v>
      </c>
      <c r="L1735" s="24" t="n">
        <f aca="false">'DCF Base Case'!$B$2*(1+B1735)^3*$I1735-'DCF Base Case'!$B$2*(1+B1735)^2*B1735*'DCF Base Case'!$B$4</f>
        <v>40.1673739801954</v>
      </c>
      <c r="M1735" s="24" t="n">
        <f aca="false">'DCF Base Case'!$B$2*(1+B1735)^4*$I1735-'DCF Base Case'!$B$2*(1+B1735)^3*B1735*'DCF Base Case'!$B$4</f>
        <v>43.8382980816444</v>
      </c>
      <c r="N1735" s="24" t="n">
        <f aca="false">'DCF Base Case'!$B$2*(1+B1735)^5*$I1735-'DCF Base Case'!$B$2*(1+B1735)^4*B1735*'DCF Base Case'!$B$4</f>
        <v>47.8447104767827</v>
      </c>
      <c r="O1735" s="24" t="n">
        <f aca="false">J1735/(1+H1735)^1+K1735/(1+H1735)^2+L1735/(1+H1735)^3+M1735/(1+H1735)^4+N1735/(1+H1735)^5</f>
        <v>165.071901145005</v>
      </c>
      <c r="P1735" s="24" t="n">
        <f aca="false">N1735*(1+F1735)/(H1735-F1735)</f>
        <v>985.707189770302</v>
      </c>
      <c r="Q1735" s="24" t="n">
        <f aca="false">O1735+P1735/(1+H1735)^5</f>
        <v>875.384676321627</v>
      </c>
      <c r="R1735" s="24" t="n">
        <f aca="false">Q1735-'DCF Base Case'!$B$5</f>
        <v>690.384676321627</v>
      </c>
      <c r="S1735" s="32" t="n">
        <f aca="false">R1735/'DCF Base Case'!$B$6</f>
        <v>27.6153870528651</v>
      </c>
    </row>
    <row r="1736" customFormat="false" ht="15" hidden="false" customHeight="true" outlineLevel="0" collapsed="false">
      <c r="A1736" s="6" t="n">
        <v>1735</v>
      </c>
      <c r="B1736" s="30" t="n">
        <v>0.0813553956565912</v>
      </c>
      <c r="C1736" s="30" t="n">
        <v>0.403189380945473</v>
      </c>
      <c r="D1736" s="30" t="n">
        <v>0.0994065216533336</v>
      </c>
      <c r="E1736" s="30" t="n">
        <v>0.283750778271245</v>
      </c>
      <c r="F1736" s="30" t="n">
        <v>0.0230387659373654</v>
      </c>
      <c r="G1736" s="30" t="n">
        <v>0.172159639141093</v>
      </c>
      <c r="H1736" s="31" t="n">
        <f aca="false">MAX(D1736,F1736+0.015)</f>
        <v>0.0994065216533336</v>
      </c>
      <c r="I1736" s="25" t="n">
        <f aca="false">(C1736-'DCF Base Case'!$B$3)*(1-E1736)+'DCF Base Case'!$B$3-G1736</f>
        <v>0.153512042345662</v>
      </c>
      <c r="J1736" s="24" t="n">
        <f aca="false">'DCF Base Case'!$B$2*(1+B1736)^1*$I1736-'DCF Base Case'!$B$2*(1+B1736)^0*B1736*'DCF Base Case'!$B$4</f>
        <v>23.7162599457619</v>
      </c>
      <c r="K1736" s="24" t="n">
        <f aca="false">'DCF Base Case'!$B$2*(1+B1736)^2*$I1736-'DCF Base Case'!$B$2*(1+B1736)^1*B1736*'DCF Base Case'!$B$4</f>
        <v>25.6457056571439</v>
      </c>
      <c r="L1736" s="24" t="n">
        <f aca="false">'DCF Base Case'!$B$2*(1+B1736)^3*$I1736-'DCF Base Case'!$B$2*(1+B1736)^2*B1736*'DCF Base Case'!$B$4</f>
        <v>27.7321221877733</v>
      </c>
      <c r="M1736" s="24" t="n">
        <f aca="false">'DCF Base Case'!$B$2*(1+B1736)^4*$I1736-'DCF Base Case'!$B$2*(1+B1736)^3*B1736*'DCF Base Case'!$B$4</f>
        <v>29.9882799607565</v>
      </c>
      <c r="N1736" s="24" t="n">
        <f aca="false">'DCF Base Case'!$B$2*(1+B1736)^5*$I1736-'DCF Base Case'!$B$2*(1+B1736)^4*B1736*'DCF Base Case'!$B$4</f>
        <v>32.4279883420245</v>
      </c>
      <c r="O1736" s="24" t="n">
        <f aca="false">J1736/(1+H1736)^1+K1736/(1+H1736)^2+L1736/(1+H1736)^3+M1736/(1+H1736)^4+N1736/(1+H1736)^5</f>
        <v>104.37517235868</v>
      </c>
      <c r="P1736" s="24" t="n">
        <f aca="false">N1736*(1+F1736)/(H1736-F1736)</f>
        <v>434.412257689527</v>
      </c>
      <c r="Q1736" s="24" t="n">
        <f aca="false">O1736+P1736/(1+H1736)^5</f>
        <v>374.839832560558</v>
      </c>
      <c r="R1736" s="24" t="n">
        <f aca="false">Q1736-'DCF Base Case'!$B$5</f>
        <v>189.839832560558</v>
      </c>
      <c r="S1736" s="32" t="n">
        <f aca="false">R1736/'DCF Base Case'!$B$6</f>
        <v>7.59359330242233</v>
      </c>
    </row>
    <row r="1737" customFormat="false" ht="15" hidden="false" customHeight="true" outlineLevel="0" collapsed="false">
      <c r="A1737" s="6" t="n">
        <v>1736</v>
      </c>
      <c r="B1737" s="30" t="n">
        <v>0.0784768932939632</v>
      </c>
      <c r="C1737" s="30" t="n">
        <v>0.413396184113176</v>
      </c>
      <c r="D1737" s="30" t="n">
        <v>0.0930236896732539</v>
      </c>
      <c r="E1737" s="30" t="n">
        <v>0.316059971022571</v>
      </c>
      <c r="F1737" s="30" t="n">
        <v>0.0188481448182481</v>
      </c>
      <c r="G1737" s="30" t="n">
        <v>0.134103413080258</v>
      </c>
      <c r="H1737" s="31" t="n">
        <f aca="false">MAX(D1737,F1737+0.015)</f>
        <v>0.0930236896732539</v>
      </c>
      <c r="I1737" s="25" t="n">
        <f aca="false">(C1737-'DCF Base Case'!$B$3)*(1-E1737)+'DCF Base Case'!$B$3-G1737</f>
        <v>0.1897225812942</v>
      </c>
      <c r="J1737" s="24" t="n">
        <f aca="false">'DCF Base Case'!$B$2*(1+B1737)^1*$I1737-'DCF Base Case'!$B$2*(1+B1737)^0*B1737*'DCF Base Case'!$B$4</f>
        <v>29.327281423144</v>
      </c>
      <c r="K1737" s="24" t="n">
        <f aca="false">'DCF Base Case'!$B$2*(1+B1737)^2*$I1737-'DCF Base Case'!$B$2*(1+B1737)^1*B1737*'DCF Base Case'!$B$4</f>
        <v>31.6287953579901</v>
      </c>
      <c r="L1737" s="24" t="n">
        <f aca="false">'DCF Base Case'!$B$2*(1+B1737)^3*$I1737-'DCF Base Case'!$B$2*(1+B1737)^2*B1737*'DCF Base Case'!$B$4</f>
        <v>34.1109249563156</v>
      </c>
      <c r="M1737" s="24" t="n">
        <f aca="false">'DCF Base Case'!$B$2*(1+B1737)^4*$I1737-'DCF Base Case'!$B$2*(1+B1737)^3*B1737*'DCF Base Case'!$B$4</f>
        <v>36.7878443742708</v>
      </c>
      <c r="N1737" s="24" t="n">
        <f aca="false">'DCF Base Case'!$B$2*(1+B1737)^5*$I1737-'DCF Base Case'!$B$2*(1+B1737)^4*B1737*'DCF Base Case'!$B$4</f>
        <v>39.6748401117454</v>
      </c>
      <c r="O1737" s="24" t="n">
        <f aca="false">J1737/(1+H1737)^1+K1737/(1+H1737)^2+L1737/(1+H1737)^3+M1737/(1+H1737)^4+N1737/(1+H1737)^5</f>
        <v>130.632949616968</v>
      </c>
      <c r="P1737" s="24" t="n">
        <f aca="false">N1737*(1+F1737)/(H1737-F1737)</f>
        <v>544.959087564888</v>
      </c>
      <c r="Q1737" s="24" t="n">
        <f aca="false">O1737+P1737/(1+H1737)^5</f>
        <v>479.946976594364</v>
      </c>
      <c r="R1737" s="24" t="n">
        <f aca="false">Q1737-'DCF Base Case'!$B$5</f>
        <v>294.946976594364</v>
      </c>
      <c r="S1737" s="32" t="n">
        <f aca="false">R1737/'DCF Base Case'!$B$6</f>
        <v>11.7978790637746</v>
      </c>
    </row>
    <row r="1738" customFormat="false" ht="15" hidden="false" customHeight="true" outlineLevel="0" collapsed="false">
      <c r="A1738" s="6" t="n">
        <v>1737</v>
      </c>
      <c r="B1738" s="30" t="n">
        <v>0.0546486082652591</v>
      </c>
      <c r="C1738" s="30" t="n">
        <v>0.393063938561315</v>
      </c>
      <c r="D1738" s="30" t="n">
        <v>0.0592830834873723</v>
      </c>
      <c r="E1738" s="30" t="n">
        <v>0.331038105733956</v>
      </c>
      <c r="F1738" s="30" t="n">
        <v>0.021489178730659</v>
      </c>
      <c r="G1738" s="30" t="n">
        <v>0.152403502387236</v>
      </c>
      <c r="H1738" s="31" t="n">
        <f aca="false">MAX(D1738,F1738+0.015)</f>
        <v>0.0592830834873723</v>
      </c>
      <c r="I1738" s="25" t="n">
        <f aca="false">(C1738-'DCF Base Case'!$B$3)*(1-E1738)+'DCF Base Case'!$B$3-G1738</f>
        <v>0.153576248265828</v>
      </c>
      <c r="J1738" s="24" t="n">
        <f aca="false">'DCF Base Case'!$B$2*(1+B1738)^1*$I1738-'DCF Base Case'!$B$2*(1+B1738)^0*B1738*'DCF Base Case'!$B$4</f>
        <v>23.2477801459886</v>
      </c>
      <c r="K1738" s="24" t="n">
        <f aca="false">'DCF Base Case'!$B$2*(1+B1738)^2*$I1738-'DCF Base Case'!$B$2*(1+B1738)^1*B1738*'DCF Base Case'!$B$4</f>
        <v>24.5182389762236</v>
      </c>
      <c r="L1738" s="24" t="n">
        <f aca="false">'DCF Base Case'!$B$2*(1+B1738)^3*$I1738-'DCF Base Case'!$B$2*(1+B1738)^2*B1738*'DCF Base Case'!$B$4</f>
        <v>25.8581266133892</v>
      </c>
      <c r="M1738" s="24" t="n">
        <f aca="false">'DCF Base Case'!$B$2*(1+B1738)^4*$I1738-'DCF Base Case'!$B$2*(1+B1738)^3*B1738*'DCF Base Case'!$B$4</f>
        <v>27.2712372451578</v>
      </c>
      <c r="N1738" s="24" t="n">
        <f aca="false">'DCF Base Case'!$B$2*(1+B1738)^5*$I1738-'DCF Base Case'!$B$2*(1+B1738)^4*B1738*'DCF Base Case'!$B$4</f>
        <v>28.7615724062774</v>
      </c>
      <c r="O1738" s="24" t="n">
        <f aca="false">J1738/(1+H1738)^1+K1738/(1+H1738)^2+L1738/(1+H1738)^3+M1738/(1+H1738)^4+N1738/(1+H1738)^5</f>
        <v>108.777557087634</v>
      </c>
      <c r="P1738" s="24" t="n">
        <f aca="false">N1738*(1+F1738)/(H1738-F1738)</f>
        <v>777.364370403457</v>
      </c>
      <c r="Q1738" s="24" t="n">
        <f aca="false">O1738+P1738/(1+H1738)^5</f>
        <v>691.637819648747</v>
      </c>
      <c r="R1738" s="24" t="n">
        <f aca="false">Q1738-'DCF Base Case'!$B$5</f>
        <v>506.637819648747</v>
      </c>
      <c r="S1738" s="32" t="n">
        <f aca="false">R1738/'DCF Base Case'!$B$6</f>
        <v>20.2655127859499</v>
      </c>
    </row>
    <row r="1739" customFormat="false" ht="15" hidden="false" customHeight="true" outlineLevel="0" collapsed="false">
      <c r="A1739" s="6" t="n">
        <v>1738</v>
      </c>
      <c r="B1739" s="30" t="n">
        <v>0.065843321849244</v>
      </c>
      <c r="C1739" s="30" t="n">
        <v>0.426370102277241</v>
      </c>
      <c r="D1739" s="30" t="n">
        <v>0.072749991287839</v>
      </c>
      <c r="E1739" s="30" t="n">
        <v>0.258423550788463</v>
      </c>
      <c r="F1739" s="30" t="n">
        <v>0.0162309301926631</v>
      </c>
      <c r="G1739" s="30" t="n">
        <v>0.167774474666241</v>
      </c>
      <c r="H1739" s="31" t="n">
        <f aca="false">MAX(D1739,F1739+0.015)</f>
        <v>0.072749991287839</v>
      </c>
      <c r="I1739" s="25" t="n">
        <f aca="false">(C1739-'DCF Base Case'!$B$3)*(1-E1739)+'DCF Base Case'!$B$3-G1739</f>
        <v>0.182006613432975</v>
      </c>
      <c r="J1739" s="24" t="n">
        <f aca="false">'DCF Base Case'!$B$2*(1+B1739)^1*$I1739-'DCF Base Case'!$B$2*(1+B1739)^0*B1739*'DCF Base Case'!$B$4</f>
        <v>27.8422089016462</v>
      </c>
      <c r="K1739" s="24" t="n">
        <f aca="false">'DCF Base Case'!$B$2*(1+B1739)^2*$I1739-'DCF Base Case'!$B$2*(1+B1739)^1*B1739*'DCF Base Case'!$B$4</f>
        <v>29.6754324233512</v>
      </c>
      <c r="L1739" s="24" t="n">
        <f aca="false">'DCF Base Case'!$B$2*(1+B1739)^3*$I1739-'DCF Base Case'!$B$2*(1+B1739)^2*B1739*'DCF Base Case'!$B$4</f>
        <v>31.6293614714174</v>
      </c>
      <c r="M1739" s="24" t="n">
        <f aca="false">'DCF Base Case'!$B$2*(1+B1739)^4*$I1739-'DCF Base Case'!$B$2*(1+B1739)^3*B1739*'DCF Base Case'!$B$4</f>
        <v>33.711943698666</v>
      </c>
      <c r="N1739" s="24" t="n">
        <f aca="false">'DCF Base Case'!$B$2*(1+B1739)^5*$I1739-'DCF Base Case'!$B$2*(1+B1739)^4*B1739*'DCF Base Case'!$B$4</f>
        <v>35.9316500577808</v>
      </c>
      <c r="O1739" s="24" t="n">
        <f aca="false">J1739/(1+H1739)^1+K1739/(1+H1739)^2+L1739/(1+H1739)^3+M1739/(1+H1739)^4+N1739/(1+H1739)^5</f>
        <v>128.109987384788</v>
      </c>
      <c r="P1739" s="24" t="n">
        <f aca="false">N1739*(1+F1739)/(H1739-F1739)</f>
        <v>646.062646017532</v>
      </c>
      <c r="Q1739" s="24" t="n">
        <f aca="false">O1739+P1739/(1+H1739)^5</f>
        <v>582.869752382352</v>
      </c>
      <c r="R1739" s="24" t="n">
        <f aca="false">Q1739-'DCF Base Case'!$B$5</f>
        <v>397.869752382352</v>
      </c>
      <c r="S1739" s="32" t="n">
        <f aca="false">R1739/'DCF Base Case'!$B$6</f>
        <v>15.9147900952941</v>
      </c>
    </row>
    <row r="1740" customFormat="false" ht="15" hidden="false" customHeight="true" outlineLevel="0" collapsed="false">
      <c r="A1740" s="6" t="n">
        <v>1739</v>
      </c>
      <c r="B1740" s="30" t="n">
        <v>0.103437283046679</v>
      </c>
      <c r="C1740" s="30" t="n">
        <v>0.440919365261031</v>
      </c>
      <c r="D1740" s="30" t="n">
        <v>0.0964946842884137</v>
      </c>
      <c r="E1740" s="30" t="n">
        <v>0.279665483483763</v>
      </c>
      <c r="F1740" s="30" t="n">
        <v>0.0230079582732309</v>
      </c>
      <c r="G1740" s="30" t="n">
        <v>0.151692925880748</v>
      </c>
      <c r="H1740" s="31" t="n">
        <f aca="false">MAX(D1740,F1740+0.015)</f>
        <v>0.0964946842884137</v>
      </c>
      <c r="I1740" s="25" t="n">
        <f aca="false">(C1740-'DCF Base Case'!$B$3)*(1-E1740)+'DCF Base Case'!$B$3-G1740</f>
        <v>0.202273024770092</v>
      </c>
      <c r="J1740" s="24" t="n">
        <f aca="false">'DCF Base Case'!$B$2*(1+B1740)^1*$I1740-'DCF Base Case'!$B$2*(1+B1740)^0*B1740*'DCF Base Case'!$B$4</f>
        <v>31.9134093672088</v>
      </c>
      <c r="K1740" s="24" t="n">
        <f aca="false">'DCF Base Case'!$B$2*(1+B1740)^2*$I1740-'DCF Base Case'!$B$2*(1+B1740)^1*B1740*'DCF Base Case'!$B$4</f>
        <v>35.2144457249093</v>
      </c>
      <c r="L1740" s="24" t="n">
        <f aca="false">'DCF Base Case'!$B$2*(1+B1740)^3*$I1740-'DCF Base Case'!$B$2*(1+B1740)^2*B1740*'DCF Base Case'!$B$4</f>
        <v>38.8569323146887</v>
      </c>
      <c r="M1740" s="24" t="n">
        <f aca="false">'DCF Base Case'!$B$2*(1+B1740)^4*$I1740-'DCF Base Case'!$B$2*(1+B1740)^3*B1740*'DCF Base Case'!$B$4</f>
        <v>42.8761878208488</v>
      </c>
      <c r="N1740" s="24" t="n">
        <f aca="false">'DCF Base Case'!$B$2*(1+B1740)^5*$I1740-'DCF Base Case'!$B$2*(1+B1740)^4*B1740*'DCF Base Case'!$B$4</f>
        <v>47.3111841964365</v>
      </c>
      <c r="O1740" s="24" t="n">
        <f aca="false">J1740/(1+H1740)^1+K1740/(1+H1740)^2+L1740/(1+H1740)^3+M1740/(1+H1740)^4+N1740/(1+H1740)^5</f>
        <v>147.379210024143</v>
      </c>
      <c r="P1740" s="24" t="n">
        <f aca="false">N1740*(1+F1740)/(H1740-F1740)</f>
        <v>658.618509392915</v>
      </c>
      <c r="Q1740" s="24" t="n">
        <f aca="false">O1740+P1740/(1+H1740)^5</f>
        <v>562.908152490195</v>
      </c>
      <c r="R1740" s="24" t="n">
        <f aca="false">Q1740-'DCF Base Case'!$B$5</f>
        <v>377.908152490195</v>
      </c>
      <c r="S1740" s="32" t="n">
        <f aca="false">R1740/'DCF Base Case'!$B$6</f>
        <v>15.1163260996078</v>
      </c>
    </row>
    <row r="1741" customFormat="false" ht="15" hidden="false" customHeight="true" outlineLevel="0" collapsed="false">
      <c r="A1741" s="6" t="n">
        <v>1740</v>
      </c>
      <c r="B1741" s="30" t="n">
        <v>0.0530983993711255</v>
      </c>
      <c r="C1741" s="30" t="n">
        <v>0.384830534178684</v>
      </c>
      <c r="D1741" s="30" t="n">
        <v>0.0761311343429608</v>
      </c>
      <c r="E1741" s="30" t="n">
        <v>0.264622057058669</v>
      </c>
      <c r="F1741" s="30" t="n">
        <v>0.0154332195882533</v>
      </c>
      <c r="G1741" s="30" t="n">
        <v>0.155908773040595</v>
      </c>
      <c r="H1741" s="31" t="n">
        <f aca="false">MAX(D1741,F1741+0.015)</f>
        <v>0.0761311343429608</v>
      </c>
      <c r="I1741" s="25" t="n">
        <f aca="false">(C1741-'DCF Base Case'!$B$3)*(1-E1741)+'DCF Base Case'!$B$3-G1741</f>
        <v>0.161487980982366</v>
      </c>
      <c r="J1741" s="24" t="n">
        <f aca="false">'DCF Base Case'!$B$2*(1+B1741)^1*$I1741-'DCF Base Case'!$B$2*(1+B1741)^0*B1741*'DCF Base Case'!$B$4</f>
        <v>24.4281184348153</v>
      </c>
      <c r="K1741" s="24" t="n">
        <f aca="false">'DCF Base Case'!$B$2*(1+B1741)^2*$I1741-'DCF Base Case'!$B$2*(1+B1741)^1*B1741*'DCF Base Case'!$B$4</f>
        <v>25.7252124233522</v>
      </c>
      <c r="L1741" s="24" t="n">
        <f aca="false">'DCF Base Case'!$B$2*(1+B1741)^3*$I1741-'DCF Base Case'!$B$2*(1+B1741)^2*B1741*'DCF Base Case'!$B$4</f>
        <v>27.0911800265145</v>
      </c>
      <c r="M1741" s="24" t="n">
        <f aca="false">'DCF Base Case'!$B$2*(1+B1741)^4*$I1741-'DCF Base Case'!$B$2*(1+B1741)^3*B1741*'DCF Base Case'!$B$4</f>
        <v>28.5296783229974</v>
      </c>
      <c r="N1741" s="24" t="n">
        <f aca="false">'DCF Base Case'!$B$2*(1+B1741)^5*$I1741-'DCF Base Case'!$B$2*(1+B1741)^4*B1741*'DCF Base Case'!$B$4</f>
        <v>30.0445585765216</v>
      </c>
      <c r="O1741" s="24" t="n">
        <f aca="false">J1741/(1+H1741)^1+K1741/(1+H1741)^2+L1741/(1+H1741)^3+M1741/(1+H1741)^4+N1741/(1+H1741)^5</f>
        <v>108.744076753771</v>
      </c>
      <c r="P1741" s="24" t="n">
        <f aca="false">N1741*(1+F1741)/(H1741-F1741)</f>
        <v>502.624232970032</v>
      </c>
      <c r="Q1741" s="24" t="n">
        <f aca="false">O1741+P1741/(1+H1741)^5</f>
        <v>457.015179465862</v>
      </c>
      <c r="R1741" s="24" t="n">
        <f aca="false">Q1741-'DCF Base Case'!$B$5</f>
        <v>272.015179465862</v>
      </c>
      <c r="S1741" s="32" t="n">
        <f aca="false">R1741/'DCF Base Case'!$B$6</f>
        <v>10.8806071786345</v>
      </c>
    </row>
    <row r="1742" customFormat="false" ht="15" hidden="false" customHeight="true" outlineLevel="0" collapsed="false">
      <c r="A1742" s="6" t="n">
        <v>1741</v>
      </c>
      <c r="B1742" s="30" t="n">
        <v>0.103419730256891</v>
      </c>
      <c r="C1742" s="30" t="n">
        <v>0.448322118536812</v>
      </c>
      <c r="D1742" s="30" t="n">
        <v>0.0660211887831508</v>
      </c>
      <c r="E1742" s="30" t="n">
        <v>0.254752023288252</v>
      </c>
      <c r="F1742" s="30" t="n">
        <v>0.0161245258739316</v>
      </c>
      <c r="G1742" s="30" t="n">
        <v>0.183510416387989</v>
      </c>
      <c r="H1742" s="31" t="n">
        <f aca="false">MAX(D1742,F1742+0.015)</f>
        <v>0.0660211887831508</v>
      </c>
      <c r="I1742" s="25" t="n">
        <f aca="false">(C1742-'DCF Base Case'!$B$3)*(1-E1742)+'DCF Base Case'!$B$3-G1742</f>
        <v>0.183718498394167</v>
      </c>
      <c r="J1742" s="24" t="n">
        <f aca="false">'DCF Base Case'!$B$2*(1+B1742)^1*$I1742-'DCF Base Case'!$B$2*(1+B1742)^0*B1742*'DCF Base Case'!$B$4</f>
        <v>28.94432348487</v>
      </c>
      <c r="K1742" s="24" t="n">
        <f aca="false">'DCF Base Case'!$B$2*(1+B1742)^2*$I1742-'DCF Base Case'!$B$2*(1+B1742)^1*B1742*'DCF Base Case'!$B$4</f>
        <v>31.9377376121435</v>
      </c>
      <c r="L1742" s="24" t="n">
        <f aca="false">'DCF Base Case'!$B$2*(1+B1742)^3*$I1742-'DCF Base Case'!$B$2*(1+B1742)^2*B1742*'DCF Base Case'!$B$4</f>
        <v>35.2407298210067</v>
      </c>
      <c r="M1742" s="24" t="n">
        <f aca="false">'DCF Base Case'!$B$2*(1+B1742)^4*$I1742-'DCF Base Case'!$B$2*(1+B1742)^3*B1742*'DCF Base Case'!$B$4</f>
        <v>38.8853165931512</v>
      </c>
      <c r="N1742" s="24" t="n">
        <f aca="false">'DCF Base Case'!$B$2*(1+B1742)^5*$I1742-'DCF Base Case'!$B$2*(1+B1742)^4*B1742*'DCF Base Case'!$B$4</f>
        <v>42.9068255461688</v>
      </c>
      <c r="O1742" s="24" t="n">
        <f aca="false">J1742/(1+H1742)^1+K1742/(1+H1742)^2+L1742/(1+H1742)^3+M1742/(1+H1742)^4+N1742/(1+H1742)^5</f>
        <v>145.624217252399</v>
      </c>
      <c r="P1742" s="24" t="n">
        <f aca="false">N1742*(1+F1742)/(H1742-F1742)</f>
        <v>873.779431786422</v>
      </c>
      <c r="Q1742" s="24" t="n">
        <f aca="false">O1742+P1742/(1+H1742)^5</f>
        <v>780.330258894846</v>
      </c>
      <c r="R1742" s="24" t="n">
        <f aca="false">Q1742-'DCF Base Case'!$B$5</f>
        <v>595.330258894846</v>
      </c>
      <c r="S1742" s="32" t="n">
        <f aca="false">R1742/'DCF Base Case'!$B$6</f>
        <v>23.8132103557938</v>
      </c>
    </row>
    <row r="1743" customFormat="false" ht="15" hidden="false" customHeight="true" outlineLevel="0" collapsed="false">
      <c r="A1743" s="6" t="n">
        <v>1742</v>
      </c>
      <c r="B1743" s="30" t="n">
        <v>0.0857606049930583</v>
      </c>
      <c r="C1743" s="30" t="n">
        <v>0.396873982336188</v>
      </c>
      <c r="D1743" s="30" t="n">
        <v>0.0928840630847597</v>
      </c>
      <c r="E1743" s="30" t="n">
        <v>0.309043538390179</v>
      </c>
      <c r="F1743" s="30" t="n">
        <v>0.0192838759225579</v>
      </c>
      <c r="G1743" s="30" t="n">
        <v>0.148788010081445</v>
      </c>
      <c r="H1743" s="31" t="n">
        <f aca="false">MAX(D1743,F1743+0.015)</f>
        <v>0.0928840630847597</v>
      </c>
      <c r="I1743" s="25" t="n">
        <f aca="false">(C1743-'DCF Base Case'!$B$3)*(1-E1743)+'DCF Base Case'!$B$3-G1743</f>
        <v>0.165610292449289</v>
      </c>
      <c r="J1743" s="24" t="n">
        <f aca="false">'DCF Base Case'!$B$2*(1+B1743)^1*$I1743-'DCF Base Case'!$B$2*(1+B1743)^0*B1743*'DCF Base Case'!$B$4</f>
        <v>25.6998454100888</v>
      </c>
      <c r="K1743" s="24" t="n">
        <f aca="false">'DCF Base Case'!$B$2*(1+B1743)^2*$I1743-'DCF Base Case'!$B$2*(1+B1743)^1*B1743*'DCF Base Case'!$B$4</f>
        <v>27.903879700686</v>
      </c>
      <c r="L1743" s="24" t="n">
        <f aca="false">'DCF Base Case'!$B$2*(1+B1743)^3*$I1743-'DCF Base Case'!$B$2*(1+B1743)^2*B1743*'DCF Base Case'!$B$4</f>
        <v>30.2969333054704</v>
      </c>
      <c r="M1743" s="24" t="n">
        <f aca="false">'DCF Base Case'!$B$2*(1+B1743)^4*$I1743-'DCF Base Case'!$B$2*(1+B1743)^3*B1743*'DCF Base Case'!$B$4</f>
        <v>32.8952166351819</v>
      </c>
      <c r="N1743" s="24" t="n">
        <f aca="false">'DCF Base Case'!$B$2*(1+B1743)^5*$I1743-'DCF Base Case'!$B$2*(1+B1743)^4*B1743*'DCF Base Case'!$B$4</f>
        <v>35.7163303151928</v>
      </c>
      <c r="O1743" s="24" t="n">
        <f aca="false">J1743/(1+H1743)^1+K1743/(1+H1743)^2+L1743/(1+H1743)^3+M1743/(1+H1743)^4+N1743/(1+H1743)^5</f>
        <v>116.055297216988</v>
      </c>
      <c r="P1743" s="24" t="n">
        <f aca="false">N1743*(1+F1743)/(H1743-F1743)</f>
        <v>494.632975826131</v>
      </c>
      <c r="Q1743" s="24" t="n">
        <f aca="false">O1743+P1743/(1+H1743)^5</f>
        <v>433.313311414319</v>
      </c>
      <c r="R1743" s="24" t="n">
        <f aca="false">Q1743-'DCF Base Case'!$B$5</f>
        <v>248.313311414319</v>
      </c>
      <c r="S1743" s="32" t="n">
        <f aca="false">R1743/'DCF Base Case'!$B$6</f>
        <v>9.93253245657278</v>
      </c>
    </row>
    <row r="1744" customFormat="false" ht="15" hidden="false" customHeight="true" outlineLevel="0" collapsed="false">
      <c r="A1744" s="6" t="n">
        <v>1743</v>
      </c>
      <c r="B1744" s="30" t="n">
        <v>0.0956450345629052</v>
      </c>
      <c r="C1744" s="30" t="n">
        <v>0.412001395879838</v>
      </c>
      <c r="D1744" s="30" t="n">
        <v>0.0823488543183599</v>
      </c>
      <c r="E1744" s="30" t="n">
        <v>0.267002627410466</v>
      </c>
      <c r="F1744" s="30" t="n">
        <v>0.0226734888842765</v>
      </c>
      <c r="G1744" s="30" t="n">
        <v>0.17092821660031</v>
      </c>
      <c r="H1744" s="31" t="n">
        <f aca="false">MAX(D1744,F1744+0.015)</f>
        <v>0.0823488543183599</v>
      </c>
      <c r="I1744" s="25" t="n">
        <f aca="false">(C1744-'DCF Base Case'!$B$3)*(1-E1744)+'DCF Base Case'!$B$3-G1744</f>
        <v>0.165778065646192</v>
      </c>
      <c r="J1744" s="24" t="n">
        <f aca="false">'DCF Base Case'!$B$2*(1+B1744)^1*$I1744-'DCF Base Case'!$B$2*(1+B1744)^0*B1744*'DCF Base Case'!$B$4</f>
        <v>25.920861697032</v>
      </c>
      <c r="K1744" s="24" t="n">
        <f aca="false">'DCF Base Case'!$B$2*(1+B1744)^2*$I1744-'DCF Base Case'!$B$2*(1+B1744)^1*B1744*'DCF Base Case'!$B$4</f>
        <v>28.4000634099449</v>
      </c>
      <c r="L1744" s="24" t="n">
        <f aca="false">'DCF Base Case'!$B$2*(1+B1744)^3*$I1744-'DCF Base Case'!$B$2*(1+B1744)^2*B1744*'DCF Base Case'!$B$4</f>
        <v>31.1163884563778</v>
      </c>
      <c r="M1744" s="24" t="n">
        <f aca="false">'DCF Base Case'!$B$2*(1+B1744)^4*$I1744-'DCF Base Case'!$B$2*(1+B1744)^3*B1744*'DCF Base Case'!$B$4</f>
        <v>34.0925165057608</v>
      </c>
      <c r="N1744" s="24" t="n">
        <f aca="false">'DCF Base Case'!$B$2*(1+B1744)^5*$I1744-'DCF Base Case'!$B$2*(1+B1744)^4*B1744*'DCF Base Case'!$B$4</f>
        <v>37.3532964252907</v>
      </c>
      <c r="O1744" s="24" t="n">
        <f aca="false">J1744/(1+H1744)^1+K1744/(1+H1744)^2+L1744/(1+H1744)^3+M1744/(1+H1744)^4+N1744/(1+H1744)^5</f>
        <v>122.721921032495</v>
      </c>
      <c r="P1744" s="24" t="n">
        <f aca="false">N1744*(1+F1744)/(H1744-F1744)</f>
        <v>640.133926264366</v>
      </c>
      <c r="Q1744" s="24" t="n">
        <f aca="false">O1744+P1744/(1+H1744)^5</f>
        <v>553.679513105099</v>
      </c>
      <c r="R1744" s="24" t="n">
        <f aca="false">Q1744-'DCF Base Case'!$B$5</f>
        <v>368.679513105099</v>
      </c>
      <c r="S1744" s="32" t="n">
        <f aca="false">R1744/'DCF Base Case'!$B$6</f>
        <v>14.747180524204</v>
      </c>
    </row>
    <row r="1745" customFormat="false" ht="15" hidden="false" customHeight="true" outlineLevel="0" collapsed="false">
      <c r="A1745" s="6" t="n">
        <v>1744</v>
      </c>
      <c r="B1745" s="30" t="n">
        <v>0.112598279670002</v>
      </c>
      <c r="C1745" s="30" t="n">
        <v>0.445408035653072</v>
      </c>
      <c r="D1745" s="30" t="n">
        <v>0.0900487884575331</v>
      </c>
      <c r="E1745" s="30" t="n">
        <v>0.267126498015036</v>
      </c>
      <c r="F1745" s="30" t="n">
        <v>0.0230763577020716</v>
      </c>
      <c r="G1745" s="30" t="n">
        <v>0.17613239731281</v>
      </c>
      <c r="H1745" s="31" t="n">
        <f aca="false">MAX(D1745,F1745+0.015)</f>
        <v>0.0900487884575331</v>
      </c>
      <c r="I1745" s="25" t="n">
        <f aca="false">(C1745-'DCF Base Case'!$B$3)*(1-E1745)+'DCF Base Case'!$B$3-G1745</f>
        <v>0.185021794330455</v>
      </c>
      <c r="J1745" s="24" t="n">
        <f aca="false">'DCF Base Case'!$B$2*(1+B1745)^1*$I1745-'DCF Base Case'!$B$2*(1+B1745)^0*B1745*'DCF Base Case'!$B$4</f>
        <v>29.3591623440961</v>
      </c>
      <c r="K1745" s="24" t="n">
        <f aca="false">'DCF Base Case'!$B$2*(1+B1745)^2*$I1745-'DCF Base Case'!$B$2*(1+B1745)^1*B1745*'DCF Base Case'!$B$4</f>
        <v>32.6649535165936</v>
      </c>
      <c r="L1745" s="24" t="n">
        <f aca="false">'DCF Base Case'!$B$2*(1+B1745)^3*$I1745-'DCF Base Case'!$B$2*(1+B1745)^2*B1745*'DCF Base Case'!$B$4</f>
        <v>36.3429710880627</v>
      </c>
      <c r="M1745" s="24" t="n">
        <f aca="false">'DCF Base Case'!$B$2*(1+B1745)^4*$I1745-'DCF Base Case'!$B$2*(1+B1745)^3*B1745*'DCF Base Case'!$B$4</f>
        <v>40.4351271106751</v>
      </c>
      <c r="N1745" s="24" t="n">
        <f aca="false">'DCF Base Case'!$B$2*(1+B1745)^5*$I1745-'DCF Base Case'!$B$2*(1+B1745)^4*B1745*'DCF Base Case'!$B$4</f>
        <v>44.988052861575</v>
      </c>
      <c r="O1745" s="24" t="n">
        <f aca="false">J1745/(1+H1745)^1+K1745/(1+H1745)^2+L1745/(1+H1745)^3+M1745/(1+H1745)^4+N1745/(1+H1745)^5</f>
        <v>140.357196526907</v>
      </c>
      <c r="P1745" s="24" t="n">
        <f aca="false">N1745*(1+F1745)/(H1745-F1745)</f>
        <v>687.241193765019</v>
      </c>
      <c r="Q1745" s="24" t="n">
        <f aca="false">O1745+P1745/(1+H1745)^5</f>
        <v>586.916869192285</v>
      </c>
      <c r="R1745" s="24" t="n">
        <f aca="false">Q1745-'DCF Base Case'!$B$5</f>
        <v>401.916869192285</v>
      </c>
      <c r="S1745" s="32" t="n">
        <f aca="false">R1745/'DCF Base Case'!$B$6</f>
        <v>16.0766747676914</v>
      </c>
    </row>
    <row r="1746" customFormat="false" ht="15" hidden="false" customHeight="true" outlineLevel="0" collapsed="false">
      <c r="A1746" s="6" t="n">
        <v>1745</v>
      </c>
      <c r="B1746" s="30" t="n">
        <v>0.135196020716304</v>
      </c>
      <c r="C1746" s="30" t="n">
        <v>0.438576070666614</v>
      </c>
      <c r="D1746" s="30" t="n">
        <v>0.0926745684291549</v>
      </c>
      <c r="E1746" s="30" t="n">
        <v>0.288202870266265</v>
      </c>
      <c r="F1746" s="30" t="n">
        <v>0.0189773464417295</v>
      </c>
      <c r="G1746" s="30" t="n">
        <v>0.159894763523018</v>
      </c>
      <c r="H1746" s="31" t="n">
        <f aca="false">MAX(D1746,F1746+0.015)</f>
        <v>0.0926745684291549</v>
      </c>
      <c r="I1746" s="25" t="n">
        <f aca="false">(C1746-'DCF Base Case'!$B$3)*(1-E1746)+'DCF Base Case'!$B$3-G1746</f>
        <v>0.189748797881992</v>
      </c>
      <c r="J1746" s="24" t="n">
        <f aca="false">'DCF Base Case'!$B$2*(1+B1746)^1*$I1746-'DCF Base Case'!$B$2*(1+B1746)^0*B1746*'DCF Base Case'!$B$4</f>
        <v>30.6451989521283</v>
      </c>
      <c r="K1746" s="24" t="n">
        <f aca="false">'DCF Base Case'!$B$2*(1+B1746)^2*$I1746-'DCF Base Case'!$B$2*(1+B1746)^1*B1746*'DCF Base Case'!$B$4</f>
        <v>34.7883079045155</v>
      </c>
      <c r="L1746" s="24" t="n">
        <f aca="false">'DCF Base Case'!$B$2*(1+B1746)^3*$I1746-'DCF Base Case'!$B$2*(1+B1746)^2*B1746*'DCF Base Case'!$B$4</f>
        <v>39.4915487006596</v>
      </c>
      <c r="M1746" s="24" t="n">
        <f aca="false">'DCF Base Case'!$B$2*(1+B1746)^4*$I1746-'DCF Base Case'!$B$2*(1+B1746)^3*B1746*'DCF Base Case'!$B$4</f>
        <v>44.8306489369128</v>
      </c>
      <c r="N1746" s="24" t="n">
        <f aca="false">'DCF Base Case'!$B$2*(1+B1746)^5*$I1746-'DCF Base Case'!$B$2*(1+B1746)^4*B1746*'DCF Base Case'!$B$4</f>
        <v>50.8915742793131</v>
      </c>
      <c r="O1746" s="24" t="n">
        <f aca="false">J1746/(1+H1746)^1+K1746/(1+H1746)^2+L1746/(1+H1746)^3+M1746/(1+H1746)^4+N1746/(1+H1746)^5</f>
        <v>151.577394884324</v>
      </c>
      <c r="P1746" s="24" t="n">
        <f aca="false">N1746*(1+F1746)/(H1746-F1746)</f>
        <v>703.654220836503</v>
      </c>
      <c r="Q1746" s="24" t="n">
        <f aca="false">O1746+P1746/(1+H1746)^5</f>
        <v>603.334634754403</v>
      </c>
      <c r="R1746" s="24" t="n">
        <f aca="false">Q1746-'DCF Base Case'!$B$5</f>
        <v>418.334634754403</v>
      </c>
      <c r="S1746" s="32" t="n">
        <f aca="false">R1746/'DCF Base Case'!$B$6</f>
        <v>16.7333853901761</v>
      </c>
    </row>
    <row r="1747" customFormat="false" ht="15" hidden="false" customHeight="true" outlineLevel="0" collapsed="false">
      <c r="A1747" s="6" t="n">
        <v>1746</v>
      </c>
      <c r="B1747" s="30" t="n">
        <v>0.0961658928588759</v>
      </c>
      <c r="C1747" s="30" t="n">
        <v>0.426701690206198</v>
      </c>
      <c r="D1747" s="30" t="n">
        <v>0.0976982668960887</v>
      </c>
      <c r="E1747" s="30" t="n">
        <v>0.28876843722856</v>
      </c>
      <c r="F1747" s="30" t="n">
        <v>0.0175034214259918</v>
      </c>
      <c r="G1747" s="30" t="n">
        <v>0.158568855751525</v>
      </c>
      <c r="H1747" s="31" t="n">
        <f aca="false">MAX(D1747,F1747+0.015)</f>
        <v>0.0976982668960887</v>
      </c>
      <c r="I1747" s="25" t="n">
        <f aca="false">(C1747-'DCF Base Case'!$B$3)*(1-E1747)+'DCF Base Case'!$B$3-G1747</f>
        <v>0.182454751050757</v>
      </c>
      <c r="J1747" s="24" t="n">
        <f aca="false">'DCF Base Case'!$B$2*(1+B1747)^1*$I1747-'DCF Base Case'!$B$2*(1+B1747)^0*B1747*'DCF Base Case'!$B$4</f>
        <v>28.5817762543889</v>
      </c>
      <c r="K1747" s="24" t="n">
        <f aca="false">'DCF Base Case'!$B$2*(1+B1747)^2*$I1747-'DCF Base Case'!$B$2*(1+B1747)^1*B1747*'DCF Base Case'!$B$4</f>
        <v>31.3303682873849</v>
      </c>
      <c r="L1747" s="24" t="n">
        <f aca="false">'DCF Base Case'!$B$2*(1+B1747)^3*$I1747-'DCF Base Case'!$B$2*(1+B1747)^2*B1747*'DCF Base Case'!$B$4</f>
        <v>34.3432811273387</v>
      </c>
      <c r="M1747" s="24" t="n">
        <f aca="false">'DCF Base Case'!$B$2*(1+B1747)^4*$I1747-'DCF Base Case'!$B$2*(1+B1747)^3*B1747*'DCF Base Case'!$B$4</f>
        <v>37.6459334206526</v>
      </c>
      <c r="N1747" s="24" t="n">
        <f aca="false">'DCF Base Case'!$B$2*(1+B1747)^5*$I1747-'DCF Base Case'!$B$2*(1+B1747)^4*B1747*'DCF Base Case'!$B$4</f>
        <v>41.2661882205554</v>
      </c>
      <c r="O1747" s="24" t="n">
        <f aca="false">J1747/(1+H1747)^1+K1747/(1+H1747)^2+L1747/(1+H1747)^3+M1747/(1+H1747)^4+N1747/(1+H1747)^5</f>
        <v>129.826605269958</v>
      </c>
      <c r="P1747" s="24" t="n">
        <f aca="false">N1747*(1+F1747)/(H1747-F1747)</f>
        <v>523.580879263378</v>
      </c>
      <c r="Q1747" s="24" t="n">
        <f aca="false">O1747+P1747/(1+H1747)^5</f>
        <v>458.35195439676</v>
      </c>
      <c r="R1747" s="24" t="n">
        <f aca="false">Q1747-'DCF Base Case'!$B$5</f>
        <v>273.35195439676</v>
      </c>
      <c r="S1747" s="32" t="n">
        <f aca="false">R1747/'DCF Base Case'!$B$6</f>
        <v>10.9340781758704</v>
      </c>
    </row>
    <row r="1748" customFormat="false" ht="15" hidden="false" customHeight="true" outlineLevel="0" collapsed="false">
      <c r="A1748" s="6" t="n">
        <v>1747</v>
      </c>
      <c r="B1748" s="30" t="n">
        <v>0.0615555299480486</v>
      </c>
      <c r="C1748" s="30" t="n">
        <v>0.436575913752792</v>
      </c>
      <c r="D1748" s="30" t="n">
        <v>0.0790470902512707</v>
      </c>
      <c r="E1748" s="30" t="n">
        <v>0.30938038324197</v>
      </c>
      <c r="F1748" s="30" t="n">
        <v>0.0203357168292749</v>
      </c>
      <c r="G1748" s="30" t="n">
        <v>0.172208822819508</v>
      </c>
      <c r="H1748" s="31" t="n">
        <f aca="false">MAX(D1748,F1748+0.015)</f>
        <v>0.0790470902512707</v>
      </c>
      <c r="I1748" s="25" t="n">
        <f aca="false">(C1748-'DCF Base Case'!$B$3)*(1-E1748)+'DCF Base Case'!$B$3-G1748</f>
        <v>0.169518517243688</v>
      </c>
      <c r="J1748" s="24" t="n">
        <f aca="false">'DCF Base Case'!$B$2*(1+B1748)^1*$I1748-'DCF Base Case'!$B$2*(1+B1748)^0*B1748*'DCF Base Case'!$B$4</f>
        <v>25.8254647589774</v>
      </c>
      <c r="K1748" s="24" t="n">
        <f aca="false">'DCF Base Case'!$B$2*(1+B1748)^2*$I1748-'DCF Base Case'!$B$2*(1+B1748)^1*B1748*'DCF Base Case'!$B$4</f>
        <v>27.415164928371</v>
      </c>
      <c r="L1748" s="24" t="n">
        <f aca="false">'DCF Base Case'!$B$2*(1+B1748)^3*$I1748-'DCF Base Case'!$B$2*(1+B1748)^2*B1748*'DCF Base Case'!$B$4</f>
        <v>29.10271993415</v>
      </c>
      <c r="M1748" s="24" t="n">
        <f aca="false">'DCF Base Case'!$B$2*(1+B1748)^4*$I1748-'DCF Base Case'!$B$2*(1+B1748)^3*B1748*'DCF Base Case'!$B$4</f>
        <v>30.8941532826262</v>
      </c>
      <c r="N1748" s="24" t="n">
        <f aca="false">'DCF Base Case'!$B$2*(1+B1748)^5*$I1748-'DCF Base Case'!$B$2*(1+B1748)^4*B1748*'DCF Base Case'!$B$4</f>
        <v>32.7958592602345</v>
      </c>
      <c r="O1748" s="24" t="n">
        <f aca="false">J1748/(1+H1748)^1+K1748/(1+H1748)^2+L1748/(1+H1748)^3+M1748/(1+H1748)^4+N1748/(1+H1748)^5</f>
        <v>115.850625024078</v>
      </c>
      <c r="P1748" s="24" t="n">
        <f aca="false">N1748*(1+F1748)/(H1748-F1748)</f>
        <v>569.954075623562</v>
      </c>
      <c r="Q1748" s="24" t="n">
        <f aca="false">O1748+P1748/(1+H1748)^5</f>
        <v>505.467603243837</v>
      </c>
      <c r="R1748" s="24" t="n">
        <f aca="false">Q1748-'DCF Base Case'!$B$5</f>
        <v>320.467603243837</v>
      </c>
      <c r="S1748" s="32" t="n">
        <f aca="false">R1748/'DCF Base Case'!$B$6</f>
        <v>12.8187041297535</v>
      </c>
    </row>
    <row r="1749" customFormat="false" ht="15" hidden="false" customHeight="true" outlineLevel="0" collapsed="false">
      <c r="A1749" s="6" t="n">
        <v>1748</v>
      </c>
      <c r="B1749" s="30" t="n">
        <v>0.087605281943741</v>
      </c>
      <c r="C1749" s="30" t="n">
        <v>0.396163556875503</v>
      </c>
      <c r="D1749" s="30" t="n">
        <v>0.0743461105945883</v>
      </c>
      <c r="E1749" s="30" t="n">
        <v>0.329620381151954</v>
      </c>
      <c r="F1749" s="30" t="n">
        <v>0.019769288274495</v>
      </c>
      <c r="G1749" s="30" t="n">
        <v>0.192045988139486</v>
      </c>
      <c r="H1749" s="31" t="n">
        <f aca="false">MAX(D1749,F1749+0.015)</f>
        <v>0.0743461105945883</v>
      </c>
      <c r="I1749" s="25" t="n">
        <f aca="false">(C1749-'DCF Base Case'!$B$3)*(1-E1749)+'DCF Base Case'!$B$3-G1749</f>
        <v>0.116384635669954</v>
      </c>
      <c r="J1749" s="24" t="n">
        <f aca="false">'DCF Base Case'!$B$2*(1+B1749)^1*$I1749-'DCF Base Case'!$B$2*(1+B1749)^0*B1749*'DCF Base Case'!$B$4</f>
        <v>17.973095974847</v>
      </c>
      <c r="K1749" s="24" t="n">
        <f aca="false">'DCF Base Case'!$B$2*(1+B1749)^2*$I1749-'DCF Base Case'!$B$2*(1+B1749)^1*B1749*'DCF Base Case'!$B$4</f>
        <v>19.5476341151254</v>
      </c>
      <c r="L1749" s="24" t="n">
        <f aca="false">'DCF Base Case'!$B$2*(1+B1749)^3*$I1749-'DCF Base Case'!$B$2*(1+B1749)^2*B1749*'DCF Base Case'!$B$4</f>
        <v>21.260110113114</v>
      </c>
      <c r="M1749" s="24" t="n">
        <f aca="false">'DCF Base Case'!$B$2*(1+B1749)^4*$I1749-'DCF Base Case'!$B$2*(1+B1749)^3*B1749*'DCF Base Case'!$B$4</f>
        <v>23.1226080537284</v>
      </c>
      <c r="N1749" s="24" t="n">
        <f aca="false">'DCF Base Case'!$B$2*(1+B1749)^5*$I1749-'DCF Base Case'!$B$2*(1+B1749)^4*B1749*'DCF Base Case'!$B$4</f>
        <v>25.1482706515498</v>
      </c>
      <c r="O1749" s="24" t="n">
        <f aca="false">J1749/(1+H1749)^1+K1749/(1+H1749)^2+L1749/(1+H1749)^3+M1749/(1+H1749)^4+N1749/(1+H1749)^5</f>
        <v>85.7369848794205</v>
      </c>
      <c r="P1749" s="24" t="n">
        <f aca="false">N1749*(1+F1749)/(H1749-F1749)</f>
        <v>469.896065279411</v>
      </c>
      <c r="Q1749" s="24" t="n">
        <f aca="false">O1749+P1749/(1+H1749)^5</f>
        <v>414.044428038923</v>
      </c>
      <c r="R1749" s="24" t="n">
        <f aca="false">Q1749-'DCF Base Case'!$B$5</f>
        <v>229.044428038923</v>
      </c>
      <c r="S1749" s="32" t="n">
        <f aca="false">R1749/'DCF Base Case'!$B$6</f>
        <v>9.16177712155693</v>
      </c>
    </row>
    <row r="1750" customFormat="false" ht="15" hidden="false" customHeight="true" outlineLevel="0" collapsed="false">
      <c r="A1750" s="6" t="n">
        <v>1749</v>
      </c>
      <c r="B1750" s="30" t="n">
        <v>0.119623486228373</v>
      </c>
      <c r="C1750" s="30" t="n">
        <v>0.416908924581511</v>
      </c>
      <c r="D1750" s="30" t="n">
        <v>0.0896585634252063</v>
      </c>
      <c r="E1750" s="30" t="n">
        <v>0.28091824651691</v>
      </c>
      <c r="F1750" s="30" t="n">
        <v>0.0146506654606451</v>
      </c>
      <c r="G1750" s="30" t="n">
        <v>0.161336193049153</v>
      </c>
      <c r="H1750" s="31" t="n">
        <f aca="false">MAX(D1750,F1750+0.015)</f>
        <v>0.0896585634252063</v>
      </c>
      <c r="I1750" s="25" t="n">
        <f aca="false">(C1750-'DCF Base Case'!$B$3)*(1-E1750)+'DCF Base Case'!$B$3-G1750</f>
        <v>0.174974779528868</v>
      </c>
      <c r="J1750" s="24" t="n">
        <f aca="false">'DCF Base Case'!$B$2*(1+B1750)^1*$I1750-'DCF Base Case'!$B$2*(1+B1750)^0*B1750*'DCF Base Case'!$B$4</f>
        <v>27.8859893703386</v>
      </c>
      <c r="K1750" s="24" t="n">
        <f aca="false">'DCF Base Case'!$B$2*(1+B1750)^2*$I1750-'DCF Base Case'!$B$2*(1+B1750)^1*B1750*'DCF Base Case'!$B$4</f>
        <v>31.2218086357458</v>
      </c>
      <c r="L1750" s="24" t="n">
        <f aca="false">'DCF Base Case'!$B$2*(1+B1750)^3*$I1750-'DCF Base Case'!$B$2*(1+B1750)^2*B1750*'DCF Base Case'!$B$4</f>
        <v>34.9566702311089</v>
      </c>
      <c r="M1750" s="24" t="n">
        <f aca="false">'DCF Base Case'!$B$2*(1+B1750)^4*$I1750-'DCF Base Case'!$B$2*(1+B1750)^3*B1750*'DCF Base Case'!$B$4</f>
        <v>39.1383089910897</v>
      </c>
      <c r="N1750" s="24" t="n">
        <f aca="false">'DCF Base Case'!$B$2*(1+B1750)^5*$I1750-'DCF Base Case'!$B$2*(1+B1750)^4*B1750*'DCF Base Case'!$B$4</f>
        <v>43.8201699576871</v>
      </c>
      <c r="O1750" s="24" t="n">
        <f aca="false">J1750/(1+H1750)^1+K1750/(1+H1750)^2+L1750/(1+H1750)^3+M1750/(1+H1750)^4+N1750/(1+H1750)^5</f>
        <v>135.191165794905</v>
      </c>
      <c r="P1750" s="24" t="n">
        <f aca="false">N1750*(1+F1750)/(H1750-F1750)</f>
        <v>592.766439464451</v>
      </c>
      <c r="Q1750" s="24" t="n">
        <f aca="false">O1750+P1750/(1+H1750)^5</f>
        <v>521.052646106025</v>
      </c>
      <c r="R1750" s="24" t="n">
        <f aca="false">Q1750-'DCF Base Case'!$B$5</f>
        <v>336.052646106025</v>
      </c>
      <c r="S1750" s="32" t="n">
        <f aca="false">R1750/'DCF Base Case'!$B$6</f>
        <v>13.442105844241</v>
      </c>
    </row>
    <row r="1751" customFormat="false" ht="15" hidden="false" customHeight="true" outlineLevel="0" collapsed="false">
      <c r="A1751" s="6" t="n">
        <v>1750</v>
      </c>
      <c r="B1751" s="30" t="n">
        <v>0.102688355514215</v>
      </c>
      <c r="C1751" s="30" t="n">
        <v>0.408788713496409</v>
      </c>
      <c r="D1751" s="30" t="n">
        <v>0.0814267248509095</v>
      </c>
      <c r="E1751" s="30" t="n">
        <v>0.274957993276801</v>
      </c>
      <c r="F1751" s="30" t="n">
        <v>0.0259903812254722</v>
      </c>
      <c r="G1751" s="30" t="n">
        <v>0.131545278707416</v>
      </c>
      <c r="H1751" s="31" t="n">
        <f aca="false">MAX(D1751,F1751+0.015)</f>
        <v>0.0814267248509095</v>
      </c>
      <c r="I1751" s="25" t="n">
        <f aca="false">(C1751-'DCF Base Case'!$B$3)*(1-E1751)+'DCF Base Case'!$B$3-G1751</f>
        <v>0.200588249577799</v>
      </c>
      <c r="J1751" s="24" t="n">
        <f aca="false">'DCF Base Case'!$B$2*(1+B1751)^1*$I1751-'DCF Base Case'!$B$2*(1+B1751)^0*B1751*'DCF Base Case'!$B$4</f>
        <v>31.6253230775639</v>
      </c>
      <c r="K1751" s="24" t="n">
        <f aca="false">'DCF Base Case'!$B$2*(1+B1751)^2*$I1751-'DCF Base Case'!$B$2*(1+B1751)^1*B1751*'DCF Base Case'!$B$4</f>
        <v>34.8728754970046</v>
      </c>
      <c r="L1751" s="24" t="n">
        <f aca="false">'DCF Base Case'!$B$2*(1+B1751)^3*$I1751-'DCF Base Case'!$B$2*(1+B1751)^2*B1751*'DCF Base Case'!$B$4</f>
        <v>38.453913733844</v>
      </c>
      <c r="M1751" s="24" t="n">
        <f aca="false">'DCF Base Case'!$B$2*(1+B1751)^4*$I1751-'DCF Base Case'!$B$2*(1+B1751)^3*B1751*'DCF Base Case'!$B$4</f>
        <v>42.4026828982579</v>
      </c>
      <c r="N1751" s="24" t="n">
        <f aca="false">'DCF Base Case'!$B$2*(1+B1751)^5*$I1751-'DCF Base Case'!$B$2*(1+B1751)^4*B1751*'DCF Base Case'!$B$4</f>
        <v>46.7569446744708</v>
      </c>
      <c r="O1751" s="24" t="n">
        <f aca="false">J1751/(1+H1751)^1+K1751/(1+H1751)^2+L1751/(1+H1751)^3+M1751/(1+H1751)^4+N1751/(1+H1751)^5</f>
        <v>152.084122605852</v>
      </c>
      <c r="P1751" s="24" t="n">
        <f aca="false">N1751*(1+F1751)/(H1751-F1751)</f>
        <v>865.356052621881</v>
      </c>
      <c r="Q1751" s="24" t="n">
        <f aca="false">O1751+P1751/(1+H1751)^5</f>
        <v>737.156165257646</v>
      </c>
      <c r="R1751" s="24" t="n">
        <f aca="false">Q1751-'DCF Base Case'!$B$5</f>
        <v>552.156165257646</v>
      </c>
      <c r="S1751" s="32" t="n">
        <f aca="false">R1751/'DCF Base Case'!$B$6</f>
        <v>22.0862466103059</v>
      </c>
    </row>
    <row r="1752" customFormat="false" ht="15" hidden="false" customHeight="true" outlineLevel="0" collapsed="false">
      <c r="A1752" s="6" t="n">
        <v>1751</v>
      </c>
      <c r="B1752" s="30" t="n">
        <v>0.100759763762547</v>
      </c>
      <c r="C1752" s="30" t="n">
        <v>0.413407015436619</v>
      </c>
      <c r="D1752" s="30" t="n">
        <v>0.0779527960064732</v>
      </c>
      <c r="E1752" s="30" t="n">
        <v>0.272324286129239</v>
      </c>
      <c r="F1752" s="30" t="n">
        <v>0.0217458795842801</v>
      </c>
      <c r="G1752" s="30" t="n">
        <v>0.182500226099334</v>
      </c>
      <c r="H1752" s="31" t="n">
        <f aca="false">MAX(D1752,F1752+0.015)</f>
        <v>0.0779527960064732</v>
      </c>
      <c r="I1752" s="25" t="n">
        <f aca="false">(C1752-'DCF Base Case'!$B$3)*(1-E1752)+'DCF Base Case'!$B$3-G1752</f>
        <v>0.15372817617449</v>
      </c>
      <c r="J1752" s="24" t="n">
        <f aca="false">'DCF Base Case'!$B$2*(1+B1752)^1*$I1752-'DCF Base Case'!$B$2*(1+B1752)^0*B1752*'DCF Base Case'!$B$4</f>
        <v>24.0982747066073</v>
      </c>
      <c r="K1752" s="24" t="n">
        <f aca="false">'DCF Base Case'!$B$2*(1+B1752)^2*$I1752-'DCF Base Case'!$B$2*(1+B1752)^1*B1752*'DCF Base Case'!$B$4</f>
        <v>26.52641117313</v>
      </c>
      <c r="L1752" s="24" t="n">
        <f aca="false">'DCF Base Case'!$B$2*(1+B1752)^3*$I1752-'DCF Base Case'!$B$2*(1+B1752)^2*B1752*'DCF Base Case'!$B$4</f>
        <v>29.1992060964028</v>
      </c>
      <c r="M1752" s="24" t="n">
        <f aca="false">'DCF Base Case'!$B$2*(1+B1752)^4*$I1752-'DCF Base Case'!$B$2*(1+B1752)^3*B1752*'DCF Base Case'!$B$4</f>
        <v>32.1413112047302</v>
      </c>
      <c r="N1752" s="24" t="n">
        <f aca="false">'DCF Base Case'!$B$2*(1+B1752)^5*$I1752-'DCF Base Case'!$B$2*(1+B1752)^4*B1752*'DCF Base Case'!$B$4</f>
        <v>35.3798621287373</v>
      </c>
      <c r="O1752" s="24" t="n">
        <f aca="false">J1752/(1+H1752)^1+K1752/(1+H1752)^2+L1752/(1+H1752)^3+M1752/(1+H1752)^4+N1752/(1+H1752)^5</f>
        <v>116.609028010428</v>
      </c>
      <c r="P1752" s="24" t="n">
        <f aca="false">N1752*(1+F1752)/(H1752-F1752)</f>
        <v>643.145553098229</v>
      </c>
      <c r="Q1752" s="24" t="n">
        <f aca="false">O1752+P1752/(1+H1752)^5</f>
        <v>558.495345640273</v>
      </c>
      <c r="R1752" s="24" t="n">
        <f aca="false">Q1752-'DCF Base Case'!$B$5</f>
        <v>373.495345640273</v>
      </c>
      <c r="S1752" s="32" t="n">
        <f aca="false">R1752/'DCF Base Case'!$B$6</f>
        <v>14.9398138256109</v>
      </c>
    </row>
    <row r="1753" customFormat="false" ht="15" hidden="false" customHeight="true" outlineLevel="0" collapsed="false">
      <c r="A1753" s="6" t="n">
        <v>1752</v>
      </c>
      <c r="B1753" s="30" t="n">
        <v>0.0938363959944651</v>
      </c>
      <c r="C1753" s="30" t="n">
        <v>0.436493724831952</v>
      </c>
      <c r="D1753" s="30" t="n">
        <v>0.0989571629461064</v>
      </c>
      <c r="E1753" s="30" t="n">
        <v>0.304715217758046</v>
      </c>
      <c r="F1753" s="30" t="n">
        <v>0.0171541382974777</v>
      </c>
      <c r="G1753" s="30" t="n">
        <v>0.176837711715394</v>
      </c>
      <c r="H1753" s="31" t="n">
        <f aca="false">MAX(D1753,F1753+0.015)</f>
        <v>0.0989571629461064</v>
      </c>
      <c r="I1753" s="25" t="n">
        <f aca="false">(C1753-'DCF Base Case'!$B$3)*(1-E1753)+'DCF Base Case'!$B$3-G1753</f>
        <v>0.166262711012915</v>
      </c>
      <c r="J1753" s="24" t="n">
        <f aca="false">'DCF Base Case'!$B$2*(1+B1753)^1*$I1753-'DCF Base Case'!$B$2*(1+B1753)^0*B1753*'DCF Base Case'!$B$4</f>
        <v>25.9621213448063</v>
      </c>
      <c r="K1753" s="24" t="n">
        <f aca="false">'DCF Base Case'!$B$2*(1+B1753)^2*$I1753-'DCF Base Case'!$B$2*(1+B1753)^1*B1753*'DCF Base Case'!$B$4</f>
        <v>28.3983132441739</v>
      </c>
      <c r="L1753" s="24" t="n">
        <f aca="false">'DCF Base Case'!$B$2*(1+B1753)^3*$I1753-'DCF Base Case'!$B$2*(1+B1753)^2*B1753*'DCF Base Case'!$B$4</f>
        <v>31.0631086113291</v>
      </c>
      <c r="M1753" s="24" t="n">
        <f aca="false">'DCF Base Case'!$B$2*(1+B1753)^4*$I1753-'DCF Base Case'!$B$2*(1+B1753)^3*B1753*'DCF Base Case'!$B$4</f>
        <v>33.9779587718009</v>
      </c>
      <c r="N1753" s="24" t="n">
        <f aca="false">'DCF Base Case'!$B$2*(1+B1753)^5*$I1753-'DCF Base Case'!$B$2*(1+B1753)^4*B1753*'DCF Base Case'!$B$4</f>
        <v>37.1663279661952</v>
      </c>
      <c r="O1753" s="24" t="n">
        <f aca="false">J1753/(1+H1753)^1+K1753/(1+H1753)^2+L1753/(1+H1753)^3+M1753/(1+H1753)^4+N1753/(1+H1753)^5</f>
        <v>117.025929956702</v>
      </c>
      <c r="P1753" s="24" t="n">
        <f aca="false">N1753*(1+F1753)/(H1753-F1753)</f>
        <v>462.133086869551</v>
      </c>
      <c r="Q1753" s="24" t="n">
        <f aca="false">O1753+P1753/(1+H1753)^5</f>
        <v>405.338277970957</v>
      </c>
      <c r="R1753" s="24" t="n">
        <f aca="false">Q1753-'DCF Base Case'!$B$5</f>
        <v>220.338277970957</v>
      </c>
      <c r="S1753" s="32" t="n">
        <f aca="false">R1753/'DCF Base Case'!$B$6</f>
        <v>8.81353111883827</v>
      </c>
    </row>
    <row r="1754" customFormat="false" ht="15" hidden="false" customHeight="true" outlineLevel="0" collapsed="false">
      <c r="A1754" s="6" t="n">
        <v>1753</v>
      </c>
      <c r="B1754" s="30" t="n">
        <v>0.100705024803243</v>
      </c>
      <c r="C1754" s="30" t="n">
        <v>0.400828119298605</v>
      </c>
      <c r="D1754" s="30" t="n">
        <v>0.0677361721654032</v>
      </c>
      <c r="E1754" s="30" t="n">
        <v>0.24688519533685</v>
      </c>
      <c r="F1754" s="30" t="n">
        <v>0.0196110868519197</v>
      </c>
      <c r="G1754" s="30" t="n">
        <v>0.17207277854447</v>
      </c>
      <c r="H1754" s="31" t="n">
        <f aca="false">MAX(D1754,F1754+0.015)</f>
        <v>0.0677361721654032</v>
      </c>
      <c r="I1754" s="25" t="n">
        <f aca="false">(C1754-'DCF Base Case'!$B$3)*(1-E1754)+'DCF Base Case'!$B$3-G1754</f>
        <v>0.161891887618387</v>
      </c>
      <c r="J1754" s="24" t="n">
        <f aca="false">'DCF Base Case'!$B$2*(1+B1754)^1*$I1754-'DCF Base Case'!$B$2*(1+B1754)^0*B1754*'DCF Base Case'!$B$4</f>
        <v>25.4002391976898</v>
      </c>
      <c r="K1754" s="24" t="n">
        <f aca="false">'DCF Base Case'!$B$2*(1+B1754)^2*$I1754-'DCF Base Case'!$B$2*(1+B1754)^1*B1754*'DCF Base Case'!$B$4</f>
        <v>27.9581709161015</v>
      </c>
      <c r="L1754" s="24" t="n">
        <f aca="false">'DCF Base Case'!$B$2*(1+B1754)^3*$I1754-'DCF Base Case'!$B$2*(1+B1754)^2*B1754*'DCF Base Case'!$B$4</f>
        <v>30.7736992116608</v>
      </c>
      <c r="M1754" s="24" t="n">
        <f aca="false">'DCF Base Case'!$B$2*(1+B1754)^4*$I1754-'DCF Base Case'!$B$2*(1+B1754)^3*B1754*'DCF Base Case'!$B$4</f>
        <v>33.8727653540586</v>
      </c>
      <c r="N1754" s="24" t="n">
        <f aca="false">'DCF Base Case'!$B$2*(1+B1754)^5*$I1754-'DCF Base Case'!$B$2*(1+B1754)^4*B1754*'DCF Base Case'!$B$4</f>
        <v>37.2839230291935</v>
      </c>
      <c r="O1754" s="24" t="n">
        <f aca="false">J1754/(1+H1754)^1+K1754/(1+H1754)^2+L1754/(1+H1754)^3+M1754/(1+H1754)^4+N1754/(1+H1754)^5</f>
        <v>126.520059900704</v>
      </c>
      <c r="P1754" s="24" t="n">
        <f aca="false">N1754*(1+F1754)/(H1754-F1754)</f>
        <v>789.922782147222</v>
      </c>
      <c r="Q1754" s="24" t="n">
        <f aca="false">O1754+P1754/(1+H1754)^5</f>
        <v>695.720019648854</v>
      </c>
      <c r="R1754" s="24" t="n">
        <f aca="false">Q1754-'DCF Base Case'!$B$5</f>
        <v>510.720019648854</v>
      </c>
      <c r="S1754" s="32" t="n">
        <f aca="false">R1754/'DCF Base Case'!$B$6</f>
        <v>20.4288007859541</v>
      </c>
    </row>
    <row r="1755" customFormat="false" ht="15" hidden="false" customHeight="true" outlineLevel="0" collapsed="false">
      <c r="A1755" s="6" t="n">
        <v>1754</v>
      </c>
      <c r="B1755" s="30" t="n">
        <v>0.0643563328209872</v>
      </c>
      <c r="C1755" s="30" t="n">
        <v>0.426199824340804</v>
      </c>
      <c r="D1755" s="30" t="n">
        <v>0.0866743996422605</v>
      </c>
      <c r="E1755" s="30" t="n">
        <v>0.320384149992506</v>
      </c>
      <c r="F1755" s="30" t="n">
        <v>0.0206693136425207</v>
      </c>
      <c r="G1755" s="30" t="n">
        <v>0.143927928392699</v>
      </c>
      <c r="H1755" s="31" t="n">
        <f aca="false">MAX(D1755,F1755+0.015)</f>
        <v>0.0866743996422605</v>
      </c>
      <c r="I1755" s="25" t="n">
        <f aca="false">(C1755-'DCF Base Case'!$B$3)*(1-E1755)+'DCF Base Case'!$B$3-G1755</f>
        <v>0.187374166998747</v>
      </c>
      <c r="J1755" s="24" t="n">
        <f aca="false">'DCF Base Case'!$B$2*(1+B1755)^1*$I1755-'DCF Base Case'!$B$2*(1+B1755)^0*B1755*'DCF Base Case'!$B$4</f>
        <v>28.6378177337939</v>
      </c>
      <c r="K1755" s="24" t="n">
        <f aca="false">'DCF Base Case'!$B$2*(1+B1755)^2*$I1755-'DCF Base Case'!$B$2*(1+B1755)^1*B1755*'DCF Base Case'!$B$4</f>
        <v>30.4808426631367</v>
      </c>
      <c r="L1755" s="24" t="n">
        <f aca="false">'DCF Base Case'!$B$2*(1+B1755)^3*$I1755-'DCF Base Case'!$B$2*(1+B1755)^2*B1755*'DCF Base Case'!$B$4</f>
        <v>32.4424779182297</v>
      </c>
      <c r="M1755" s="24" t="n">
        <f aca="false">'DCF Base Case'!$B$2*(1+B1755)^4*$I1755-'DCF Base Case'!$B$2*(1+B1755)^3*B1755*'DCF Base Case'!$B$4</f>
        <v>34.5303568246728</v>
      </c>
      <c r="N1755" s="24" t="n">
        <f aca="false">'DCF Base Case'!$B$2*(1+B1755)^5*$I1755-'DCF Base Case'!$B$2*(1+B1755)^4*B1755*'DCF Base Case'!$B$4</f>
        <v>36.7526039609089</v>
      </c>
      <c r="O1755" s="24" t="n">
        <f aca="false">J1755/(1+H1755)^1+K1755/(1+H1755)^2+L1755/(1+H1755)^3+M1755/(1+H1755)^4+N1755/(1+H1755)^5</f>
        <v>126.465690650107</v>
      </c>
      <c r="P1755" s="24" t="n">
        <f aca="false">N1755*(1+F1755)/(H1755-F1755)</f>
        <v>568.323705532391</v>
      </c>
      <c r="Q1755" s="24" t="n">
        <f aca="false">O1755+P1755/(1+H1755)^5</f>
        <v>501.523827626715</v>
      </c>
      <c r="R1755" s="24" t="n">
        <f aca="false">Q1755-'DCF Base Case'!$B$5</f>
        <v>316.523827626715</v>
      </c>
      <c r="S1755" s="32" t="n">
        <f aca="false">R1755/'DCF Base Case'!$B$6</f>
        <v>12.6609531050686</v>
      </c>
    </row>
    <row r="1756" customFormat="false" ht="15" hidden="false" customHeight="true" outlineLevel="0" collapsed="false">
      <c r="A1756" s="6" t="n">
        <v>1755</v>
      </c>
      <c r="B1756" s="30" t="n">
        <v>0.099789602729562</v>
      </c>
      <c r="C1756" s="30" t="n">
        <v>0.430652975131877</v>
      </c>
      <c r="D1756" s="30" t="n">
        <v>0.078976140555243</v>
      </c>
      <c r="E1756" s="30" t="n">
        <v>0.252814201275412</v>
      </c>
      <c r="F1756" s="30" t="n">
        <v>0.0197206192101048</v>
      </c>
      <c r="G1756" s="30" t="n">
        <v>0.145175461324398</v>
      </c>
      <c r="H1756" s="31" t="n">
        <f aca="false">MAX(D1756,F1756+0.015)</f>
        <v>0.078976140555243</v>
      </c>
      <c r="I1756" s="25" t="n">
        <f aca="false">(C1756-'DCF Base Case'!$B$3)*(1-E1756)+'DCF Base Case'!$B$3-G1756</f>
        <v>0.209468172038437</v>
      </c>
      <c r="J1756" s="24" t="n">
        <f aca="false">'DCF Base Case'!$B$2*(1+B1756)^1*$I1756-'DCF Base Case'!$B$2*(1+B1756)^0*B1756*'DCF Base Case'!$B$4</f>
        <v>32.9696982961693</v>
      </c>
      <c r="K1756" s="24" t="n">
        <f aca="false">'DCF Base Case'!$B$2*(1+B1756)^2*$I1756-'DCF Base Case'!$B$2*(1+B1756)^1*B1756*'DCF Base Case'!$B$4</f>
        <v>36.2597313912575</v>
      </c>
      <c r="L1756" s="24" t="n">
        <f aca="false">'DCF Base Case'!$B$2*(1+B1756)^3*$I1756-'DCF Base Case'!$B$2*(1+B1756)^2*B1756*'DCF Base Case'!$B$4</f>
        <v>39.8780755818717</v>
      </c>
      <c r="M1756" s="24" t="n">
        <f aca="false">'DCF Base Case'!$B$2*(1+B1756)^4*$I1756-'DCF Base Case'!$B$2*(1+B1756)^3*B1756*'DCF Base Case'!$B$4</f>
        <v>43.8574929018062</v>
      </c>
      <c r="N1756" s="24" t="n">
        <f aca="false">'DCF Base Case'!$B$2*(1+B1756)^5*$I1756-'DCF Base Case'!$B$2*(1+B1756)^4*B1756*'DCF Base Case'!$B$4</f>
        <v>48.234014695192</v>
      </c>
      <c r="O1756" s="24" t="n">
        <f aca="false">J1756/(1+H1756)^1+K1756/(1+H1756)^2+L1756/(1+H1756)^3+M1756/(1+H1756)^4+N1756/(1+H1756)^5</f>
        <v>158.791481308193</v>
      </c>
      <c r="P1756" s="24" t="n">
        <f aca="false">N1756*(1+F1756)/(H1756-F1756)</f>
        <v>830.052933725576</v>
      </c>
      <c r="Q1756" s="24" t="n">
        <f aca="false">O1756+P1756/(1+H1756)^5</f>
        <v>726.396965288321</v>
      </c>
      <c r="R1756" s="24" t="n">
        <f aca="false">Q1756-'DCF Base Case'!$B$5</f>
        <v>541.396965288321</v>
      </c>
      <c r="S1756" s="32" t="n">
        <f aca="false">R1756/'DCF Base Case'!$B$6</f>
        <v>21.6558786115328</v>
      </c>
    </row>
    <row r="1757" customFormat="false" ht="15" hidden="false" customHeight="true" outlineLevel="0" collapsed="false">
      <c r="A1757" s="6" t="n">
        <v>1756</v>
      </c>
      <c r="B1757" s="30" t="n">
        <v>0.114390642194501</v>
      </c>
      <c r="C1757" s="30" t="n">
        <v>0.415009651003134</v>
      </c>
      <c r="D1757" s="30" t="n">
        <v>0.103970612171426</v>
      </c>
      <c r="E1757" s="30" t="n">
        <v>0.246084617155852</v>
      </c>
      <c r="F1757" s="30" t="n">
        <v>0.0198428817105875</v>
      </c>
      <c r="G1757" s="30" t="n">
        <v>0.198583318702267</v>
      </c>
      <c r="H1757" s="31" t="n">
        <f aca="false">MAX(D1757,F1757+0.015)</f>
        <v>0.103970612171426</v>
      </c>
      <c r="I1757" s="25" t="n">
        <f aca="false">(C1757-'DCF Base Case'!$B$3)*(1-E1757)+'DCF Base Case'!$B$3-G1757</f>
        <v>0.146289841448038</v>
      </c>
      <c r="J1757" s="24" t="n">
        <f aca="false">'DCF Base Case'!$B$2*(1+B1757)^1*$I1757-'DCF Base Case'!$B$2*(1+B1757)^0*B1757*'DCF Base Case'!$B$4</f>
        <v>23.1408851083364</v>
      </c>
      <c r="K1757" s="24" t="n">
        <f aca="false">'DCF Base Case'!$B$2*(1+B1757)^2*$I1757-'DCF Base Case'!$B$2*(1+B1757)^1*B1757*'DCF Base Case'!$B$4</f>
        <v>25.7879858168282</v>
      </c>
      <c r="L1757" s="24" t="n">
        <f aca="false">'DCF Base Case'!$B$2*(1+B1757)^3*$I1757-'DCF Base Case'!$B$2*(1+B1757)^2*B1757*'DCF Base Case'!$B$4</f>
        <v>28.7378900753179</v>
      </c>
      <c r="M1757" s="24" t="n">
        <f aca="false">'DCF Base Case'!$B$2*(1+B1757)^4*$I1757-'DCF Base Case'!$B$2*(1+B1757)^3*B1757*'DCF Base Case'!$B$4</f>
        <v>32.0252357763485</v>
      </c>
      <c r="N1757" s="24" t="n">
        <f aca="false">'DCF Base Case'!$B$2*(1+B1757)^5*$I1757-'DCF Base Case'!$B$2*(1+B1757)^4*B1757*'DCF Base Case'!$B$4</f>
        <v>35.6886230632353</v>
      </c>
      <c r="O1757" s="24" t="n">
        <f aca="false">J1757/(1+H1757)^1+K1757/(1+H1757)^2+L1757/(1+H1757)^3+M1757/(1+H1757)^4+N1757/(1+H1757)^5</f>
        <v>106.804776072228</v>
      </c>
      <c r="P1757" s="24" t="n">
        <f aca="false">N1757*(1+F1757)/(H1757-F1757)</f>
        <v>432.637229005429</v>
      </c>
      <c r="Q1757" s="24" t="n">
        <f aca="false">O1757+P1757/(1+H1757)^5</f>
        <v>370.642155963763</v>
      </c>
      <c r="R1757" s="24" t="n">
        <f aca="false">Q1757-'DCF Base Case'!$B$5</f>
        <v>185.642155963763</v>
      </c>
      <c r="S1757" s="32" t="n">
        <f aca="false">R1757/'DCF Base Case'!$B$6</f>
        <v>7.42568623855053</v>
      </c>
    </row>
    <row r="1758" customFormat="false" ht="15" hidden="false" customHeight="true" outlineLevel="0" collapsed="false">
      <c r="A1758" s="6" t="n">
        <v>1757</v>
      </c>
      <c r="B1758" s="30" t="n">
        <v>0.0705492432118057</v>
      </c>
      <c r="C1758" s="30" t="n">
        <v>0.403988179048557</v>
      </c>
      <c r="D1758" s="30" t="n">
        <v>0.0805666071419955</v>
      </c>
      <c r="E1758" s="30" t="n">
        <v>0.263662889882524</v>
      </c>
      <c r="F1758" s="30" t="n">
        <v>0.0202238142586082</v>
      </c>
      <c r="G1758" s="30" t="n">
        <v>0.139757268554276</v>
      </c>
      <c r="H1758" s="31" t="n">
        <f aca="false">MAX(D1758,F1758+0.015)</f>
        <v>0.0805666071419955</v>
      </c>
      <c r="I1758" s="25" t="n">
        <f aca="false">(C1758-'DCF Base Case'!$B$3)*(1-E1758)+'DCF Base Case'!$B$3-G1758</f>
        <v>0.191990395412688</v>
      </c>
      <c r="J1758" s="24" t="n">
        <f aca="false">'DCF Base Case'!$B$2*(1+B1758)^1*$I1758-'DCF Base Case'!$B$2*(1+B1758)^0*B1758*'DCF Base Case'!$B$4</f>
        <v>29.495710806412</v>
      </c>
      <c r="K1758" s="24" t="n">
        <f aca="false">'DCF Base Case'!$B$2*(1+B1758)^2*$I1758-'DCF Base Case'!$B$2*(1+B1758)^1*B1758*'DCF Base Case'!$B$4</f>
        <v>31.5766108817986</v>
      </c>
      <c r="L1758" s="24" t="n">
        <f aca="false">'DCF Base Case'!$B$2*(1+B1758)^3*$I1758-'DCF Base Case'!$B$2*(1+B1758)^2*B1758*'DCF Base Case'!$B$4</f>
        <v>33.8043168827032</v>
      </c>
      <c r="M1758" s="24" t="n">
        <f aca="false">'DCF Base Case'!$B$2*(1+B1758)^4*$I1758-'DCF Base Case'!$B$2*(1+B1758)^3*B1758*'DCF Base Case'!$B$4</f>
        <v>36.18918585607</v>
      </c>
      <c r="N1758" s="24" t="n">
        <f aca="false">'DCF Base Case'!$B$2*(1+B1758)^5*$I1758-'DCF Base Case'!$B$2*(1+B1758)^4*B1758*'DCF Base Case'!$B$4</f>
        <v>38.7423055306671</v>
      </c>
      <c r="O1758" s="24" t="n">
        <f aca="false">J1758/(1+H1758)^1+K1758/(1+H1758)^2+L1758/(1+H1758)^3+M1758/(1+H1758)^4+N1758/(1+H1758)^5</f>
        <v>133.975446671801</v>
      </c>
      <c r="P1758" s="24" t="n">
        <f aca="false">N1758*(1+F1758)/(H1758-F1758)</f>
        <v>655.021433927551</v>
      </c>
      <c r="Q1758" s="24" t="n">
        <f aca="false">O1758+P1758/(1+H1758)^5</f>
        <v>578.604461368471</v>
      </c>
      <c r="R1758" s="24" t="n">
        <f aca="false">Q1758-'DCF Base Case'!$B$5</f>
        <v>393.604461368471</v>
      </c>
      <c r="S1758" s="32" t="n">
        <f aca="false">R1758/'DCF Base Case'!$B$6</f>
        <v>15.7441784547389</v>
      </c>
    </row>
    <row r="1759" customFormat="false" ht="15" hidden="false" customHeight="true" outlineLevel="0" collapsed="false">
      <c r="A1759" s="6" t="n">
        <v>1758</v>
      </c>
      <c r="B1759" s="30" t="n">
        <v>0.0877399492744485</v>
      </c>
      <c r="C1759" s="30" t="n">
        <v>0.423760026274659</v>
      </c>
      <c r="D1759" s="30" t="n">
        <v>0.0826339691747469</v>
      </c>
      <c r="E1759" s="30" t="n">
        <v>0.258679744827675</v>
      </c>
      <c r="F1759" s="30" t="n">
        <v>0.0230413768113546</v>
      </c>
      <c r="G1759" s="30" t="n">
        <v>0.182640939640802</v>
      </c>
      <c r="H1759" s="31" t="n">
        <f aca="false">MAX(D1759,F1759+0.015)</f>
        <v>0.0826339691747469</v>
      </c>
      <c r="I1759" s="25" t="n">
        <f aca="false">(C1759-'DCF Base Case'!$B$3)*(1-E1759)+'DCF Base Case'!$B$3-G1759</f>
        <v>0.165129317996557</v>
      </c>
      <c r="J1759" s="24" t="n">
        <f aca="false">'DCF Base Case'!$B$2*(1+B1759)^1*$I1759-'DCF Base Case'!$B$2*(1+B1759)^0*B1759*'DCF Base Case'!$B$4</f>
        <v>25.6629058379446</v>
      </c>
      <c r="K1759" s="24" t="n">
        <f aca="false">'DCF Base Case'!$B$2*(1+B1759)^2*$I1759-'DCF Base Case'!$B$2*(1+B1759)^1*B1759*'DCF Base Case'!$B$4</f>
        <v>27.9145678944008</v>
      </c>
      <c r="L1759" s="24" t="n">
        <f aca="false">'DCF Base Case'!$B$2*(1+B1759)^3*$I1759-'DCF Base Case'!$B$2*(1+B1759)^2*B1759*'DCF Base Case'!$B$4</f>
        <v>30.3637906654736</v>
      </c>
      <c r="M1759" s="24" t="n">
        <f aca="false">'DCF Base Case'!$B$2*(1+B1759)^4*$I1759-'DCF Base Case'!$B$2*(1+B1759)^3*B1759*'DCF Base Case'!$B$4</f>
        <v>33.0279081182422</v>
      </c>
      <c r="N1759" s="24" t="n">
        <f aca="false">'DCF Base Case'!$B$2*(1+B1759)^5*$I1759-'DCF Base Case'!$B$2*(1+B1759)^4*B1759*'DCF Base Case'!$B$4</f>
        <v>35.925775101178</v>
      </c>
      <c r="O1759" s="24" t="n">
        <f aca="false">J1759/(1+H1759)^1+K1759/(1+H1759)^2+L1759/(1+H1759)^3+M1759/(1+H1759)^4+N1759/(1+H1759)^5</f>
        <v>119.64392692288</v>
      </c>
      <c r="P1759" s="24" t="n">
        <f aca="false">N1759*(1+F1759)/(H1759-F1759)</f>
        <v>616.747031214938</v>
      </c>
      <c r="Q1759" s="24" t="n">
        <f aca="false">O1759+P1759/(1+H1759)^5</f>
        <v>534.310301549016</v>
      </c>
      <c r="R1759" s="24" t="n">
        <f aca="false">Q1759-'DCF Base Case'!$B$5</f>
        <v>349.310301549016</v>
      </c>
      <c r="S1759" s="32" t="n">
        <f aca="false">R1759/'DCF Base Case'!$B$6</f>
        <v>13.9724120619606</v>
      </c>
    </row>
    <row r="1760" customFormat="false" ht="15" hidden="false" customHeight="true" outlineLevel="0" collapsed="false">
      <c r="A1760" s="6" t="n">
        <v>1759</v>
      </c>
      <c r="B1760" s="30" t="n">
        <v>0.0672850090922134</v>
      </c>
      <c r="C1760" s="30" t="n">
        <v>0.378563786405481</v>
      </c>
      <c r="D1760" s="30" t="n">
        <v>0.0745288314240679</v>
      </c>
      <c r="E1760" s="30" t="n">
        <v>0.296161816497339</v>
      </c>
      <c r="F1760" s="30" t="n">
        <v>0.0203322774982187</v>
      </c>
      <c r="G1760" s="30" t="n">
        <v>0.184105175921369</v>
      </c>
      <c r="H1760" s="31" t="n">
        <f aca="false">MAX(D1760,F1760+0.015)</f>
        <v>0.0745288314240679</v>
      </c>
      <c r="I1760" s="25" t="n">
        <f aca="false">(C1760-'DCF Base Case'!$B$3)*(1-E1760)+'DCF Base Case'!$B$3-G1760</f>
        <v>0.120843507986808</v>
      </c>
      <c r="J1760" s="24" t="n">
        <f aca="false">'DCF Base Case'!$B$2*(1+B1760)^1*$I1760-'DCF Base Case'!$B$2*(1+B1760)^0*B1760*'DCF Base Case'!$B$4</f>
        <v>18.408607565912</v>
      </c>
      <c r="K1760" s="24" t="n">
        <f aca="false">'DCF Base Case'!$B$2*(1+B1760)^2*$I1760-'DCF Base Case'!$B$2*(1+B1760)^1*B1760*'DCF Base Case'!$B$4</f>
        <v>19.6472308933594</v>
      </c>
      <c r="L1760" s="24" t="n">
        <f aca="false">'DCF Base Case'!$B$2*(1+B1760)^3*$I1760-'DCF Base Case'!$B$2*(1+B1760)^2*B1760*'DCF Base Case'!$B$4</f>
        <v>20.9691950026559</v>
      </c>
      <c r="M1760" s="24" t="n">
        <f aca="false">'DCF Base Case'!$B$2*(1+B1760)^4*$I1760-'DCF Base Case'!$B$2*(1+B1760)^3*B1760*'DCF Base Case'!$B$4</f>
        <v>22.380107479066</v>
      </c>
      <c r="N1760" s="24" t="n">
        <f aca="false">'DCF Base Case'!$B$2*(1+B1760)^5*$I1760-'DCF Base Case'!$B$2*(1+B1760)^4*B1760*'DCF Base Case'!$B$4</f>
        <v>23.8859532142797</v>
      </c>
      <c r="O1760" s="24" t="n">
        <f aca="false">J1760/(1+H1760)^1+K1760/(1+H1760)^2+L1760/(1+H1760)^3+M1760/(1+H1760)^4+N1760/(1+H1760)^5</f>
        <v>84.511812317425</v>
      </c>
      <c r="P1760" s="24" t="n">
        <f aca="false">N1760*(1+F1760)/(H1760-F1760)</f>
        <v>449.68927501713</v>
      </c>
      <c r="Q1760" s="24" t="n">
        <f aca="false">O1760+P1760/(1+H1760)^5</f>
        <v>398.434110901613</v>
      </c>
      <c r="R1760" s="24" t="n">
        <f aca="false">Q1760-'DCF Base Case'!$B$5</f>
        <v>213.434110901613</v>
      </c>
      <c r="S1760" s="32" t="n">
        <f aca="false">R1760/'DCF Base Case'!$B$6</f>
        <v>8.5373644360645</v>
      </c>
    </row>
    <row r="1761" customFormat="false" ht="15" hidden="false" customHeight="true" outlineLevel="0" collapsed="false">
      <c r="A1761" s="6" t="n">
        <v>1760</v>
      </c>
      <c r="B1761" s="30" t="n">
        <v>0.083136721709395</v>
      </c>
      <c r="C1761" s="30" t="n">
        <v>0.391315657881169</v>
      </c>
      <c r="D1761" s="30" t="n">
        <v>0.0951073113725595</v>
      </c>
      <c r="E1761" s="30" t="n">
        <v>0.266159579070769</v>
      </c>
      <c r="F1761" s="30" t="n">
        <v>0.020022468042034</v>
      </c>
      <c r="G1761" s="30" t="n">
        <v>0.135566602520799</v>
      </c>
      <c r="H1761" s="31" t="n">
        <f aca="false">MAX(D1761,F1761+0.015)</f>
        <v>0.0951073113725595</v>
      </c>
      <c r="I1761" s="25" t="n">
        <f aca="false">(C1761-'DCF Base Case'!$B$3)*(1-E1761)+'DCF Base Case'!$B$3-G1761</f>
        <v>0.186197389854117</v>
      </c>
      <c r="J1761" s="24" t="n">
        <f aca="false">'DCF Base Case'!$B$2*(1+B1761)^1*$I1761-'DCF Base Case'!$B$2*(1+B1761)^0*B1761*'DCF Base Case'!$B$4</f>
        <v>28.8815536739921</v>
      </c>
      <c r="K1761" s="24" t="n">
        <f aca="false">'DCF Base Case'!$B$2*(1+B1761)^2*$I1761-'DCF Base Case'!$B$2*(1+B1761)^1*B1761*'DCF Base Case'!$B$4</f>
        <v>31.2826713643218</v>
      </c>
      <c r="L1761" s="24" t="n">
        <f aca="false">'DCF Base Case'!$B$2*(1+B1761)^3*$I1761-'DCF Base Case'!$B$2*(1+B1761)^2*B1761*'DCF Base Case'!$B$4</f>
        <v>33.8834101078639</v>
      </c>
      <c r="M1761" s="24" t="n">
        <f aca="false">'DCF Base Case'!$B$2*(1+B1761)^4*$I1761-'DCF Base Case'!$B$2*(1+B1761)^3*B1761*'DCF Base Case'!$B$4</f>
        <v>36.7003657445666</v>
      </c>
      <c r="N1761" s="24" t="n">
        <f aca="false">'DCF Base Case'!$B$2*(1+B1761)^5*$I1761-'DCF Base Case'!$B$2*(1+B1761)^4*B1761*'DCF Base Case'!$B$4</f>
        <v>39.7515138381057</v>
      </c>
      <c r="O1761" s="24" t="n">
        <f aca="false">J1761/(1+H1761)^1+K1761/(1+H1761)^2+L1761/(1+H1761)^3+M1761/(1+H1761)^4+N1761/(1+H1761)^5</f>
        <v>129.014803408036</v>
      </c>
      <c r="P1761" s="24" t="n">
        <f aca="false">N1761*(1+F1761)/(H1761-F1761)</f>
        <v>540.021600299021</v>
      </c>
      <c r="Q1761" s="24" t="n">
        <f aca="false">O1761+P1761/(1+H1761)^5</f>
        <v>471.883423062062</v>
      </c>
      <c r="R1761" s="24" t="n">
        <f aca="false">Q1761-'DCF Base Case'!$B$5</f>
        <v>286.883423062062</v>
      </c>
      <c r="S1761" s="32" t="n">
        <f aca="false">R1761/'DCF Base Case'!$B$6</f>
        <v>11.4753369224825</v>
      </c>
    </row>
    <row r="1762" customFormat="false" ht="15" hidden="false" customHeight="true" outlineLevel="0" collapsed="false">
      <c r="A1762" s="6" t="n">
        <v>1761</v>
      </c>
      <c r="B1762" s="30" t="n">
        <v>0.0777096235887412</v>
      </c>
      <c r="C1762" s="30" t="n">
        <v>0.429814039510531</v>
      </c>
      <c r="D1762" s="30" t="n">
        <v>0.0771209797666316</v>
      </c>
      <c r="E1762" s="30" t="n">
        <v>0.304656708320483</v>
      </c>
      <c r="F1762" s="30" t="n">
        <v>0.0113146589286264</v>
      </c>
      <c r="G1762" s="30" t="n">
        <v>0.153938015622412</v>
      </c>
      <c r="H1762" s="31" t="n">
        <f aca="false">MAX(D1762,F1762+0.015)</f>
        <v>0.0771209797666316</v>
      </c>
      <c r="I1762" s="25" t="n">
        <f aca="false">(C1762-'DCF Base Case'!$B$3)*(1-E1762)+'DCF Base Case'!$B$3-G1762</f>
        <v>0.184535665502573</v>
      </c>
      <c r="J1762" s="24" t="n">
        <f aca="false">'DCF Base Case'!$B$2*(1+B1762)^1*$I1762-'DCF Base Case'!$B$2*(1+B1762)^0*B1762*'DCF Base Case'!$B$4</f>
        <v>28.498963215473</v>
      </c>
      <c r="K1762" s="24" t="n">
        <f aca="false">'DCF Base Case'!$B$2*(1+B1762)^2*$I1762-'DCF Base Case'!$B$2*(1+B1762)^1*B1762*'DCF Base Case'!$B$4</f>
        <v>30.7136069196168</v>
      </c>
      <c r="L1762" s="24" t="n">
        <f aca="false">'DCF Base Case'!$B$2*(1+B1762)^3*$I1762-'DCF Base Case'!$B$2*(1+B1762)^2*B1762*'DCF Base Case'!$B$4</f>
        <v>33.1003497523928</v>
      </c>
      <c r="M1762" s="24" t="n">
        <f aca="false">'DCF Base Case'!$B$2*(1+B1762)^4*$I1762-'DCF Base Case'!$B$2*(1+B1762)^3*B1762*'DCF Base Case'!$B$4</f>
        <v>35.6725654723069</v>
      </c>
      <c r="N1762" s="24" t="n">
        <f aca="false">'DCF Base Case'!$B$2*(1+B1762)^5*$I1762-'DCF Base Case'!$B$2*(1+B1762)^4*B1762*'DCF Base Case'!$B$4</f>
        <v>38.4446671076046</v>
      </c>
      <c r="O1762" s="24" t="n">
        <f aca="false">J1762/(1+H1762)^1+K1762/(1+H1762)^2+L1762/(1+H1762)^3+M1762/(1+H1762)^4+N1762/(1+H1762)^5</f>
        <v>132.436977823297</v>
      </c>
      <c r="P1762" s="24" t="n">
        <f aca="false">N1762*(1+F1762)/(H1762-F1762)</f>
        <v>590.819467012317</v>
      </c>
      <c r="Q1762" s="24" t="n">
        <f aca="false">O1762+P1762/(1+H1762)^5</f>
        <v>539.941442705958</v>
      </c>
      <c r="R1762" s="24" t="n">
        <f aca="false">Q1762-'DCF Base Case'!$B$5</f>
        <v>354.941442705958</v>
      </c>
      <c r="S1762" s="32" t="n">
        <f aca="false">R1762/'DCF Base Case'!$B$6</f>
        <v>14.1976577082383</v>
      </c>
    </row>
    <row r="1763" customFormat="false" ht="15" hidden="false" customHeight="true" outlineLevel="0" collapsed="false">
      <c r="A1763" s="6" t="n">
        <v>1762</v>
      </c>
      <c r="B1763" s="30" t="n">
        <v>0.0864743185695224</v>
      </c>
      <c r="C1763" s="30" t="n">
        <v>0.444777029996252</v>
      </c>
      <c r="D1763" s="30" t="n">
        <v>0.072140308319841</v>
      </c>
      <c r="E1763" s="30" t="n">
        <v>0.300140068559793</v>
      </c>
      <c r="F1763" s="30" t="n">
        <v>0.0231334377166782</v>
      </c>
      <c r="G1763" s="30" t="n">
        <v>0.150679253837624</v>
      </c>
      <c r="H1763" s="31" t="n">
        <f aca="false">MAX(D1763,F1763+0.015)</f>
        <v>0.072140308319841</v>
      </c>
      <c r="I1763" s="25" t="n">
        <f aca="false">(C1763-'DCF Base Case'!$B$3)*(1-E1763)+'DCF Base Case'!$B$3-G1763</f>
        <v>0.199620576794505</v>
      </c>
      <c r="J1763" s="24" t="n">
        <f aca="false">'DCF Base Case'!$B$2*(1+B1763)^1*$I1763-'DCF Base Case'!$B$2*(1+B1763)^0*B1763*'DCF Base Case'!$B$4</f>
        <v>31.071818085286</v>
      </c>
      <c r="K1763" s="24" t="n">
        <f aca="false">'DCF Base Case'!$B$2*(1+B1763)^2*$I1763-'DCF Base Case'!$B$2*(1+B1763)^1*B1763*'DCF Base Case'!$B$4</f>
        <v>33.7587323809272</v>
      </c>
      <c r="L1763" s="24" t="n">
        <f aca="false">'DCF Base Case'!$B$2*(1+B1763)^3*$I1763-'DCF Base Case'!$B$2*(1+B1763)^2*B1763*'DCF Base Case'!$B$4</f>
        <v>36.6779957593388</v>
      </c>
      <c r="M1763" s="24" t="n">
        <f aca="false">'DCF Base Case'!$B$2*(1+B1763)^4*$I1763-'DCF Base Case'!$B$2*(1+B1763)^3*B1763*'DCF Base Case'!$B$4</f>
        <v>39.8497004491234</v>
      </c>
      <c r="N1763" s="24" t="n">
        <f aca="false">'DCF Base Case'!$B$2*(1+B1763)^5*$I1763-'DCF Base Case'!$B$2*(1+B1763)^4*B1763*'DCF Base Case'!$B$4</f>
        <v>43.295676140661</v>
      </c>
      <c r="O1763" s="24" t="n">
        <f aca="false">J1763/(1+H1763)^1+K1763/(1+H1763)^2+L1763/(1+H1763)^3+M1763/(1+H1763)^4+N1763/(1+H1763)^5</f>
        <v>148.832345986134</v>
      </c>
      <c r="P1763" s="24" t="n">
        <f aca="false">N1763*(1+F1763)/(H1763-F1763)</f>
        <v>903.898849750337</v>
      </c>
      <c r="Q1763" s="24" t="n">
        <f aca="false">O1763+P1763/(1+H1763)^5</f>
        <v>786.892630496652</v>
      </c>
      <c r="R1763" s="24" t="n">
        <f aca="false">Q1763-'DCF Base Case'!$B$5</f>
        <v>601.892630496652</v>
      </c>
      <c r="S1763" s="32" t="n">
        <f aca="false">R1763/'DCF Base Case'!$B$6</f>
        <v>24.0757052198661</v>
      </c>
    </row>
    <row r="1764" customFormat="false" ht="15" hidden="false" customHeight="true" outlineLevel="0" collapsed="false">
      <c r="A1764" s="6" t="n">
        <v>1763</v>
      </c>
      <c r="B1764" s="30" t="n">
        <v>0.0820938987402351</v>
      </c>
      <c r="C1764" s="30" t="n">
        <v>0.414814571898837</v>
      </c>
      <c r="D1764" s="30" t="n">
        <v>0.0687036653608822</v>
      </c>
      <c r="E1764" s="30" t="n">
        <v>0.268224228452896</v>
      </c>
      <c r="F1764" s="30" t="n">
        <v>0.023859844512778</v>
      </c>
      <c r="G1764" s="30" t="n">
        <v>0.177530676112946</v>
      </c>
      <c r="H1764" s="31" t="n">
        <f aca="false">MAX(D1764,F1764+0.015)</f>
        <v>0.0687036653608822</v>
      </c>
      <c r="I1764" s="25" t="n">
        <f aca="false">(C1764-'DCF Base Case'!$B$3)*(1-E1764)+'DCF Base Case'!$B$3-G1764</f>
        <v>0.160889726986184</v>
      </c>
      <c r="J1764" s="24" t="n">
        <f aca="false">'DCF Base Case'!$B$2*(1+B1764)^1*$I1764-'DCF Base Case'!$B$2*(1+B1764)^0*B1764*'DCF Base Case'!$B$4</f>
        <v>24.887071372031</v>
      </c>
      <c r="K1764" s="24" t="n">
        <f aca="false">'DCF Base Case'!$B$2*(1+B1764)^2*$I1764-'DCF Base Case'!$B$2*(1+B1764)^1*B1764*'DCF Base Case'!$B$4</f>
        <v>26.9301480891876</v>
      </c>
      <c r="L1764" s="24" t="n">
        <f aca="false">'DCF Base Case'!$B$2*(1+B1764)^3*$I1764-'DCF Base Case'!$B$2*(1+B1764)^2*B1764*'DCF Base Case'!$B$4</f>
        <v>29.1409489394808</v>
      </c>
      <c r="M1764" s="24" t="n">
        <f aca="false">'DCF Base Case'!$B$2*(1+B1764)^4*$I1764-'DCF Base Case'!$B$2*(1+B1764)^3*B1764*'DCF Base Case'!$B$4</f>
        <v>31.5332430509129</v>
      </c>
      <c r="N1764" s="24" t="n">
        <f aca="false">'DCF Base Case'!$B$2*(1+B1764)^5*$I1764-'DCF Base Case'!$B$2*(1+B1764)^4*B1764*'DCF Base Case'!$B$4</f>
        <v>34.1219299128858</v>
      </c>
      <c r="O1764" s="24" t="n">
        <f aca="false">J1764/(1+H1764)^1+K1764/(1+H1764)^2+L1764/(1+H1764)^3+M1764/(1+H1764)^4+N1764/(1+H1764)^5</f>
        <v>119.390323520349</v>
      </c>
      <c r="P1764" s="24" t="n">
        <f aca="false">N1764*(1+F1764)/(H1764-F1764)</f>
        <v>779.061043291099</v>
      </c>
      <c r="Q1764" s="24" t="n">
        <f aca="false">O1764+P1764/(1+H1764)^5</f>
        <v>678.227118977425</v>
      </c>
      <c r="R1764" s="24" t="n">
        <f aca="false">Q1764-'DCF Base Case'!$B$5</f>
        <v>493.227118977425</v>
      </c>
      <c r="S1764" s="32" t="n">
        <f aca="false">R1764/'DCF Base Case'!$B$6</f>
        <v>19.729084759097</v>
      </c>
    </row>
    <row r="1765" customFormat="false" ht="15" hidden="false" customHeight="true" outlineLevel="0" collapsed="false">
      <c r="A1765" s="6" t="n">
        <v>1764</v>
      </c>
      <c r="B1765" s="30" t="n">
        <v>0.0867824984239675</v>
      </c>
      <c r="C1765" s="30" t="n">
        <v>0.41587630099716</v>
      </c>
      <c r="D1765" s="30" t="n">
        <v>0.0913899590208275</v>
      </c>
      <c r="E1765" s="30" t="n">
        <v>0.303337765273171</v>
      </c>
      <c r="F1765" s="30" t="n">
        <v>0.0171111658573408</v>
      </c>
      <c r="G1765" s="30" t="n">
        <v>0.20064652053436</v>
      </c>
      <c r="H1765" s="31" t="n">
        <f aca="false">MAX(D1765,F1765+0.015)</f>
        <v>0.0913899590208275</v>
      </c>
      <c r="I1765" s="25" t="n">
        <f aca="false">(C1765-'DCF Base Case'!$B$3)*(1-E1765)+'DCF Base Case'!$B$3-G1765</f>
        <v>0.128512702173761</v>
      </c>
      <c r="J1765" s="24" t="n">
        <f aca="false">'DCF Base Case'!$B$2*(1+B1765)^1*$I1765-'DCF Base Case'!$B$2*(1+B1765)^0*B1765*'DCF Base Case'!$B$4</f>
        <v>19.87397268626</v>
      </c>
      <c r="K1765" s="24" t="n">
        <f aca="false">'DCF Base Case'!$B$2*(1+B1765)^2*$I1765-'DCF Base Case'!$B$2*(1+B1765)^1*B1765*'DCF Base Case'!$B$4</f>
        <v>21.5986856895833</v>
      </c>
      <c r="L1765" s="24" t="n">
        <f aca="false">'DCF Base Case'!$B$2*(1+B1765)^3*$I1765-'DCF Base Case'!$B$2*(1+B1765)^2*B1765*'DCF Base Case'!$B$4</f>
        <v>23.4730735963993</v>
      </c>
      <c r="M1765" s="24" t="n">
        <f aca="false">'DCF Base Case'!$B$2*(1+B1765)^4*$I1765-'DCF Base Case'!$B$2*(1+B1765)^3*B1765*'DCF Base Case'!$B$4</f>
        <v>25.5101255687845</v>
      </c>
      <c r="N1765" s="24" t="n">
        <f aca="false">'DCF Base Case'!$B$2*(1+B1765)^5*$I1765-'DCF Base Case'!$B$2*(1+B1765)^4*B1765*'DCF Base Case'!$B$4</f>
        <v>27.7239580007528</v>
      </c>
      <c r="O1765" s="24" t="n">
        <f aca="false">J1765/(1+H1765)^1+K1765/(1+H1765)^2+L1765/(1+H1765)^3+M1765/(1+H1765)^4+N1765/(1+H1765)^5</f>
        <v>90.283393790651</v>
      </c>
      <c r="P1765" s="24" t="n">
        <f aca="false">N1765*(1+F1765)/(H1765-F1765)</f>
        <v>379.628505571724</v>
      </c>
      <c r="Q1765" s="24" t="n">
        <f aca="false">O1765+P1765/(1+H1765)^5</f>
        <v>335.448718925514</v>
      </c>
      <c r="R1765" s="24" t="n">
        <f aca="false">Q1765-'DCF Base Case'!$B$5</f>
        <v>150.448718925514</v>
      </c>
      <c r="S1765" s="32" t="n">
        <f aca="false">R1765/'DCF Base Case'!$B$6</f>
        <v>6.01794875702056</v>
      </c>
    </row>
    <row r="1766" customFormat="false" ht="15" hidden="false" customHeight="true" outlineLevel="0" collapsed="false">
      <c r="A1766" s="6" t="n">
        <v>1765</v>
      </c>
      <c r="B1766" s="30" t="n">
        <v>0.118317218837894</v>
      </c>
      <c r="C1766" s="30" t="n">
        <v>0.436613931441311</v>
      </c>
      <c r="D1766" s="30" t="n">
        <v>0.0757274414756952</v>
      </c>
      <c r="E1766" s="30" t="n">
        <v>0.258395230636492</v>
      </c>
      <c r="F1766" s="30" t="n">
        <v>0.018068281261644</v>
      </c>
      <c r="G1766" s="30" t="n">
        <v>0.166571179491441</v>
      </c>
      <c r="H1766" s="31" t="n">
        <f aca="false">MAX(D1766,F1766+0.015)</f>
        <v>0.0757274414756952</v>
      </c>
      <c r="I1766" s="25" t="n">
        <f aca="false">(C1766-'DCF Base Case'!$B$3)*(1-E1766)+'DCF Base Case'!$B$3-G1766</f>
        <v>0.190815174418731</v>
      </c>
      <c r="J1766" s="24" t="n">
        <f aca="false">'DCF Base Case'!$B$2*(1+B1766)^1*$I1766-'DCF Base Case'!$B$2*(1+B1766)^0*B1766*'DCF Base Case'!$B$4</f>
        <v>30.4271448974185</v>
      </c>
      <c r="K1766" s="24" t="n">
        <f aca="false">'DCF Base Case'!$B$2*(1+B1766)^2*$I1766-'DCF Base Case'!$B$2*(1+B1766)^1*B1766*'DCF Base Case'!$B$4</f>
        <v>34.0272000588586</v>
      </c>
      <c r="L1766" s="24" t="n">
        <f aca="false">'DCF Base Case'!$B$2*(1+B1766)^3*$I1766-'DCF Base Case'!$B$2*(1+B1766)^2*B1766*'DCF Base Case'!$B$4</f>
        <v>38.0532037346634</v>
      </c>
      <c r="M1766" s="24" t="n">
        <f aca="false">'DCF Base Case'!$B$2*(1+B1766)^4*$I1766-'DCF Base Case'!$B$2*(1+B1766)^3*B1766*'DCF Base Case'!$B$4</f>
        <v>42.5555529684205</v>
      </c>
      <c r="N1766" s="24" t="n">
        <f aca="false">'DCF Base Case'!$B$2*(1+B1766)^5*$I1766-'DCF Base Case'!$B$2*(1+B1766)^4*B1766*'DCF Base Case'!$B$4</f>
        <v>47.5906076417528</v>
      </c>
      <c r="O1766" s="24" t="n">
        <f aca="false">J1766/(1+H1766)^1+K1766/(1+H1766)^2+L1766/(1+H1766)^3+M1766/(1+H1766)^4+N1766/(1+H1766)^5</f>
        <v>153.076675255081</v>
      </c>
      <c r="P1766" s="24" t="n">
        <f aca="false">N1766*(1+F1766)/(H1766-F1766)</f>
        <v>840.29125547738</v>
      </c>
      <c r="Q1766" s="24" t="n">
        <f aca="false">O1766+P1766/(1+H1766)^5</f>
        <v>736.412443330718</v>
      </c>
      <c r="R1766" s="24" t="n">
        <f aca="false">Q1766-'DCF Base Case'!$B$5</f>
        <v>551.412443330718</v>
      </c>
      <c r="S1766" s="32" t="n">
        <f aca="false">R1766/'DCF Base Case'!$B$6</f>
        <v>22.0564977332287</v>
      </c>
    </row>
    <row r="1767" customFormat="false" ht="15" hidden="false" customHeight="true" outlineLevel="0" collapsed="false">
      <c r="A1767" s="6" t="n">
        <v>1766</v>
      </c>
      <c r="B1767" s="30" t="n">
        <v>0.0538725187778466</v>
      </c>
      <c r="C1767" s="30" t="n">
        <v>0.411274939760464</v>
      </c>
      <c r="D1767" s="30" t="n">
        <v>0.0991620849023332</v>
      </c>
      <c r="E1767" s="30" t="n">
        <v>0.297148708769773</v>
      </c>
      <c r="F1767" s="30" t="n">
        <v>0.0166078077360319</v>
      </c>
      <c r="G1767" s="30" t="n">
        <v>0.149221931044633</v>
      </c>
      <c r="H1767" s="31" t="n">
        <f aca="false">MAX(D1767,F1767+0.015)</f>
        <v>0.0991620849023332</v>
      </c>
      <c r="I1767" s="25" t="n">
        <f aca="false">(C1767-'DCF Base Case'!$B$3)*(1-E1767)+'DCF Base Case'!$B$3-G1767</f>
        <v>0.178472523556713</v>
      </c>
      <c r="J1767" s="24" t="n">
        <f aca="false">'DCF Base Case'!$B$2*(1+B1767)^1*$I1767-'DCF Base Case'!$B$2*(1+B1767)^0*B1767*'DCF Base Case'!$B$4</f>
        <v>27.0383112936524</v>
      </c>
      <c r="K1767" s="24" t="n">
        <f aca="false">'DCF Base Case'!$B$2*(1+B1767)^2*$I1767-'DCF Base Case'!$B$2*(1+B1767)^1*B1767*'DCF Base Case'!$B$4</f>
        <v>28.494933226541</v>
      </c>
      <c r="L1767" s="24" t="n">
        <f aca="false">'DCF Base Case'!$B$2*(1+B1767)^3*$I1767-'DCF Base Case'!$B$2*(1+B1767)^2*B1767*'DCF Base Case'!$B$4</f>
        <v>30.0300270518613</v>
      </c>
      <c r="M1767" s="24" t="n">
        <f aca="false">'DCF Base Case'!$B$2*(1+B1767)^4*$I1767-'DCF Base Case'!$B$2*(1+B1767)^3*B1767*'DCF Base Case'!$B$4</f>
        <v>31.6478202481119</v>
      </c>
      <c r="N1767" s="24" t="n">
        <f aca="false">'DCF Base Case'!$B$2*(1+B1767)^5*$I1767-'DCF Base Case'!$B$2*(1+B1767)^4*B1767*'DCF Base Case'!$B$4</f>
        <v>33.3527680387063</v>
      </c>
      <c r="O1767" s="24" t="n">
        <f aca="false">J1767/(1+H1767)^1+K1767/(1+H1767)^2+L1767/(1+H1767)^3+M1767/(1+H1767)^4+N1767/(1+H1767)^5</f>
        <v>113.268489750972</v>
      </c>
      <c r="P1767" s="24" t="n">
        <f aca="false">N1767*(1+F1767)/(H1767-F1767)</f>
        <v>410.719899217993</v>
      </c>
      <c r="Q1767" s="24" t="n">
        <f aca="false">O1767+P1767/(1+H1767)^5</f>
        <v>369.266770612451</v>
      </c>
      <c r="R1767" s="24" t="n">
        <f aca="false">Q1767-'DCF Base Case'!$B$5</f>
        <v>184.266770612451</v>
      </c>
      <c r="S1767" s="32" t="n">
        <f aca="false">R1767/'DCF Base Case'!$B$6</f>
        <v>7.37067082449802</v>
      </c>
    </row>
    <row r="1768" customFormat="false" ht="15" hidden="false" customHeight="true" outlineLevel="0" collapsed="false">
      <c r="A1768" s="6" t="n">
        <v>1767</v>
      </c>
      <c r="B1768" s="30" t="n">
        <v>0.0962881656075259</v>
      </c>
      <c r="C1768" s="30" t="n">
        <v>0.413921118798601</v>
      </c>
      <c r="D1768" s="30" t="n">
        <v>0.089873452916815</v>
      </c>
      <c r="E1768" s="30" t="n">
        <v>0.29794781346192</v>
      </c>
      <c r="F1768" s="30" t="n">
        <v>0.0232527561716723</v>
      </c>
      <c r="G1768" s="30" t="n">
        <v>0.142697248563157</v>
      </c>
      <c r="H1768" s="31" t="n">
        <f aca="false">MAX(D1768,F1768+0.015)</f>
        <v>0.089873452916815</v>
      </c>
      <c r="I1768" s="25" t="n">
        <f aca="false">(C1768-'DCF Base Case'!$B$3)*(1-E1768)+'DCF Base Case'!$B$3-G1768</f>
        <v>0.186630193693739</v>
      </c>
      <c r="J1768" s="24" t="n">
        <f aca="false">'DCF Base Case'!$B$2*(1+B1768)^1*$I1768-'DCF Base Case'!$B$2*(1+B1768)^0*B1768*'DCF Base Case'!$B$4</f>
        <v>29.2482150198728</v>
      </c>
      <c r="K1768" s="24" t="n">
        <f aca="false">'DCF Base Case'!$B$2*(1+B1768)^2*$I1768-'DCF Base Case'!$B$2*(1+B1768)^1*B1768*'DCF Base Case'!$B$4</f>
        <v>32.0644719914308</v>
      </c>
      <c r="L1768" s="24" t="n">
        <f aca="false">'DCF Base Case'!$B$2*(1+B1768)^3*$I1768-'DCF Base Case'!$B$2*(1+B1768)^2*B1768*'DCF Base Case'!$B$4</f>
        <v>35.1519011806596</v>
      </c>
      <c r="M1768" s="24" t="n">
        <f aca="false">'DCF Base Case'!$B$2*(1+B1768)^4*$I1768-'DCF Base Case'!$B$2*(1+B1768)^3*B1768*'DCF Base Case'!$B$4</f>
        <v>38.5366132629623</v>
      </c>
      <c r="N1768" s="24" t="n">
        <f aca="false">'DCF Base Case'!$B$2*(1+B1768)^5*$I1768-'DCF Base Case'!$B$2*(1+B1768)^4*B1768*'DCF Base Case'!$B$4</f>
        <v>42.2472330627796</v>
      </c>
      <c r="O1768" s="24" t="n">
        <f aca="false">J1768/(1+H1768)^1+K1768/(1+H1768)^2+L1768/(1+H1768)^3+M1768/(1+H1768)^4+N1768/(1+H1768)^5</f>
        <v>135.770543674273</v>
      </c>
      <c r="P1768" s="24" t="n">
        <f aca="false">N1768*(1+F1768)/(H1768-F1768)</f>
        <v>648.891407387871</v>
      </c>
      <c r="Q1768" s="24" t="n">
        <f aca="false">O1768+P1768/(1+H1768)^5</f>
        <v>557.750334321857</v>
      </c>
      <c r="R1768" s="24" t="n">
        <f aca="false">Q1768-'DCF Base Case'!$B$5</f>
        <v>372.750334321857</v>
      </c>
      <c r="S1768" s="32" t="n">
        <f aca="false">R1768/'DCF Base Case'!$B$6</f>
        <v>14.9100133728743</v>
      </c>
    </row>
    <row r="1769" customFormat="false" ht="15" hidden="false" customHeight="true" outlineLevel="0" collapsed="false">
      <c r="A1769" s="6" t="n">
        <v>1768</v>
      </c>
      <c r="B1769" s="30" t="n">
        <v>0.0945959657351598</v>
      </c>
      <c r="C1769" s="30" t="n">
        <v>0.408763103491499</v>
      </c>
      <c r="D1769" s="30" t="n">
        <v>0.083915014516711</v>
      </c>
      <c r="E1769" s="30" t="n">
        <v>0.306211320061514</v>
      </c>
      <c r="F1769" s="30" t="n">
        <v>0.0228429134391971</v>
      </c>
      <c r="G1769" s="30" t="n">
        <v>0.19795596114876</v>
      </c>
      <c r="H1769" s="31" t="n">
        <f aca="false">MAX(D1769,F1769+0.015)</f>
        <v>0.083915014516711</v>
      </c>
      <c r="I1769" s="25" t="n">
        <f aca="false">(C1769-'DCF Base Case'!$B$3)*(1-E1769)+'DCF Base Case'!$B$3-G1769</f>
        <v>0.125446724438163</v>
      </c>
      <c r="J1769" s="24" t="n">
        <f aca="false">'DCF Base Case'!$B$2*(1+B1769)^1*$I1769-'DCF Base Case'!$B$2*(1+B1769)^0*B1769*'DCF Base Case'!$B$4</f>
        <v>19.498961929334</v>
      </c>
      <c r="K1769" s="24" t="n">
        <f aca="false">'DCF Base Case'!$B$2*(1+B1769)^2*$I1769-'DCF Base Case'!$B$2*(1+B1769)^1*B1769*'DCF Base Case'!$B$4</f>
        <v>21.3434850638725</v>
      </c>
      <c r="L1769" s="24" t="n">
        <f aca="false">'DCF Base Case'!$B$2*(1+B1769)^3*$I1769-'DCF Base Case'!$B$2*(1+B1769)^2*B1769*'DCF Base Case'!$B$4</f>
        <v>23.3624926456435</v>
      </c>
      <c r="M1769" s="24" t="n">
        <f aca="false">'DCF Base Case'!$B$2*(1+B1769)^4*$I1769-'DCF Base Case'!$B$2*(1+B1769)^3*B1769*'DCF Base Case'!$B$4</f>
        <v>25.5724901994387</v>
      </c>
      <c r="N1769" s="24" t="n">
        <f aca="false">'DCF Base Case'!$B$2*(1+B1769)^5*$I1769-'DCF Base Case'!$B$2*(1+B1769)^4*B1769*'DCF Base Case'!$B$4</f>
        <v>27.9915446061075</v>
      </c>
      <c r="O1769" s="24" t="n">
        <f aca="false">J1769/(1+H1769)^1+K1769/(1+H1769)^2+L1769/(1+H1769)^3+M1769/(1+H1769)^4+N1769/(1+H1769)^5</f>
        <v>91.7371499654633</v>
      </c>
      <c r="P1769" s="24" t="n">
        <f aca="false">N1769*(1+F1769)/(H1769-F1769)</f>
        <v>468.805764521434</v>
      </c>
      <c r="Q1769" s="24" t="n">
        <f aca="false">O1769+P1769/(1+H1769)^5</f>
        <v>405.077830320571</v>
      </c>
      <c r="R1769" s="24" t="n">
        <f aca="false">Q1769-'DCF Base Case'!$B$5</f>
        <v>220.077830320571</v>
      </c>
      <c r="S1769" s="32" t="n">
        <f aca="false">R1769/'DCF Base Case'!$B$6</f>
        <v>8.80311321282285</v>
      </c>
    </row>
    <row r="1770" customFormat="false" ht="15" hidden="false" customHeight="true" outlineLevel="0" collapsed="false">
      <c r="A1770" s="6" t="n">
        <v>1769</v>
      </c>
      <c r="B1770" s="30" t="n">
        <v>0.0990608242080459</v>
      </c>
      <c r="C1770" s="30" t="n">
        <v>0.415765816521677</v>
      </c>
      <c r="D1770" s="30" t="n">
        <v>0.0822183368360458</v>
      </c>
      <c r="E1770" s="30" t="n">
        <v>0.249542674174181</v>
      </c>
      <c r="F1770" s="30" t="n">
        <v>0.0240599048451237</v>
      </c>
      <c r="G1770" s="30" t="n">
        <v>0.158665996816378</v>
      </c>
      <c r="H1770" s="31" t="n">
        <f aca="false">MAX(D1770,F1770+0.015)</f>
        <v>0.0822183368360458</v>
      </c>
      <c r="I1770" s="25" t="n">
        <f aca="false">(C1770-'DCF Base Case'!$B$3)*(1-E1770)+'DCF Base Case'!$B$3-G1770</f>
        <v>0.185789053662911</v>
      </c>
      <c r="J1770" s="24" t="n">
        <f aca="false">'DCF Base Case'!$B$2*(1+B1770)^1*$I1770-'DCF Base Case'!$B$2*(1+B1770)^0*B1770*'DCF Base Case'!$B$4</f>
        <v>29.1771386295959</v>
      </c>
      <c r="K1770" s="24" t="n">
        <f aca="false">'DCF Base Case'!$B$2*(1+B1770)^2*$I1770-'DCF Base Case'!$B$2*(1+B1770)^1*B1770*'DCF Base Case'!$B$4</f>
        <v>32.0674500302761</v>
      </c>
      <c r="L1770" s="24" t="n">
        <f aca="false">'DCF Base Case'!$B$2*(1+B1770)^3*$I1770-'DCF Base Case'!$B$2*(1+B1770)^2*B1770*'DCF Base Case'!$B$4</f>
        <v>35.2440780605255</v>
      </c>
      <c r="M1770" s="24" t="n">
        <f aca="false">'DCF Base Case'!$B$2*(1+B1770)^4*$I1770-'DCF Base Case'!$B$2*(1+B1770)^3*B1770*'DCF Base Case'!$B$4</f>
        <v>38.7353854816539</v>
      </c>
      <c r="N1770" s="24" t="n">
        <f aca="false">'DCF Base Case'!$B$2*(1+B1770)^5*$I1770-'DCF Base Case'!$B$2*(1+B1770)^4*B1770*'DCF Base Case'!$B$4</f>
        <v>42.5725446934829</v>
      </c>
      <c r="O1770" s="24" t="n">
        <f aca="false">J1770/(1+H1770)^1+K1770/(1+H1770)^2+L1770/(1+H1770)^3+M1770/(1+H1770)^4+N1770/(1+H1770)^5</f>
        <v>139.064110718862</v>
      </c>
      <c r="P1770" s="24" t="n">
        <f aca="false">N1770*(1+F1770)/(H1770-F1770)</f>
        <v>749.621930567659</v>
      </c>
      <c r="Q1770" s="24" t="n">
        <f aca="false">O1770+P1770/(1+H1770)^5</f>
        <v>644.036743987883</v>
      </c>
      <c r="R1770" s="24" t="n">
        <f aca="false">Q1770-'DCF Base Case'!$B$5</f>
        <v>459.036743987883</v>
      </c>
      <c r="S1770" s="32" t="n">
        <f aca="false">R1770/'DCF Base Case'!$B$6</f>
        <v>18.3614697595153</v>
      </c>
    </row>
    <row r="1771" customFormat="false" ht="15" hidden="false" customHeight="true" outlineLevel="0" collapsed="false">
      <c r="A1771" s="6" t="n">
        <v>1770</v>
      </c>
      <c r="B1771" s="30" t="n">
        <v>0.100855111561958</v>
      </c>
      <c r="C1771" s="30" t="n">
        <v>0.431150291631158</v>
      </c>
      <c r="D1771" s="30" t="n">
        <v>0.0713015294004485</v>
      </c>
      <c r="E1771" s="30" t="n">
        <v>0.259784069107846</v>
      </c>
      <c r="F1771" s="30" t="n">
        <v>0.0246721102424556</v>
      </c>
      <c r="G1771" s="30" t="n">
        <v>0.171891276992747</v>
      </c>
      <c r="H1771" s="31" t="n">
        <f aca="false">MAX(D1771,F1771+0.015)</f>
        <v>0.0713015294004485</v>
      </c>
      <c r="I1771" s="25" t="n">
        <f aca="false">(C1771-'DCF Base Case'!$B$3)*(1-E1771)+'DCF Base Case'!$B$3-G1771</f>
        <v>0.181024966465454</v>
      </c>
      <c r="J1771" s="24" t="n">
        <f aca="false">'DCF Base Case'!$B$2*(1+B1771)^1*$I1771-'DCF Base Case'!$B$2*(1+B1771)^0*B1771*'DCF Base Case'!$B$4</f>
        <v>28.4572079145105</v>
      </c>
      <c r="K1771" s="24" t="n">
        <f aca="false">'DCF Base Case'!$B$2*(1+B1771)^2*$I1771-'DCF Base Case'!$B$2*(1+B1771)^1*B1771*'DCF Base Case'!$B$4</f>
        <v>31.3272627934702</v>
      </c>
      <c r="L1771" s="24" t="n">
        <f aca="false">'DCF Base Case'!$B$2*(1+B1771)^3*$I1771-'DCF Base Case'!$B$2*(1+B1771)^2*B1771*'DCF Base Case'!$B$4</f>
        <v>34.4867773774365</v>
      </c>
      <c r="M1771" s="24" t="n">
        <f aca="false">'DCF Base Case'!$B$2*(1+B1771)^4*$I1771-'DCF Base Case'!$B$2*(1+B1771)^3*B1771*'DCF Base Case'!$B$4</f>
        <v>37.9649451572502</v>
      </c>
      <c r="N1771" s="24" t="n">
        <f aca="false">'DCF Base Case'!$B$2*(1+B1771)^5*$I1771-'DCF Base Case'!$B$2*(1+B1771)^4*B1771*'DCF Base Case'!$B$4</f>
        <v>41.7939039365283</v>
      </c>
      <c r="O1771" s="24" t="n">
        <f aca="false">J1771/(1+H1771)^1+K1771/(1+H1771)^2+L1771/(1+H1771)^3+M1771/(1+H1771)^4+N1771/(1+H1771)^5</f>
        <v>140.348897764753</v>
      </c>
      <c r="P1771" s="24" t="n">
        <f aca="false">N1771*(1+F1771)/(H1771-F1771)</f>
        <v>918.412635525445</v>
      </c>
      <c r="Q1771" s="24" t="n">
        <f aca="false">O1771+P1771/(1+H1771)^5</f>
        <v>791.19637459786</v>
      </c>
      <c r="R1771" s="24" t="n">
        <f aca="false">Q1771-'DCF Base Case'!$B$5</f>
        <v>606.19637459786</v>
      </c>
      <c r="S1771" s="32" t="n">
        <f aca="false">R1771/'DCF Base Case'!$B$6</f>
        <v>24.2478549839144</v>
      </c>
    </row>
    <row r="1772" customFormat="false" ht="15" hidden="false" customHeight="true" outlineLevel="0" collapsed="false">
      <c r="A1772" s="6" t="n">
        <v>1771</v>
      </c>
      <c r="B1772" s="30" t="n">
        <v>0.0774673102978003</v>
      </c>
      <c r="C1772" s="30" t="n">
        <v>0.407364089770107</v>
      </c>
      <c r="D1772" s="30" t="n">
        <v>0.0969486059531612</v>
      </c>
      <c r="E1772" s="30" t="n">
        <v>0.308368264487467</v>
      </c>
      <c r="F1772" s="30" t="n">
        <v>0.0135326726696821</v>
      </c>
      <c r="G1772" s="30" t="n">
        <v>0.202490065863064</v>
      </c>
      <c r="H1772" s="31" t="n">
        <f aca="false">MAX(D1772,F1772+0.015)</f>
        <v>0.0969486059531612</v>
      </c>
      <c r="I1772" s="25" t="n">
        <f aca="false">(C1772-'DCF Base Case'!$B$3)*(1-E1772)+'DCF Base Case'!$B$3-G1772</f>
        <v>0.119343740913489</v>
      </c>
      <c r="J1772" s="24" t="n">
        <f aca="false">'DCF Base Case'!$B$2*(1+B1772)^1*$I1772-'DCF Base Case'!$B$2*(1+B1772)^0*B1772*'DCF Base Case'!$B$4</f>
        <v>18.3084192310301</v>
      </c>
      <c r="K1772" s="24" t="n">
        <f aca="false">'DCF Base Case'!$B$2*(1+B1772)^2*$I1772-'DCF Base Case'!$B$2*(1+B1772)^1*B1772*'DCF Base Case'!$B$4</f>
        <v>19.7267232246625</v>
      </c>
      <c r="L1772" s="24" t="n">
        <f aca="false">'DCF Base Case'!$B$2*(1+B1772)^3*$I1772-'DCF Base Case'!$B$2*(1+B1772)^2*B1772*'DCF Base Case'!$B$4</f>
        <v>21.2548994138663</v>
      </c>
      <c r="M1772" s="24" t="n">
        <f aca="false">'DCF Base Case'!$B$2*(1+B1772)^4*$I1772-'DCF Base Case'!$B$2*(1+B1772)^3*B1772*'DCF Base Case'!$B$4</f>
        <v>22.9014593021088</v>
      </c>
      <c r="N1772" s="24" t="n">
        <f aca="false">'DCF Base Case'!$B$2*(1+B1772)^5*$I1772-'DCF Base Case'!$B$2*(1+B1772)^4*B1772*'DCF Base Case'!$B$4</f>
        <v>24.6755737561377</v>
      </c>
      <c r="O1772" s="24" t="n">
        <f aca="false">J1772/(1+H1772)^1+K1772/(1+H1772)^2+L1772/(1+H1772)^3+M1772/(1+H1772)^4+N1772/(1+H1772)^5</f>
        <v>80.5396349555225</v>
      </c>
      <c r="P1772" s="24" t="n">
        <f aca="false">N1772*(1+F1772)/(H1772-F1772)</f>
        <v>299.816824367646</v>
      </c>
      <c r="Q1772" s="24" t="n">
        <f aca="false">O1772+P1772/(1+H1772)^5</f>
        <v>269.305993076629</v>
      </c>
      <c r="R1772" s="24" t="n">
        <f aca="false">Q1772-'DCF Base Case'!$B$5</f>
        <v>84.3059930766291</v>
      </c>
      <c r="S1772" s="32" t="n">
        <f aca="false">R1772/'DCF Base Case'!$B$6</f>
        <v>3.37223972306516</v>
      </c>
    </row>
    <row r="1773" customFormat="false" ht="15" hidden="false" customHeight="true" outlineLevel="0" collapsed="false">
      <c r="A1773" s="6" t="n">
        <v>1772</v>
      </c>
      <c r="B1773" s="30" t="n">
        <v>0.111104926317867</v>
      </c>
      <c r="C1773" s="30" t="n">
        <v>0.418860634072199</v>
      </c>
      <c r="D1773" s="30" t="n">
        <v>0.0718910531260461</v>
      </c>
      <c r="E1773" s="30" t="n">
        <v>0.311989463840486</v>
      </c>
      <c r="F1773" s="30" t="n">
        <v>0.0210508802008514</v>
      </c>
      <c r="G1773" s="30" t="n">
        <v>0.137023285551729</v>
      </c>
      <c r="H1773" s="31" t="n">
        <f aca="false">MAX(D1773,F1773+0.015)</f>
        <v>0.0718910531260461</v>
      </c>
      <c r="I1773" s="25" t="n">
        <f aca="false">(C1773-'DCF Base Case'!$B$3)*(1-E1773)+'DCF Base Case'!$B$3-G1773</f>
        <v>0.191715874171662</v>
      </c>
      <c r="J1773" s="24" t="n">
        <f aca="false">'DCF Base Case'!$B$2*(1+B1773)^1*$I1773-'DCF Base Case'!$B$2*(1+B1773)^0*B1773*'DCF Base Case'!$B$4</f>
        <v>30.4040791461104</v>
      </c>
      <c r="K1773" s="24" t="n">
        <f aca="false">'DCF Base Case'!$B$2*(1+B1773)^2*$I1773-'DCF Base Case'!$B$2*(1+B1773)^1*B1773*'DCF Base Case'!$B$4</f>
        <v>33.7821221194016</v>
      </c>
      <c r="L1773" s="24" t="n">
        <f aca="false">'DCF Base Case'!$B$2*(1+B1773)^3*$I1773-'DCF Base Case'!$B$2*(1+B1773)^2*B1773*'DCF Base Case'!$B$4</f>
        <v>37.5354823083389</v>
      </c>
      <c r="M1773" s="24" t="n">
        <f aca="false">'DCF Base Case'!$B$2*(1+B1773)^4*$I1773-'DCF Base Case'!$B$2*(1+B1773)^3*B1773*'DCF Base Case'!$B$4</f>
        <v>41.7058593045125</v>
      </c>
      <c r="N1773" s="24" t="n">
        <f aca="false">'DCF Base Case'!$B$2*(1+B1773)^5*$I1773-'DCF Base Case'!$B$2*(1+B1773)^4*B1773*'DCF Base Case'!$B$4</f>
        <v>46.3395857295637</v>
      </c>
      <c r="O1773" s="24" t="n">
        <f aca="false">J1773/(1+H1773)^1+K1773/(1+H1773)^2+L1773/(1+H1773)^3+M1773/(1+H1773)^4+N1773/(1+H1773)^5</f>
        <v>152.588071985737</v>
      </c>
      <c r="P1773" s="24" t="n">
        <f aca="false">N1773*(1+F1773)/(H1773-F1773)</f>
        <v>930.663136550151</v>
      </c>
      <c r="Q1773" s="24" t="n">
        <f aca="false">O1773+P1773/(1+H1773)^5</f>
        <v>810.305397418112</v>
      </c>
      <c r="R1773" s="24" t="n">
        <f aca="false">Q1773-'DCF Base Case'!$B$5</f>
        <v>625.305397418112</v>
      </c>
      <c r="S1773" s="32" t="n">
        <f aca="false">R1773/'DCF Base Case'!$B$6</f>
        <v>25.0122158967245</v>
      </c>
    </row>
    <row r="1774" customFormat="false" ht="15" hidden="false" customHeight="true" outlineLevel="0" collapsed="false">
      <c r="A1774" s="6" t="n">
        <v>1773</v>
      </c>
      <c r="B1774" s="30" t="n">
        <v>0.0851795687605787</v>
      </c>
      <c r="C1774" s="30" t="n">
        <v>0.45703002793327</v>
      </c>
      <c r="D1774" s="30" t="n">
        <v>0.0851815193315586</v>
      </c>
      <c r="E1774" s="30" t="n">
        <v>0.262636509358003</v>
      </c>
      <c r="F1774" s="30" t="n">
        <v>0.0152351131183724</v>
      </c>
      <c r="G1774" s="30" t="n">
        <v>0.204862814560577</v>
      </c>
      <c r="H1774" s="31" t="n">
        <f aca="false">MAX(D1774,F1774+0.015)</f>
        <v>0.0851815193315586</v>
      </c>
      <c r="I1774" s="25" t="n">
        <f aca="false">(C1774-'DCF Base Case'!$B$3)*(1-E1774)+'DCF Base Case'!$B$3-G1774</f>
        <v>0.166277188381049</v>
      </c>
      <c r="J1774" s="24" t="n">
        <f aca="false">'DCF Base Case'!$B$2*(1+B1774)^1*$I1774-'DCF Base Case'!$B$2*(1+B1774)^0*B1774*'DCF Base Case'!$B$4</f>
        <v>25.7933569752913</v>
      </c>
      <c r="K1774" s="24" t="n">
        <f aca="false">'DCF Base Case'!$B$2*(1+B1774)^2*$I1774-'DCF Base Case'!$B$2*(1+B1774)^1*B1774*'DCF Base Case'!$B$4</f>
        <v>27.9904239993343</v>
      </c>
      <c r="L1774" s="24" t="n">
        <f aca="false">'DCF Base Case'!$B$2*(1+B1774)^3*$I1774-'DCF Base Case'!$B$2*(1+B1774)^2*B1774*'DCF Base Case'!$B$4</f>
        <v>30.3746362450234</v>
      </c>
      <c r="M1774" s="24" t="n">
        <f aca="false">'DCF Base Case'!$B$2*(1+B1774)^4*$I1774-'DCF Base Case'!$B$2*(1+B1774)^3*B1774*'DCF Base Case'!$B$4</f>
        <v>32.9619346616339</v>
      </c>
      <c r="N1774" s="24" t="n">
        <f aca="false">'DCF Base Case'!$B$2*(1+B1774)^5*$I1774-'DCF Base Case'!$B$2*(1+B1774)^4*B1774*'DCF Base Case'!$B$4</f>
        <v>35.7696180416263</v>
      </c>
      <c r="O1774" s="24" t="n">
        <f aca="false">J1774/(1+H1774)^1+K1774/(1+H1774)^2+L1774/(1+H1774)^3+M1774/(1+H1774)^4+N1774/(1+H1774)^5</f>
        <v>118.843086575333</v>
      </c>
      <c r="P1774" s="24" t="n">
        <f aca="false">N1774*(1+F1774)/(H1774-F1774)</f>
        <v>519.177098363139</v>
      </c>
      <c r="Q1774" s="24" t="n">
        <f aca="false">O1774+P1774/(1+H1774)^5</f>
        <v>463.830762809819</v>
      </c>
      <c r="R1774" s="24" t="n">
        <f aca="false">Q1774-'DCF Base Case'!$B$5</f>
        <v>278.830762809819</v>
      </c>
      <c r="S1774" s="32" t="n">
        <f aca="false">R1774/'DCF Base Case'!$B$6</f>
        <v>11.1532305123927</v>
      </c>
    </row>
    <row r="1775" customFormat="false" ht="15" hidden="false" customHeight="true" outlineLevel="0" collapsed="false">
      <c r="A1775" s="6" t="n">
        <v>1774</v>
      </c>
      <c r="B1775" s="30" t="n">
        <v>0.108513021415231</v>
      </c>
      <c r="C1775" s="30" t="n">
        <v>0.445420447065888</v>
      </c>
      <c r="D1775" s="30" t="n">
        <v>0.0877300381250138</v>
      </c>
      <c r="E1775" s="30" t="n">
        <v>0.31777138974083</v>
      </c>
      <c r="F1775" s="30" t="n">
        <v>0.0158883539268834</v>
      </c>
      <c r="G1775" s="30" t="n">
        <v>0.168887169262011</v>
      </c>
      <c r="H1775" s="31" t="n">
        <f aca="false">MAX(D1775,F1775+0.015)</f>
        <v>0.0877300381250138</v>
      </c>
      <c r="I1775" s="25" t="n">
        <f aca="false">(C1775-'DCF Base Case'!$B$3)*(1-E1775)+'DCF Base Case'!$B$3-G1775</f>
        <v>0.176301683987076</v>
      </c>
      <c r="J1775" s="24" t="n">
        <f aca="false">'DCF Base Case'!$B$2*(1+B1775)^1*$I1775-'DCF Base Case'!$B$2*(1+B1775)^0*B1775*'DCF Base Case'!$B$4</f>
        <v>27.8657116544242</v>
      </c>
      <c r="K1775" s="24" t="n">
        <f aca="false">'DCF Base Case'!$B$2*(1+B1775)^2*$I1775-'DCF Base Case'!$B$2*(1+B1775)^1*B1775*'DCF Base Case'!$B$4</f>
        <v>30.8895042199314</v>
      </c>
      <c r="L1775" s="24" t="n">
        <f aca="false">'DCF Base Case'!$B$2*(1+B1775)^3*$I1775-'DCF Base Case'!$B$2*(1+B1775)^2*B1775*'DCF Base Case'!$B$4</f>
        <v>34.2414176528547</v>
      </c>
      <c r="M1775" s="24" t="n">
        <f aca="false">'DCF Base Case'!$B$2*(1+B1775)^4*$I1775-'DCF Base Case'!$B$2*(1+B1775)^3*B1775*'DCF Base Case'!$B$4</f>
        <v>37.9570573399068</v>
      </c>
      <c r="N1775" s="24" t="n">
        <f aca="false">'DCF Base Case'!$B$2*(1+B1775)^5*$I1775-'DCF Base Case'!$B$2*(1+B1775)^4*B1775*'DCF Base Case'!$B$4</f>
        <v>42.0758923158912</v>
      </c>
      <c r="O1775" s="24" t="n">
        <f aca="false">J1775/(1+H1775)^1+K1775/(1+H1775)^2+L1775/(1+H1775)^3+M1775/(1+H1775)^4+N1775/(1+H1775)^5</f>
        <v>133.080349625234</v>
      </c>
      <c r="P1775" s="24" t="n">
        <f aca="false">N1775*(1+F1775)/(H1775-F1775)</f>
        <v>594.980608568583</v>
      </c>
      <c r="Q1775" s="24" t="n">
        <f aca="false">O1775+P1775/(1+H1775)^5</f>
        <v>523.828743826744</v>
      </c>
      <c r="R1775" s="24" t="n">
        <f aca="false">Q1775-'DCF Base Case'!$B$5</f>
        <v>338.828743826744</v>
      </c>
      <c r="S1775" s="32" t="n">
        <f aca="false">R1775/'DCF Base Case'!$B$6</f>
        <v>13.5531497530698</v>
      </c>
    </row>
    <row r="1776" customFormat="false" ht="15" hidden="false" customHeight="true" outlineLevel="0" collapsed="false">
      <c r="A1776" s="6" t="n">
        <v>1775</v>
      </c>
      <c r="B1776" s="30" t="n">
        <v>0.0960093377923888</v>
      </c>
      <c r="C1776" s="30" t="n">
        <v>0.441951592629763</v>
      </c>
      <c r="D1776" s="30" t="n">
        <v>0.088507273441545</v>
      </c>
      <c r="E1776" s="30" t="n">
        <v>0.264745055628588</v>
      </c>
      <c r="F1776" s="30" t="n">
        <v>0.0195901120771365</v>
      </c>
      <c r="G1776" s="30" t="n">
        <v>0.133686291291857</v>
      </c>
      <c r="H1776" s="31" t="n">
        <f aca="false">MAX(D1776,F1776+0.015)</f>
        <v>0.088507273441545</v>
      </c>
      <c r="I1776" s="25" t="n">
        <f aca="false">(C1776-'DCF Base Case'!$B$3)*(1-E1776)+'DCF Base Case'!$B$3-G1776</f>
        <v>0.225677659593713</v>
      </c>
      <c r="J1776" s="24" t="n">
        <f aca="false">'DCF Base Case'!$B$2*(1+B1776)^1*$I1776-'DCF Base Case'!$B$2*(1+B1776)^0*B1776*'DCF Base Case'!$B$4</f>
        <v>35.4473586062501</v>
      </c>
      <c r="K1776" s="24" t="n">
        <f aca="false">'DCF Base Case'!$B$2*(1+B1776)^2*$I1776-'DCF Base Case'!$B$2*(1+B1776)^1*B1776*'DCF Base Case'!$B$4</f>
        <v>38.8506360325255</v>
      </c>
      <c r="L1776" s="24" t="n">
        <f aca="false">'DCF Base Case'!$B$2*(1+B1776)^3*$I1776-'DCF Base Case'!$B$2*(1+B1776)^2*B1776*'DCF Base Case'!$B$4</f>
        <v>42.5806598708214</v>
      </c>
      <c r="M1776" s="24" t="n">
        <f aca="false">'DCF Base Case'!$B$2*(1+B1776)^4*$I1776-'DCF Base Case'!$B$2*(1+B1776)^3*B1776*'DCF Base Case'!$B$4</f>
        <v>46.6688008277819</v>
      </c>
      <c r="N1776" s="24" t="n">
        <f aca="false">'DCF Base Case'!$B$2*(1+B1776)^5*$I1776-'DCF Base Case'!$B$2*(1+B1776)^4*B1776*'DCF Base Case'!$B$4</f>
        <v>51.1494414908221</v>
      </c>
      <c r="O1776" s="24" t="n">
        <f aca="false">J1776/(1+H1776)^1+K1776/(1+H1776)^2+L1776/(1+H1776)^3+M1776/(1+H1776)^4+N1776/(1+H1776)^5</f>
        <v>165.085478704419</v>
      </c>
      <c r="P1776" s="24" t="n">
        <f aca="false">N1776*(1+F1776)/(H1776-F1776)</f>
        <v>756.72682608839</v>
      </c>
      <c r="Q1776" s="24" t="n">
        <f aca="false">O1776+P1776/(1+H1776)^5</f>
        <v>660.287550814305</v>
      </c>
      <c r="R1776" s="24" t="n">
        <f aca="false">Q1776-'DCF Base Case'!$B$5</f>
        <v>475.287550814305</v>
      </c>
      <c r="S1776" s="32" t="n">
        <f aca="false">R1776/'DCF Base Case'!$B$6</f>
        <v>19.0115020325722</v>
      </c>
    </row>
    <row r="1777" customFormat="false" ht="15" hidden="false" customHeight="true" outlineLevel="0" collapsed="false">
      <c r="A1777" s="6" t="n">
        <v>1776</v>
      </c>
      <c r="B1777" s="30" t="n">
        <v>0.0471218907957326</v>
      </c>
      <c r="C1777" s="30" t="n">
        <v>0.414033651998598</v>
      </c>
      <c r="D1777" s="30" t="n">
        <v>0.0808778172506302</v>
      </c>
      <c r="E1777" s="30" t="n">
        <v>0.272728822025822</v>
      </c>
      <c r="F1777" s="30" t="n">
        <v>0.0223382177285183</v>
      </c>
      <c r="G1777" s="30" t="n">
        <v>0.197926682518391</v>
      </c>
      <c r="H1777" s="31" t="n">
        <f aca="false">MAX(D1777,F1777+0.015)</f>
        <v>0.0808778172506302</v>
      </c>
      <c r="I1777" s="25" t="n">
        <f aca="false">(C1777-'DCF Base Case'!$B$3)*(1-E1777)+'DCF Base Case'!$B$3-G1777</f>
        <v>0.138642806154937</v>
      </c>
      <c r="J1777" s="24" t="n">
        <f aca="false">'DCF Base Case'!$B$2*(1+B1777)^1*$I1777-'DCF Base Case'!$B$2*(1+B1777)^0*B1777*'DCF Base Case'!$B$4</f>
        <v>20.8455277873353</v>
      </c>
      <c r="K1777" s="24" t="n">
        <f aca="false">'DCF Base Case'!$B$2*(1+B1777)^2*$I1777-'DCF Base Case'!$B$2*(1+B1777)^1*B1777*'DCF Base Case'!$B$4</f>
        <v>21.8278084713095</v>
      </c>
      <c r="L1777" s="24" t="n">
        <f aca="false">'DCF Base Case'!$B$2*(1+B1777)^3*$I1777-'DCF Base Case'!$B$2*(1+B1777)^2*B1777*'DCF Base Case'!$B$4</f>
        <v>22.8563760784047</v>
      </c>
      <c r="M1777" s="24" t="n">
        <f aca="false">'DCF Base Case'!$B$2*(1+B1777)^4*$I1777-'DCF Base Case'!$B$2*(1+B1777)^3*B1777*'DCF Base Case'!$B$4</f>
        <v>23.9334117359575</v>
      </c>
      <c r="N1777" s="24" t="n">
        <f aca="false">'DCF Base Case'!$B$2*(1+B1777)^5*$I1777-'DCF Base Case'!$B$2*(1+B1777)^4*B1777*'DCF Base Case'!$B$4</f>
        <v>25.0611993501486</v>
      </c>
      <c r="O1777" s="24" t="n">
        <f aca="false">J1777/(1+H1777)^1+K1777/(1+H1777)^2+L1777/(1+H1777)^3+M1777/(1+H1777)^4+N1777/(1+H1777)^5</f>
        <v>90.5909187903896</v>
      </c>
      <c r="P1777" s="24" t="n">
        <f aca="false">N1777*(1+F1777)/(H1777-F1777)</f>
        <v>437.66992065076</v>
      </c>
      <c r="Q1777" s="24" t="n">
        <f aca="false">O1777+P1777/(1+H1777)^5</f>
        <v>387.254121197031</v>
      </c>
      <c r="R1777" s="24" t="n">
        <f aca="false">Q1777-'DCF Base Case'!$B$5</f>
        <v>202.254121197031</v>
      </c>
      <c r="S1777" s="32" t="n">
        <f aca="false">R1777/'DCF Base Case'!$B$6</f>
        <v>8.09016484788123</v>
      </c>
    </row>
    <row r="1778" customFormat="false" ht="15" hidden="false" customHeight="true" outlineLevel="0" collapsed="false">
      <c r="A1778" s="6" t="n">
        <v>1777</v>
      </c>
      <c r="B1778" s="30" t="n">
        <v>0.101496624146145</v>
      </c>
      <c r="C1778" s="30" t="n">
        <v>0.450383308278556</v>
      </c>
      <c r="D1778" s="30" t="n">
        <v>0.0905295804746301</v>
      </c>
      <c r="E1778" s="30" t="n">
        <v>0.288564487144755</v>
      </c>
      <c r="F1778" s="30" t="n">
        <v>0.0202090369091377</v>
      </c>
      <c r="G1778" s="30" t="n">
        <v>0.139930838745296</v>
      </c>
      <c r="H1778" s="31" t="n">
        <f aca="false">MAX(D1778,F1778+0.015)</f>
        <v>0.0905295804746301</v>
      </c>
      <c r="I1778" s="25" t="n">
        <f aca="false">(C1778-'DCF Base Case'!$B$3)*(1-E1778)+'DCF Base Case'!$B$3-G1778</f>
        <v>0.218001224490119</v>
      </c>
      <c r="J1778" s="24" t="n">
        <f aca="false">'DCF Base Case'!$B$2*(1+B1778)^1*$I1778-'DCF Base Case'!$B$2*(1+B1778)^0*B1778*'DCF Base Case'!$B$4</f>
        <v>34.376993546125</v>
      </c>
      <c r="K1778" s="24" t="n">
        <f aca="false">'DCF Base Case'!$B$2*(1+B1778)^2*$I1778-'DCF Base Case'!$B$2*(1+B1778)^1*B1778*'DCF Base Case'!$B$4</f>
        <v>37.8661423393505</v>
      </c>
      <c r="L1778" s="24" t="n">
        <f aca="false">'DCF Base Case'!$B$2*(1+B1778)^3*$I1778-'DCF Base Case'!$B$2*(1+B1778)^2*B1778*'DCF Base Case'!$B$4</f>
        <v>41.709427956232</v>
      </c>
      <c r="M1778" s="24" t="n">
        <f aca="false">'DCF Base Case'!$B$2*(1+B1778)^4*$I1778-'DCF Base Case'!$B$2*(1+B1778)^3*B1778*'DCF Base Case'!$B$4</f>
        <v>45.9427940888564</v>
      </c>
      <c r="N1778" s="24" t="n">
        <f aca="false">'DCF Base Case'!$B$2*(1+B1778)^5*$I1778-'DCF Base Case'!$B$2*(1+B1778)^4*B1778*'DCF Base Case'!$B$4</f>
        <v>50.6058325927168</v>
      </c>
      <c r="O1778" s="24" t="n">
        <f aca="false">J1778/(1+H1778)^1+K1778/(1+H1778)^2+L1778/(1+H1778)^3+M1778/(1+H1778)^4+N1778/(1+H1778)^5</f>
        <v>160.818264540536</v>
      </c>
      <c r="P1778" s="24" t="n">
        <f aca="false">N1778*(1+F1778)/(H1778-F1778)</f>
        <v>734.188405175181</v>
      </c>
      <c r="Q1778" s="24" t="n">
        <f aca="false">O1778+P1778/(1+H1778)^5</f>
        <v>636.832861186053</v>
      </c>
      <c r="R1778" s="24" t="n">
        <f aca="false">Q1778-'DCF Base Case'!$B$5</f>
        <v>451.832861186053</v>
      </c>
      <c r="S1778" s="32" t="n">
        <f aca="false">R1778/'DCF Base Case'!$B$6</f>
        <v>18.0733144474421</v>
      </c>
    </row>
    <row r="1779" customFormat="false" ht="15" hidden="false" customHeight="true" outlineLevel="0" collapsed="false">
      <c r="A1779" s="6" t="n">
        <v>1778</v>
      </c>
      <c r="B1779" s="30" t="n">
        <v>0.110885015071776</v>
      </c>
      <c r="C1779" s="30" t="n">
        <v>0.372301557271328</v>
      </c>
      <c r="D1779" s="30" t="n">
        <v>0.0785512185699664</v>
      </c>
      <c r="E1779" s="30" t="n">
        <v>0.280290288617749</v>
      </c>
      <c r="F1779" s="30" t="n">
        <v>0.0161315435495163</v>
      </c>
      <c r="G1779" s="30" t="n">
        <v>0.156095562776913</v>
      </c>
      <c r="H1779" s="31" t="n">
        <f aca="false">MAX(D1779,F1779+0.015)</f>
        <v>0.0785512185699664</v>
      </c>
      <c r="I1779" s="25" t="n">
        <f aca="false">(C1779-'DCF Base Case'!$B$3)*(1-E1779)+'DCF Base Case'!$B$3-G1779</f>
        <v>0.148291221074304</v>
      </c>
      <c r="J1779" s="24" t="n">
        <f aca="false">'DCF Base Case'!$B$2*(1+B1779)^1*$I1779-'DCF Base Case'!$B$2*(1+B1779)^0*B1779*'DCF Base Case'!$B$4</f>
        <v>23.4041520113682</v>
      </c>
      <c r="K1779" s="24" t="n">
        <f aca="false">'DCF Base Case'!$B$2*(1+B1779)^2*$I1779-'DCF Base Case'!$B$2*(1+B1779)^1*B1779*'DCF Base Case'!$B$4</f>
        <v>25.9993217598909</v>
      </c>
      <c r="L1779" s="24" t="n">
        <f aca="false">'DCF Base Case'!$B$2*(1+B1779)^3*$I1779-'DCF Base Case'!$B$2*(1+B1779)^2*B1779*'DCF Base Case'!$B$4</f>
        <v>28.8822569450923</v>
      </c>
      <c r="M1779" s="24" t="n">
        <f aca="false">'DCF Base Case'!$B$2*(1+B1779)^4*$I1779-'DCF Base Case'!$B$2*(1+B1779)^3*B1779*'DCF Base Case'!$B$4</f>
        <v>32.0848664417558</v>
      </c>
      <c r="N1779" s="24" t="n">
        <f aca="false">'DCF Base Case'!$B$2*(1+B1779)^5*$I1779-'DCF Base Case'!$B$2*(1+B1779)^4*B1779*'DCF Base Case'!$B$4</f>
        <v>35.6425973407258</v>
      </c>
      <c r="O1779" s="24" t="n">
        <f aca="false">J1779/(1+H1779)^1+K1779/(1+H1779)^2+L1779/(1+H1779)^3+M1779/(1+H1779)^4+N1779/(1+H1779)^5</f>
        <v>115.201375905788</v>
      </c>
      <c r="P1779" s="24" t="n">
        <f aca="false">N1779*(1+F1779)/(H1779-F1779)</f>
        <v>580.226786507298</v>
      </c>
      <c r="Q1779" s="24" t="n">
        <f aca="false">O1779+P1779/(1+H1779)^5</f>
        <v>512.753341630675</v>
      </c>
      <c r="R1779" s="24" t="n">
        <f aca="false">Q1779-'DCF Base Case'!$B$5</f>
        <v>327.753341630675</v>
      </c>
      <c r="S1779" s="32" t="n">
        <f aca="false">R1779/'DCF Base Case'!$B$6</f>
        <v>13.110133665227</v>
      </c>
    </row>
    <row r="1780" customFormat="false" ht="15" hidden="false" customHeight="true" outlineLevel="0" collapsed="false">
      <c r="A1780" s="6" t="n">
        <v>1779</v>
      </c>
      <c r="B1780" s="30" t="n">
        <v>0.127168401757382</v>
      </c>
      <c r="C1780" s="30" t="n">
        <v>0.446336041306005</v>
      </c>
      <c r="D1780" s="30" t="n">
        <v>0.0774558955111259</v>
      </c>
      <c r="E1780" s="30" t="n">
        <v>0.267910966264331</v>
      </c>
      <c r="F1780" s="30" t="n">
        <v>0.0142000088879379</v>
      </c>
      <c r="G1780" s="30" t="n">
        <v>0.182020501454628</v>
      </c>
      <c r="H1780" s="31" t="n">
        <f aca="false">MAX(D1780,F1780+0.015)</f>
        <v>0.0774558955111259</v>
      </c>
      <c r="I1780" s="25" t="n">
        <f aca="false">(C1780-'DCF Base Case'!$B$3)*(1-E1780)+'DCF Base Case'!$B$3-G1780</f>
        <v>0.179565645360852</v>
      </c>
      <c r="J1780" s="24" t="n">
        <f aca="false">'DCF Base Case'!$B$2*(1+B1780)^1*$I1780-'DCF Base Case'!$B$2*(1+B1780)^0*B1780*'DCF Base Case'!$B$4</f>
        <v>28.7949220686844</v>
      </c>
      <c r="K1780" s="24" t="n">
        <f aca="false">'DCF Base Case'!$B$2*(1+B1780)^2*$I1780-'DCF Base Case'!$B$2*(1+B1780)^1*B1780*'DCF Base Case'!$B$4</f>
        <v>32.4567262868874</v>
      </c>
      <c r="L1780" s="24" t="n">
        <f aca="false">'DCF Base Case'!$B$2*(1+B1780)^3*$I1780-'DCF Base Case'!$B$2*(1+B1780)^2*B1780*'DCF Base Case'!$B$4</f>
        <v>36.5841962950677</v>
      </c>
      <c r="M1780" s="24" t="n">
        <f aca="false">'DCF Base Case'!$B$2*(1+B1780)^4*$I1780-'DCF Base Case'!$B$2*(1+B1780)^3*B1780*'DCF Base Case'!$B$4</f>
        <v>41.2365500674897</v>
      </c>
      <c r="N1780" s="24" t="n">
        <f aca="false">'DCF Base Case'!$B$2*(1+B1780)^5*$I1780-'DCF Base Case'!$B$2*(1+B1780)^4*B1780*'DCF Base Case'!$B$4</f>
        <v>46.4805362335607</v>
      </c>
      <c r="O1780" s="24" t="n">
        <f aca="false">J1780/(1+H1780)^1+K1780/(1+H1780)^2+L1780/(1+H1780)^3+M1780/(1+H1780)^4+N1780/(1+H1780)^5</f>
        <v>146.537313136899</v>
      </c>
      <c r="P1780" s="24" t="n">
        <f aca="false">N1780*(1+F1780)/(H1780-F1780)</f>
        <v>745.23594210302</v>
      </c>
      <c r="Q1780" s="24" t="n">
        <f aca="false">O1780+P1780/(1+H1780)^5</f>
        <v>659.748699487691</v>
      </c>
      <c r="R1780" s="24" t="n">
        <f aca="false">Q1780-'DCF Base Case'!$B$5</f>
        <v>474.748699487691</v>
      </c>
      <c r="S1780" s="32" t="n">
        <f aca="false">R1780/'DCF Base Case'!$B$6</f>
        <v>18.9899479795076</v>
      </c>
    </row>
    <row r="1781" customFormat="false" ht="15" hidden="false" customHeight="true" outlineLevel="0" collapsed="false">
      <c r="A1781" s="6" t="n">
        <v>1780</v>
      </c>
      <c r="B1781" s="30" t="n">
        <v>0.0847991776563397</v>
      </c>
      <c r="C1781" s="30" t="n">
        <v>0.372688879993436</v>
      </c>
      <c r="D1781" s="30" t="n">
        <v>0.0861086195099106</v>
      </c>
      <c r="E1781" s="30" t="n">
        <v>0.292813022954526</v>
      </c>
      <c r="F1781" s="30" t="n">
        <v>0.0228079147670026</v>
      </c>
      <c r="G1781" s="30" t="n">
        <v>0.163649058286542</v>
      </c>
      <c r="H1781" s="31" t="n">
        <f aca="false">MAX(D1781,F1781+0.015)</f>
        <v>0.0861086195099106</v>
      </c>
      <c r="I1781" s="25" t="n">
        <f aca="false">(C1781-'DCF Base Case'!$B$3)*(1-E1781)+'DCF Base Case'!$B$3-G1781</f>
        <v>0.137977357118568</v>
      </c>
      <c r="J1781" s="24" t="n">
        <f aca="false">'DCF Base Case'!$B$2*(1+B1781)^1*$I1781-'DCF Base Case'!$B$2*(1+B1781)^0*B1781*'DCF Base Case'!$B$4</f>
        <v>21.3343934901205</v>
      </c>
      <c r="K1781" s="24" t="n">
        <f aca="false">'DCF Base Case'!$B$2*(1+B1781)^2*$I1781-'DCF Base Case'!$B$2*(1+B1781)^1*B1781*'DCF Base Case'!$B$4</f>
        <v>23.1435325138794</v>
      </c>
      <c r="L1781" s="24" t="n">
        <f aca="false">'DCF Base Case'!$B$2*(1+B1781)^3*$I1781-'DCF Base Case'!$B$2*(1+B1781)^2*B1781*'DCF Base Case'!$B$4</f>
        <v>25.1060850391192</v>
      </c>
      <c r="M1781" s="24" t="n">
        <f aca="false">'DCF Base Case'!$B$2*(1+B1781)^4*$I1781-'DCF Base Case'!$B$2*(1+B1781)^3*B1781*'DCF Base Case'!$B$4</f>
        <v>27.2350604046066</v>
      </c>
      <c r="N1781" s="24" t="n">
        <f aca="false">'DCF Base Case'!$B$2*(1+B1781)^5*$I1781-'DCF Base Case'!$B$2*(1+B1781)^4*B1781*'DCF Base Case'!$B$4</f>
        <v>29.544571130338</v>
      </c>
      <c r="O1781" s="24" t="n">
        <f aca="false">J1781/(1+H1781)^1+K1781/(1+H1781)^2+L1781/(1+H1781)^3+M1781/(1+H1781)^4+N1781/(1+H1781)^5</f>
        <v>97.9782889590103</v>
      </c>
      <c r="P1781" s="24" t="n">
        <f aca="false">N1781*(1+F1781)/(H1781-F1781)</f>
        <v>477.378906178639</v>
      </c>
      <c r="Q1781" s="24" t="n">
        <f aca="false">O1781+P1781/(1+H1781)^5</f>
        <v>413.839956172027</v>
      </c>
      <c r="R1781" s="24" t="n">
        <f aca="false">Q1781-'DCF Base Case'!$B$5</f>
        <v>228.839956172027</v>
      </c>
      <c r="S1781" s="32" t="n">
        <f aca="false">R1781/'DCF Base Case'!$B$6</f>
        <v>9.15359824688108</v>
      </c>
    </row>
    <row r="1782" customFormat="false" ht="15" hidden="false" customHeight="true" outlineLevel="0" collapsed="false">
      <c r="A1782" s="6" t="n">
        <v>1781</v>
      </c>
      <c r="B1782" s="30" t="n">
        <v>0.0821127415858509</v>
      </c>
      <c r="C1782" s="30" t="n">
        <v>0.447069809206633</v>
      </c>
      <c r="D1782" s="30" t="n">
        <v>0.0850724477170951</v>
      </c>
      <c r="E1782" s="30" t="n">
        <v>0.301674185402387</v>
      </c>
      <c r="F1782" s="30" t="n">
        <v>0.0171820974066661</v>
      </c>
      <c r="G1782" s="30" t="n">
        <v>0.181649602118442</v>
      </c>
      <c r="H1782" s="31" t="n">
        <f aca="false">MAX(D1782,F1782+0.015)</f>
        <v>0.0850724477170951</v>
      </c>
      <c r="I1782" s="25" t="n">
        <f aca="false">(C1782-'DCF Base Case'!$B$3)*(1-E1782)+'DCF Base Case'!$B$3-G1782</f>
        <v>0.16976843068009</v>
      </c>
      <c r="J1782" s="24" t="n">
        <f aca="false">'DCF Base Case'!$B$2*(1+B1782)^1*$I1782-'DCF Base Case'!$B$2*(1+B1782)^0*B1782*'DCF Base Case'!$B$4</f>
        <v>26.2805539580057</v>
      </c>
      <c r="K1782" s="24" t="n">
        <f aca="false">'DCF Base Case'!$B$2*(1+B1782)^2*$I1782-'DCF Base Case'!$B$2*(1+B1782)^1*B1782*'DCF Base Case'!$B$4</f>
        <v>28.4385222938924</v>
      </c>
      <c r="L1782" s="24" t="n">
        <f aca="false">'DCF Base Case'!$B$2*(1+B1782)^3*$I1782-'DCF Base Case'!$B$2*(1+B1782)^2*B1782*'DCF Base Case'!$B$4</f>
        <v>30.7736873260942</v>
      </c>
      <c r="M1782" s="24" t="n">
        <f aca="false">'DCF Base Case'!$B$2*(1+B1782)^4*$I1782-'DCF Base Case'!$B$2*(1+B1782)^3*B1782*'DCF Base Case'!$B$4</f>
        <v>33.3005991611456</v>
      </c>
      <c r="N1782" s="24" t="n">
        <f aca="false">'DCF Base Case'!$B$2*(1+B1782)^5*$I1782-'DCF Base Case'!$B$2*(1+B1782)^4*B1782*'DCF Base Case'!$B$4</f>
        <v>36.0350026547187</v>
      </c>
      <c r="O1782" s="24" t="n">
        <f aca="false">J1782/(1+H1782)^1+K1782/(1+H1782)^2+L1782/(1+H1782)^3+M1782/(1+H1782)^4+N1782/(1+H1782)^5</f>
        <v>120.441615829999</v>
      </c>
      <c r="P1782" s="24" t="n">
        <f aca="false">N1782*(1+F1782)/(H1782-F1782)</f>
        <v>539.902348607427</v>
      </c>
      <c r="Q1782" s="24" t="n">
        <f aca="false">O1782+P1782/(1+H1782)^5</f>
        <v>479.381350009348</v>
      </c>
      <c r="R1782" s="24" t="n">
        <f aca="false">Q1782-'DCF Base Case'!$B$5</f>
        <v>294.381350009348</v>
      </c>
      <c r="S1782" s="32" t="n">
        <f aca="false">R1782/'DCF Base Case'!$B$6</f>
        <v>11.7752540003739</v>
      </c>
    </row>
    <row r="1783" customFormat="false" ht="15" hidden="false" customHeight="true" outlineLevel="0" collapsed="false">
      <c r="A1783" s="6" t="n">
        <v>1782</v>
      </c>
      <c r="B1783" s="30" t="n">
        <v>0.0590719171081356</v>
      </c>
      <c r="C1783" s="30" t="n">
        <v>0.392219545515971</v>
      </c>
      <c r="D1783" s="30" t="n">
        <v>0.0717089833663134</v>
      </c>
      <c r="E1783" s="30" t="n">
        <v>0.265139666385007</v>
      </c>
      <c r="F1783" s="30" t="n">
        <v>0.0237777334896685</v>
      </c>
      <c r="G1783" s="30" t="n">
        <v>0.152873155128965</v>
      </c>
      <c r="H1783" s="31" t="n">
        <f aca="false">MAX(D1783,F1783+0.015)</f>
        <v>0.0717089833663134</v>
      </c>
      <c r="I1783" s="25" t="n">
        <f aca="false">(C1783-'DCF Base Case'!$B$3)*(1-E1783)+'DCF Base Case'!$B$3-G1783</f>
        <v>0.169821587569273</v>
      </c>
      <c r="J1783" s="24" t="n">
        <f aca="false">'DCF Base Case'!$B$2*(1+B1783)^1*$I1783-'DCF Base Case'!$B$2*(1+B1783)^0*B1783*'DCF Base Case'!$B$4</f>
        <v>25.8217619360135</v>
      </c>
      <c r="K1783" s="24" t="n">
        <f aca="false">'DCF Base Case'!$B$2*(1+B1783)^2*$I1783-'DCF Base Case'!$B$2*(1+B1783)^1*B1783*'DCF Base Case'!$B$4</f>
        <v>27.3471029166837</v>
      </c>
      <c r="L1783" s="24" t="n">
        <f aca="false">'DCF Base Case'!$B$2*(1+B1783)^3*$I1783-'DCF Base Case'!$B$2*(1+B1783)^2*B1783*'DCF Base Case'!$B$4</f>
        <v>28.9625487133257</v>
      </c>
      <c r="M1783" s="24" t="n">
        <f aca="false">'DCF Base Case'!$B$2*(1+B1783)^4*$I1783-'DCF Base Case'!$B$2*(1+B1783)^3*B1783*'DCF Base Case'!$B$4</f>
        <v>30.6734219901596</v>
      </c>
      <c r="N1783" s="24" t="n">
        <f aca="false">'DCF Base Case'!$B$2*(1+B1783)^5*$I1783-'DCF Base Case'!$B$2*(1+B1783)^4*B1783*'DCF Base Case'!$B$4</f>
        <v>32.4853598313852</v>
      </c>
      <c r="O1783" s="24" t="n">
        <f aca="false">J1783/(1+H1783)^1+K1783/(1+H1783)^2+L1783/(1+H1783)^3+M1783/(1+H1783)^4+N1783/(1+H1783)^5</f>
        <v>117.66228290135</v>
      </c>
      <c r="P1783" s="24" t="n">
        <f aca="false">N1783*(1+F1783)/(H1783-F1783)</f>
        <v>693.86440256333</v>
      </c>
      <c r="Q1783" s="24" t="n">
        <f aca="false">O1783+P1783/(1+H1783)^5</f>
        <v>608.446120121036</v>
      </c>
      <c r="R1783" s="24" t="n">
        <f aca="false">Q1783-'DCF Base Case'!$B$5</f>
        <v>423.446120121036</v>
      </c>
      <c r="S1783" s="32" t="n">
        <f aca="false">R1783/'DCF Base Case'!$B$6</f>
        <v>16.9378448048414</v>
      </c>
    </row>
    <row r="1784" customFormat="false" ht="15" hidden="false" customHeight="true" outlineLevel="0" collapsed="false">
      <c r="A1784" s="6" t="n">
        <v>1783</v>
      </c>
      <c r="B1784" s="30" t="n">
        <v>0.105627068160175</v>
      </c>
      <c r="C1784" s="30" t="n">
        <v>0.446260359445525</v>
      </c>
      <c r="D1784" s="30" t="n">
        <v>0.0846966495503635</v>
      </c>
      <c r="E1784" s="30" t="n">
        <v>0.310179596832456</v>
      </c>
      <c r="F1784" s="30" t="n">
        <v>0.0212493641572287</v>
      </c>
      <c r="G1784" s="30" t="n">
        <v>0.167827988306193</v>
      </c>
      <c r="H1784" s="31" t="n">
        <f aca="false">MAX(D1784,F1784+0.015)</f>
        <v>0.0846966495503635</v>
      </c>
      <c r="I1784" s="25" t="n">
        <f aca="false">(C1784-'DCF Base Case'!$B$3)*(1-E1784)+'DCF Base Case'!$B$3-G1784</f>
        <v>0.180334860352431</v>
      </c>
      <c r="J1784" s="24" t="n">
        <f aca="false">'DCF Base Case'!$B$2*(1+B1784)^1*$I1784-'DCF Base Case'!$B$2*(1+B1784)^0*B1784*'DCF Base Case'!$B$4</f>
        <v>28.4510721795906</v>
      </c>
      <c r="K1784" s="24" t="n">
        <f aca="false">'DCF Base Case'!$B$2*(1+B1784)^2*$I1784-'DCF Base Case'!$B$2*(1+B1784)^1*B1784*'DCF Base Case'!$B$4</f>
        <v>31.4562755199343</v>
      </c>
      <c r="L1784" s="24" t="n">
        <f aca="false">'DCF Base Case'!$B$2*(1+B1784)^3*$I1784-'DCF Base Case'!$B$2*(1+B1784)^2*B1784*'DCF Base Case'!$B$4</f>
        <v>34.7789096783436</v>
      </c>
      <c r="M1784" s="24" t="n">
        <f aca="false">'DCF Base Case'!$B$2*(1+B1784)^4*$I1784-'DCF Base Case'!$B$2*(1+B1784)^3*B1784*'DCF Base Case'!$B$4</f>
        <v>38.4525039414746</v>
      </c>
      <c r="N1784" s="24" t="n">
        <f aca="false">'DCF Base Case'!$B$2*(1+B1784)^5*$I1784-'DCF Base Case'!$B$2*(1+B1784)^4*B1784*'DCF Base Case'!$B$4</f>
        <v>42.5141291962301</v>
      </c>
      <c r="O1784" s="24" t="n">
        <f aca="false">J1784/(1+H1784)^1+K1784/(1+H1784)^2+L1784/(1+H1784)^3+M1784/(1+H1784)^4+N1784/(1+H1784)^5</f>
        <v>136.307482701246</v>
      </c>
      <c r="P1784" s="24" t="n">
        <f aca="false">N1784*(1+F1784)/(H1784-F1784)</f>
        <v>684.308668847259</v>
      </c>
      <c r="Q1784" s="24" t="n">
        <f aca="false">O1784+P1784/(1+H1784)^5</f>
        <v>592.040557076051</v>
      </c>
      <c r="R1784" s="24" t="n">
        <f aca="false">Q1784-'DCF Base Case'!$B$5</f>
        <v>407.040557076051</v>
      </c>
      <c r="S1784" s="32" t="n">
        <f aca="false">R1784/'DCF Base Case'!$B$6</f>
        <v>16.2816222830421</v>
      </c>
    </row>
    <row r="1785" customFormat="false" ht="15" hidden="false" customHeight="true" outlineLevel="0" collapsed="false">
      <c r="A1785" s="6" t="n">
        <v>1784</v>
      </c>
      <c r="B1785" s="30" t="n">
        <v>0.106344961159721</v>
      </c>
      <c r="C1785" s="30" t="n">
        <v>0.450303171777001</v>
      </c>
      <c r="D1785" s="30" t="n">
        <v>0.0779900419624059</v>
      </c>
      <c r="E1785" s="30" t="n">
        <v>0.25926663701322</v>
      </c>
      <c r="F1785" s="30" t="n">
        <v>0.0151973911472983</v>
      </c>
      <c r="G1785" s="30" t="n">
        <v>0.18901542850958</v>
      </c>
      <c r="H1785" s="31" t="n">
        <f aca="false">MAX(D1785,F1785+0.015)</f>
        <v>0.0779900419624059</v>
      </c>
      <c r="I1785" s="25" t="n">
        <f aca="false">(C1785-'DCF Base Case'!$B$3)*(1-E1785)+'DCF Base Case'!$B$3-G1785</f>
        <v>0.17824381709613</v>
      </c>
      <c r="J1785" s="24" t="n">
        <f aca="false">'DCF Base Case'!$B$2*(1+B1785)^1*$I1785-'DCF Base Case'!$B$2*(1+B1785)^0*B1785*'DCF Base Case'!$B$4</f>
        <v>28.1312760097711</v>
      </c>
      <c r="K1785" s="24" t="n">
        <f aca="false">'DCF Base Case'!$B$2*(1+B1785)^2*$I1785-'DCF Base Case'!$B$2*(1+B1785)^1*B1785*'DCF Base Case'!$B$4</f>
        <v>31.1228954644036</v>
      </c>
      <c r="L1785" s="24" t="n">
        <f aca="false">'DCF Base Case'!$B$2*(1+B1785)^3*$I1785-'DCF Base Case'!$B$2*(1+B1785)^2*B1785*'DCF Base Case'!$B$4</f>
        <v>34.4326585737437</v>
      </c>
      <c r="M1785" s="24" t="n">
        <f aca="false">'DCF Base Case'!$B$2*(1+B1785)^4*$I1785-'DCF Base Case'!$B$2*(1+B1785)^3*B1785*'DCF Base Case'!$B$4</f>
        <v>38.0943983123944</v>
      </c>
      <c r="N1785" s="24" t="n">
        <f aca="false">'DCF Base Case'!$B$2*(1+B1785)^5*$I1785-'DCF Base Case'!$B$2*(1+B1785)^4*B1785*'DCF Base Case'!$B$4</f>
        <v>42.1455456213289</v>
      </c>
      <c r="O1785" s="24" t="n">
        <f aca="false">J1785/(1+H1785)^1+K1785/(1+H1785)^2+L1785/(1+H1785)^3+M1785/(1+H1785)^4+N1785/(1+H1785)^5</f>
        <v>137.527336009824</v>
      </c>
      <c r="P1785" s="24" t="n">
        <f aca="false">N1785*(1+F1785)/(H1785-F1785)</f>
        <v>681.386235615943</v>
      </c>
      <c r="Q1785" s="24" t="n">
        <f aca="false">O1785+P1785/(1+H1785)^5</f>
        <v>605.606825207442</v>
      </c>
      <c r="R1785" s="24" t="n">
        <f aca="false">Q1785-'DCF Base Case'!$B$5</f>
        <v>420.606825207442</v>
      </c>
      <c r="S1785" s="32" t="n">
        <f aca="false">R1785/'DCF Base Case'!$B$6</f>
        <v>16.8242730082977</v>
      </c>
    </row>
    <row r="1786" customFormat="false" ht="15" hidden="false" customHeight="true" outlineLevel="0" collapsed="false">
      <c r="A1786" s="6" t="n">
        <v>1785</v>
      </c>
      <c r="B1786" s="30" t="n">
        <v>0.114566617162116</v>
      </c>
      <c r="C1786" s="30" t="n">
        <v>0.412368746346427</v>
      </c>
      <c r="D1786" s="30" t="n">
        <v>0.0615038509561672</v>
      </c>
      <c r="E1786" s="30" t="n">
        <v>0.263826687014709</v>
      </c>
      <c r="F1786" s="30" t="n">
        <v>0.0213103835130769</v>
      </c>
      <c r="G1786" s="30" t="n">
        <v>0.163789737052207</v>
      </c>
      <c r="H1786" s="31" t="n">
        <f aca="false">MAX(D1786,F1786+0.015)</f>
        <v>0.0615038509561672</v>
      </c>
      <c r="I1786" s="25" t="n">
        <f aca="false">(C1786-'DCF Base Case'!$B$3)*(1-E1786)+'DCF Base Case'!$B$3-G1786</f>
        <v>0.174082598429145</v>
      </c>
      <c r="J1786" s="24" t="n">
        <f aca="false">'DCF Base Case'!$B$2*(1+B1786)^1*$I1786-'DCF Base Case'!$B$2*(1+B1786)^0*B1786*'DCF Base Case'!$B$4</f>
        <v>27.6354998768495</v>
      </c>
      <c r="K1786" s="24" t="n">
        <f aca="false">'DCF Base Case'!$B$2*(1+B1786)^2*$I1786-'DCF Base Case'!$B$2*(1+B1786)^1*B1786*'DCF Base Case'!$B$4</f>
        <v>30.8016056113243</v>
      </c>
      <c r="L1786" s="24" t="n">
        <f aca="false">'DCF Base Case'!$B$2*(1+B1786)^3*$I1786-'DCF Base Case'!$B$2*(1+B1786)^2*B1786*'DCF Base Case'!$B$4</f>
        <v>34.3304413693753</v>
      </c>
      <c r="M1786" s="24" t="n">
        <f aca="false">'DCF Base Case'!$B$2*(1+B1786)^4*$I1786-'DCF Base Case'!$B$2*(1+B1786)^3*B1786*'DCF Base Case'!$B$4</f>
        <v>38.263563902747</v>
      </c>
      <c r="N1786" s="24" t="n">
        <f aca="false">'DCF Base Case'!$B$2*(1+B1786)^5*$I1786-'DCF Base Case'!$B$2*(1+B1786)^4*B1786*'DCF Base Case'!$B$4</f>
        <v>42.6472909796512</v>
      </c>
      <c r="O1786" s="24" t="n">
        <f aca="false">J1786/(1+H1786)^1+K1786/(1+H1786)^2+L1786/(1+H1786)^3+M1786/(1+H1786)^4+N1786/(1+H1786)^5</f>
        <v>143.852526505419</v>
      </c>
      <c r="P1786" s="24" t="n">
        <f aca="false">N1786*(1+F1786)/(H1786-F1786)</f>
        <v>1083.66169621698</v>
      </c>
      <c r="Q1786" s="24" t="n">
        <f aca="false">O1786+P1786/(1+H1786)^5</f>
        <v>947.907703508402</v>
      </c>
      <c r="R1786" s="24" t="n">
        <f aca="false">Q1786-'DCF Base Case'!$B$5</f>
        <v>762.907703508402</v>
      </c>
      <c r="S1786" s="32" t="n">
        <f aca="false">R1786/'DCF Base Case'!$B$6</f>
        <v>30.5163081403361</v>
      </c>
    </row>
    <row r="1787" customFormat="false" ht="15" hidden="false" customHeight="true" outlineLevel="0" collapsed="false">
      <c r="A1787" s="6" t="n">
        <v>1786</v>
      </c>
      <c r="B1787" s="30" t="n">
        <v>0.0937161050243044</v>
      </c>
      <c r="C1787" s="30" t="n">
        <v>0.404809302166939</v>
      </c>
      <c r="D1787" s="30" t="n">
        <v>0.0961549803718074</v>
      </c>
      <c r="E1787" s="30" t="n">
        <v>0.289827762626297</v>
      </c>
      <c r="F1787" s="30" t="n">
        <v>0.02145102123071</v>
      </c>
      <c r="G1787" s="30" t="n">
        <v>0.168805748616198</v>
      </c>
      <c r="H1787" s="31" t="n">
        <f aca="false">MAX(D1787,F1787+0.015)</f>
        <v>0.0961549803718074</v>
      </c>
      <c r="I1787" s="25" t="n">
        <f aca="false">(C1787-'DCF Base Case'!$B$3)*(1-E1787)+'DCF Base Case'!$B$3-G1787</f>
        <v>0.156356188354803</v>
      </c>
      <c r="J1787" s="24" t="n">
        <f aca="false">'DCF Base Case'!$B$2*(1+B1787)^1*$I1787-'DCF Base Case'!$B$2*(1+B1787)^0*B1787*'DCF Base Case'!$B$4</f>
        <v>24.3886807351042</v>
      </c>
      <c r="K1787" s="24" t="n">
        <f aca="false">'DCF Base Case'!$B$2*(1+B1787)^2*$I1787-'DCF Base Case'!$B$2*(1+B1787)^1*B1787*'DCF Base Case'!$B$4</f>
        <v>26.6742929002795</v>
      </c>
      <c r="L1787" s="24" t="n">
        <f aca="false">'DCF Base Case'!$B$2*(1+B1787)^3*$I1787-'DCF Base Case'!$B$2*(1+B1787)^2*B1787*'DCF Base Case'!$B$4</f>
        <v>29.1741037351711</v>
      </c>
      <c r="M1787" s="24" t="n">
        <f aca="false">'DCF Base Case'!$B$2*(1+B1787)^4*$I1787-'DCF Base Case'!$B$2*(1+B1787)^3*B1787*'DCF Base Case'!$B$4</f>
        <v>31.9081871048064</v>
      </c>
      <c r="N1787" s="24" t="n">
        <f aca="false">'DCF Base Case'!$B$2*(1+B1787)^5*$I1787-'DCF Base Case'!$B$2*(1+B1787)^4*B1787*'DCF Base Case'!$B$4</f>
        <v>34.8984981186556</v>
      </c>
      <c r="O1787" s="24" t="n">
        <f aca="false">J1787/(1+H1787)^1+K1787/(1+H1787)^2+L1787/(1+H1787)^3+M1787/(1+H1787)^4+N1787/(1+H1787)^5</f>
        <v>110.752566145775</v>
      </c>
      <c r="P1787" s="24" t="n">
        <f aca="false">N1787*(1+F1787)/(H1787-F1787)</f>
        <v>477.178277464386</v>
      </c>
      <c r="Q1787" s="24" t="n">
        <f aca="false">O1787+P1787/(1+H1787)^5</f>
        <v>412.275852586776</v>
      </c>
      <c r="R1787" s="24" t="n">
        <f aca="false">Q1787-'DCF Base Case'!$B$5</f>
        <v>227.275852586776</v>
      </c>
      <c r="S1787" s="32" t="n">
        <f aca="false">R1787/'DCF Base Case'!$B$6</f>
        <v>9.09103410347102</v>
      </c>
    </row>
    <row r="1788" customFormat="false" ht="15" hidden="false" customHeight="true" outlineLevel="0" collapsed="false">
      <c r="A1788" s="6" t="n">
        <v>1787</v>
      </c>
      <c r="B1788" s="30" t="n">
        <v>0.101269440512848</v>
      </c>
      <c r="C1788" s="30" t="n">
        <v>0.427142336321005</v>
      </c>
      <c r="D1788" s="30" t="n">
        <v>0.0747911790905064</v>
      </c>
      <c r="E1788" s="30" t="n">
        <v>0.290754305224799</v>
      </c>
      <c r="F1788" s="30" t="n">
        <v>0.0221962284362324</v>
      </c>
      <c r="G1788" s="30" t="n">
        <v>0.192721849405531</v>
      </c>
      <c r="H1788" s="31" t="n">
        <f aca="false">MAX(D1788,F1788+0.015)</f>
        <v>0.0747911790905064</v>
      </c>
      <c r="I1788" s="25" t="n">
        <f aca="false">(C1788-'DCF Base Case'!$B$3)*(1-E1788)+'DCF Base Case'!$B$3-G1788</f>
        <v>0.148025073365587</v>
      </c>
      <c r="J1788" s="24" t="n">
        <f aca="false">'DCF Base Case'!$B$2*(1+B1788)^1*$I1788-'DCF Base Case'!$B$2*(1+B1788)^0*B1788*'DCF Base Case'!$B$4</f>
        <v>23.1967239442121</v>
      </c>
      <c r="K1788" s="24" t="n">
        <f aca="false">'DCF Base Case'!$B$2*(1+B1788)^2*$I1788-'DCF Base Case'!$B$2*(1+B1788)^1*B1788*'DCF Base Case'!$B$4</f>
        <v>25.5458431997734</v>
      </c>
      <c r="L1788" s="24" t="n">
        <f aca="false">'DCF Base Case'!$B$2*(1+B1788)^3*$I1788-'DCF Base Case'!$B$2*(1+B1788)^2*B1788*'DCF Base Case'!$B$4</f>
        <v>28.1328564480434</v>
      </c>
      <c r="M1788" s="24" t="n">
        <f aca="false">'DCF Base Case'!$B$2*(1+B1788)^4*$I1788-'DCF Base Case'!$B$2*(1+B1788)^3*B1788*'DCF Base Case'!$B$4</f>
        <v>30.981855080565</v>
      </c>
      <c r="N1788" s="24" t="n">
        <f aca="false">'DCF Base Case'!$B$2*(1+B1788)^5*$I1788-'DCF Base Case'!$B$2*(1+B1788)^4*B1788*'DCF Base Case'!$B$4</f>
        <v>34.119370210624</v>
      </c>
      <c r="O1788" s="24" t="n">
        <f aca="false">J1788/(1+H1788)^1+K1788/(1+H1788)^2+L1788/(1+H1788)^3+M1788/(1+H1788)^4+N1788/(1+H1788)^5</f>
        <v>113.362327103999</v>
      </c>
      <c r="P1788" s="24" t="n">
        <f aca="false">N1788*(1+F1788)/(H1788-F1788)</f>
        <v>663.118628538636</v>
      </c>
      <c r="Q1788" s="24" t="n">
        <f aca="false">O1788+P1788/(1+H1788)^5</f>
        <v>575.712219633293</v>
      </c>
      <c r="R1788" s="24" t="n">
        <f aca="false">Q1788-'DCF Base Case'!$B$5</f>
        <v>390.712219633293</v>
      </c>
      <c r="S1788" s="32" t="n">
        <f aca="false">R1788/'DCF Base Case'!$B$6</f>
        <v>15.6284887853317</v>
      </c>
    </row>
    <row r="1789" customFormat="false" ht="15" hidden="false" customHeight="true" outlineLevel="0" collapsed="false">
      <c r="A1789" s="6" t="n">
        <v>1788</v>
      </c>
      <c r="B1789" s="30" t="n">
        <v>0.0988499210376888</v>
      </c>
      <c r="C1789" s="30" t="n">
        <v>0.396665328183346</v>
      </c>
      <c r="D1789" s="30" t="n">
        <v>0.076075509374686</v>
      </c>
      <c r="E1789" s="30" t="n">
        <v>0.268661829249901</v>
      </c>
      <c r="F1789" s="30" t="n">
        <v>0.0200325050138677</v>
      </c>
      <c r="G1789" s="30" t="n">
        <v>0.16262523297066</v>
      </c>
      <c r="H1789" s="31" t="n">
        <f aca="false">MAX(D1789,F1789+0.015)</f>
        <v>0.076075509374686</v>
      </c>
      <c r="I1789" s="25" t="n">
        <f aca="false">(C1789-'DCF Base Case'!$B$3)*(1-E1789)+'DCF Base Case'!$B$3-G1789</f>
        <v>0.162397300345423</v>
      </c>
      <c r="J1789" s="24" t="n">
        <f aca="false">'DCF Base Case'!$B$2*(1+B1789)^1*$I1789-'DCF Base Case'!$B$2*(1+B1789)^0*B1789*'DCF Base Case'!$B$4</f>
        <v>25.4452906393748</v>
      </c>
      <c r="K1789" s="24" t="n">
        <f aca="false">'DCF Base Case'!$B$2*(1+B1789)^2*$I1789-'DCF Base Case'!$B$2*(1+B1789)^1*B1789*'DCF Base Case'!$B$4</f>
        <v>27.9605556098581</v>
      </c>
      <c r="L1789" s="24" t="n">
        <f aca="false">'DCF Base Case'!$B$2*(1+B1789)^3*$I1789-'DCF Base Case'!$B$2*(1+B1789)^2*B1789*'DCF Base Case'!$B$4</f>
        <v>30.7244543240625</v>
      </c>
      <c r="M1789" s="24" t="n">
        <f aca="false">'DCF Base Case'!$B$2*(1+B1789)^4*$I1789-'DCF Base Case'!$B$2*(1+B1789)^3*B1789*'DCF Base Case'!$B$4</f>
        <v>33.7615642079221</v>
      </c>
      <c r="N1789" s="24" t="n">
        <f aca="false">'DCF Base Case'!$B$2*(1+B1789)^5*$I1789-'DCF Base Case'!$B$2*(1+B1789)^4*B1789*'DCF Base Case'!$B$4</f>
        <v>37.0988921639841</v>
      </c>
      <c r="O1789" s="24" t="n">
        <f aca="false">J1789/(1+H1789)^1+K1789/(1+H1789)^2+L1789/(1+H1789)^3+M1789/(1+H1789)^4+N1789/(1+H1789)^5</f>
        <v>123.343542332316</v>
      </c>
      <c r="P1789" s="24" t="n">
        <f aca="false">N1789*(1+F1789)/(H1789-F1789)</f>
        <v>675.232820561005</v>
      </c>
      <c r="Q1789" s="24" t="n">
        <f aca="false">O1789+P1789/(1+H1789)^5</f>
        <v>591.337027093558</v>
      </c>
      <c r="R1789" s="24" t="n">
        <f aca="false">Q1789-'DCF Base Case'!$B$5</f>
        <v>406.337027093558</v>
      </c>
      <c r="S1789" s="32" t="n">
        <f aca="false">R1789/'DCF Base Case'!$B$6</f>
        <v>16.2534810837423</v>
      </c>
    </row>
    <row r="1790" customFormat="false" ht="15" hidden="false" customHeight="true" outlineLevel="0" collapsed="false">
      <c r="A1790" s="6" t="n">
        <v>1789</v>
      </c>
      <c r="B1790" s="30" t="n">
        <v>0.0655502792977577</v>
      </c>
      <c r="C1790" s="30" t="n">
        <v>0.380972903384042</v>
      </c>
      <c r="D1790" s="30" t="n">
        <v>0.0619162604760265</v>
      </c>
      <c r="E1790" s="30" t="n">
        <v>0.241411704818394</v>
      </c>
      <c r="F1790" s="30" t="n">
        <v>0.0188502104850016</v>
      </c>
      <c r="G1790" s="30" t="n">
        <v>0.212190694349478</v>
      </c>
      <c r="H1790" s="31" t="n">
        <f aca="false">MAX(D1790,F1790+0.015)</f>
        <v>0.0619162604760265</v>
      </c>
      <c r="I1790" s="25" t="n">
        <f aca="false">(C1790-'DCF Base Case'!$B$3)*(1-E1790)+'DCF Base Case'!$B$3-G1790</f>
        <v>0.1081944125654</v>
      </c>
      <c r="J1790" s="24" t="n">
        <f aca="false">'DCF Base Case'!$B$2*(1+B1790)^1*$I1790-'DCF Base Case'!$B$2*(1+B1790)^0*B1790*'DCF Base Case'!$B$4</f>
        <v>16.431411331545</v>
      </c>
      <c r="K1790" s="24" t="n">
        <f aca="false">'DCF Base Case'!$B$2*(1+B1790)^2*$I1790-'DCF Base Case'!$B$2*(1+B1790)^1*B1790*'DCF Base Case'!$B$4</f>
        <v>17.5084949335842</v>
      </c>
      <c r="L1790" s="24" t="n">
        <f aca="false">'DCF Base Case'!$B$2*(1+B1790)^3*$I1790-'DCF Base Case'!$B$2*(1+B1790)^2*B1790*'DCF Base Case'!$B$4</f>
        <v>18.656181666564</v>
      </c>
      <c r="M1790" s="24" t="n">
        <f aca="false">'DCF Base Case'!$B$2*(1+B1790)^4*$I1790-'DCF Base Case'!$B$2*(1+B1790)^3*B1790*'DCF Base Case'!$B$4</f>
        <v>19.8790995854369</v>
      </c>
      <c r="N1790" s="24" t="n">
        <f aca="false">'DCF Base Case'!$B$2*(1+B1790)^5*$I1790-'DCF Base Case'!$B$2*(1+B1790)^4*B1790*'DCF Base Case'!$B$4</f>
        <v>21.1821801154503</v>
      </c>
      <c r="O1790" s="24" t="n">
        <f aca="false">J1790/(1+H1790)^1+K1790/(1+H1790)^2+L1790/(1+H1790)^3+M1790/(1+H1790)^4+N1790/(1+H1790)^5</f>
        <v>77.8981282092927</v>
      </c>
      <c r="P1790" s="24" t="n">
        <f aca="false">N1790*(1+F1790)/(H1790-F1790)</f>
        <v>501.124869210327</v>
      </c>
      <c r="Q1790" s="24" t="n">
        <f aca="false">O1790+P1790/(1+H1790)^5</f>
        <v>449.001244434063</v>
      </c>
      <c r="R1790" s="24" t="n">
        <f aca="false">Q1790-'DCF Base Case'!$B$5</f>
        <v>264.001244434063</v>
      </c>
      <c r="S1790" s="32" t="n">
        <f aca="false">R1790/'DCF Base Case'!$B$6</f>
        <v>10.5600497773625</v>
      </c>
    </row>
    <row r="1791" customFormat="false" ht="15" hidden="false" customHeight="true" outlineLevel="0" collapsed="false">
      <c r="A1791" s="6" t="n">
        <v>1790</v>
      </c>
      <c r="B1791" s="30" t="n">
        <v>0.126549105206325</v>
      </c>
      <c r="C1791" s="30" t="n">
        <v>0.408179068240344</v>
      </c>
      <c r="D1791" s="30" t="n">
        <v>0.0866489362712967</v>
      </c>
      <c r="E1791" s="30" t="n">
        <v>0.252543494059614</v>
      </c>
      <c r="F1791" s="30" t="n">
        <v>0.0140718273916442</v>
      </c>
      <c r="G1791" s="30" t="n">
        <v>0.141499879162002</v>
      </c>
      <c r="H1791" s="31" t="n">
        <f aca="false">MAX(D1791,F1791+0.015)</f>
        <v>0.0866489362712967</v>
      </c>
      <c r="I1791" s="25" t="n">
        <f aca="false">(C1791-'DCF Base Case'!$B$3)*(1-E1791)+'DCF Base Case'!$B$3-G1791</f>
        <v>0.196426875210678</v>
      </c>
      <c r="J1791" s="24" t="n">
        <f aca="false">'DCF Base Case'!$B$2*(1+B1791)^1*$I1791-'DCF Base Case'!$B$2*(1+B1791)^0*B1791*'DCF Base Case'!$B$4</f>
        <v>31.5357668658767</v>
      </c>
      <c r="K1791" s="24" t="n">
        <f aca="false">'DCF Base Case'!$B$2*(1+B1791)^2*$I1791-'DCF Base Case'!$B$2*(1+B1791)^1*B1791*'DCF Base Case'!$B$4</f>
        <v>35.5265899447487</v>
      </c>
      <c r="L1791" s="24" t="n">
        <f aca="false">'DCF Base Case'!$B$2*(1+B1791)^3*$I1791-'DCF Base Case'!$B$2*(1+B1791)^2*B1791*'DCF Base Case'!$B$4</f>
        <v>40.0224481132886</v>
      </c>
      <c r="M1791" s="24" t="n">
        <f aca="false">'DCF Base Case'!$B$2*(1+B1791)^4*$I1791-'DCF Base Case'!$B$2*(1+B1791)^3*B1791*'DCF Base Case'!$B$4</f>
        <v>45.0872531101919</v>
      </c>
      <c r="N1791" s="24" t="n">
        <f aca="false">'DCF Base Case'!$B$2*(1+B1791)^5*$I1791-'DCF Base Case'!$B$2*(1+B1791)^4*B1791*'DCF Base Case'!$B$4</f>
        <v>50.7930046474977</v>
      </c>
      <c r="O1791" s="24" t="n">
        <f aca="false">J1791/(1+H1791)^1+K1791/(1+H1791)^2+L1791/(1+H1791)^3+M1791/(1+H1791)^4+N1791/(1+H1791)^5</f>
        <v>156.160235894851</v>
      </c>
      <c r="P1791" s="24" t="n">
        <f aca="false">N1791*(1+F1791)/(H1791-F1791)</f>
        <v>709.696980724468</v>
      </c>
      <c r="Q1791" s="24" t="n">
        <f aca="false">O1791+P1791/(1+H1791)^5</f>
        <v>624.5707788482</v>
      </c>
      <c r="R1791" s="24" t="n">
        <f aca="false">Q1791-'DCF Base Case'!$B$5</f>
        <v>439.5707788482</v>
      </c>
      <c r="S1791" s="32" t="n">
        <f aca="false">R1791/'DCF Base Case'!$B$6</f>
        <v>17.582831153928</v>
      </c>
    </row>
    <row r="1792" customFormat="false" ht="15" hidden="false" customHeight="true" outlineLevel="0" collapsed="false">
      <c r="A1792" s="6" t="n">
        <v>1791</v>
      </c>
      <c r="B1792" s="30" t="n">
        <v>0.0853208381619809</v>
      </c>
      <c r="C1792" s="30" t="n">
        <v>0.409072651010523</v>
      </c>
      <c r="D1792" s="30" t="n">
        <v>0.0877797216788755</v>
      </c>
      <c r="E1792" s="30" t="n">
        <v>0.299894109312772</v>
      </c>
      <c r="F1792" s="30" t="n">
        <v>0.0180260876722656</v>
      </c>
      <c r="G1792" s="30" t="n">
        <v>0.166024413444794</v>
      </c>
      <c r="H1792" s="31" t="n">
        <f aca="false">MAX(D1792,F1792+0.015)</f>
        <v>0.0877797216788755</v>
      </c>
      <c r="I1792" s="25" t="n">
        <f aca="false">(C1792-'DCF Base Case'!$B$3)*(1-E1792)+'DCF Base Case'!$B$3-G1792</f>
        <v>0.159355993457374</v>
      </c>
      <c r="J1792" s="24" t="n">
        <f aca="false">'DCF Base Case'!$B$2*(1+B1792)^1*$I1792-'DCF Base Case'!$B$2*(1+B1792)^0*B1792*'DCF Base Case'!$B$4</f>
        <v>24.7069495098628</v>
      </c>
      <c r="K1792" s="24" t="n">
        <f aca="false">'DCF Base Case'!$B$2*(1+B1792)^2*$I1792-'DCF Base Case'!$B$2*(1+B1792)^1*B1792*'DCF Base Case'!$B$4</f>
        <v>26.81496715047</v>
      </c>
      <c r="L1792" s="24" t="n">
        <f aca="false">'DCF Base Case'!$B$2*(1+B1792)^3*$I1792-'DCF Base Case'!$B$2*(1+B1792)^2*B1792*'DCF Base Case'!$B$4</f>
        <v>29.1028426230341</v>
      </c>
      <c r="M1792" s="24" t="n">
        <f aca="false">'DCF Base Case'!$B$2*(1+B1792)^4*$I1792-'DCF Base Case'!$B$2*(1+B1792)^3*B1792*'DCF Base Case'!$B$4</f>
        <v>31.5859215485276</v>
      </c>
      <c r="N1792" s="24" t="n">
        <f aca="false">'DCF Base Case'!$B$2*(1+B1792)^5*$I1792-'DCF Base Case'!$B$2*(1+B1792)^4*B1792*'DCF Base Case'!$B$4</f>
        <v>34.2808588491666</v>
      </c>
      <c r="O1792" s="24" t="n">
        <f aca="false">J1792/(1+H1792)^1+K1792/(1+H1792)^2+L1792/(1+H1792)^3+M1792/(1+H1792)^4+N1792/(1+H1792)^5</f>
        <v>113.053695696429</v>
      </c>
      <c r="P1792" s="24" t="n">
        <f aca="false">N1792*(1+F1792)/(H1792-F1792)</f>
        <v>500.315275516042</v>
      </c>
      <c r="Q1792" s="24" t="n">
        <f aca="false">O1792+P1792/(1+H1792)^5</f>
        <v>441.556416212902</v>
      </c>
      <c r="R1792" s="24" t="n">
        <f aca="false">Q1792-'DCF Base Case'!$B$5</f>
        <v>256.556416212902</v>
      </c>
      <c r="S1792" s="32" t="n">
        <f aca="false">R1792/'DCF Base Case'!$B$6</f>
        <v>10.2622566485161</v>
      </c>
    </row>
    <row r="1793" customFormat="false" ht="15" hidden="false" customHeight="true" outlineLevel="0" collapsed="false">
      <c r="A1793" s="6" t="n">
        <v>1792</v>
      </c>
      <c r="B1793" s="30" t="n">
        <v>0.0661742821183234</v>
      </c>
      <c r="C1793" s="30" t="n">
        <v>0.3773663117975</v>
      </c>
      <c r="D1793" s="30" t="n">
        <v>0.0685113041934686</v>
      </c>
      <c r="E1793" s="30" t="n">
        <v>0.299452179222937</v>
      </c>
      <c r="F1793" s="30" t="n">
        <v>0.0180218673263713</v>
      </c>
      <c r="G1793" s="30" t="n">
        <v>0.131075054276202</v>
      </c>
      <c r="H1793" s="31" t="n">
        <f aca="false">MAX(D1793,F1793+0.015)</f>
        <v>0.0685113041934686</v>
      </c>
      <c r="I1793" s="25" t="n">
        <f aca="false">(C1793-'DCF Base Case'!$B$3)*(1-E1793)+'DCF Base Case'!$B$3-G1793</f>
        <v>0.172216876387196</v>
      </c>
      <c r="J1793" s="24" t="n">
        <f aca="false">'DCF Base Case'!$B$2*(1+B1793)^1*$I1793-'DCF Base Case'!$B$2*(1+B1793)^0*B1793*'DCF Base Case'!$B$4</f>
        <v>26.3360565326482</v>
      </c>
      <c r="K1793" s="24" t="n">
        <f aca="false">'DCF Base Case'!$B$2*(1+B1793)^2*$I1793-'DCF Base Case'!$B$2*(1+B1793)^1*B1793*'DCF Base Case'!$B$4</f>
        <v>28.0788261675238</v>
      </c>
      <c r="L1793" s="24" t="n">
        <f aca="false">'DCF Base Case'!$B$2*(1+B1793)^3*$I1793-'DCF Base Case'!$B$2*(1+B1793)^2*B1793*'DCF Base Case'!$B$4</f>
        <v>29.9369223318849</v>
      </c>
      <c r="M1793" s="24" t="n">
        <f aca="false">'DCF Base Case'!$B$2*(1+B1793)^4*$I1793-'DCF Base Case'!$B$2*(1+B1793)^3*B1793*'DCF Base Case'!$B$4</f>
        <v>31.9179766760294</v>
      </c>
      <c r="N1793" s="24" t="n">
        <f aca="false">'DCF Base Case'!$B$2*(1+B1793)^5*$I1793-'DCF Base Case'!$B$2*(1+B1793)^4*B1793*'DCF Base Case'!$B$4</f>
        <v>34.030125869235</v>
      </c>
      <c r="O1793" s="24" t="n">
        <f aca="false">J1793/(1+H1793)^1+K1793/(1+H1793)^2+L1793/(1+H1793)^3+M1793/(1+H1793)^4+N1793/(1+H1793)^5</f>
        <v>122.699240300247</v>
      </c>
      <c r="P1793" s="24" t="n">
        <f aca="false">N1793*(1+F1793)/(H1793-F1793)</f>
        <v>686.151687014087</v>
      </c>
      <c r="Q1793" s="24" t="n">
        <f aca="false">O1793+P1793/(1+H1793)^5</f>
        <v>615.33340802311</v>
      </c>
      <c r="R1793" s="24" t="n">
        <f aca="false">Q1793-'DCF Base Case'!$B$5</f>
        <v>430.33340802311</v>
      </c>
      <c r="S1793" s="32" t="n">
        <f aca="false">R1793/'DCF Base Case'!$B$6</f>
        <v>17.2133363209244</v>
      </c>
    </row>
    <row r="1794" customFormat="false" ht="15" hidden="false" customHeight="true" outlineLevel="0" collapsed="false">
      <c r="A1794" s="6" t="n">
        <v>1793</v>
      </c>
      <c r="B1794" s="30" t="n">
        <v>0.0887261652312316</v>
      </c>
      <c r="C1794" s="30" t="n">
        <v>0.386455334781191</v>
      </c>
      <c r="D1794" s="30" t="n">
        <v>0.103264167008703</v>
      </c>
      <c r="E1794" s="30" t="n">
        <v>0.265651982185542</v>
      </c>
      <c r="F1794" s="30" t="n">
        <v>0.0217973199857012</v>
      </c>
      <c r="G1794" s="30" t="n">
        <v>0.191216140446761</v>
      </c>
      <c r="H1794" s="31" t="n">
        <f aca="false">MAX(D1794,F1794+0.015)</f>
        <v>0.103264167008703</v>
      </c>
      <c r="I1794" s="25" t="n">
        <f aca="false">(C1794-'DCF Base Case'!$B$3)*(1-E1794)+'DCF Base Case'!$B$3-G1794</f>
        <v>0.12711132630775</v>
      </c>
      <c r="J1794" s="24" t="n">
        <f aca="false">'DCF Base Case'!$B$2*(1+B1794)^1*$I1794-'DCF Base Case'!$B$2*(1+B1794)^0*B1794*'DCF Base Case'!$B$4</f>
        <v>19.6805080742755</v>
      </c>
      <c r="K1794" s="24" t="n">
        <f aca="false">'DCF Base Case'!$B$2*(1+B1794)^2*$I1794-'DCF Base Case'!$B$2*(1+B1794)^1*B1794*'DCF Base Case'!$B$4</f>
        <v>21.4266840855083</v>
      </c>
      <c r="L1794" s="24" t="n">
        <f aca="false">'DCF Base Case'!$B$2*(1+B1794)^3*$I1794-'DCF Base Case'!$B$2*(1+B1794)^2*B1794*'DCF Base Case'!$B$4</f>
        <v>23.3277915980365</v>
      </c>
      <c r="M1794" s="24" t="n">
        <f aca="false">'DCF Base Case'!$B$2*(1+B1794)^4*$I1794-'DCF Base Case'!$B$2*(1+B1794)^3*B1794*'DCF Base Case'!$B$4</f>
        <v>25.3975770898436</v>
      </c>
      <c r="N1794" s="24" t="n">
        <f aca="false">'DCF Base Case'!$B$2*(1+B1794)^5*$I1794-'DCF Base Case'!$B$2*(1+B1794)^4*B1794*'DCF Base Case'!$B$4</f>
        <v>27.65100671119</v>
      </c>
      <c r="O1794" s="24" t="n">
        <f aca="false">J1794/(1+H1794)^1+K1794/(1+H1794)^2+L1794/(1+H1794)^3+M1794/(1+H1794)^4+N1794/(1+H1794)^5</f>
        <v>86.8723372934149</v>
      </c>
      <c r="P1794" s="24" t="n">
        <f aca="false">N1794*(1+F1794)/(H1794-F1794)</f>
        <v>346.812545039619</v>
      </c>
      <c r="Q1794" s="24" t="n">
        <f aca="false">O1794+P1794/(1+H1794)^5</f>
        <v>299.048814222673</v>
      </c>
      <c r="R1794" s="24" t="n">
        <f aca="false">Q1794-'DCF Base Case'!$B$5</f>
        <v>114.048814222673</v>
      </c>
      <c r="S1794" s="32" t="n">
        <f aca="false">R1794/'DCF Base Case'!$B$6</f>
        <v>4.56195256890693</v>
      </c>
    </row>
    <row r="1795" customFormat="false" ht="15" hidden="false" customHeight="true" outlineLevel="0" collapsed="false">
      <c r="A1795" s="6" t="n">
        <v>1794</v>
      </c>
      <c r="B1795" s="30" t="n">
        <v>0.0691382000139647</v>
      </c>
      <c r="C1795" s="30" t="n">
        <v>0.408761458610882</v>
      </c>
      <c r="D1795" s="30" t="n">
        <v>0.0910881469152696</v>
      </c>
      <c r="E1795" s="30" t="n">
        <v>0.282957770659797</v>
      </c>
      <c r="F1795" s="30" t="n">
        <v>0.0206355748058754</v>
      </c>
      <c r="G1795" s="30" t="n">
        <v>0.139164571928201</v>
      </c>
      <c r="H1795" s="31" t="n">
        <f aca="false">MAX(D1795,F1795+0.015)</f>
        <v>0.0910881469152696</v>
      </c>
      <c r="I1795" s="25" t="n">
        <f aca="false">(C1795-'DCF Base Case'!$B$3)*(1-E1795)+'DCF Base Case'!$B$3-G1795</f>
        <v>0.190719165808273</v>
      </c>
      <c r="J1795" s="24" t="n">
        <f aca="false">'DCF Base Case'!$B$2*(1+B1795)^1*$I1795-'DCF Base Case'!$B$2*(1+B1795)^0*B1795*'DCF Base Case'!$B$4</f>
        <v>29.2654949478004</v>
      </c>
      <c r="K1795" s="24" t="n">
        <f aca="false">'DCF Base Case'!$B$2*(1+B1795)^2*$I1795-'DCF Base Case'!$B$2*(1+B1795)^1*B1795*'DCF Base Case'!$B$4</f>
        <v>31.2888585910091</v>
      </c>
      <c r="L1795" s="24" t="n">
        <f aca="false">'DCF Base Case'!$B$2*(1+B1795)^3*$I1795-'DCF Base Case'!$B$2*(1+B1795)^2*B1795*'DCF Base Case'!$B$4</f>
        <v>33.4521139544829</v>
      </c>
      <c r="M1795" s="24" t="n">
        <f aca="false">'DCF Base Case'!$B$2*(1+B1795)^4*$I1795-'DCF Base Case'!$B$2*(1+B1795)^3*B1795*'DCF Base Case'!$B$4</f>
        <v>35.7649328999579</v>
      </c>
      <c r="N1795" s="24" t="n">
        <f aca="false">'DCF Base Case'!$B$2*(1+B1795)^5*$I1795-'DCF Base Case'!$B$2*(1+B1795)^4*B1795*'DCF Base Case'!$B$4</f>
        <v>38.2376559842812</v>
      </c>
      <c r="O1795" s="24" t="n">
        <f aca="false">J1795/(1+H1795)^1+K1795/(1+H1795)^2+L1795/(1+H1795)^3+M1795/(1+H1795)^4+N1795/(1+H1795)^5</f>
        <v>128.823000209361</v>
      </c>
      <c r="P1795" s="24" t="n">
        <f aca="false">N1795*(1+F1795)/(H1795-F1795)</f>
        <v>553.943040349868</v>
      </c>
      <c r="Q1795" s="24" t="n">
        <f aca="false">O1795+P1795/(1+H1795)^5</f>
        <v>487.056273381995</v>
      </c>
      <c r="R1795" s="24" t="n">
        <f aca="false">Q1795-'DCF Base Case'!$B$5</f>
        <v>302.056273381995</v>
      </c>
      <c r="S1795" s="32" t="n">
        <f aca="false">R1795/'DCF Base Case'!$B$6</f>
        <v>12.0822509352798</v>
      </c>
    </row>
    <row r="1796" customFormat="false" ht="15" hidden="false" customHeight="true" outlineLevel="0" collapsed="false">
      <c r="A1796" s="6" t="n">
        <v>1795</v>
      </c>
      <c r="B1796" s="30" t="n">
        <v>0.101935776045008</v>
      </c>
      <c r="C1796" s="30" t="n">
        <v>0.408796694673806</v>
      </c>
      <c r="D1796" s="30" t="n">
        <v>0.0888439634561256</v>
      </c>
      <c r="E1796" s="30" t="n">
        <v>0.307928465538729</v>
      </c>
      <c r="F1796" s="30" t="n">
        <v>0.0217510950987053</v>
      </c>
      <c r="G1796" s="30" t="n">
        <v>0.173289196089402</v>
      </c>
      <c r="H1796" s="31" t="n">
        <f aca="false">MAX(D1796,F1796+0.015)</f>
        <v>0.0888439634561256</v>
      </c>
      <c r="I1796" s="25" t="n">
        <f aca="false">(C1796-'DCF Base Case'!$B$3)*(1-E1796)+'DCF Base Case'!$B$3-G1796</f>
        <v>0.149658060196229</v>
      </c>
      <c r="J1796" s="24" t="n">
        <f aca="false">'DCF Base Case'!$B$2*(1+B1796)^1*$I1796-'DCF Base Case'!$B$2*(1+B1796)^0*B1796*'DCF Base Case'!$B$4</f>
        <v>23.469047126244</v>
      </c>
      <c r="K1796" s="24" t="n">
        <f aca="false">'DCF Base Case'!$B$2*(1+B1796)^2*$I1796-'DCF Base Case'!$B$2*(1+B1796)^1*B1796*'DCF Base Case'!$B$4</f>
        <v>25.8613826580945</v>
      </c>
      <c r="L1796" s="24" t="n">
        <f aca="false">'DCF Base Case'!$B$2*(1+B1796)^3*$I1796-'DCF Base Case'!$B$2*(1+B1796)^2*B1796*'DCF Base Case'!$B$4</f>
        <v>28.4975827689443</v>
      </c>
      <c r="M1796" s="24" t="n">
        <f aca="false">'DCF Base Case'!$B$2*(1+B1796)^4*$I1796-'DCF Base Case'!$B$2*(1+B1796)^3*B1796*'DCF Base Case'!$B$4</f>
        <v>31.4025059839035</v>
      </c>
      <c r="N1796" s="24" t="n">
        <f aca="false">'DCF Base Case'!$B$2*(1+B1796)^5*$I1796-'DCF Base Case'!$B$2*(1+B1796)^4*B1796*'DCF Base Case'!$B$4</f>
        <v>34.6035448011307</v>
      </c>
      <c r="O1796" s="24" t="n">
        <f aca="false">J1796/(1+H1796)^1+K1796/(1+H1796)^2+L1796/(1+H1796)^3+M1796/(1+H1796)^4+N1796/(1+H1796)^5</f>
        <v>110.393402896911</v>
      </c>
      <c r="P1796" s="24" t="n">
        <f aca="false">N1796*(1+F1796)/(H1796-F1796)</f>
        <v>526.974187576854</v>
      </c>
      <c r="Q1796" s="24" t="n">
        <f aca="false">O1796+P1796/(1+H1796)^5</f>
        <v>454.71249481781</v>
      </c>
      <c r="R1796" s="24" t="n">
        <f aca="false">Q1796-'DCF Base Case'!$B$5</f>
        <v>269.71249481781</v>
      </c>
      <c r="S1796" s="32" t="n">
        <f aca="false">R1796/'DCF Base Case'!$B$6</f>
        <v>10.7884997927124</v>
      </c>
    </row>
    <row r="1797" customFormat="false" ht="15" hidden="false" customHeight="true" outlineLevel="0" collapsed="false">
      <c r="A1797" s="6" t="n">
        <v>1796</v>
      </c>
      <c r="B1797" s="30" t="n">
        <v>0.103917113308545</v>
      </c>
      <c r="C1797" s="30" t="n">
        <v>0.432268735331332</v>
      </c>
      <c r="D1797" s="30" t="n">
        <v>0.101450512775223</v>
      </c>
      <c r="E1797" s="30" t="n">
        <v>0.278694612916532</v>
      </c>
      <c r="F1797" s="30" t="n">
        <v>0.019944624805136</v>
      </c>
      <c r="G1797" s="30" t="n">
        <v>0.187536081578148</v>
      </c>
      <c r="H1797" s="31" t="n">
        <f aca="false">MAX(D1797,F1797+0.015)</f>
        <v>0.101450512775223</v>
      </c>
      <c r="I1797" s="25" t="n">
        <f aca="false">(C1797-'DCF Base Case'!$B$3)*(1-E1797)+'DCF Base Case'!$B$3-G1797</f>
        <v>0.160491985563249</v>
      </c>
      <c r="J1797" s="24" t="n">
        <f aca="false">'DCF Base Case'!$B$2*(1+B1797)^1*$I1797-'DCF Base Case'!$B$2*(1+B1797)^0*B1797*'DCF Base Case'!$B$4</f>
        <v>25.2375887218679</v>
      </c>
      <c r="K1797" s="24" t="n">
        <f aca="false">'DCF Base Case'!$B$2*(1+B1797)^2*$I1797-'DCF Base Case'!$B$2*(1+B1797)^1*B1797*'DCF Base Case'!$B$4</f>
        <v>27.8602060887127</v>
      </c>
      <c r="L1797" s="24" t="n">
        <f aca="false">'DCF Base Case'!$B$2*(1+B1797)^3*$I1797-'DCF Base Case'!$B$2*(1+B1797)^2*B1797*'DCF Base Case'!$B$4</f>
        <v>30.7553582816329</v>
      </c>
      <c r="M1797" s="24" t="n">
        <f aca="false">'DCF Base Case'!$B$2*(1+B1797)^4*$I1797-'DCF Base Case'!$B$2*(1+B1797)^3*B1797*'DCF Base Case'!$B$4</f>
        <v>33.9513663330302</v>
      </c>
      <c r="N1797" s="24" t="n">
        <f aca="false">'DCF Base Case'!$B$2*(1+B1797)^5*$I1797-'DCF Base Case'!$B$2*(1+B1797)^4*B1797*'DCF Base Case'!$B$4</f>
        <v>37.4794943152396</v>
      </c>
      <c r="O1797" s="24" t="n">
        <f aca="false">J1797/(1+H1797)^1+K1797/(1+H1797)^2+L1797/(1+H1797)^3+M1797/(1+H1797)^4+N1797/(1+H1797)^5</f>
        <v>115.079508867931</v>
      </c>
      <c r="P1797" s="24" t="n">
        <f aca="false">N1797*(1+F1797)/(H1797-F1797)</f>
        <v>469.009168776528</v>
      </c>
      <c r="Q1797" s="24" t="n">
        <f aca="false">O1797+P1797/(1+H1797)^5</f>
        <v>404.384806073981</v>
      </c>
      <c r="R1797" s="24" t="n">
        <f aca="false">Q1797-'DCF Base Case'!$B$5</f>
        <v>219.384806073981</v>
      </c>
      <c r="S1797" s="32" t="n">
        <f aca="false">R1797/'DCF Base Case'!$B$6</f>
        <v>8.77539224295922</v>
      </c>
    </row>
    <row r="1798" customFormat="false" ht="15" hidden="false" customHeight="true" outlineLevel="0" collapsed="false">
      <c r="A1798" s="6" t="n">
        <v>1797</v>
      </c>
      <c r="B1798" s="30" t="n">
        <v>0.079492393021585</v>
      </c>
      <c r="C1798" s="30" t="n">
        <v>0.381556658430795</v>
      </c>
      <c r="D1798" s="30" t="n">
        <v>0.0904255319204105</v>
      </c>
      <c r="E1798" s="30" t="n">
        <v>0.274118667855691</v>
      </c>
      <c r="F1798" s="30" t="n">
        <v>0.0144589848407167</v>
      </c>
      <c r="G1798" s="30" t="n">
        <v>0.176987436483877</v>
      </c>
      <c r="H1798" s="31" t="n">
        <f aca="false">MAX(D1798,F1798+0.015)</f>
        <v>0.0904255319204105</v>
      </c>
      <c r="I1798" s="25" t="n">
        <f aca="false">(C1798-'DCF Base Case'!$B$3)*(1-E1798)+'DCF Base Case'!$B$3-G1798</f>
        <v>0.135612845847639</v>
      </c>
      <c r="J1798" s="24" t="n">
        <f aca="false">'DCF Base Case'!$B$2*(1+B1798)^1*$I1798-'DCF Base Case'!$B$2*(1+B1798)^0*B1798*'DCF Base Case'!$B$4</f>
        <v>20.8811982361938</v>
      </c>
      <c r="K1798" s="24" t="n">
        <f aca="false">'DCF Base Case'!$B$2*(1+B1798)^2*$I1798-'DCF Base Case'!$B$2*(1+B1798)^1*B1798*'DCF Base Case'!$B$4</f>
        <v>22.5410946531469</v>
      </c>
      <c r="L1798" s="24" t="n">
        <f aca="false">'DCF Base Case'!$B$2*(1+B1798)^3*$I1798-'DCF Base Case'!$B$2*(1+B1798)^2*B1798*'DCF Base Case'!$B$4</f>
        <v>24.3329402084516</v>
      </c>
      <c r="M1798" s="24" t="n">
        <f aca="false">'DCF Base Case'!$B$2*(1+B1798)^4*$I1798-'DCF Base Case'!$B$2*(1+B1798)^3*B1798*'DCF Base Case'!$B$4</f>
        <v>26.2672238548726</v>
      </c>
      <c r="N1798" s="24" t="n">
        <f aca="false">'DCF Base Case'!$B$2*(1+B1798)^5*$I1798-'DCF Base Case'!$B$2*(1+B1798)^4*B1798*'DCF Base Case'!$B$4</f>
        <v>28.35526833713</v>
      </c>
      <c r="O1798" s="24" t="n">
        <f aca="false">J1798/(1+H1798)^1+K1798/(1+H1798)^2+L1798/(1+H1798)^3+M1798/(1+H1798)^4+N1798/(1+H1798)^5</f>
        <v>93.8470571490173</v>
      </c>
      <c r="P1798" s="24" t="n">
        <f aca="false">N1798*(1+F1798)/(H1798-F1798)</f>
        <v>378.656893566512</v>
      </c>
      <c r="Q1798" s="24" t="n">
        <f aca="false">O1798+P1798/(1+H1798)^5</f>
        <v>339.468234478925</v>
      </c>
      <c r="R1798" s="24" t="n">
        <f aca="false">Q1798-'DCF Base Case'!$B$5</f>
        <v>154.468234478925</v>
      </c>
      <c r="S1798" s="32" t="n">
        <f aca="false">R1798/'DCF Base Case'!$B$6</f>
        <v>6.17872937915699</v>
      </c>
    </row>
    <row r="1799" customFormat="false" ht="15" hidden="false" customHeight="true" outlineLevel="0" collapsed="false">
      <c r="A1799" s="6" t="n">
        <v>1798</v>
      </c>
      <c r="B1799" s="30" t="n">
        <v>0.120481284826452</v>
      </c>
      <c r="C1799" s="30" t="n">
        <v>0.390249101022978</v>
      </c>
      <c r="D1799" s="30" t="n">
        <v>0.0962455749473813</v>
      </c>
      <c r="E1799" s="30" t="n">
        <v>0.24350662134396</v>
      </c>
      <c r="F1799" s="30" t="n">
        <v>0.0177641949836</v>
      </c>
      <c r="G1799" s="30" t="n">
        <v>0.205961567361601</v>
      </c>
      <c r="H1799" s="31" t="n">
        <f aca="false">MAX(D1799,F1799+0.015)</f>
        <v>0.0962455749473813</v>
      </c>
      <c r="I1799" s="25" t="n">
        <f aca="false">(C1799-'DCF Base Case'!$B$3)*(1-E1799)+'DCF Base Case'!$B$3-G1799</f>
        <v>0.120915154363469</v>
      </c>
      <c r="J1799" s="24" t="n">
        <f aca="false">'DCF Base Case'!$B$2*(1+B1799)^1*$I1799-'DCF Base Case'!$B$2*(1+B1799)^0*B1799*'DCF Base Case'!$B$4</f>
        <v>19.1209657008493</v>
      </c>
      <c r="K1799" s="24" t="n">
        <f aca="false">'DCF Base Case'!$B$2*(1+B1799)^2*$I1799-'DCF Base Case'!$B$2*(1+B1799)^1*B1799*'DCF Base Case'!$B$4</f>
        <v>21.4246842156102</v>
      </c>
      <c r="L1799" s="24" t="n">
        <f aca="false">'DCF Base Case'!$B$2*(1+B1799)^3*$I1799-'DCF Base Case'!$B$2*(1+B1799)^2*B1799*'DCF Base Case'!$B$4</f>
        <v>24.0059576969079</v>
      </c>
      <c r="M1799" s="24" t="n">
        <f aca="false">'DCF Base Case'!$B$2*(1+B1799)^4*$I1799-'DCF Base Case'!$B$2*(1+B1799)^3*B1799*'DCF Base Case'!$B$4</f>
        <v>26.8982263237208</v>
      </c>
      <c r="N1799" s="24" t="n">
        <f aca="false">'DCF Base Case'!$B$2*(1+B1799)^5*$I1799-'DCF Base Case'!$B$2*(1+B1799)^4*B1799*'DCF Base Case'!$B$4</f>
        <v>30.1389591907554</v>
      </c>
      <c r="O1799" s="24" t="n">
        <f aca="false">J1799/(1+H1799)^1+K1799/(1+H1799)^2+L1799/(1+H1799)^3+M1799/(1+H1799)^4+N1799/(1+H1799)^5</f>
        <v>91.1534531509998</v>
      </c>
      <c r="P1799" s="24" t="n">
        <f aca="false">N1799*(1+F1799)/(H1799-F1799)</f>
        <v>390.848804551841</v>
      </c>
      <c r="Q1799" s="24" t="n">
        <f aca="false">O1799+P1799/(1+H1799)^5</f>
        <v>338.024137719984</v>
      </c>
      <c r="R1799" s="24" t="n">
        <f aca="false">Q1799-'DCF Base Case'!$B$5</f>
        <v>153.024137719984</v>
      </c>
      <c r="S1799" s="32" t="n">
        <f aca="false">R1799/'DCF Base Case'!$B$6</f>
        <v>6.12096550879936</v>
      </c>
    </row>
    <row r="1800" customFormat="false" ht="15" hidden="false" customHeight="true" outlineLevel="0" collapsed="false">
      <c r="A1800" s="6" t="n">
        <v>1799</v>
      </c>
      <c r="B1800" s="30" t="n">
        <v>0.0830890549614447</v>
      </c>
      <c r="C1800" s="30" t="n">
        <v>0.414098182389032</v>
      </c>
      <c r="D1800" s="30" t="n">
        <v>0.0933915282085091</v>
      </c>
      <c r="E1800" s="30" t="n">
        <v>0.249730516570581</v>
      </c>
      <c r="F1800" s="30" t="n">
        <v>0.0196191961420089</v>
      </c>
      <c r="G1800" s="30" t="n">
        <v>0.16664832048688</v>
      </c>
      <c r="H1800" s="31" t="n">
        <f aca="false">MAX(D1800,F1800+0.015)</f>
        <v>0.0933915282085091</v>
      </c>
      <c r="I1800" s="25" t="n">
        <f aca="false">(C1800-'DCF Base Case'!$B$3)*(1-E1800)+'DCF Base Case'!$B$3-G1800</f>
        <v>0.176501876057376</v>
      </c>
      <c r="J1800" s="24" t="n">
        <f aca="false">'DCF Base Case'!$B$2*(1+B1800)^1*$I1800-'DCF Base Case'!$B$2*(1+B1800)^0*B1800*'DCF Base Case'!$B$4</f>
        <v>27.357813880914</v>
      </c>
      <c r="K1800" s="24" t="n">
        <f aca="false">'DCF Base Case'!$B$2*(1+B1800)^2*$I1800-'DCF Base Case'!$B$2*(1+B1800)^1*B1800*'DCF Base Case'!$B$4</f>
        <v>29.6309487820902</v>
      </c>
      <c r="L1800" s="24" t="n">
        <f aca="false">'DCF Base Case'!$B$2*(1+B1800)^3*$I1800-'DCF Base Case'!$B$2*(1+B1800)^2*B1800*'DCF Base Case'!$B$4</f>
        <v>32.0929563140051</v>
      </c>
      <c r="M1800" s="24" t="n">
        <f aca="false">'DCF Base Case'!$B$2*(1+B1800)^4*$I1800-'DCF Base Case'!$B$2*(1+B1800)^3*B1800*'DCF Base Case'!$B$4</f>
        <v>34.7595297250547</v>
      </c>
      <c r="N1800" s="24" t="n">
        <f aca="false">'DCF Base Case'!$B$2*(1+B1800)^5*$I1800-'DCF Base Case'!$B$2*(1+B1800)^4*B1800*'DCF Base Case'!$B$4</f>
        <v>37.6476662008137</v>
      </c>
      <c r="O1800" s="24" t="n">
        <f aca="false">J1800/(1+H1800)^1+K1800/(1+H1800)^2+L1800/(1+H1800)^3+M1800/(1+H1800)^4+N1800/(1+H1800)^5</f>
        <v>122.769797466966</v>
      </c>
      <c r="P1800" s="24" t="n">
        <f aca="false">N1800*(1+F1800)/(H1800-F1800)</f>
        <v>520.33441363483</v>
      </c>
      <c r="Q1800" s="24" t="n">
        <f aca="false">O1800+P1800/(1+H1800)^5</f>
        <v>455.738970213387</v>
      </c>
      <c r="R1800" s="24" t="n">
        <f aca="false">Q1800-'DCF Base Case'!$B$5</f>
        <v>270.738970213387</v>
      </c>
      <c r="S1800" s="32" t="n">
        <f aca="false">R1800/'DCF Base Case'!$B$6</f>
        <v>10.8295588085355</v>
      </c>
    </row>
    <row r="1801" customFormat="false" ht="15" hidden="false" customHeight="true" outlineLevel="0" collapsed="false">
      <c r="A1801" s="6" t="n">
        <v>1800</v>
      </c>
      <c r="B1801" s="30" t="n">
        <v>0.12749421524754</v>
      </c>
      <c r="C1801" s="30" t="n">
        <v>0.402884258232063</v>
      </c>
      <c r="D1801" s="30" t="n">
        <v>0.0808030675190487</v>
      </c>
      <c r="E1801" s="30" t="n">
        <v>0.259711553645973</v>
      </c>
      <c r="F1801" s="30" t="n">
        <v>0.0151315273311765</v>
      </c>
      <c r="G1801" s="30" t="n">
        <v>0.192094503412813</v>
      </c>
      <c r="H1801" s="31" t="n">
        <f aca="false">MAX(D1801,F1801+0.015)</f>
        <v>0.0808030675190487</v>
      </c>
      <c r="I1801" s="25" t="n">
        <f aca="false">(C1801-'DCF Base Case'!$B$3)*(1-E1801)+'DCF Base Case'!$B$3-G1801</f>
        <v>0.139918560148272</v>
      </c>
      <c r="J1801" s="24" t="n">
        <f aca="false">'DCF Base Case'!$B$2*(1+B1801)^1*$I1801-'DCF Base Case'!$B$2*(1+B1801)^0*B1801*'DCF Base Case'!$B$4</f>
        <v>22.3202184037497</v>
      </c>
      <c r="K1801" s="24" t="n">
        <f aca="false">'DCF Base Case'!$B$2*(1+B1801)^2*$I1801-'DCF Base Case'!$B$2*(1+B1801)^1*B1801*'DCF Base Case'!$B$4</f>
        <v>25.1659171332895</v>
      </c>
      <c r="L1801" s="24" t="n">
        <f aca="false">'DCF Base Case'!$B$2*(1+B1801)^3*$I1801-'DCF Base Case'!$B$2*(1+B1801)^2*B1801*'DCF Base Case'!$B$4</f>
        <v>28.3744259891829</v>
      </c>
      <c r="M1801" s="24" t="n">
        <f aca="false">'DCF Base Case'!$B$2*(1+B1801)^4*$I1801-'DCF Base Case'!$B$2*(1+B1801)^3*B1801*'DCF Base Case'!$B$4</f>
        <v>31.9920011637732</v>
      </c>
      <c r="N1801" s="24" t="n">
        <f aca="false">'DCF Base Case'!$B$2*(1+B1801)^5*$I1801-'DCF Base Case'!$B$2*(1+B1801)^4*B1801*'DCF Base Case'!$B$4</f>
        <v>36.0707962463468</v>
      </c>
      <c r="O1801" s="24" t="n">
        <f aca="false">J1801/(1+H1801)^1+K1801/(1+H1801)^2+L1801/(1+H1801)^3+M1801/(1+H1801)^4+N1801/(1+H1801)^5</f>
        <v>112.572915880103</v>
      </c>
      <c r="P1801" s="24" t="n">
        <f aca="false">N1801*(1+F1801)/(H1801-F1801)</f>
        <v>557.571855035735</v>
      </c>
      <c r="Q1801" s="24" t="n">
        <f aca="false">O1801+P1801/(1+H1801)^5</f>
        <v>490.639244861259</v>
      </c>
      <c r="R1801" s="24" t="n">
        <f aca="false">Q1801-'DCF Base Case'!$B$5</f>
        <v>305.639244861259</v>
      </c>
      <c r="S1801" s="32" t="n">
        <f aca="false">R1801/'DCF Base Case'!$B$6</f>
        <v>12.2255697944504</v>
      </c>
    </row>
    <row r="1802" customFormat="false" ht="15" hidden="false" customHeight="true" outlineLevel="0" collapsed="false">
      <c r="A1802" s="6" t="n">
        <v>1801</v>
      </c>
      <c r="B1802" s="30" t="n">
        <v>0.0905344135996367</v>
      </c>
      <c r="C1802" s="30" t="n">
        <v>0.402753297098698</v>
      </c>
      <c r="D1802" s="30" t="n">
        <v>0.0793036950874321</v>
      </c>
      <c r="E1802" s="30" t="n">
        <v>0.265962730427778</v>
      </c>
      <c r="F1802" s="30" t="n">
        <v>0.0174577827468388</v>
      </c>
      <c r="G1802" s="30" t="n">
        <v>0.140301242639001</v>
      </c>
      <c r="H1802" s="31" t="n">
        <f aca="false">MAX(D1802,F1802+0.015)</f>
        <v>0.0793036950874321</v>
      </c>
      <c r="I1802" s="25" t="n">
        <f aca="false">(C1802-'DCF Base Case'!$B$3)*(1-E1802)+'DCF Base Case'!$B$3-G1802</f>
        <v>0.189909842830148</v>
      </c>
      <c r="J1802" s="24" t="n">
        <f aca="false">'DCF Base Case'!$B$2*(1+B1802)^1*$I1802-'DCF Base Case'!$B$2*(1+B1802)^0*B1802*'DCF Base Case'!$B$4</f>
        <v>29.63614206854</v>
      </c>
      <c r="K1802" s="24" t="n">
        <f aca="false">'DCF Base Case'!$B$2*(1+B1802)^2*$I1802-'DCF Base Case'!$B$2*(1+B1802)^1*B1802*'DCF Base Case'!$B$4</f>
        <v>32.3192328120707</v>
      </c>
      <c r="L1802" s="24" t="n">
        <f aca="false">'DCF Base Case'!$B$2*(1+B1802)^3*$I1802-'DCF Base Case'!$B$2*(1+B1802)^2*B1802*'DCF Base Case'!$B$4</f>
        <v>35.2452356027017</v>
      </c>
      <c r="M1802" s="24" t="n">
        <f aca="false">'DCF Base Case'!$B$2*(1+B1802)^4*$I1802-'DCF Base Case'!$B$2*(1+B1802)^3*B1802*'DCF Base Case'!$B$4</f>
        <v>38.4361423401733</v>
      </c>
      <c r="N1802" s="24" t="n">
        <f aca="false">'DCF Base Case'!$B$2*(1+B1802)^5*$I1802-'DCF Base Case'!$B$2*(1+B1802)^4*B1802*'DCF Base Case'!$B$4</f>
        <v>41.9159359479731</v>
      </c>
      <c r="O1802" s="24" t="n">
        <f aca="false">J1802/(1+H1802)^1+K1802/(1+H1802)^2+L1802/(1+H1802)^3+M1802/(1+H1802)^4+N1802/(1+H1802)^5</f>
        <v>140.179971732987</v>
      </c>
      <c r="P1802" s="24" t="n">
        <f aca="false">N1802*(1+F1802)/(H1802-F1802)</f>
        <v>689.579854793263</v>
      </c>
      <c r="Q1802" s="24" t="n">
        <f aca="false">O1802+P1802/(1+H1802)^5</f>
        <v>611.012268991991</v>
      </c>
      <c r="R1802" s="24" t="n">
        <f aca="false">Q1802-'DCF Base Case'!$B$5</f>
        <v>426.012268991991</v>
      </c>
      <c r="S1802" s="32" t="n">
        <f aca="false">R1802/'DCF Base Case'!$B$6</f>
        <v>17.0404907596797</v>
      </c>
    </row>
    <row r="1803" customFormat="false" ht="15" hidden="false" customHeight="true" outlineLevel="0" collapsed="false">
      <c r="A1803" s="6" t="n">
        <v>1802</v>
      </c>
      <c r="B1803" s="30" t="n">
        <v>0.0846050424227111</v>
      </c>
      <c r="C1803" s="30" t="n">
        <v>0.404811226167992</v>
      </c>
      <c r="D1803" s="30" t="n">
        <v>0.0766642362295632</v>
      </c>
      <c r="E1803" s="30" t="n">
        <v>0.284120678417629</v>
      </c>
      <c r="F1803" s="30" t="n">
        <v>0.0202072950266772</v>
      </c>
      <c r="G1803" s="30" t="n">
        <v>0.153993190157623</v>
      </c>
      <c r="H1803" s="31" t="n">
        <f aca="false">MAX(D1803,F1803+0.015)</f>
        <v>0.0766642362295632</v>
      </c>
      <c r="I1803" s="25" t="n">
        <f aca="false">(C1803-'DCF Base Case'!$B$3)*(1-E1803)+'DCF Base Case'!$B$3-G1803</f>
        <v>0.172738483994739</v>
      </c>
      <c r="J1803" s="24" t="n">
        <f aca="false">'DCF Base Case'!$B$2*(1+B1803)^1*$I1803-'DCF Base Case'!$B$2*(1+B1803)^0*B1803*'DCF Base Case'!$B$4</f>
        <v>26.7981575258277</v>
      </c>
      <c r="K1803" s="24" t="n">
        <f aca="false">'DCF Base Case'!$B$2*(1+B1803)^2*$I1803-'DCF Base Case'!$B$2*(1+B1803)^1*B1803*'DCF Base Case'!$B$4</f>
        <v>29.0654167801509</v>
      </c>
      <c r="L1803" s="24" t="n">
        <f aca="false">'DCF Base Case'!$B$2*(1+B1803)^3*$I1803-'DCF Base Case'!$B$2*(1+B1803)^2*B1803*'DCF Base Case'!$B$4</f>
        <v>31.5244975998693</v>
      </c>
      <c r="M1803" s="24" t="n">
        <f aca="false">'DCF Base Case'!$B$2*(1+B1803)^4*$I1803-'DCF Base Case'!$B$2*(1+B1803)^3*B1803*'DCF Base Case'!$B$4</f>
        <v>34.1916290566609</v>
      </c>
      <c r="N1803" s="24" t="n">
        <f aca="false">'DCF Base Case'!$B$2*(1+B1803)^5*$I1803-'DCF Base Case'!$B$2*(1+B1803)^4*B1803*'DCF Base Case'!$B$4</f>
        <v>37.0844132835013</v>
      </c>
      <c r="O1803" s="24" t="n">
        <f aca="false">J1803/(1+H1803)^1+K1803/(1+H1803)^2+L1803/(1+H1803)^3+M1803/(1+H1803)^4+N1803/(1+H1803)^5</f>
        <v>126.299248737038</v>
      </c>
      <c r="P1803" s="24" t="n">
        <f aca="false">N1803*(1+F1803)/(H1803-F1803)</f>
        <v>670.135295280188</v>
      </c>
      <c r="Q1803" s="24" t="n">
        <f aca="false">O1803+P1803/(1+H1803)^5</f>
        <v>589.491255379607</v>
      </c>
      <c r="R1803" s="24" t="n">
        <f aca="false">Q1803-'DCF Base Case'!$B$5</f>
        <v>404.491255379607</v>
      </c>
      <c r="S1803" s="32" t="n">
        <f aca="false">R1803/'DCF Base Case'!$B$6</f>
        <v>16.1796502151843</v>
      </c>
    </row>
    <row r="1804" customFormat="false" ht="15" hidden="false" customHeight="true" outlineLevel="0" collapsed="false">
      <c r="A1804" s="6" t="n">
        <v>1803</v>
      </c>
      <c r="B1804" s="30" t="n">
        <v>0.0870477028626105</v>
      </c>
      <c r="C1804" s="30" t="n">
        <v>0.450135887796979</v>
      </c>
      <c r="D1804" s="30" t="n">
        <v>0.108324765844624</v>
      </c>
      <c r="E1804" s="30" t="n">
        <v>0.257917192573653</v>
      </c>
      <c r="F1804" s="30" t="n">
        <v>0.0156162398694076</v>
      </c>
      <c r="G1804" s="30" t="n">
        <v>0.144058934220504</v>
      </c>
      <c r="H1804" s="31" t="n">
        <f aca="false">MAX(D1804,F1804+0.015)</f>
        <v>0.108324765844624</v>
      </c>
      <c r="I1804" s="25" t="n">
        <f aca="false">(C1804-'DCF Base Case'!$B$3)*(1-E1804)+'DCF Base Case'!$B$3-G1804</f>
        <v>0.223508404153804</v>
      </c>
      <c r="J1804" s="24" t="n">
        <f aca="false">'DCF Base Case'!$B$2*(1+B1804)^1*$I1804-'DCF Base Case'!$B$2*(1+B1804)^0*B1804*'DCF Base Case'!$B$4</f>
        <v>34.8511656019004</v>
      </c>
      <c r="K1804" s="24" t="n">
        <f aca="false">'DCF Base Case'!$B$2*(1+B1804)^2*$I1804-'DCF Base Case'!$B$2*(1+B1804)^1*B1804*'DCF Base Case'!$B$4</f>
        <v>37.8848795096302</v>
      </c>
      <c r="L1804" s="24" t="n">
        <f aca="false">'DCF Base Case'!$B$2*(1+B1804)^3*$I1804-'DCF Base Case'!$B$2*(1+B1804)^2*B1804*'DCF Base Case'!$B$4</f>
        <v>41.1826712441703</v>
      </c>
      <c r="M1804" s="24" t="n">
        <f aca="false">'DCF Base Case'!$B$2*(1+B1804)^4*$I1804-'DCF Base Case'!$B$2*(1+B1804)^3*B1804*'DCF Base Case'!$B$4</f>
        <v>44.7675281737214</v>
      </c>
      <c r="N1804" s="24" t="n">
        <f aca="false">'DCF Base Case'!$B$2*(1+B1804)^5*$I1804-'DCF Base Case'!$B$2*(1+B1804)^4*B1804*'DCF Base Case'!$B$4</f>
        <v>48.6644386640811</v>
      </c>
      <c r="O1804" s="24" t="n">
        <f aca="false">J1804/(1+H1804)^1+K1804/(1+H1804)^2+L1804/(1+H1804)^3+M1804/(1+H1804)^4+N1804/(1+H1804)^5</f>
        <v>151.302664085826</v>
      </c>
      <c r="P1804" s="24" t="n">
        <f aca="false">N1804*(1+F1804)/(H1804-F1804)</f>
        <v>533.115953376089</v>
      </c>
      <c r="Q1804" s="24" t="n">
        <f aca="false">O1804+P1804/(1+H1804)^5</f>
        <v>470.079305003439</v>
      </c>
      <c r="R1804" s="24" t="n">
        <f aca="false">Q1804-'DCF Base Case'!$B$5</f>
        <v>285.079305003439</v>
      </c>
      <c r="S1804" s="32" t="n">
        <f aca="false">R1804/'DCF Base Case'!$B$6</f>
        <v>11.4031722001376</v>
      </c>
    </row>
    <row r="1805" customFormat="false" ht="15" hidden="false" customHeight="true" outlineLevel="0" collapsed="false">
      <c r="A1805" s="6" t="n">
        <v>1804</v>
      </c>
      <c r="B1805" s="30" t="n">
        <v>0.113051578400835</v>
      </c>
      <c r="C1805" s="30" t="n">
        <v>0.414698933460677</v>
      </c>
      <c r="D1805" s="30" t="n">
        <v>0.0876364166795593</v>
      </c>
      <c r="E1805" s="30" t="n">
        <v>0.334938385807401</v>
      </c>
      <c r="F1805" s="30" t="n">
        <v>0.0193150101865795</v>
      </c>
      <c r="G1805" s="30" t="n">
        <v>0.182051344840621</v>
      </c>
      <c r="H1805" s="31" t="n">
        <f aca="false">MAX(D1805,F1805+0.015)</f>
        <v>0.0876364166795593</v>
      </c>
      <c r="I1805" s="25" t="n">
        <f aca="false">(C1805-'DCF Base Case'!$B$3)*(1-E1805)+'DCF Base Case'!$B$3-G1805</f>
        <v>0.137290987405648</v>
      </c>
      <c r="J1805" s="24" t="n">
        <f aca="false">'DCF Base Case'!$B$2*(1+B1805)^1*$I1805-'DCF Base Case'!$B$2*(1+B1805)^0*B1805*'DCF Base Case'!$B$4</f>
        <v>21.6659584176059</v>
      </c>
      <c r="K1805" s="24" t="n">
        <f aca="false">'DCF Base Case'!$B$2*(1+B1805)^2*$I1805-'DCF Base Case'!$B$2*(1+B1805)^1*B1805*'DCF Base Case'!$B$4</f>
        <v>24.1153292142831</v>
      </c>
      <c r="L1805" s="24" t="n">
        <f aca="false">'DCF Base Case'!$B$2*(1+B1805)^3*$I1805-'DCF Base Case'!$B$2*(1+B1805)^2*B1805*'DCF Base Case'!$B$4</f>
        <v>26.8416052456136</v>
      </c>
      <c r="M1805" s="24" t="n">
        <f aca="false">'DCF Base Case'!$B$2*(1+B1805)^4*$I1805-'DCF Base Case'!$B$2*(1+B1805)^3*B1805*'DCF Base Case'!$B$4</f>
        <v>29.8760910854424</v>
      </c>
      <c r="N1805" s="24" t="n">
        <f aca="false">'DCF Base Case'!$B$2*(1+B1805)^5*$I1805-'DCF Base Case'!$B$2*(1+B1805)^4*B1805*'DCF Base Case'!$B$4</f>
        <v>33.2536303390987</v>
      </c>
      <c r="O1805" s="24" t="n">
        <f aca="false">J1805/(1+H1805)^1+K1805/(1+H1805)^2+L1805/(1+H1805)^3+M1805/(1+H1805)^4+N1805/(1+H1805)^5</f>
        <v>104.365979904224</v>
      </c>
      <c r="P1805" s="24" t="n">
        <f aca="false">N1805*(1+F1805)/(H1805-F1805)</f>
        <v>496.124513351786</v>
      </c>
      <c r="Q1805" s="24" t="n">
        <f aca="false">O1805+P1805/(1+H1805)^5</f>
        <v>430.331740339639</v>
      </c>
      <c r="R1805" s="24" t="n">
        <f aca="false">Q1805-'DCF Base Case'!$B$5</f>
        <v>245.331740339639</v>
      </c>
      <c r="S1805" s="32" t="n">
        <f aca="false">R1805/'DCF Base Case'!$B$6</f>
        <v>9.81326961358556</v>
      </c>
    </row>
    <row r="1806" customFormat="false" ht="15" hidden="false" customHeight="true" outlineLevel="0" collapsed="false">
      <c r="A1806" s="6" t="n">
        <v>1805</v>
      </c>
      <c r="B1806" s="30" t="n">
        <v>0.10118085680946</v>
      </c>
      <c r="C1806" s="30" t="n">
        <v>0.406224286773971</v>
      </c>
      <c r="D1806" s="30" t="n">
        <v>0.0966507790491605</v>
      </c>
      <c r="E1806" s="30" t="n">
        <v>0.260880320187051</v>
      </c>
      <c r="F1806" s="30" t="n">
        <v>0.0240603538312859</v>
      </c>
      <c r="G1806" s="30" t="n">
        <v>0.153373668470159</v>
      </c>
      <c r="H1806" s="31" t="n">
        <f aca="false">MAX(D1806,F1806+0.015)</f>
        <v>0.0966507790491605</v>
      </c>
      <c r="I1806" s="25" t="n">
        <f aca="false">(C1806-'DCF Base Case'!$B$3)*(1-E1806)+'DCF Base Case'!$B$3-G1806</f>
        <v>0.180789137926779</v>
      </c>
      <c r="J1806" s="24" t="n">
        <f aca="false">'DCF Base Case'!$B$2*(1+B1806)^1*$I1806-'DCF Base Case'!$B$2*(1+B1806)^0*B1806*'DCF Base Case'!$B$4</f>
        <v>28.4266862544666</v>
      </c>
      <c r="K1806" s="24" t="n">
        <f aca="false">'DCF Base Case'!$B$2*(1+B1806)^2*$I1806-'DCF Base Case'!$B$2*(1+B1806)^1*B1806*'DCF Base Case'!$B$4</f>
        <v>31.3029227259473</v>
      </c>
      <c r="L1806" s="24" t="n">
        <f aca="false">'DCF Base Case'!$B$2*(1+B1806)^3*$I1806-'DCF Base Case'!$B$2*(1+B1806)^2*B1806*'DCF Base Case'!$B$4</f>
        <v>34.4701792679989</v>
      </c>
      <c r="M1806" s="24" t="n">
        <f aca="false">'DCF Base Case'!$B$2*(1+B1806)^4*$I1806-'DCF Base Case'!$B$2*(1+B1806)^3*B1806*'DCF Base Case'!$B$4</f>
        <v>37.9579015407108</v>
      </c>
      <c r="N1806" s="24" t="n">
        <f aca="false">'DCF Base Case'!$B$2*(1+B1806)^5*$I1806-'DCF Base Case'!$B$2*(1+B1806)^4*B1806*'DCF Base Case'!$B$4</f>
        <v>41.798514541289</v>
      </c>
      <c r="O1806" s="24" t="n">
        <f aca="false">J1806/(1+H1806)^1+K1806/(1+H1806)^2+L1806/(1+H1806)^3+M1806/(1+H1806)^4+N1806/(1+H1806)^5</f>
        <v>130.682029990875</v>
      </c>
      <c r="P1806" s="24" t="n">
        <f aca="false">N1806*(1+F1806)/(H1806-F1806)</f>
        <v>589.667321307198</v>
      </c>
      <c r="Q1806" s="24" t="n">
        <f aca="false">O1806+P1806/(1+H1806)^5</f>
        <v>502.444292836458</v>
      </c>
      <c r="R1806" s="24" t="n">
        <f aca="false">Q1806-'DCF Base Case'!$B$5</f>
        <v>317.444292836458</v>
      </c>
      <c r="S1806" s="32" t="n">
        <f aca="false">R1806/'DCF Base Case'!$B$6</f>
        <v>12.6977717134583</v>
      </c>
    </row>
    <row r="1807" customFormat="false" ht="15" hidden="false" customHeight="true" outlineLevel="0" collapsed="false">
      <c r="A1807" s="6" t="n">
        <v>1806</v>
      </c>
      <c r="B1807" s="30" t="n">
        <v>0.0797703777959818</v>
      </c>
      <c r="C1807" s="30" t="n">
        <v>0.386566265724224</v>
      </c>
      <c r="D1807" s="30" t="n">
        <v>0.0748331464810169</v>
      </c>
      <c r="E1807" s="30" t="n">
        <v>0.268847535011321</v>
      </c>
      <c r="F1807" s="30" t="n">
        <v>0.0111472747488778</v>
      </c>
      <c r="G1807" s="30" t="n">
        <v>0.160388843669042</v>
      </c>
      <c r="H1807" s="31" t="n">
        <f aca="false">MAX(D1807,F1807+0.015)</f>
        <v>0.0748331464810169</v>
      </c>
      <c r="I1807" s="25" t="n">
        <f aca="false">(C1807-'DCF Base Case'!$B$3)*(1-E1807)+'DCF Base Case'!$B$3-G1807</f>
        <v>0.157200213948165</v>
      </c>
      <c r="J1807" s="24" t="n">
        <f aca="false">'DCF Base Case'!$B$2*(1+B1807)^1*$I1807-'DCF Base Case'!$B$2*(1+B1807)^0*B1807*'DCF Base Case'!$B$4</f>
        <v>24.2653183452282</v>
      </c>
      <c r="K1807" s="24" t="n">
        <f aca="false">'DCF Base Case'!$B$2*(1+B1807)^2*$I1807-'DCF Base Case'!$B$2*(1+B1807)^1*B1807*'DCF Base Case'!$B$4</f>
        <v>26.2009719569669</v>
      </c>
      <c r="L1807" s="24" t="n">
        <f aca="false">'DCF Base Case'!$B$2*(1+B1807)^3*$I1807-'DCF Base Case'!$B$2*(1+B1807)^2*B1807*'DCF Base Case'!$B$4</f>
        <v>28.291033388596</v>
      </c>
      <c r="M1807" s="24" t="n">
        <f aca="false">'DCF Base Case'!$B$2*(1+B1807)^4*$I1807-'DCF Base Case'!$B$2*(1+B1807)^3*B1807*'DCF Base Case'!$B$4</f>
        <v>30.5478198102431</v>
      </c>
      <c r="N1807" s="24" t="n">
        <f aca="false">'DCF Base Case'!$B$2*(1+B1807)^5*$I1807-'DCF Base Case'!$B$2*(1+B1807)^4*B1807*'DCF Base Case'!$B$4</f>
        <v>32.9846309373497</v>
      </c>
      <c r="O1807" s="24" t="n">
        <f aca="false">J1807/(1+H1807)^1+K1807/(1+H1807)^2+L1807/(1+H1807)^3+M1807/(1+H1807)^4+N1807/(1+H1807)^5</f>
        <v>113.921261153222</v>
      </c>
      <c r="P1807" s="24" t="n">
        <f aca="false">N1807*(1+F1807)/(H1807-F1807)</f>
        <v>523.700449939315</v>
      </c>
      <c r="Q1807" s="24" t="n">
        <f aca="false">O1807+P1807/(1+H1807)^5</f>
        <v>478.992560672362</v>
      </c>
      <c r="R1807" s="24" t="n">
        <f aca="false">Q1807-'DCF Base Case'!$B$5</f>
        <v>293.992560672362</v>
      </c>
      <c r="S1807" s="32" t="n">
        <f aca="false">R1807/'DCF Base Case'!$B$6</f>
        <v>11.7597024268945</v>
      </c>
    </row>
    <row r="1808" customFormat="false" ht="15" hidden="false" customHeight="true" outlineLevel="0" collapsed="false">
      <c r="A1808" s="6" t="n">
        <v>1807</v>
      </c>
      <c r="B1808" s="30" t="n">
        <v>0.0790983187197543</v>
      </c>
      <c r="C1808" s="30" t="n">
        <v>0.426119487684252</v>
      </c>
      <c r="D1808" s="30" t="n">
        <v>0.0896527881219251</v>
      </c>
      <c r="E1808" s="30" t="n">
        <v>0.263235339493397</v>
      </c>
      <c r="F1808" s="30" t="n">
        <v>0.0175215503935814</v>
      </c>
      <c r="G1808" s="30" t="n">
        <v>0.160363732702048</v>
      </c>
      <c r="H1808" s="31" t="n">
        <f aca="false">MAX(D1808,F1808+0.015)</f>
        <v>0.0896527881219251</v>
      </c>
      <c r="I1808" s="25" t="n">
        <f aca="false">(C1808-'DCF Base Case'!$B$3)*(1-E1808)+'DCF Base Case'!$B$3-G1808</f>
        <v>0.187806641111029</v>
      </c>
      <c r="J1808" s="24" t="n">
        <f aca="false">'DCF Base Case'!$B$2*(1+B1808)^1*$I1808-'DCF Base Case'!$B$2*(1+B1808)^0*B1808*'DCF Base Case'!$B$4</f>
        <v>29.0418877603299</v>
      </c>
      <c r="K1808" s="24" t="n">
        <f aca="false">'DCF Base Case'!$B$2*(1+B1808)^2*$I1808-'DCF Base Case'!$B$2*(1+B1808)^1*B1808*'DCF Base Case'!$B$4</f>
        <v>31.3390522546198</v>
      </c>
      <c r="L1808" s="24" t="n">
        <f aca="false">'DCF Base Case'!$B$2*(1+B1808)^3*$I1808-'DCF Base Case'!$B$2*(1+B1808)^2*B1808*'DCF Base Case'!$B$4</f>
        <v>33.8179185982307</v>
      </c>
      <c r="M1808" s="24" t="n">
        <f aca="false">'DCF Base Case'!$B$2*(1+B1808)^4*$I1808-'DCF Base Case'!$B$2*(1+B1808)^3*B1808*'DCF Base Case'!$B$4</f>
        <v>36.4928591019523</v>
      </c>
      <c r="N1808" s="24" t="n">
        <f aca="false">'DCF Base Case'!$B$2*(1+B1808)^5*$I1808-'DCF Base Case'!$B$2*(1+B1808)^4*B1808*'DCF Base Case'!$B$4</f>
        <v>39.3793829021936</v>
      </c>
      <c r="O1808" s="24" t="n">
        <f aca="false">J1808/(1+H1808)^1+K1808/(1+H1808)^2+L1808/(1+H1808)^3+M1808/(1+H1808)^4+N1808/(1+H1808)^5</f>
        <v>130.7054264611</v>
      </c>
      <c r="P1808" s="24" t="n">
        <f aca="false">N1808*(1+F1808)/(H1808-F1808)</f>
        <v>555.506490753553</v>
      </c>
      <c r="Q1808" s="24" t="n">
        <f aca="false">O1808+P1808/(1+H1808)^5</f>
        <v>492.322115618437</v>
      </c>
      <c r="R1808" s="24" t="n">
        <f aca="false">Q1808-'DCF Base Case'!$B$5</f>
        <v>307.322115618437</v>
      </c>
      <c r="S1808" s="32" t="n">
        <f aca="false">R1808/'DCF Base Case'!$B$6</f>
        <v>12.2928846247375</v>
      </c>
    </row>
    <row r="1809" customFormat="false" ht="15" hidden="false" customHeight="true" outlineLevel="0" collapsed="false">
      <c r="A1809" s="6" t="n">
        <v>1808</v>
      </c>
      <c r="B1809" s="30" t="n">
        <v>0.121473626029756</v>
      </c>
      <c r="C1809" s="30" t="n">
        <v>0.40906401412347</v>
      </c>
      <c r="D1809" s="30" t="n">
        <v>0.0770826326855428</v>
      </c>
      <c r="E1809" s="30" t="n">
        <v>0.256881369296342</v>
      </c>
      <c r="F1809" s="30" t="n">
        <v>0.0134790597395702</v>
      </c>
      <c r="G1809" s="30" t="n">
        <v>0.172287089354932</v>
      </c>
      <c r="H1809" s="31" t="n">
        <f aca="false">MAX(D1809,F1809+0.015)</f>
        <v>0.0770826326855428</v>
      </c>
      <c r="I1809" s="25" t="n">
        <f aca="false">(C1809-'DCF Base Case'!$B$3)*(1-E1809)+'DCF Base Case'!$B$3-G1809</f>
        <v>0.165090578699167</v>
      </c>
      <c r="J1809" s="24" t="n">
        <f aca="false">'DCF Base Case'!$B$2*(1+B1809)^1*$I1809-'DCF Base Case'!$B$2*(1+B1809)^0*B1809*'DCF Base Case'!$B$4</f>
        <v>26.3175755647509</v>
      </c>
      <c r="K1809" s="24" t="n">
        <f aca="false">'DCF Base Case'!$B$2*(1+B1809)^2*$I1809-'DCF Base Case'!$B$2*(1+B1809)^1*B1809*'DCF Base Case'!$B$4</f>
        <v>29.5144668969133</v>
      </c>
      <c r="L1809" s="24" t="n">
        <f aca="false">'DCF Base Case'!$B$2*(1+B1809)^3*$I1809-'DCF Base Case'!$B$2*(1+B1809)^2*B1809*'DCF Base Case'!$B$4</f>
        <v>33.0996962112166</v>
      </c>
      <c r="M1809" s="24" t="n">
        <f aca="false">'DCF Base Case'!$B$2*(1+B1809)^4*$I1809-'DCF Base Case'!$B$2*(1+B1809)^3*B1809*'DCF Base Case'!$B$4</f>
        <v>37.1204363304764</v>
      </c>
      <c r="N1809" s="24" t="n">
        <f aca="false">'DCF Base Case'!$B$2*(1+B1809)^5*$I1809-'DCF Base Case'!$B$2*(1+B1809)^4*B1809*'DCF Base Case'!$B$4</f>
        <v>41.6295903313461</v>
      </c>
      <c r="O1809" s="24" t="n">
        <f aca="false">J1809/(1+H1809)^1+K1809/(1+H1809)^2+L1809/(1+H1809)^3+M1809/(1+H1809)^4+N1809/(1+H1809)^5</f>
        <v>132.664611541727</v>
      </c>
      <c r="P1809" s="24" t="n">
        <f aca="false">N1809*(1+F1809)/(H1809-F1809)</f>
        <v>663.338804915796</v>
      </c>
      <c r="Q1809" s="24" t="n">
        <f aca="false">O1809+P1809/(1+H1809)^5</f>
        <v>590.269113002426</v>
      </c>
      <c r="R1809" s="24" t="n">
        <f aca="false">Q1809-'DCF Base Case'!$B$5</f>
        <v>405.269113002426</v>
      </c>
      <c r="S1809" s="32" t="n">
        <f aca="false">R1809/'DCF Base Case'!$B$6</f>
        <v>16.210764520097</v>
      </c>
    </row>
    <row r="1810" customFormat="false" ht="15" hidden="false" customHeight="true" outlineLevel="0" collapsed="false">
      <c r="A1810" s="6" t="n">
        <v>1809</v>
      </c>
      <c r="B1810" s="30" t="n">
        <v>0.0941957810180171</v>
      </c>
      <c r="C1810" s="30" t="n">
        <v>0.439843374703588</v>
      </c>
      <c r="D1810" s="30" t="n">
        <v>0.0964554990849962</v>
      </c>
      <c r="E1810" s="30" t="n">
        <v>0.34095582713196</v>
      </c>
      <c r="F1810" s="30" t="n">
        <v>0.0190745395026839</v>
      </c>
      <c r="G1810" s="30" t="n">
        <v>0.159861141826036</v>
      </c>
      <c r="H1810" s="31" t="n">
        <f aca="false">MAX(D1810,F1810+0.015)</f>
        <v>0.0964554990849962</v>
      </c>
      <c r="I1810" s="25" t="n">
        <f aca="false">(C1810-'DCF Base Case'!$B$3)*(1-E1810)+'DCF Base Case'!$B$3-G1810</f>
        <v>0.174339328774132</v>
      </c>
      <c r="J1810" s="24" t="n">
        <f aca="false">'DCF Base Case'!$B$2*(1+B1810)^1*$I1810-'DCF Base Case'!$B$2*(1+B1810)^0*B1810*'DCF Base Case'!$B$4</f>
        <v>27.2506452640461</v>
      </c>
      <c r="K1810" s="24" t="n">
        <f aca="false">'DCF Base Case'!$B$2*(1+B1810)^2*$I1810-'DCF Base Case'!$B$2*(1+B1810)^1*B1810*'DCF Base Case'!$B$4</f>
        <v>29.8175410779378</v>
      </c>
      <c r="L1810" s="24" t="n">
        <f aca="false">'DCF Base Case'!$B$2*(1+B1810)^3*$I1810-'DCF Base Case'!$B$2*(1+B1810)^2*B1810*'DCF Base Case'!$B$4</f>
        <v>32.626227647811</v>
      </c>
      <c r="M1810" s="24" t="n">
        <f aca="false">'DCF Base Case'!$B$2*(1+B1810)^4*$I1810-'DCF Base Case'!$B$2*(1+B1810)^3*B1810*'DCF Base Case'!$B$4</f>
        <v>35.6994806427682</v>
      </c>
      <c r="N1810" s="24" t="n">
        <f aca="false">'DCF Base Case'!$B$2*(1+B1810)^5*$I1810-'DCF Base Case'!$B$2*(1+B1810)^4*B1810*'DCF Base Case'!$B$4</f>
        <v>39.0622211038513</v>
      </c>
      <c r="O1810" s="24" t="n">
        <f aca="false">J1810/(1+H1810)^1+K1810/(1+H1810)^2+L1810/(1+H1810)^3+M1810/(1+H1810)^4+N1810/(1+H1810)^5</f>
        <v>123.75583501732</v>
      </c>
      <c r="P1810" s="24" t="n">
        <f aca="false">N1810*(1+F1810)/(H1810-F1810)</f>
        <v>514.432945756057</v>
      </c>
      <c r="Q1810" s="24" t="n">
        <f aca="false">O1810+P1810/(1+H1810)^5</f>
        <v>448.374676983994</v>
      </c>
      <c r="R1810" s="24" t="n">
        <f aca="false">Q1810-'DCF Base Case'!$B$5</f>
        <v>263.374676983994</v>
      </c>
      <c r="S1810" s="32" t="n">
        <f aca="false">R1810/'DCF Base Case'!$B$6</f>
        <v>10.5349870793598</v>
      </c>
    </row>
    <row r="1811" customFormat="false" ht="15" hidden="false" customHeight="true" outlineLevel="0" collapsed="false">
      <c r="A1811" s="6" t="n">
        <v>1810</v>
      </c>
      <c r="B1811" s="30" t="n">
        <v>0.0619956475064143</v>
      </c>
      <c r="C1811" s="30" t="n">
        <v>0.418902892161013</v>
      </c>
      <c r="D1811" s="30" t="n">
        <v>0.0863038766559097</v>
      </c>
      <c r="E1811" s="30" t="n">
        <v>0.299516049610705</v>
      </c>
      <c r="F1811" s="30" t="n">
        <v>0.0147203805862383</v>
      </c>
      <c r="G1811" s="30" t="n">
        <v>0.173358758919191</v>
      </c>
      <c r="H1811" s="31" t="n">
        <f aca="false">MAX(D1811,F1811+0.015)</f>
        <v>0.0863038766559097</v>
      </c>
      <c r="I1811" s="25" t="n">
        <f aca="false">(C1811-'DCF Base Case'!$B$3)*(1-E1811)+'DCF Base Case'!$B$3-G1811</f>
        <v>0.159013080260648</v>
      </c>
      <c r="J1811" s="24" t="n">
        <f aca="false">'DCF Base Case'!$B$2*(1+B1811)^1*$I1811-'DCF Base Case'!$B$2*(1+B1811)^0*B1811*'DCF Base Case'!$B$4</f>
        <v>24.2166428076896</v>
      </c>
      <c r="K1811" s="24" t="n">
        <f aca="false">'DCF Base Case'!$B$2*(1+B1811)^2*$I1811-'DCF Base Case'!$B$2*(1+B1811)^1*B1811*'DCF Base Case'!$B$4</f>
        <v>25.7179692589838</v>
      </c>
      <c r="L1811" s="24" t="n">
        <f aca="false">'DCF Base Case'!$B$2*(1+B1811)^3*$I1811-'DCF Base Case'!$B$2*(1+B1811)^2*B1811*'DCF Base Case'!$B$4</f>
        <v>27.3123714157446</v>
      </c>
      <c r="M1811" s="24" t="n">
        <f aca="false">'DCF Base Case'!$B$2*(1+B1811)^4*$I1811-'DCF Base Case'!$B$2*(1+B1811)^3*B1811*'DCF Base Case'!$B$4</f>
        <v>29.0056195665993</v>
      </c>
      <c r="N1811" s="24" t="n">
        <f aca="false">'DCF Base Case'!$B$2*(1+B1811)^5*$I1811-'DCF Base Case'!$B$2*(1+B1811)^4*B1811*'DCF Base Case'!$B$4</f>
        <v>30.8038417329554</v>
      </c>
      <c r="O1811" s="24" t="n">
        <f aca="false">J1811/(1+H1811)^1+K1811/(1+H1811)^2+L1811/(1+H1811)^3+M1811/(1+H1811)^4+N1811/(1+H1811)^5</f>
        <v>106.585428065058</v>
      </c>
      <c r="P1811" s="24" t="n">
        <f aca="false">N1811*(1+F1811)/(H1811-F1811)</f>
        <v>436.654923592449</v>
      </c>
      <c r="Q1811" s="24" t="n">
        <f aca="false">O1811+P1811/(1+H1811)^5</f>
        <v>395.2421760511</v>
      </c>
      <c r="R1811" s="24" t="n">
        <f aca="false">Q1811-'DCF Base Case'!$B$5</f>
        <v>210.242176051099</v>
      </c>
      <c r="S1811" s="32" t="n">
        <f aca="false">R1811/'DCF Base Case'!$B$6</f>
        <v>8.40968704204398</v>
      </c>
    </row>
    <row r="1812" customFormat="false" ht="15" hidden="false" customHeight="true" outlineLevel="0" collapsed="false">
      <c r="A1812" s="6" t="n">
        <v>1811</v>
      </c>
      <c r="B1812" s="30" t="n">
        <v>0.0942447771308567</v>
      </c>
      <c r="C1812" s="30" t="n">
        <v>0.418994852757134</v>
      </c>
      <c r="D1812" s="30" t="n">
        <v>0.0774840750099042</v>
      </c>
      <c r="E1812" s="30" t="n">
        <v>0.315943516026392</v>
      </c>
      <c r="F1812" s="30" t="n">
        <v>0.0258730560330042</v>
      </c>
      <c r="G1812" s="30" t="n">
        <v>0.143101982955705</v>
      </c>
      <c r="H1812" s="31" t="n">
        <f aca="false">MAX(D1812,F1812+0.015)</f>
        <v>0.0774840750099042</v>
      </c>
      <c r="I1812" s="25" t="n">
        <f aca="false">(C1812-'DCF Base Case'!$B$3)*(1-E1812)+'DCF Base Case'!$B$3-G1812</f>
        <v>0.184586819907811</v>
      </c>
      <c r="J1812" s="24" t="n">
        <f aca="false">'DCF Base Case'!$B$2*(1+B1812)^1*$I1812-'DCF Base Case'!$B$2*(1+B1812)^0*B1812*'DCF Base Case'!$B$4</f>
        <v>28.8775939431216</v>
      </c>
      <c r="K1812" s="24" t="n">
        <f aca="false">'DCF Base Case'!$B$2*(1+B1812)^2*$I1812-'DCF Base Case'!$B$2*(1+B1812)^1*B1812*'DCF Base Case'!$B$4</f>
        <v>31.5991563483664</v>
      </c>
      <c r="L1812" s="24" t="n">
        <f aca="false">'DCF Base Case'!$B$2*(1+B1812)^3*$I1812-'DCF Base Case'!$B$2*(1+B1812)^2*B1812*'DCF Base Case'!$B$4</f>
        <v>34.5772117959413</v>
      </c>
      <c r="M1812" s="24" t="n">
        <f aca="false">'DCF Base Case'!$B$2*(1+B1812)^4*$I1812-'DCF Base Case'!$B$2*(1+B1812)^3*B1812*'DCF Base Case'!$B$4</f>
        <v>37.8359334154563</v>
      </c>
      <c r="N1812" s="24" t="n">
        <f aca="false">'DCF Base Case'!$B$2*(1+B1812)^5*$I1812-'DCF Base Case'!$B$2*(1+B1812)^4*B1812*'DCF Base Case'!$B$4</f>
        <v>41.4017725277339</v>
      </c>
      <c r="O1812" s="24" t="n">
        <f aca="false">J1812/(1+H1812)^1+K1812/(1+H1812)^2+L1812/(1+H1812)^3+M1812/(1+H1812)^4+N1812/(1+H1812)^5</f>
        <v>138.239089171066</v>
      </c>
      <c r="P1812" s="24" t="n">
        <f aca="false">N1812*(1+F1812)/(H1812-F1812)</f>
        <v>822.943699817662</v>
      </c>
      <c r="Q1812" s="24" t="n">
        <f aca="false">O1812+P1812/(1+H1812)^5</f>
        <v>704.890304130758</v>
      </c>
      <c r="R1812" s="24" t="n">
        <f aca="false">Q1812-'DCF Base Case'!$B$5</f>
        <v>519.890304130758</v>
      </c>
      <c r="S1812" s="32" t="n">
        <f aca="false">R1812/'DCF Base Case'!$B$6</f>
        <v>20.7956121652303</v>
      </c>
    </row>
    <row r="1813" customFormat="false" ht="15" hidden="false" customHeight="true" outlineLevel="0" collapsed="false">
      <c r="A1813" s="6" t="n">
        <v>1812</v>
      </c>
      <c r="B1813" s="30" t="n">
        <v>0.105676113277342</v>
      </c>
      <c r="C1813" s="30" t="n">
        <v>0.36660425393341</v>
      </c>
      <c r="D1813" s="30" t="n">
        <v>0.092354709444307</v>
      </c>
      <c r="E1813" s="30" t="n">
        <v>0.248222443972096</v>
      </c>
      <c r="F1813" s="30" t="n">
        <v>0.0172433083156596</v>
      </c>
      <c r="G1813" s="30" t="n">
        <v>0.139451202438763</v>
      </c>
      <c r="H1813" s="31" t="n">
        <f aca="false">MAX(D1813,F1813+0.015)</f>
        <v>0.092354709444307</v>
      </c>
      <c r="I1813" s="25" t="n">
        <f aca="false">(C1813-'DCF Base Case'!$B$3)*(1-E1813)+'DCF Base Case'!$B$3-G1813</f>
        <v>0.168422565329102</v>
      </c>
      <c r="J1813" s="24" t="n">
        <f aca="false">'DCF Base Case'!$B$2*(1+B1813)^1*$I1813-'DCF Base Case'!$B$2*(1+B1813)^0*B1813*'DCF Base Case'!$B$4</f>
        <v>26.5423259833292</v>
      </c>
      <c r="K1813" s="24" t="n">
        <f aca="false">'DCF Base Case'!$B$2*(1+B1813)^2*$I1813-'DCF Base Case'!$B$2*(1+B1813)^1*B1813*'DCF Base Case'!$B$4</f>
        <v>29.3472158305876</v>
      </c>
      <c r="L1813" s="24" t="n">
        <f aca="false">'DCF Base Case'!$B$2*(1+B1813)^3*$I1813-'DCF Base Case'!$B$2*(1+B1813)^2*B1813*'DCF Base Case'!$B$4</f>
        <v>32.4485155350754</v>
      </c>
      <c r="M1813" s="24" t="n">
        <f aca="false">'DCF Base Case'!$B$2*(1+B1813)^4*$I1813-'DCF Base Case'!$B$2*(1+B1813)^3*B1813*'DCF Base Case'!$B$4</f>
        <v>35.8775485384416</v>
      </c>
      <c r="N1813" s="24" t="n">
        <f aca="false">'DCF Base Case'!$B$2*(1+B1813)^5*$I1813-'DCF Base Case'!$B$2*(1+B1813)^4*B1813*'DCF Base Case'!$B$4</f>
        <v>39.6689484219033</v>
      </c>
      <c r="O1813" s="24" t="n">
        <f aca="false">J1813/(1+H1813)^1+K1813/(1+H1813)^2+L1813/(1+H1813)^3+M1813/(1+H1813)^4+N1813/(1+H1813)^5</f>
        <v>124.490895024506</v>
      </c>
      <c r="P1813" s="24" t="n">
        <f aca="false">N1813*(1+F1813)/(H1813-F1813)</f>
        <v>537.241640067205</v>
      </c>
      <c r="Q1813" s="24" t="n">
        <f aca="false">O1813+P1813/(1+H1813)^5</f>
        <v>469.913885166037</v>
      </c>
      <c r="R1813" s="24" t="n">
        <f aca="false">Q1813-'DCF Base Case'!$B$5</f>
        <v>284.913885166037</v>
      </c>
      <c r="S1813" s="32" t="n">
        <f aca="false">R1813/'DCF Base Case'!$B$6</f>
        <v>11.3965554066415</v>
      </c>
    </row>
    <row r="1814" customFormat="false" ht="15" hidden="false" customHeight="true" outlineLevel="0" collapsed="false">
      <c r="A1814" s="6" t="n">
        <v>1813</v>
      </c>
      <c r="B1814" s="30" t="n">
        <v>0.0855326969021951</v>
      </c>
      <c r="C1814" s="30" t="n">
        <v>0.429095852313607</v>
      </c>
      <c r="D1814" s="30" t="n">
        <v>0.0645695540990028</v>
      </c>
      <c r="E1814" s="30" t="n">
        <v>0.270377261618131</v>
      </c>
      <c r="F1814" s="30" t="n">
        <v>0.0172919936527626</v>
      </c>
      <c r="G1814" s="30" t="n">
        <v>0.201517556436149</v>
      </c>
      <c r="H1814" s="31" t="n">
        <f aca="false">MAX(D1814,F1814+0.015)</f>
        <v>0.0645695540990028</v>
      </c>
      <c r="I1814" s="25" t="n">
        <f aca="false">(C1814-'DCF Base Case'!$B$3)*(1-E1814)+'DCF Base Case'!$B$3-G1814</f>
        <v>0.146709578367564</v>
      </c>
      <c r="J1814" s="24" t="n">
        <f aca="false">'DCF Base Case'!$B$2*(1+B1814)^1*$I1814-'DCF Base Case'!$B$2*(1+B1814)^0*B1814*'DCF Base Case'!$B$4</f>
        <v>22.7203491871507</v>
      </c>
      <c r="K1814" s="24" t="n">
        <f aca="false">'DCF Base Case'!$B$2*(1+B1814)^2*$I1814-'DCF Base Case'!$B$2*(1+B1814)^1*B1814*'DCF Base Case'!$B$4</f>
        <v>24.6636819276873</v>
      </c>
      <c r="L1814" s="24" t="n">
        <f aca="false">'DCF Base Case'!$B$2*(1+B1814)^3*$I1814-'DCF Base Case'!$B$2*(1+B1814)^2*B1814*'DCF Base Case'!$B$4</f>
        <v>26.7732331585003</v>
      </c>
      <c r="M1814" s="24" t="n">
        <f aca="false">'DCF Base Case'!$B$2*(1+B1814)^4*$I1814-'DCF Base Case'!$B$2*(1+B1814)^3*B1814*'DCF Base Case'!$B$4</f>
        <v>29.0632199953381</v>
      </c>
      <c r="N1814" s="24" t="n">
        <f aca="false">'DCF Base Case'!$B$2*(1+B1814)^5*$I1814-'DCF Base Case'!$B$2*(1+B1814)^4*B1814*'DCF Base Case'!$B$4</f>
        <v>31.5490755822012</v>
      </c>
      <c r="O1814" s="24" t="n">
        <f aca="false">J1814/(1+H1814)^1+K1814/(1+H1814)^2+L1814/(1+H1814)^3+M1814/(1+H1814)^4+N1814/(1+H1814)^5</f>
        <v>110.997662143582</v>
      </c>
      <c r="P1814" s="24" t="n">
        <f aca="false">N1814*(1+F1814)/(H1814-F1814)</f>
        <v>678.855289782015</v>
      </c>
      <c r="Q1814" s="24" t="n">
        <f aca="false">O1814+P1814/(1+H1814)^5</f>
        <v>607.483653231497</v>
      </c>
      <c r="R1814" s="24" t="n">
        <f aca="false">Q1814-'DCF Base Case'!$B$5</f>
        <v>422.483653231497</v>
      </c>
      <c r="S1814" s="32" t="n">
        <f aca="false">R1814/'DCF Base Case'!$B$6</f>
        <v>16.8993461292599</v>
      </c>
    </row>
    <row r="1815" customFormat="false" ht="15" hidden="false" customHeight="true" outlineLevel="0" collapsed="false">
      <c r="A1815" s="6" t="n">
        <v>1814</v>
      </c>
      <c r="B1815" s="30" t="n">
        <v>0.0991981887127212</v>
      </c>
      <c r="C1815" s="30" t="n">
        <v>0.391997446710499</v>
      </c>
      <c r="D1815" s="30" t="n">
        <v>0.0798157618306656</v>
      </c>
      <c r="E1815" s="30" t="n">
        <v>0.325660066325022</v>
      </c>
      <c r="F1815" s="30" t="n">
        <v>0.0219168144264543</v>
      </c>
      <c r="G1815" s="30" t="n">
        <v>0.146776730698741</v>
      </c>
      <c r="H1815" s="31" t="n">
        <f aca="false">MAX(D1815,F1815+0.015)</f>
        <v>0.0798157618306656</v>
      </c>
      <c r="I1815" s="25" t="n">
        <f aca="false">(C1815-'DCF Base Case'!$B$3)*(1-E1815)+'DCF Base Case'!$B$3-G1815</f>
        <v>0.15989861013903</v>
      </c>
      <c r="J1815" s="24" t="n">
        <f aca="false">'DCF Base Case'!$B$2*(1+B1815)^1*$I1815-'DCF Base Case'!$B$2*(1+B1815)^0*B1815*'DCF Base Case'!$B$4</f>
        <v>25.0537259622627</v>
      </c>
      <c r="K1815" s="24" t="n">
        <f aca="false">'DCF Base Case'!$B$2*(1+B1815)^2*$I1815-'DCF Base Case'!$B$2*(1+B1815)^1*B1815*'DCF Base Case'!$B$4</f>
        <v>27.5390101982241</v>
      </c>
      <c r="L1815" s="24" t="n">
        <f aca="false">'DCF Base Case'!$B$2*(1+B1815)^3*$I1815-'DCF Base Case'!$B$2*(1+B1815)^2*B1815*'DCF Base Case'!$B$4</f>
        <v>30.270830128829</v>
      </c>
      <c r="M1815" s="24" t="n">
        <f aca="false">'DCF Base Case'!$B$2*(1+B1815)^4*$I1815-'DCF Base Case'!$B$2*(1+B1815)^3*B1815*'DCF Base Case'!$B$4</f>
        <v>33.2736416484394</v>
      </c>
      <c r="N1815" s="24" t="n">
        <f aca="false">'DCF Base Case'!$B$2*(1+B1815)^5*$I1815-'DCF Base Case'!$B$2*(1+B1815)^4*B1815*'DCF Base Case'!$B$4</f>
        <v>36.5743266318407</v>
      </c>
      <c r="O1815" s="24" t="n">
        <f aca="false">J1815/(1+H1815)^1+K1815/(1+H1815)^2+L1815/(1+H1815)^3+M1815/(1+H1815)^4+N1815/(1+H1815)^5</f>
        <v>120.249365740329</v>
      </c>
      <c r="P1815" s="24" t="n">
        <f aca="false">N1815*(1+F1815)/(H1815-F1815)</f>
        <v>645.537113144214</v>
      </c>
      <c r="Q1815" s="24" t="n">
        <f aca="false">O1815+P1815/(1+H1815)^5</f>
        <v>559.96600835034</v>
      </c>
      <c r="R1815" s="24" t="n">
        <f aca="false">Q1815-'DCF Base Case'!$B$5</f>
        <v>374.96600835034</v>
      </c>
      <c r="S1815" s="32" t="n">
        <f aca="false">R1815/'DCF Base Case'!$B$6</f>
        <v>14.9986403340136</v>
      </c>
    </row>
    <row r="1816" customFormat="false" ht="15" hidden="false" customHeight="true" outlineLevel="0" collapsed="false">
      <c r="A1816" s="6" t="n">
        <v>1815</v>
      </c>
      <c r="B1816" s="30" t="n">
        <v>0.0844245104336517</v>
      </c>
      <c r="C1816" s="30" t="n">
        <v>0.407552253598518</v>
      </c>
      <c r="D1816" s="30" t="n">
        <v>0.0790821988012861</v>
      </c>
      <c r="E1816" s="30" t="n">
        <v>0.249795372042093</v>
      </c>
      <c r="F1816" s="30" t="n">
        <v>0.0166012129732042</v>
      </c>
      <c r="G1816" s="30" t="n">
        <v>0.197766771304277</v>
      </c>
      <c r="H1816" s="31" t="n">
        <f aca="false">MAX(D1816,F1816+0.015)</f>
        <v>0.0790821988012861</v>
      </c>
      <c r="I1816" s="25" t="n">
        <f aca="false">(C1816-'DCF Base Case'!$B$3)*(1-E1816)+'DCF Base Case'!$B$3-G1816</f>
        <v>0.140454213845478</v>
      </c>
      <c r="J1816" s="24" t="n">
        <f aca="false">'DCF Base Case'!$B$2*(1+B1816)^1*$I1816-'DCF Base Case'!$B$2*(1+B1816)^0*B1816*'DCF Base Case'!$B$4</f>
        <v>21.7179922323338</v>
      </c>
      <c r="K1816" s="24" t="n">
        <f aca="false">'DCF Base Case'!$B$2*(1+B1816)^2*$I1816-'DCF Base Case'!$B$2*(1+B1816)^1*B1816*'DCF Base Case'!$B$4</f>
        <v>23.5515230941505</v>
      </c>
      <c r="L1816" s="24" t="n">
        <f aca="false">'DCF Base Case'!$B$2*(1+B1816)^3*$I1816-'DCF Base Case'!$B$2*(1+B1816)^2*B1816*'DCF Base Case'!$B$4</f>
        <v>25.539848901341</v>
      </c>
      <c r="M1816" s="24" t="n">
        <f aca="false">'DCF Base Case'!$B$2*(1+B1816)^4*$I1816-'DCF Base Case'!$B$2*(1+B1816)^3*B1816*'DCF Base Case'!$B$4</f>
        <v>27.6960381413861</v>
      </c>
      <c r="N1816" s="24" t="n">
        <f aca="false">'DCF Base Case'!$B$2*(1+B1816)^5*$I1816-'DCF Base Case'!$B$2*(1+B1816)^4*B1816*'DCF Base Case'!$B$4</f>
        <v>30.0342626024244</v>
      </c>
      <c r="O1816" s="24" t="n">
        <f aca="false">J1816/(1+H1816)^1+K1816/(1+H1816)^2+L1816/(1+H1816)^3+M1816/(1+H1816)^4+N1816/(1+H1816)^5</f>
        <v>101.633138117672</v>
      </c>
      <c r="P1816" s="24" t="n">
        <f aca="false">N1816*(1+F1816)/(H1816-F1816)</f>
        <v>488.674552549353</v>
      </c>
      <c r="Q1816" s="24" t="n">
        <f aca="false">O1816+P1816/(1+H1816)^5</f>
        <v>435.633611949026</v>
      </c>
      <c r="R1816" s="24" t="n">
        <f aca="false">Q1816-'DCF Base Case'!$B$5</f>
        <v>250.633611949026</v>
      </c>
      <c r="S1816" s="32" t="n">
        <f aca="false">R1816/'DCF Base Case'!$B$6</f>
        <v>10.025344477961</v>
      </c>
    </row>
    <row r="1817" customFormat="false" ht="15" hidden="false" customHeight="true" outlineLevel="0" collapsed="false">
      <c r="A1817" s="6" t="n">
        <v>1816</v>
      </c>
      <c r="B1817" s="30" t="n">
        <v>0.0819254111018715</v>
      </c>
      <c r="C1817" s="30" t="n">
        <v>0.409537740142297</v>
      </c>
      <c r="D1817" s="30" t="n">
        <v>0.0865457821153893</v>
      </c>
      <c r="E1817" s="30" t="n">
        <v>0.338537072534201</v>
      </c>
      <c r="F1817" s="30" t="n">
        <v>0.0193872031584233</v>
      </c>
      <c r="G1817" s="30" t="n">
        <v>0.191330559169678</v>
      </c>
      <c r="H1817" s="31" t="n">
        <f aca="false">MAX(D1817,F1817+0.015)</f>
        <v>0.0865457821153893</v>
      </c>
      <c r="I1817" s="25" t="n">
        <f aca="false">(C1817-'DCF Base Case'!$B$3)*(1-E1817)+'DCF Base Case'!$B$3-G1817</f>
        <v>0.12357329276202</v>
      </c>
      <c r="J1817" s="24" t="n">
        <f aca="false">'DCF Base Case'!$B$2*(1+B1817)^1*$I1817-'DCF Base Case'!$B$2*(1+B1817)^0*B1817*'DCF Base Case'!$B$4</f>
        <v>19.029701869757</v>
      </c>
      <c r="K1817" s="24" t="n">
        <f aca="false">'DCF Base Case'!$B$2*(1+B1817)^2*$I1817-'DCF Base Case'!$B$2*(1+B1817)^1*B1817*'DCF Base Case'!$B$4</f>
        <v>20.5887180185829</v>
      </c>
      <c r="L1817" s="24" t="n">
        <f aca="false">'DCF Base Case'!$B$2*(1+B1817)^3*$I1817-'DCF Base Case'!$B$2*(1+B1817)^2*B1817*'DCF Base Case'!$B$4</f>
        <v>22.2754572063159</v>
      </c>
      <c r="M1817" s="24" t="n">
        <f aca="false">'DCF Base Case'!$B$2*(1+B1817)^4*$I1817-'DCF Base Case'!$B$2*(1+B1817)^3*B1817*'DCF Base Case'!$B$4</f>
        <v>24.1003831954254</v>
      </c>
      <c r="N1817" s="24" t="n">
        <f aca="false">'DCF Base Case'!$B$2*(1+B1817)^5*$I1817-'DCF Base Case'!$B$2*(1+B1817)^4*B1817*'DCF Base Case'!$B$4</f>
        <v>26.0748169964233</v>
      </c>
      <c r="O1817" s="24" t="n">
        <f aca="false">J1817/(1+H1817)^1+K1817/(1+H1817)^2+L1817/(1+H1817)^3+M1817/(1+H1817)^4+N1817/(1+H1817)^5</f>
        <v>86.8281258311744</v>
      </c>
      <c r="P1817" s="24" t="n">
        <f aca="false">N1817*(1+F1817)/(H1817-F1817)</f>
        <v>395.78465154666</v>
      </c>
      <c r="Q1817" s="24" t="n">
        <f aca="false">O1817+P1817/(1+H1817)^5</f>
        <v>348.175894852579</v>
      </c>
      <c r="R1817" s="24" t="n">
        <f aca="false">Q1817-'DCF Base Case'!$B$5</f>
        <v>163.175894852579</v>
      </c>
      <c r="S1817" s="32" t="n">
        <f aca="false">R1817/'DCF Base Case'!$B$6</f>
        <v>6.52703579410314</v>
      </c>
    </row>
    <row r="1818" customFormat="false" ht="15" hidden="false" customHeight="true" outlineLevel="0" collapsed="false">
      <c r="A1818" s="6" t="n">
        <v>1817</v>
      </c>
      <c r="B1818" s="30" t="n">
        <v>0.0770715429980015</v>
      </c>
      <c r="C1818" s="30" t="n">
        <v>0.404193203787972</v>
      </c>
      <c r="D1818" s="30" t="n">
        <v>0.0851380799542131</v>
      </c>
      <c r="E1818" s="30" t="n">
        <v>0.26209276642241</v>
      </c>
      <c r="F1818" s="30" t="n">
        <v>0.0185659342212132</v>
      </c>
      <c r="G1818" s="30" t="n">
        <v>0.186480750916991</v>
      </c>
      <c r="H1818" s="31" t="n">
        <f aca="false">MAX(D1818,F1818+0.015)</f>
        <v>0.0851380799542131</v>
      </c>
      <c r="I1818" s="25" t="n">
        <f aca="false">(C1818-'DCF Base Case'!$B$3)*(1-E1818)+'DCF Base Case'!$B$3-G1818</f>
        <v>0.145848397555968</v>
      </c>
      <c r="J1818" s="24" t="n">
        <f aca="false">'DCF Base Case'!$B$2*(1+B1818)^1*$I1818-'DCF Base Case'!$B$2*(1+B1818)^0*B1818*'DCF Base Case'!$B$4</f>
        <v>22.4426667848706</v>
      </c>
      <c r="K1818" s="24" t="n">
        <f aca="false">'DCF Base Case'!$B$2*(1+B1818)^2*$I1818-'DCF Base Case'!$B$2*(1+B1818)^1*B1818*'DCF Base Case'!$B$4</f>
        <v>24.1723577429705</v>
      </c>
      <c r="L1818" s="24" t="n">
        <f aca="false">'DCF Base Case'!$B$2*(1+B1818)^3*$I1818-'DCF Base Case'!$B$2*(1+B1818)^2*B1818*'DCF Base Case'!$B$4</f>
        <v>26.035358652121</v>
      </c>
      <c r="M1818" s="24" t="n">
        <f aca="false">'DCF Base Case'!$B$2*(1+B1818)^4*$I1818-'DCF Base Case'!$B$2*(1+B1818)^3*B1818*'DCF Base Case'!$B$4</f>
        <v>28.0419439159463</v>
      </c>
      <c r="N1818" s="24" t="n">
        <f aca="false">'DCF Base Case'!$B$2*(1+B1818)^5*$I1818-'DCF Base Case'!$B$2*(1+B1818)^4*B1818*'DCF Base Case'!$B$4</f>
        <v>30.2031798022117</v>
      </c>
      <c r="O1818" s="24" t="n">
        <f aca="false">J1818/(1+H1818)^1+K1818/(1+H1818)^2+L1818/(1+H1818)^3+M1818/(1+H1818)^4+N1818/(1+H1818)^5</f>
        <v>101.883236994318</v>
      </c>
      <c r="P1818" s="24" t="n">
        <f aca="false">N1818*(1+F1818)/(H1818-F1818)</f>
        <v>462.114142678765</v>
      </c>
      <c r="Q1818" s="24" t="n">
        <f aca="false">O1818+P1818/(1+H1818)^5</f>
        <v>409.014651112519</v>
      </c>
      <c r="R1818" s="24" t="n">
        <f aca="false">Q1818-'DCF Base Case'!$B$5</f>
        <v>224.014651112519</v>
      </c>
      <c r="S1818" s="32" t="n">
        <f aca="false">R1818/'DCF Base Case'!$B$6</f>
        <v>8.96058604450077</v>
      </c>
    </row>
    <row r="1819" customFormat="false" ht="15" hidden="false" customHeight="true" outlineLevel="0" collapsed="false">
      <c r="A1819" s="6" t="n">
        <v>1818</v>
      </c>
      <c r="B1819" s="30" t="n">
        <v>0.0725384237261128</v>
      </c>
      <c r="C1819" s="30" t="n">
        <v>0.408356290083173</v>
      </c>
      <c r="D1819" s="30" t="n">
        <v>0.0927960690682153</v>
      </c>
      <c r="E1819" s="30" t="n">
        <v>0.261275089496598</v>
      </c>
      <c r="F1819" s="30" t="n">
        <v>0.0232647154467572</v>
      </c>
      <c r="G1819" s="30" t="n">
        <v>0.166842719023895</v>
      </c>
      <c r="H1819" s="31" t="n">
        <f aca="false">MAX(D1819,F1819+0.015)</f>
        <v>0.0927960690682153</v>
      </c>
      <c r="I1819" s="25" t="n">
        <f aca="false">(C1819-'DCF Base Case'!$B$3)*(1-E1819)+'DCF Base Case'!$B$3-G1819</f>
        <v>0.168786006455856</v>
      </c>
      <c r="J1819" s="24" t="n">
        <f aca="false">'DCF Base Case'!$B$2*(1+B1819)^1*$I1819-'DCF Base Case'!$B$2*(1+B1819)^0*B1819*'DCF Base Case'!$B$4</f>
        <v>25.9337320669139</v>
      </c>
      <c r="K1819" s="24" t="n">
        <f aca="false">'DCF Base Case'!$B$2*(1+B1819)^2*$I1819-'DCF Base Case'!$B$2*(1+B1819)^1*B1819*'DCF Base Case'!$B$4</f>
        <v>27.8149241123831</v>
      </c>
      <c r="L1819" s="24" t="n">
        <f aca="false">'DCF Base Case'!$B$2*(1+B1819)^3*$I1819-'DCF Base Case'!$B$2*(1+B1819)^2*B1819*'DCF Base Case'!$B$4</f>
        <v>29.8325748635569</v>
      </c>
      <c r="M1819" s="24" t="n">
        <f aca="false">'DCF Base Case'!$B$2*(1+B1819)^4*$I1819-'DCF Base Case'!$B$2*(1+B1819)^3*B1819*'DCF Base Case'!$B$4</f>
        <v>31.9965828198505</v>
      </c>
      <c r="N1819" s="24" t="n">
        <f aca="false">'DCF Base Case'!$B$2*(1+B1819)^5*$I1819-'DCF Base Case'!$B$2*(1+B1819)^4*B1819*'DCF Base Case'!$B$4</f>
        <v>34.3175645022245</v>
      </c>
      <c r="O1819" s="24" t="n">
        <f aca="false">J1819/(1+H1819)^1+K1819/(1+H1819)^2+L1819/(1+H1819)^3+M1819/(1+H1819)^4+N1819/(1+H1819)^5</f>
        <v>114.33926956377</v>
      </c>
      <c r="P1819" s="24" t="n">
        <f aca="false">N1819*(1+F1819)/(H1819-F1819)</f>
        <v>505.037670722943</v>
      </c>
      <c r="Q1819" s="24" t="n">
        <f aca="false">O1819+P1819/(1+H1819)^5</f>
        <v>438.401302919433</v>
      </c>
      <c r="R1819" s="24" t="n">
        <f aca="false">Q1819-'DCF Base Case'!$B$5</f>
        <v>253.401302919433</v>
      </c>
      <c r="S1819" s="32" t="n">
        <f aca="false">R1819/'DCF Base Case'!$B$6</f>
        <v>10.1360521167773</v>
      </c>
    </row>
    <row r="1820" customFormat="false" ht="15" hidden="false" customHeight="true" outlineLevel="0" collapsed="false">
      <c r="A1820" s="6" t="n">
        <v>1819</v>
      </c>
      <c r="B1820" s="30" t="n">
        <v>0.0866059951562469</v>
      </c>
      <c r="C1820" s="30" t="n">
        <v>0.372551155513956</v>
      </c>
      <c r="D1820" s="30" t="n">
        <v>0.0808902631378518</v>
      </c>
      <c r="E1820" s="30" t="n">
        <v>0.290708585229809</v>
      </c>
      <c r="F1820" s="30" t="n">
        <v>0.0251955061363449</v>
      </c>
      <c r="G1820" s="30" t="n">
        <v>0.178643855221383</v>
      </c>
      <c r="H1820" s="31" t="n">
        <f aca="false">MAX(D1820,F1820+0.015)</f>
        <v>0.0808902631378518</v>
      </c>
      <c r="I1820" s="25" t="n">
        <f aca="false">(C1820-'DCF Base Case'!$B$3)*(1-E1820)+'DCF Base Case'!$B$3-G1820</f>
        <v>0.123395597027255</v>
      </c>
      <c r="J1820" s="24" t="n">
        <f aca="false">'DCF Base Case'!$B$2*(1+B1820)^1*$I1820-'DCF Base Case'!$B$2*(1+B1820)^0*B1820*'DCF Base Case'!$B$4</f>
        <v>19.0652112693968</v>
      </c>
      <c r="K1820" s="24" t="n">
        <f aca="false">'DCF Base Case'!$B$2*(1+B1820)^2*$I1820-'DCF Base Case'!$B$2*(1+B1820)^1*B1820*'DCF Base Case'!$B$4</f>
        <v>20.7163728642471</v>
      </c>
      <c r="L1820" s="24" t="n">
        <f aca="false">'DCF Base Case'!$B$2*(1+B1820)^3*$I1820-'DCF Base Case'!$B$2*(1+B1820)^2*B1820*'DCF Base Case'!$B$4</f>
        <v>22.510534952183</v>
      </c>
      <c r="M1820" s="24" t="n">
        <f aca="false">'DCF Base Case'!$B$2*(1+B1820)^4*$I1820-'DCF Base Case'!$B$2*(1+B1820)^3*B1820*'DCF Base Case'!$B$4</f>
        <v>24.4600822332163</v>
      </c>
      <c r="N1820" s="24" t="n">
        <f aca="false">'DCF Base Case'!$B$2*(1+B1820)^5*$I1820-'DCF Base Case'!$B$2*(1+B1820)^4*B1820*'DCF Base Case'!$B$4</f>
        <v>26.5784719966277</v>
      </c>
      <c r="O1820" s="24" t="n">
        <f aca="false">J1820/(1+H1820)^1+K1820/(1+H1820)^2+L1820/(1+H1820)^3+M1820/(1+H1820)^4+N1820/(1+H1820)^5</f>
        <v>89.1298316877849</v>
      </c>
      <c r="P1820" s="24" t="n">
        <f aca="false">N1820*(1+F1820)/(H1820-F1820)</f>
        <v>489.240487218144</v>
      </c>
      <c r="Q1820" s="24" t="n">
        <f aca="false">O1820+P1820/(1+H1820)^5</f>
        <v>420.729713226813</v>
      </c>
      <c r="R1820" s="24" t="n">
        <f aca="false">Q1820-'DCF Base Case'!$B$5</f>
        <v>235.729713226813</v>
      </c>
      <c r="S1820" s="32" t="n">
        <f aca="false">R1820/'DCF Base Case'!$B$6</f>
        <v>9.42918852907251</v>
      </c>
    </row>
    <row r="1821" customFormat="false" ht="15" hidden="false" customHeight="true" outlineLevel="0" collapsed="false">
      <c r="A1821" s="6" t="n">
        <v>1820</v>
      </c>
      <c r="B1821" s="30" t="n">
        <v>0.114501274315711</v>
      </c>
      <c r="C1821" s="30" t="n">
        <v>0.39715801749083</v>
      </c>
      <c r="D1821" s="30" t="n">
        <v>0.0836049525478175</v>
      </c>
      <c r="E1821" s="30" t="n">
        <v>0.316836750967638</v>
      </c>
      <c r="F1821" s="30" t="n">
        <v>0.0157258063404526</v>
      </c>
      <c r="G1821" s="30" t="n">
        <v>0.188325089658493</v>
      </c>
      <c r="H1821" s="31" t="n">
        <f aca="false">MAX(D1821,F1821+0.015)</f>
        <v>0.0836049525478175</v>
      </c>
      <c r="I1821" s="25" t="n">
        <f aca="false">(C1821-'DCF Base Case'!$B$3)*(1-E1821)+'DCF Base Case'!$B$3-G1821</f>
        <v>0.124187449575587</v>
      </c>
      <c r="J1821" s="24" t="n">
        <f aca="false">'DCF Base Case'!$B$2*(1+B1821)^1*$I1821-'DCF Base Case'!$B$2*(1+B1821)^0*B1821*'DCF Base Case'!$B$4</f>
        <v>19.5709447235981</v>
      </c>
      <c r="K1821" s="24" t="n">
        <f aca="false">'DCF Base Case'!$B$2*(1+B1821)^2*$I1821-'DCF Base Case'!$B$2*(1+B1821)^1*B1821*'DCF Base Case'!$B$4</f>
        <v>21.8118428340124</v>
      </c>
      <c r="L1821" s="24" t="n">
        <f aca="false">'DCF Base Case'!$B$2*(1+B1821)^3*$I1821-'DCF Base Case'!$B$2*(1+B1821)^2*B1821*'DCF Base Case'!$B$4</f>
        <v>24.3093266336808</v>
      </c>
      <c r="M1821" s="24" t="n">
        <f aca="false">'DCF Base Case'!$B$2*(1+B1821)^4*$I1821-'DCF Base Case'!$B$2*(1+B1821)^3*B1821*'DCF Base Case'!$B$4</f>
        <v>27.0927755109942</v>
      </c>
      <c r="N1821" s="24" t="n">
        <f aca="false">'DCF Base Case'!$B$2*(1+B1821)^5*$I1821-'DCF Base Case'!$B$2*(1+B1821)^4*B1821*'DCF Base Case'!$B$4</f>
        <v>30.1949328317525</v>
      </c>
      <c r="O1821" s="24" t="n">
        <f aca="false">J1821/(1+H1821)^1+K1821/(1+H1821)^2+L1821/(1+H1821)^3+M1821/(1+H1821)^4+N1821/(1+H1821)^5</f>
        <v>95.6033667295759</v>
      </c>
      <c r="P1821" s="24" t="n">
        <f aca="false">N1821*(1+F1821)/(H1821-F1821)</f>
        <v>451.829084653394</v>
      </c>
      <c r="Q1821" s="24" t="n">
        <f aca="false">O1821+P1821/(1+H1821)^5</f>
        <v>398.02947233668</v>
      </c>
      <c r="R1821" s="24" t="n">
        <f aca="false">Q1821-'DCF Base Case'!$B$5</f>
        <v>213.02947233668</v>
      </c>
      <c r="S1821" s="32" t="n">
        <f aca="false">R1821/'DCF Base Case'!$B$6</f>
        <v>8.52117889346721</v>
      </c>
    </row>
    <row r="1822" customFormat="false" ht="15" hidden="false" customHeight="true" outlineLevel="0" collapsed="false">
      <c r="A1822" s="6" t="n">
        <v>1821</v>
      </c>
      <c r="B1822" s="30" t="n">
        <v>0.105964555914889</v>
      </c>
      <c r="C1822" s="30" t="n">
        <v>0.425150437177112</v>
      </c>
      <c r="D1822" s="30" t="n">
        <v>0.0813842711235043</v>
      </c>
      <c r="E1822" s="30" t="n">
        <v>0.258878218308101</v>
      </c>
      <c r="F1822" s="30" t="n">
        <v>0.0252691503220522</v>
      </c>
      <c r="G1822" s="30" t="n">
        <v>0.180220229350069</v>
      </c>
      <c r="H1822" s="31" t="n">
        <f aca="false">MAX(D1822,F1822+0.015)</f>
        <v>0.0813842711235043</v>
      </c>
      <c r="I1822" s="25" t="n">
        <f aca="false">(C1822-'DCF Base Case'!$B$3)*(1-E1822)+'DCF Base Case'!$B$3-G1822</f>
        <v>0.168522188517775</v>
      </c>
      <c r="J1822" s="24" t="n">
        <f aca="false">'DCF Base Case'!$B$2*(1+B1822)^1*$I1822-'DCF Base Case'!$B$2*(1+B1822)^0*B1822*'DCF Base Case'!$B$4</f>
        <v>26.5640914527209</v>
      </c>
      <c r="K1822" s="24" t="n">
        <f aca="false">'DCF Base Case'!$B$2*(1+B1822)^2*$I1822-'DCF Base Case'!$B$2*(1+B1822)^1*B1822*'DCF Base Case'!$B$4</f>
        <v>29.3789436067909</v>
      </c>
      <c r="L1822" s="24" t="n">
        <f aca="false">'DCF Base Case'!$B$2*(1+B1822)^3*$I1822-'DCF Base Case'!$B$2*(1+B1822)^2*B1822*'DCF Base Case'!$B$4</f>
        <v>32.4920703193331</v>
      </c>
      <c r="M1822" s="24" t="n">
        <f aca="false">'DCF Base Case'!$B$2*(1+B1822)^4*$I1822-'DCF Base Case'!$B$2*(1+B1822)^3*B1822*'DCF Base Case'!$B$4</f>
        <v>35.9350781214766</v>
      </c>
      <c r="N1822" s="24" t="n">
        <f aca="false">'DCF Base Case'!$B$2*(1+B1822)^5*$I1822-'DCF Base Case'!$B$2*(1+B1822)^4*B1822*'DCF Base Case'!$B$4</f>
        <v>39.7429227163857</v>
      </c>
      <c r="O1822" s="24" t="n">
        <f aca="false">J1822/(1+H1822)^1+K1822/(1+H1822)^2+L1822/(1+H1822)^3+M1822/(1+H1822)^4+N1822/(1+H1822)^5</f>
        <v>128.536541546304</v>
      </c>
      <c r="P1822" s="24" t="n">
        <f aca="false">N1822*(1+F1822)/(H1822-F1822)</f>
        <v>726.135701443403</v>
      </c>
      <c r="Q1822" s="24" t="n">
        <f aca="false">O1822+P1822/(1+H1822)^5</f>
        <v>619.577306771577</v>
      </c>
      <c r="R1822" s="24" t="n">
        <f aca="false">Q1822-'DCF Base Case'!$B$5</f>
        <v>434.577306771577</v>
      </c>
      <c r="S1822" s="32" t="n">
        <f aca="false">R1822/'DCF Base Case'!$B$6</f>
        <v>17.3830922708631</v>
      </c>
    </row>
    <row r="1823" customFormat="false" ht="15" hidden="false" customHeight="true" outlineLevel="0" collapsed="false">
      <c r="A1823" s="6" t="n">
        <v>1822</v>
      </c>
      <c r="B1823" s="30" t="n">
        <v>0.097180828216812</v>
      </c>
      <c r="C1823" s="30" t="n">
        <v>0.408653916615857</v>
      </c>
      <c r="D1823" s="30" t="n">
        <v>0.0854165879254898</v>
      </c>
      <c r="E1823" s="30" t="n">
        <v>0.284407513465509</v>
      </c>
      <c r="F1823" s="30" t="n">
        <v>0.0207745330721124</v>
      </c>
      <c r="G1823" s="30" t="n">
        <v>0.182741120421062</v>
      </c>
      <c r="H1823" s="31" t="n">
        <f aca="false">MAX(D1823,F1823+0.015)</f>
        <v>0.0854165879254898</v>
      </c>
      <c r="I1823" s="25" t="n">
        <f aca="false">(C1823-'DCF Base Case'!$B$3)*(1-E1823)+'DCF Base Case'!$B$3-G1823</f>
        <v>0.146661528652654</v>
      </c>
      <c r="J1823" s="24" t="n">
        <f aca="false">'DCF Base Case'!$B$2*(1+B1823)^1*$I1823-'DCF Base Case'!$B$2*(1+B1823)^0*B1823*'DCF Base Case'!$B$4</f>
        <v>22.9098249310829</v>
      </c>
      <c r="K1823" s="24" t="n">
        <f aca="false">'DCF Base Case'!$B$2*(1+B1823)^2*$I1823-'DCF Base Case'!$B$2*(1+B1823)^1*B1823*'DCF Base Case'!$B$4</f>
        <v>25.1362206921877</v>
      </c>
      <c r="L1823" s="24" t="n">
        <f aca="false">'DCF Base Case'!$B$2*(1+B1823)^3*$I1823-'DCF Base Case'!$B$2*(1+B1823)^2*B1823*'DCF Base Case'!$B$4</f>
        <v>27.5789794372951</v>
      </c>
      <c r="M1823" s="24" t="n">
        <f aca="false">'DCF Base Case'!$B$2*(1+B1823)^4*$I1823-'DCF Base Case'!$B$2*(1+B1823)^3*B1823*'DCF Base Case'!$B$4</f>
        <v>30.2591275003859</v>
      </c>
      <c r="N1823" s="24" t="n">
        <f aca="false">'DCF Base Case'!$B$2*(1+B1823)^5*$I1823-'DCF Base Case'!$B$2*(1+B1823)^4*B1823*'DCF Base Case'!$B$4</f>
        <v>33.1997345719915</v>
      </c>
      <c r="O1823" s="24" t="n">
        <f aca="false">J1823/(1+H1823)^1+K1823/(1+H1823)^2+L1823/(1+H1823)^3+M1823/(1+H1823)^4+N1823/(1+H1823)^5</f>
        <v>107.847305957326</v>
      </c>
      <c r="P1823" s="24" t="n">
        <f aca="false">N1823*(1+F1823)/(H1823-F1823)</f>
        <v>524.263092080094</v>
      </c>
      <c r="Q1823" s="24" t="n">
        <f aca="false">O1823+P1823/(1+H1823)^5</f>
        <v>455.837505069611</v>
      </c>
      <c r="R1823" s="24" t="n">
        <f aca="false">Q1823-'DCF Base Case'!$B$5</f>
        <v>270.837505069611</v>
      </c>
      <c r="S1823" s="32" t="n">
        <f aca="false">R1823/'DCF Base Case'!$B$6</f>
        <v>10.8335002027845</v>
      </c>
    </row>
    <row r="1824" customFormat="false" ht="15" hidden="false" customHeight="true" outlineLevel="0" collapsed="false">
      <c r="A1824" s="6" t="n">
        <v>1823</v>
      </c>
      <c r="B1824" s="30" t="n">
        <v>0.0729369668081983</v>
      </c>
      <c r="C1824" s="30" t="n">
        <v>0.377269718428685</v>
      </c>
      <c r="D1824" s="30" t="n">
        <v>0.0859270893640085</v>
      </c>
      <c r="E1824" s="30" t="n">
        <v>0.249415923216192</v>
      </c>
      <c r="F1824" s="30" t="n">
        <v>0.0180803487921286</v>
      </c>
      <c r="G1824" s="30" t="n">
        <v>0.154946220707654</v>
      </c>
      <c r="H1824" s="31" t="n">
        <f aca="false">MAX(D1824,F1824+0.015)</f>
        <v>0.0859270893640085</v>
      </c>
      <c r="I1824" s="25" t="n">
        <f aca="false">(C1824-'DCF Base Case'!$B$3)*(1-E1824)+'DCF Base Case'!$B$3-G1824</f>
        <v>0.160650492615733</v>
      </c>
      <c r="J1824" s="24" t="n">
        <f aca="false">'DCF Base Case'!$B$2*(1+B1824)^1*$I1824-'DCF Base Case'!$B$2*(1+B1824)^0*B1824*'DCF Base Case'!$B$4</f>
        <v>24.6760627725726</v>
      </c>
      <c r="K1824" s="24" t="n">
        <f aca="false">'DCF Base Case'!$B$2*(1+B1824)^2*$I1824-'DCF Base Case'!$B$2*(1+B1824)^1*B1824*'DCF Base Case'!$B$4</f>
        <v>26.4758599439727</v>
      </c>
      <c r="L1824" s="24" t="n">
        <f aca="false">'DCF Base Case'!$B$2*(1+B1824)^3*$I1824-'DCF Base Case'!$B$2*(1+B1824)^2*B1824*'DCF Base Case'!$B$4</f>
        <v>28.4069288619248</v>
      </c>
      <c r="M1824" s="24" t="n">
        <f aca="false">'DCF Base Case'!$B$2*(1+B1824)^4*$I1824-'DCF Base Case'!$B$2*(1+B1824)^3*B1824*'DCF Base Case'!$B$4</f>
        <v>30.4788440894498</v>
      </c>
      <c r="N1824" s="24" t="n">
        <f aca="false">'DCF Base Case'!$B$2*(1+B1824)^5*$I1824-'DCF Base Case'!$B$2*(1+B1824)^4*B1824*'DCF Base Case'!$B$4</f>
        <v>32.7018785291543</v>
      </c>
      <c r="O1824" s="24" t="n">
        <f aca="false">J1824/(1+H1824)^1+K1824/(1+H1824)^2+L1824/(1+H1824)^3+M1824/(1+H1824)^4+N1824/(1+H1824)^5</f>
        <v>110.931575697714</v>
      </c>
      <c r="P1824" s="24" t="n">
        <f aca="false">N1824*(1+F1824)/(H1824-F1824)</f>
        <v>490.710970320629</v>
      </c>
      <c r="Q1824" s="24" t="n">
        <f aca="false">O1824+P1824/(1+H1824)^5</f>
        <v>435.885983029385</v>
      </c>
      <c r="R1824" s="24" t="n">
        <f aca="false">Q1824-'DCF Base Case'!$B$5</f>
        <v>250.885983029385</v>
      </c>
      <c r="S1824" s="32" t="n">
        <f aca="false">R1824/'DCF Base Case'!$B$6</f>
        <v>10.0354393211754</v>
      </c>
    </row>
    <row r="1825" customFormat="false" ht="15" hidden="false" customHeight="true" outlineLevel="0" collapsed="false">
      <c r="A1825" s="6" t="n">
        <v>1824</v>
      </c>
      <c r="B1825" s="30" t="n">
        <v>0.100538076418444</v>
      </c>
      <c r="C1825" s="30" t="n">
        <v>0.450788396163936</v>
      </c>
      <c r="D1825" s="30" t="n">
        <v>0.0636095031370609</v>
      </c>
      <c r="E1825" s="30" t="n">
        <v>0.339340423255415</v>
      </c>
      <c r="F1825" s="30" t="n">
        <v>0.0184483144082533</v>
      </c>
      <c r="G1825" s="30" t="n">
        <v>0.173267231982263</v>
      </c>
      <c r="H1825" s="31" t="n">
        <f aca="false">MAX(D1825,F1825+0.015)</f>
        <v>0.0636095031370609</v>
      </c>
      <c r="I1825" s="25" t="n">
        <f aca="false">(C1825-'DCF Base Case'!$B$3)*(1-E1825)+'DCF Base Case'!$B$3-G1825</f>
        <v>0.168664694051977</v>
      </c>
      <c r="J1825" s="24" t="n">
        <f aca="false">'DCF Base Case'!$B$2*(1+B1825)^1*$I1825-'DCF Base Case'!$B$2*(1+B1825)^0*B1825*'DCF Base Case'!$B$4</f>
        <v>26.4778374705717</v>
      </c>
      <c r="K1825" s="24" t="n">
        <f aca="false">'DCF Base Case'!$B$2*(1+B1825)^2*$I1825-'DCF Base Case'!$B$2*(1+B1825)^1*B1825*'DCF Base Case'!$B$4</f>
        <v>29.1398683175832</v>
      </c>
      <c r="L1825" s="24" t="n">
        <f aca="false">'DCF Base Case'!$B$2*(1+B1825)^3*$I1825-'DCF Base Case'!$B$2*(1+B1825)^2*B1825*'DCF Base Case'!$B$4</f>
        <v>32.0695346253197</v>
      </c>
      <c r="M1825" s="24" t="n">
        <f aca="false">'DCF Base Case'!$B$2*(1+B1825)^4*$I1825-'DCF Base Case'!$B$2*(1+B1825)^3*B1825*'DCF Base Case'!$B$4</f>
        <v>35.2937439481841</v>
      </c>
      <c r="N1825" s="24" t="n">
        <f aca="false">'DCF Base Case'!$B$2*(1+B1825)^5*$I1825-'DCF Base Case'!$B$2*(1+B1825)^4*B1825*'DCF Base Case'!$B$4</f>
        <v>38.8421090743396</v>
      </c>
      <c r="O1825" s="24" t="n">
        <f aca="false">J1825/(1+H1825)^1+K1825/(1+H1825)^2+L1825/(1+H1825)^3+M1825/(1+H1825)^4+N1825/(1+H1825)^5</f>
        <v>133.420273067338</v>
      </c>
      <c r="P1825" s="24" t="n">
        <f aca="false">N1825*(1+F1825)/(H1825-F1825)</f>
        <v>875.944181903007</v>
      </c>
      <c r="Q1825" s="24" t="n">
        <f aca="false">O1825+P1825/(1+H1825)^5</f>
        <v>776.9452197636</v>
      </c>
      <c r="R1825" s="24" t="n">
        <f aca="false">Q1825-'DCF Base Case'!$B$5</f>
        <v>591.9452197636</v>
      </c>
      <c r="S1825" s="32" t="n">
        <f aca="false">R1825/'DCF Base Case'!$B$6</f>
        <v>23.677808790544</v>
      </c>
    </row>
    <row r="1826" customFormat="false" ht="15" hidden="false" customHeight="true" outlineLevel="0" collapsed="false">
      <c r="A1826" s="6" t="n">
        <v>1825</v>
      </c>
      <c r="B1826" s="30" t="n">
        <v>0.0598190383904228</v>
      </c>
      <c r="C1826" s="30" t="n">
        <v>0.423642574744337</v>
      </c>
      <c r="D1826" s="30" t="n">
        <v>0.085456197899869</v>
      </c>
      <c r="E1826" s="30" t="n">
        <v>0.27794020183704</v>
      </c>
      <c r="F1826" s="30" t="n">
        <v>0.012147347182009</v>
      </c>
      <c r="G1826" s="30" t="n">
        <v>0.166863231309318</v>
      </c>
      <c r="H1826" s="31" t="n">
        <f aca="false">MAX(D1826,F1826+0.015)</f>
        <v>0.085456197899869</v>
      </c>
      <c r="I1826" s="25" t="n">
        <f aca="false">(C1826-'DCF Base Case'!$B$3)*(1-E1826)+'DCF Base Case'!$B$3-G1826</f>
        <v>0.17516426694263</v>
      </c>
      <c r="J1826" s="24" t="n">
        <f aca="false">'DCF Base Case'!$B$2*(1+B1826)^1*$I1826-'DCF Base Case'!$B$2*(1+B1826)^0*B1826*'DCF Base Case'!$B$4</f>
        <v>26.6579388009694</v>
      </c>
      <c r="K1826" s="24" t="n">
        <f aca="false">'DCF Base Case'!$B$2*(1+B1826)^2*$I1826-'DCF Base Case'!$B$2*(1+B1826)^1*B1826*'DCF Base Case'!$B$4</f>
        <v>28.2525910655141</v>
      </c>
      <c r="L1826" s="24" t="n">
        <f aca="false">'DCF Base Case'!$B$2*(1+B1826)^3*$I1826-'DCF Base Case'!$B$2*(1+B1826)^2*B1826*'DCF Base Case'!$B$4</f>
        <v>29.942633895091</v>
      </c>
      <c r="M1826" s="24" t="n">
        <f aca="false">'DCF Base Case'!$B$2*(1+B1826)^4*$I1826-'DCF Base Case'!$B$2*(1+B1826)^3*B1826*'DCF Base Case'!$B$4</f>
        <v>31.7337734615718</v>
      </c>
      <c r="N1826" s="24" t="n">
        <f aca="false">'DCF Base Case'!$B$2*(1+B1826)^5*$I1826-'DCF Base Case'!$B$2*(1+B1826)^4*B1826*'DCF Base Case'!$B$4</f>
        <v>33.6320572745426</v>
      </c>
      <c r="O1826" s="24" t="n">
        <f aca="false">J1826/(1+H1826)^1+K1826/(1+H1826)^2+L1826/(1+H1826)^3+M1826/(1+H1826)^4+N1826/(1+H1826)^5</f>
        <v>117.13082014601</v>
      </c>
      <c r="P1826" s="24" t="n">
        <f aca="false">N1826*(1+F1826)/(H1826-F1826)</f>
        <v>464.34498996188</v>
      </c>
      <c r="Q1826" s="24" t="n">
        <f aca="false">O1826+P1826/(1+H1826)^5</f>
        <v>425.292938015377</v>
      </c>
      <c r="R1826" s="24" t="n">
        <f aca="false">Q1826-'DCF Base Case'!$B$5</f>
        <v>240.292938015377</v>
      </c>
      <c r="S1826" s="32" t="n">
        <f aca="false">R1826/'DCF Base Case'!$B$6</f>
        <v>9.61171752061506</v>
      </c>
    </row>
    <row r="1827" customFormat="false" ht="15" hidden="false" customHeight="true" outlineLevel="0" collapsed="false">
      <c r="A1827" s="6" t="n">
        <v>1826</v>
      </c>
      <c r="B1827" s="30" t="n">
        <v>0.108470310725439</v>
      </c>
      <c r="C1827" s="30" t="n">
        <v>0.416379553325715</v>
      </c>
      <c r="D1827" s="30" t="n">
        <v>0.0979161928020857</v>
      </c>
      <c r="E1827" s="30" t="n">
        <v>0.314314870393952</v>
      </c>
      <c r="F1827" s="30" t="n">
        <v>0.0167548362279472</v>
      </c>
      <c r="G1827" s="30" t="n">
        <v>0.201777477377429</v>
      </c>
      <c r="H1827" s="31" t="n">
        <f aca="false">MAX(D1827,F1827+0.015)</f>
        <v>0.0979161928020857</v>
      </c>
      <c r="I1827" s="25" t="n">
        <f aca="false">(C1827-'DCF Base Case'!$B$3)*(1-E1827)+'DCF Base Case'!$B$3-G1827</f>
        <v>0.124588723761236</v>
      </c>
      <c r="J1827" s="24" t="n">
        <f aca="false">'DCF Base Case'!$B$2*(1+B1827)^1*$I1827-'DCF Base Case'!$B$2*(1+B1827)^0*B1827*'DCF Base Case'!$B$4</f>
        <v>19.5530748427173</v>
      </c>
      <c r="K1827" s="24" t="n">
        <f aca="false">'DCF Base Case'!$B$2*(1+B1827)^2*$I1827-'DCF Base Case'!$B$2*(1+B1827)^1*B1827*'DCF Base Case'!$B$4</f>
        <v>21.6740029465446</v>
      </c>
      <c r="L1827" s="24" t="n">
        <f aca="false">'DCF Base Case'!$B$2*(1+B1827)^3*$I1827-'DCF Base Case'!$B$2*(1+B1827)^2*B1827*'DCF Base Case'!$B$4</f>
        <v>24.0249887808204</v>
      </c>
      <c r="M1827" s="24" t="n">
        <f aca="false">'DCF Base Case'!$B$2*(1+B1827)^4*$I1827-'DCF Base Case'!$B$2*(1+B1827)^3*B1827*'DCF Base Case'!$B$4</f>
        <v>26.6309867790512</v>
      </c>
      <c r="N1827" s="24" t="n">
        <f aca="false">'DCF Base Case'!$B$2*(1+B1827)^5*$I1827-'DCF Base Case'!$B$2*(1+B1827)^4*B1827*'DCF Base Case'!$B$4</f>
        <v>29.5196581898999</v>
      </c>
      <c r="O1827" s="24" t="n">
        <f aca="false">J1827/(1+H1827)^1+K1827/(1+H1827)^2+L1827/(1+H1827)^3+M1827/(1+H1827)^4+N1827/(1+H1827)^5</f>
        <v>90.7748156075713</v>
      </c>
      <c r="P1827" s="24" t="n">
        <f aca="false">N1827*(1+F1827)/(H1827-F1827)</f>
        <v>369.809679079964</v>
      </c>
      <c r="Q1827" s="24" t="n">
        <f aca="false">O1827+P1827/(1+H1827)^5</f>
        <v>322.58489828051</v>
      </c>
      <c r="R1827" s="24" t="n">
        <f aca="false">Q1827-'DCF Base Case'!$B$5</f>
        <v>137.58489828051</v>
      </c>
      <c r="S1827" s="32" t="n">
        <f aca="false">R1827/'DCF Base Case'!$B$6</f>
        <v>5.50339593122041</v>
      </c>
    </row>
    <row r="1828" customFormat="false" ht="15" hidden="false" customHeight="true" outlineLevel="0" collapsed="false">
      <c r="A1828" s="6" t="n">
        <v>1827</v>
      </c>
      <c r="B1828" s="30" t="n">
        <v>0.0909115033534527</v>
      </c>
      <c r="C1828" s="30" t="n">
        <v>0.41611944002636</v>
      </c>
      <c r="D1828" s="30" t="n">
        <v>0.0860887934486301</v>
      </c>
      <c r="E1828" s="30" t="n">
        <v>0.281615392610245</v>
      </c>
      <c r="F1828" s="30" t="n">
        <v>0.0108641901261475</v>
      </c>
      <c r="G1828" s="30" t="n">
        <v>0.161335663193033</v>
      </c>
      <c r="H1828" s="31" t="n">
        <f aca="false">MAX(D1828,F1828+0.015)</f>
        <v>0.0860887934486301</v>
      </c>
      <c r="I1828" s="25" t="n">
        <f aca="false">(C1828-'DCF Base Case'!$B$3)*(1-E1828)+'DCF Base Case'!$B$3-G1828</f>
        <v>0.17420813839688</v>
      </c>
      <c r="J1828" s="24" t="n">
        <f aca="false">'DCF Base Case'!$B$2*(1+B1828)^1*$I1828-'DCF Base Case'!$B$2*(1+B1828)^0*B1828*'DCF Base Case'!$B$4</f>
        <v>27.1611559728798</v>
      </c>
      <c r="K1828" s="24" t="n">
        <f aca="false">'DCF Base Case'!$B$2*(1+B1828)^2*$I1828-'DCF Base Case'!$B$2*(1+B1828)^1*B1828*'DCF Base Case'!$B$4</f>
        <v>29.6304174951919</v>
      </c>
      <c r="L1828" s="24" t="n">
        <f aca="false">'DCF Base Case'!$B$2*(1+B1828)^3*$I1828-'DCF Base Case'!$B$2*(1+B1828)^2*B1828*'DCF Base Case'!$B$4</f>
        <v>32.3241632946702</v>
      </c>
      <c r="M1828" s="24" t="n">
        <f aca="false">'DCF Base Case'!$B$2*(1+B1828)^4*$I1828-'DCF Base Case'!$B$2*(1+B1828)^3*B1828*'DCF Base Case'!$B$4</f>
        <v>35.2628015744312</v>
      </c>
      <c r="N1828" s="24" t="n">
        <f aca="false">'DCF Base Case'!$B$2*(1+B1828)^5*$I1828-'DCF Base Case'!$B$2*(1+B1828)^4*B1828*'DCF Base Case'!$B$4</f>
        <v>38.4685958780172</v>
      </c>
      <c r="O1828" s="24" t="n">
        <f aca="false">J1828/(1+H1828)^1+K1828/(1+H1828)^2+L1828/(1+H1828)^3+M1828/(1+H1828)^4+N1828/(1+H1828)^5</f>
        <v>126.156555863257</v>
      </c>
      <c r="P1828" s="24" t="n">
        <f aca="false">N1828*(1+F1828)/(H1828-F1828)</f>
        <v>516.938930881671</v>
      </c>
      <c r="Q1828" s="24" t="n">
        <f aca="false">O1828+P1828/(1+H1828)^5</f>
        <v>468.224657551417</v>
      </c>
      <c r="R1828" s="24" t="n">
        <f aca="false">Q1828-'DCF Base Case'!$B$5</f>
        <v>283.224657551417</v>
      </c>
      <c r="S1828" s="32" t="n">
        <f aca="false">R1828/'DCF Base Case'!$B$6</f>
        <v>11.3289863020567</v>
      </c>
    </row>
    <row r="1829" customFormat="false" ht="15" hidden="false" customHeight="true" outlineLevel="0" collapsed="false">
      <c r="A1829" s="6" t="n">
        <v>1828</v>
      </c>
      <c r="B1829" s="30" t="n">
        <v>0.060771640117702</v>
      </c>
      <c r="C1829" s="30" t="n">
        <v>0.43568867319647</v>
      </c>
      <c r="D1829" s="30" t="n">
        <v>0.102446912908933</v>
      </c>
      <c r="E1829" s="30" t="n">
        <v>0.305823884465647</v>
      </c>
      <c r="F1829" s="30" t="n">
        <v>0.0184266170385671</v>
      </c>
      <c r="G1829" s="30" t="n">
        <v>0.145037862994701</v>
      </c>
      <c r="H1829" s="31" t="n">
        <f aca="false">MAX(D1829,F1829+0.015)</f>
        <v>0.102446912908933</v>
      </c>
      <c r="I1829" s="25" t="n">
        <f aca="false">(C1829-'DCF Base Case'!$B$3)*(1-E1829)+'DCF Base Case'!$B$3-G1829</f>
        <v>0.197163912727675</v>
      </c>
      <c r="J1829" s="24" t="n">
        <f aca="false">'DCF Base Case'!$B$2*(1+B1829)^1*$I1829-'DCF Base Case'!$B$2*(1+B1829)^0*B1829*'DCF Base Case'!$B$4</f>
        <v>30.0617969915311</v>
      </c>
      <c r="K1829" s="24" t="n">
        <f aca="false">'DCF Base Case'!$B$2*(1+B1829)^2*$I1829-'DCF Base Case'!$B$2*(1+B1829)^1*B1829*'DCF Base Case'!$B$4</f>
        <v>31.8887016995918</v>
      </c>
      <c r="L1829" s="24" t="n">
        <f aca="false">'DCF Base Case'!$B$2*(1+B1829)^3*$I1829-'DCF Base Case'!$B$2*(1+B1829)^2*B1829*'DCF Base Case'!$B$4</f>
        <v>33.8266304031002</v>
      </c>
      <c r="M1829" s="24" t="n">
        <f aca="false">'DCF Base Case'!$B$2*(1+B1829)^4*$I1829-'DCF Base Case'!$B$2*(1+B1829)^3*B1829*'DCF Base Case'!$B$4</f>
        <v>35.8823302123519</v>
      </c>
      <c r="N1829" s="24" t="n">
        <f aca="false">'DCF Base Case'!$B$2*(1+B1829)^5*$I1829-'DCF Base Case'!$B$2*(1+B1829)^4*B1829*'DCF Base Case'!$B$4</f>
        <v>38.0629582706015</v>
      </c>
      <c r="O1829" s="24" t="n">
        <f aca="false">J1829/(1+H1829)^1+K1829/(1+H1829)^2+L1829/(1+H1829)^3+M1829/(1+H1829)^4+N1829/(1+H1829)^5</f>
        <v>126.415521674086</v>
      </c>
      <c r="P1829" s="24" t="n">
        <f aca="false">N1829*(1+F1829)/(H1829-F1829)</f>
        <v>461.36864223637</v>
      </c>
      <c r="Q1829" s="24" t="n">
        <f aca="false">O1829+P1829/(1+H1829)^5</f>
        <v>409.724048075314</v>
      </c>
      <c r="R1829" s="24" t="n">
        <f aca="false">Q1829-'DCF Base Case'!$B$5</f>
        <v>224.724048075314</v>
      </c>
      <c r="S1829" s="32" t="n">
        <f aca="false">R1829/'DCF Base Case'!$B$6</f>
        <v>8.98896192301258</v>
      </c>
    </row>
    <row r="1830" customFormat="false" ht="15" hidden="false" customHeight="true" outlineLevel="0" collapsed="false">
      <c r="A1830" s="6" t="n">
        <v>1829</v>
      </c>
      <c r="B1830" s="30" t="n">
        <v>0.0757353958259569</v>
      </c>
      <c r="C1830" s="30" t="n">
        <v>0.445038621912705</v>
      </c>
      <c r="D1830" s="30" t="n">
        <v>0.0773858287482804</v>
      </c>
      <c r="E1830" s="30" t="n">
        <v>0.244510250001252</v>
      </c>
      <c r="F1830" s="30" t="n">
        <v>0.0230413081104295</v>
      </c>
      <c r="G1830" s="30" t="n">
        <v>0.199988693627767</v>
      </c>
      <c r="H1830" s="31" t="n">
        <f aca="false">MAX(D1830,F1830+0.015)</f>
        <v>0.0773858287482804</v>
      </c>
      <c r="I1830" s="25" t="n">
        <f aca="false">(C1830-'DCF Base Case'!$B$3)*(1-E1830)+'DCF Base Case'!$B$3-G1830</f>
        <v>0.168019756081013</v>
      </c>
      <c r="J1830" s="24" t="n">
        <f aca="false">'DCF Base Case'!$B$2*(1+B1830)^1*$I1830-'DCF Base Case'!$B$2*(1+B1830)^0*B1830*'DCF Base Case'!$B$4</f>
        <v>25.8785468562435</v>
      </c>
      <c r="K1830" s="24" t="n">
        <f aca="false">'DCF Base Case'!$B$2*(1+B1830)^2*$I1830-'DCF Base Case'!$B$2*(1+B1830)^1*B1830*'DCF Base Case'!$B$4</f>
        <v>27.8384688458016</v>
      </c>
      <c r="L1830" s="24" t="n">
        <f aca="false">'DCF Base Case'!$B$2*(1+B1830)^3*$I1830-'DCF Base Case'!$B$2*(1+B1830)^2*B1830*'DCF Base Case'!$B$4</f>
        <v>29.946826303027</v>
      </c>
      <c r="M1830" s="24" t="n">
        <f aca="false">'DCF Base Case'!$B$2*(1+B1830)^4*$I1830-'DCF Base Case'!$B$2*(1+B1830)^3*B1830*'DCF Base Case'!$B$4</f>
        <v>32.2148610468179</v>
      </c>
      <c r="N1830" s="24" t="n">
        <f aca="false">'DCF Base Case'!$B$2*(1+B1830)^5*$I1830-'DCF Base Case'!$B$2*(1+B1830)^4*B1830*'DCF Base Case'!$B$4</f>
        <v>34.6546662996769</v>
      </c>
      <c r="O1830" s="24" t="n">
        <f aca="false">J1830/(1+H1830)^1+K1830/(1+H1830)^2+L1830/(1+H1830)^3+M1830/(1+H1830)^4+N1830/(1+H1830)^5</f>
        <v>119.731397672399</v>
      </c>
      <c r="P1830" s="24" t="n">
        <f aca="false">N1830*(1+F1830)/(H1830-F1830)</f>
        <v>652.377732423289</v>
      </c>
      <c r="Q1830" s="24" t="n">
        <f aca="false">O1830+P1830/(1+H1830)^5</f>
        <v>569.141504212869</v>
      </c>
      <c r="R1830" s="24" t="n">
        <f aca="false">Q1830-'DCF Base Case'!$B$5</f>
        <v>384.141504212869</v>
      </c>
      <c r="S1830" s="32" t="n">
        <f aca="false">R1830/'DCF Base Case'!$B$6</f>
        <v>15.3656601685148</v>
      </c>
    </row>
    <row r="1831" customFormat="false" ht="15" hidden="false" customHeight="true" outlineLevel="0" collapsed="false">
      <c r="A1831" s="6" t="n">
        <v>1830</v>
      </c>
      <c r="B1831" s="30" t="n">
        <v>0.124421783026112</v>
      </c>
      <c r="C1831" s="30" t="n">
        <v>0.444486898517682</v>
      </c>
      <c r="D1831" s="30" t="n">
        <v>0.0982167164495826</v>
      </c>
      <c r="E1831" s="30" t="n">
        <v>0.281144840755314</v>
      </c>
      <c r="F1831" s="30" t="n">
        <v>0.0118202552186058</v>
      </c>
      <c r="G1831" s="30" t="n">
        <v>0.165840318614579</v>
      </c>
      <c r="H1831" s="31" t="n">
        <f aca="false">MAX(D1831,F1831+0.015)</f>
        <v>0.0982167164495826</v>
      </c>
      <c r="I1831" s="25" t="n">
        <f aca="false">(C1831-'DCF Base Case'!$B$3)*(1-E1831)+'DCF Base Case'!$B$3-G1831</f>
        <v>0.190230210899717</v>
      </c>
      <c r="J1831" s="24" t="n">
        <f aca="false">'DCF Base Case'!$B$2*(1+B1831)^1*$I1831-'DCF Base Case'!$B$2*(1+B1831)^0*B1831*'DCF Base Case'!$B$4</f>
        <v>30.4741192180039</v>
      </c>
      <c r="K1831" s="24" t="n">
        <f aca="false">'DCF Base Case'!$B$2*(1+B1831)^2*$I1831-'DCF Base Case'!$B$2*(1+B1831)^1*B1831*'DCF Base Case'!$B$4</f>
        <v>34.2657634672582</v>
      </c>
      <c r="L1831" s="24" t="n">
        <f aca="false">'DCF Base Case'!$B$2*(1+B1831)^3*$I1831-'DCF Base Case'!$B$2*(1+B1831)^2*B1831*'DCF Base Case'!$B$4</f>
        <v>38.5291708546055</v>
      </c>
      <c r="M1831" s="24" t="n">
        <f aca="false">'DCF Base Case'!$B$2*(1+B1831)^4*$I1831-'DCF Base Case'!$B$2*(1+B1831)^3*B1831*'DCF Base Case'!$B$4</f>
        <v>43.3230389908532</v>
      </c>
      <c r="N1831" s="24" t="n">
        <f aca="false">'DCF Base Case'!$B$2*(1+B1831)^5*$I1831-'DCF Base Case'!$B$2*(1+B1831)^4*B1831*'DCF Base Case'!$B$4</f>
        <v>48.713368748205</v>
      </c>
      <c r="O1831" s="24" t="n">
        <f aca="false">J1831/(1+H1831)^1+K1831/(1+H1831)^2+L1831/(1+H1831)^3+M1831/(1+H1831)^4+N1831/(1+H1831)^5</f>
        <v>145.524792424489</v>
      </c>
      <c r="P1831" s="24" t="n">
        <f aca="false">N1831*(1+F1831)/(H1831-F1831)</f>
        <v>570.499908180204</v>
      </c>
      <c r="Q1831" s="24" t="n">
        <f aca="false">O1831+P1831/(1+H1831)^5</f>
        <v>502.645742888617</v>
      </c>
      <c r="R1831" s="24" t="n">
        <f aca="false">Q1831-'DCF Base Case'!$B$5</f>
        <v>317.645742888617</v>
      </c>
      <c r="S1831" s="32" t="n">
        <f aca="false">R1831/'DCF Base Case'!$B$6</f>
        <v>12.7058297155447</v>
      </c>
    </row>
    <row r="1832" customFormat="false" ht="15" hidden="false" customHeight="true" outlineLevel="0" collapsed="false">
      <c r="A1832" s="6" t="n">
        <v>1831</v>
      </c>
      <c r="B1832" s="30" t="n">
        <v>0.103454725711066</v>
      </c>
      <c r="C1832" s="30" t="n">
        <v>0.416719766988648</v>
      </c>
      <c r="D1832" s="30" t="n">
        <v>0.0830108026938642</v>
      </c>
      <c r="E1832" s="30" t="n">
        <v>0.259195974178682</v>
      </c>
      <c r="F1832" s="30" t="n">
        <v>0.0152622339911353</v>
      </c>
      <c r="G1832" s="30" t="n">
        <v>0.205924433514497</v>
      </c>
      <c r="H1832" s="31" t="n">
        <f aca="false">MAX(D1832,F1832+0.015)</f>
        <v>0.0830108026938642</v>
      </c>
      <c r="I1832" s="25" t="n">
        <f aca="false">(C1832-'DCF Base Case'!$B$3)*(1-E1832)+'DCF Base Case'!$B$3-G1832</f>
        <v>0.136478724153244</v>
      </c>
      <c r="J1832" s="24" t="n">
        <f aca="false">'DCF Base Case'!$B$2*(1+B1832)^1*$I1832-'DCF Base Case'!$B$2*(1+B1832)^0*B1832*'DCF Base Case'!$B$4</f>
        <v>21.3866954464144</v>
      </c>
      <c r="K1832" s="24" t="n">
        <f aca="false">'DCF Base Case'!$B$2*(1+B1832)^2*$I1832-'DCF Base Case'!$B$2*(1+B1832)^1*B1832*'DCF Base Case'!$B$4</f>
        <v>23.5992501576893</v>
      </c>
      <c r="L1832" s="24" t="n">
        <f aca="false">'DCF Base Case'!$B$2*(1+B1832)^3*$I1832-'DCF Base Case'!$B$2*(1+B1832)^2*B1832*'DCF Base Case'!$B$4</f>
        <v>26.0407041097398</v>
      </c>
      <c r="M1832" s="24" t="n">
        <f aca="false">'DCF Base Case'!$B$2*(1+B1832)^4*$I1832-'DCF Base Case'!$B$2*(1+B1832)^3*B1832*'DCF Base Case'!$B$4</f>
        <v>28.734738010736</v>
      </c>
      <c r="N1832" s="24" t="n">
        <f aca="false">'DCF Base Case'!$B$2*(1+B1832)^5*$I1832-'DCF Base Case'!$B$2*(1+B1832)^4*B1832*'DCF Base Case'!$B$4</f>
        <v>31.707482450016</v>
      </c>
      <c r="O1832" s="24" t="n">
        <f aca="false">J1832/(1+H1832)^1+K1832/(1+H1832)^2+L1832/(1+H1832)^3+M1832/(1+H1832)^4+N1832/(1+H1832)^5</f>
        <v>102.535967622868</v>
      </c>
      <c r="P1832" s="24" t="n">
        <f aca="false">N1832*(1+F1832)/(H1832-F1832)</f>
        <v>475.159993529743</v>
      </c>
      <c r="Q1832" s="24" t="n">
        <f aca="false">O1832+P1832/(1+H1832)^5</f>
        <v>421.451685956584</v>
      </c>
      <c r="R1832" s="24" t="n">
        <f aca="false">Q1832-'DCF Base Case'!$B$5</f>
        <v>236.451685956584</v>
      </c>
      <c r="S1832" s="32" t="n">
        <f aca="false">R1832/'DCF Base Case'!$B$6</f>
        <v>9.45806743826337</v>
      </c>
    </row>
    <row r="1833" customFormat="false" ht="15" hidden="false" customHeight="true" outlineLevel="0" collapsed="false">
      <c r="A1833" s="6" t="n">
        <v>1832</v>
      </c>
      <c r="B1833" s="30" t="n">
        <v>0.127662790002189</v>
      </c>
      <c r="C1833" s="30" t="n">
        <v>0.427956054400688</v>
      </c>
      <c r="D1833" s="30" t="n">
        <v>0.0880967596560222</v>
      </c>
      <c r="E1833" s="30" t="n">
        <v>0.258955975782034</v>
      </c>
      <c r="F1833" s="30" t="n">
        <v>0.0216555314239679</v>
      </c>
      <c r="G1833" s="30" t="n">
        <v>0.204657186485206</v>
      </c>
      <c r="H1833" s="31" t="n">
        <f aca="false">MAX(D1833,F1833+0.015)</f>
        <v>0.0880967596560222</v>
      </c>
      <c r="I1833" s="25" t="n">
        <f aca="false">(C1833-'DCF Base Case'!$B$3)*(1-E1833)+'DCF Base Case'!$B$3-G1833</f>
        <v>0.146141367107987</v>
      </c>
      <c r="J1833" s="24" t="n">
        <f aca="false">'DCF Base Case'!$B$2*(1+B1833)^1*$I1833-'DCF Base Case'!$B$2*(1+B1833)^0*B1833*'DCF Base Case'!$B$4</f>
        <v>23.3404032198109</v>
      </c>
      <c r="K1833" s="24" t="n">
        <f aca="false">'DCF Base Case'!$B$2*(1+B1833)^2*$I1833-'DCF Base Case'!$B$2*(1+B1833)^1*B1833*'DCF Base Case'!$B$4</f>
        <v>26.320104214628</v>
      </c>
      <c r="L1833" s="24" t="n">
        <f aca="false">'DCF Base Case'!$B$2*(1+B1833)^3*$I1833-'DCF Base Case'!$B$2*(1+B1833)^2*B1833*'DCF Base Case'!$B$4</f>
        <v>29.6802021518158</v>
      </c>
      <c r="M1833" s="24" t="n">
        <f aca="false">'DCF Base Case'!$B$2*(1+B1833)^4*$I1833-'DCF Base Case'!$B$2*(1+B1833)^3*B1833*'DCF Base Case'!$B$4</f>
        <v>33.4692595663455</v>
      </c>
      <c r="N1833" s="24" t="n">
        <f aca="false">'DCF Base Case'!$B$2*(1+B1833)^5*$I1833-'DCF Base Case'!$B$2*(1+B1833)^4*B1833*'DCF Base Case'!$B$4</f>
        <v>37.7420386218927</v>
      </c>
      <c r="O1833" s="24" t="n">
        <f aca="false">J1833/(1+H1833)^1+K1833/(1+H1833)^2+L1833/(1+H1833)^3+M1833/(1+H1833)^4+N1833/(1+H1833)^5</f>
        <v>115.342188869672</v>
      </c>
      <c r="P1833" s="24" t="n">
        <f aca="false">N1833*(1+F1833)/(H1833-F1833)</f>
        <v>580.352945773372</v>
      </c>
      <c r="Q1833" s="24" t="n">
        <f aca="false">O1833+P1833/(1+H1833)^5</f>
        <v>495.842142609523</v>
      </c>
      <c r="R1833" s="24" t="n">
        <f aca="false">Q1833-'DCF Base Case'!$B$5</f>
        <v>310.842142609523</v>
      </c>
      <c r="S1833" s="32" t="n">
        <f aca="false">R1833/'DCF Base Case'!$B$6</f>
        <v>12.4336857043809</v>
      </c>
    </row>
    <row r="1834" customFormat="false" ht="15" hidden="false" customHeight="true" outlineLevel="0" collapsed="false">
      <c r="A1834" s="6" t="n">
        <v>1833</v>
      </c>
      <c r="B1834" s="30" t="n">
        <v>0.0577628293519933</v>
      </c>
      <c r="C1834" s="30" t="n">
        <v>0.412529933009274</v>
      </c>
      <c r="D1834" s="30" t="n">
        <v>0.0909292446690955</v>
      </c>
      <c r="E1834" s="30" t="n">
        <v>0.295603550411153</v>
      </c>
      <c r="F1834" s="30" t="n">
        <v>0.0249328798143912</v>
      </c>
      <c r="G1834" s="30" t="n">
        <v>0.208808682849488</v>
      </c>
      <c r="H1834" s="31" t="n">
        <f aca="false">MAX(D1834,F1834+0.015)</f>
        <v>0.0909292446690955</v>
      </c>
      <c r="I1834" s="25" t="n">
        <f aca="false">(C1834-'DCF Base Case'!$B$3)*(1-E1834)+'DCF Base Case'!$B$3-G1834</f>
        <v>0.120204398864819</v>
      </c>
      <c r="J1834" s="24" t="n">
        <f aca="false">'DCF Base Case'!$B$2*(1+B1834)^1*$I1834-'DCF Base Case'!$B$2*(1+B1834)^0*B1834*'DCF Base Case'!$B$4</f>
        <v>18.1851547236708</v>
      </c>
      <c r="K1834" s="24" t="n">
        <f aca="false">'DCF Base Case'!$B$2*(1+B1834)^2*$I1834-'DCF Base Case'!$B$2*(1+B1834)^1*B1834*'DCF Base Case'!$B$4</f>
        <v>19.2355807127138</v>
      </c>
      <c r="L1834" s="24" t="n">
        <f aca="false">'DCF Base Case'!$B$2*(1+B1834)^3*$I1834-'DCF Base Case'!$B$2*(1+B1834)^2*B1834*'DCF Base Case'!$B$4</f>
        <v>20.3466822789088</v>
      </c>
      <c r="M1834" s="24" t="n">
        <f aca="false">'DCF Base Case'!$B$2*(1+B1834)^4*$I1834-'DCF Base Case'!$B$2*(1+B1834)^3*B1834*'DCF Base Case'!$B$4</f>
        <v>21.5219642152647</v>
      </c>
      <c r="N1834" s="24" t="n">
        <f aca="false">'DCF Base Case'!$B$2*(1+B1834)^5*$I1834-'DCF Base Case'!$B$2*(1+B1834)^4*B1834*'DCF Base Case'!$B$4</f>
        <v>22.7651337615507</v>
      </c>
      <c r="O1834" s="24" t="n">
        <f aca="false">J1834/(1+H1834)^1+K1834/(1+H1834)^2+L1834/(1+H1834)^3+M1834/(1+H1834)^4+N1834/(1+H1834)^5</f>
        <v>78.4309966024071</v>
      </c>
      <c r="P1834" s="24" t="n">
        <f aca="false">N1834*(1+F1834)/(H1834-F1834)</f>
        <v>353.545746905222</v>
      </c>
      <c r="Q1834" s="24" t="n">
        <f aca="false">O1834+P1834/(1+H1834)^5</f>
        <v>307.234514038955</v>
      </c>
      <c r="R1834" s="24" t="n">
        <f aca="false">Q1834-'DCF Base Case'!$B$5</f>
        <v>122.234514038955</v>
      </c>
      <c r="S1834" s="32" t="n">
        <f aca="false">R1834/'DCF Base Case'!$B$6</f>
        <v>4.88938056155822</v>
      </c>
    </row>
    <row r="1835" customFormat="false" ht="15" hidden="false" customHeight="true" outlineLevel="0" collapsed="false">
      <c r="A1835" s="6" t="n">
        <v>1834</v>
      </c>
      <c r="B1835" s="30" t="n">
        <v>0.0851493588692152</v>
      </c>
      <c r="C1835" s="30" t="n">
        <v>0.425850605123411</v>
      </c>
      <c r="D1835" s="30" t="n">
        <v>0.0859265707629867</v>
      </c>
      <c r="E1835" s="30" t="n">
        <v>0.264619628351427</v>
      </c>
      <c r="F1835" s="30" t="n">
        <v>0.0203155520847273</v>
      </c>
      <c r="G1835" s="30" t="n">
        <v>0.181196558410281</v>
      </c>
      <c r="H1835" s="31" t="n">
        <f aca="false">MAX(D1835,F1835+0.015)</f>
        <v>0.0859265707629867</v>
      </c>
      <c r="I1835" s="25" t="n">
        <f aca="false">(C1835-'DCF Base Case'!$B$3)*(1-E1835)+'DCF Base Case'!$B$3-G1835</f>
        <v>0.166366169537828</v>
      </c>
      <c r="J1835" s="24" t="n">
        <f aca="false">'DCF Base Case'!$B$2*(1+B1835)^1*$I1835-'DCF Base Case'!$B$2*(1+B1835)^0*B1835*'DCF Base Case'!$B$4</f>
        <v>25.8067609095866</v>
      </c>
      <c r="K1835" s="24" t="n">
        <f aca="false">'DCF Base Case'!$B$2*(1+B1835)^2*$I1835-'DCF Base Case'!$B$2*(1+B1835)^1*B1835*'DCF Base Case'!$B$4</f>
        <v>28.004190055529</v>
      </c>
      <c r="L1835" s="24" t="n">
        <f aca="false">'DCF Base Case'!$B$2*(1+B1835)^3*$I1835-'DCF Base Case'!$B$2*(1+B1835)^2*B1835*'DCF Base Case'!$B$4</f>
        <v>30.388728884409</v>
      </c>
      <c r="M1835" s="24" t="n">
        <f aca="false">'DCF Base Case'!$B$2*(1+B1835)^4*$I1835-'DCF Base Case'!$B$2*(1+B1835)^3*B1835*'DCF Base Case'!$B$4</f>
        <v>32.9763096657668</v>
      </c>
      <c r="N1835" s="24" t="n">
        <f aca="false">'DCF Base Case'!$B$2*(1+B1835)^5*$I1835-'DCF Base Case'!$B$2*(1+B1835)^4*B1835*'DCF Base Case'!$B$4</f>
        <v>35.7842212916796</v>
      </c>
      <c r="O1835" s="24" t="n">
        <f aca="false">J1835/(1+H1835)^1+K1835/(1+H1835)^2+L1835/(1+H1835)^3+M1835/(1+H1835)^4+N1835/(1+H1835)^5</f>
        <v>118.653726494973</v>
      </c>
      <c r="P1835" s="24" t="n">
        <f aca="false">N1835*(1+F1835)/(H1835-F1835)</f>
        <v>556.479662085178</v>
      </c>
      <c r="Q1835" s="24" t="n">
        <f aca="false">O1835+P1835/(1+H1835)^5</f>
        <v>487.161792371969</v>
      </c>
      <c r="R1835" s="24" t="n">
        <f aca="false">Q1835-'DCF Base Case'!$B$5</f>
        <v>302.161792371969</v>
      </c>
      <c r="S1835" s="32" t="n">
        <f aca="false">R1835/'DCF Base Case'!$B$6</f>
        <v>12.0864716948788</v>
      </c>
    </row>
    <row r="1836" customFormat="false" ht="15" hidden="false" customHeight="true" outlineLevel="0" collapsed="false">
      <c r="A1836" s="6" t="n">
        <v>1835</v>
      </c>
      <c r="B1836" s="30" t="n">
        <v>0.094495496867857</v>
      </c>
      <c r="C1836" s="30" t="n">
        <v>0.396886710193468</v>
      </c>
      <c r="D1836" s="30" t="n">
        <v>0.0799008329615876</v>
      </c>
      <c r="E1836" s="30" t="n">
        <v>0.26820672362408</v>
      </c>
      <c r="F1836" s="30" t="n">
        <v>0.0159126733456475</v>
      </c>
      <c r="G1836" s="30" t="n">
        <v>0.172443588641635</v>
      </c>
      <c r="H1836" s="31" t="n">
        <f aca="false">MAX(D1836,F1836+0.015)</f>
        <v>0.0799008329615876</v>
      </c>
      <c r="I1836" s="25" t="n">
        <f aca="false">(C1836-'DCF Base Case'!$B$3)*(1-E1836)+'DCF Base Case'!$B$3-G1836</f>
        <v>0.152862311432034</v>
      </c>
      <c r="J1836" s="24" t="n">
        <f aca="false">'DCF Base Case'!$B$2*(1+B1836)^1*$I1836-'DCF Base Case'!$B$2*(1+B1836)^0*B1836*'DCF Base Case'!$B$4</f>
        <v>23.8484757565849</v>
      </c>
      <c r="K1836" s="24" t="n">
        <f aca="false">'DCF Base Case'!$B$2*(1+B1836)^2*$I1836-'DCF Base Case'!$B$2*(1+B1836)^1*B1836*'DCF Base Case'!$B$4</f>
        <v>26.1020493227444</v>
      </c>
      <c r="L1836" s="24" t="n">
        <f aca="false">'DCF Base Case'!$B$2*(1+B1836)^3*$I1836-'DCF Base Case'!$B$2*(1+B1836)^2*B1836*'DCF Base Case'!$B$4</f>
        <v>28.5685754427664</v>
      </c>
      <c r="M1836" s="24" t="n">
        <f aca="false">'DCF Base Case'!$B$2*(1+B1836)^4*$I1836-'DCF Base Case'!$B$2*(1+B1836)^3*B1836*'DCF Base Case'!$B$4</f>
        <v>31.2681771740375</v>
      </c>
      <c r="N1836" s="24" t="n">
        <f aca="false">'DCF Base Case'!$B$2*(1+B1836)^5*$I1836-'DCF Base Case'!$B$2*(1+B1836)^4*B1836*'DCF Base Case'!$B$4</f>
        <v>34.2228791122504</v>
      </c>
      <c r="O1836" s="24" t="n">
        <f aca="false">J1836/(1+H1836)^1+K1836/(1+H1836)^2+L1836/(1+H1836)^3+M1836/(1+H1836)^4+N1836/(1+H1836)^5</f>
        <v>113.444964345002</v>
      </c>
      <c r="P1836" s="24" t="n">
        <f aca="false">N1836*(1+F1836)/(H1836-F1836)</f>
        <v>543.342031044291</v>
      </c>
      <c r="Q1836" s="24" t="n">
        <f aca="false">O1836+P1836/(1+H1836)^5</f>
        <v>483.404240494312</v>
      </c>
      <c r="R1836" s="24" t="n">
        <f aca="false">Q1836-'DCF Base Case'!$B$5</f>
        <v>298.404240494312</v>
      </c>
      <c r="S1836" s="32" t="n">
        <f aca="false">R1836/'DCF Base Case'!$B$6</f>
        <v>11.9361696197725</v>
      </c>
    </row>
    <row r="1837" customFormat="false" ht="15" hidden="false" customHeight="true" outlineLevel="0" collapsed="false">
      <c r="A1837" s="6" t="n">
        <v>1836</v>
      </c>
      <c r="B1837" s="30" t="n">
        <v>0.0988944905970426</v>
      </c>
      <c r="C1837" s="30" t="n">
        <v>0.43602613617934</v>
      </c>
      <c r="D1837" s="30" t="n">
        <v>0.0755661541702331</v>
      </c>
      <c r="E1837" s="30" t="n">
        <v>0.26567859024399</v>
      </c>
      <c r="F1837" s="30" t="n">
        <v>0.0246931882402789</v>
      </c>
      <c r="G1837" s="30" t="n">
        <v>0.16175931325248</v>
      </c>
      <c r="H1837" s="31" t="n">
        <f aca="false">MAX(D1837,F1837+0.015)</f>
        <v>0.0755661541702331</v>
      </c>
      <c r="I1837" s="25" t="n">
        <f aca="false">(C1837-'DCF Base Case'!$B$3)*(1-E1837)+'DCF Base Case'!$B$3-G1837</f>
        <v>0.192962230488918</v>
      </c>
      <c r="J1837" s="24" t="n">
        <f aca="false">'DCF Base Case'!$B$2*(1+B1837)^1*$I1837-'DCF Base Case'!$B$2*(1+B1837)^0*B1837*'DCF Base Case'!$B$4</f>
        <v>30.3163531026532</v>
      </c>
      <c r="K1837" s="24" t="n">
        <f aca="false">'DCF Base Case'!$B$2*(1+B1837)^2*$I1837-'DCF Base Case'!$B$2*(1+B1837)^1*B1837*'DCF Base Case'!$B$4</f>
        <v>33.3144733995001</v>
      </c>
      <c r="L1837" s="24" t="n">
        <f aca="false">'DCF Base Case'!$B$2*(1+B1837)^3*$I1837-'DCF Base Case'!$B$2*(1+B1837)^2*B1837*'DCF Base Case'!$B$4</f>
        <v>36.6090912758524</v>
      </c>
      <c r="M1837" s="24" t="n">
        <f aca="false">'DCF Base Case'!$B$2*(1+B1837)^4*$I1837-'DCF Base Case'!$B$2*(1+B1837)^3*B1837*'DCF Base Case'!$B$4</f>
        <v>40.2295287087985</v>
      </c>
      <c r="N1837" s="24" t="n">
        <f aca="false">'DCF Base Case'!$B$2*(1+B1837)^5*$I1837-'DCF Base Case'!$B$2*(1+B1837)^4*B1837*'DCF Base Case'!$B$4</f>
        <v>44.2080074574142</v>
      </c>
      <c r="O1837" s="24" t="n">
        <f aca="false">J1837/(1+H1837)^1+K1837/(1+H1837)^2+L1837/(1+H1837)^3+M1837/(1+H1837)^4+N1837/(1+H1837)^5</f>
        <v>147.179563452221</v>
      </c>
      <c r="P1837" s="24" t="n">
        <f aca="false">N1837*(1+F1837)/(H1837-F1837)</f>
        <v>890.446296558762</v>
      </c>
      <c r="Q1837" s="24" t="n">
        <f aca="false">O1837+P1837/(1+H1837)^5</f>
        <v>765.796911501888</v>
      </c>
      <c r="R1837" s="24" t="n">
        <f aca="false">Q1837-'DCF Base Case'!$B$5</f>
        <v>580.796911501888</v>
      </c>
      <c r="S1837" s="32" t="n">
        <f aca="false">R1837/'DCF Base Case'!$B$6</f>
        <v>23.2318764600755</v>
      </c>
    </row>
    <row r="1838" customFormat="false" ht="15" hidden="false" customHeight="true" outlineLevel="0" collapsed="false">
      <c r="A1838" s="6" t="n">
        <v>1837</v>
      </c>
      <c r="B1838" s="30" t="n">
        <v>0.0906045914533602</v>
      </c>
      <c r="C1838" s="30" t="n">
        <v>0.411323029660751</v>
      </c>
      <c r="D1838" s="30" t="n">
        <v>0.0974633390059381</v>
      </c>
      <c r="E1838" s="30" t="n">
        <v>0.315441271872765</v>
      </c>
      <c r="F1838" s="30" t="n">
        <v>0.0233249250183437</v>
      </c>
      <c r="G1838" s="30" t="n">
        <v>0.16581131280806</v>
      </c>
      <c r="H1838" s="31" t="n">
        <f aca="false">MAX(D1838,F1838+0.015)</f>
        <v>0.0974633390059381</v>
      </c>
      <c r="I1838" s="25" t="n">
        <f aca="false">(C1838-'DCF Base Case'!$B$3)*(1-E1838)+'DCF Base Case'!$B$3-G1838</f>
        <v>0.156770822569404</v>
      </c>
      <c r="J1838" s="24" t="n">
        <f aca="false">'DCF Base Case'!$B$2*(1+B1838)^1*$I1838-'DCF Base Case'!$B$2*(1+B1838)^0*B1838*'DCF Base Case'!$B$4</f>
        <v>24.3972419676942</v>
      </c>
      <c r="K1838" s="24" t="n">
        <f aca="false">'DCF Base Case'!$B$2*(1+B1838)^2*$I1838-'DCF Base Case'!$B$2*(1+B1838)^1*B1838*'DCF Base Case'!$B$4</f>
        <v>26.6077441087659</v>
      </c>
      <c r="L1838" s="24" t="n">
        <f aca="false">'DCF Base Case'!$B$2*(1+B1838)^3*$I1838-'DCF Base Case'!$B$2*(1+B1838)^2*B1838*'DCF Base Case'!$B$4</f>
        <v>29.0185278932361</v>
      </c>
      <c r="M1838" s="24" t="n">
        <f aca="false">'DCF Base Case'!$B$2*(1+B1838)^4*$I1838-'DCF Base Case'!$B$2*(1+B1838)^3*B1838*'DCF Base Case'!$B$4</f>
        <v>31.6477397575807</v>
      </c>
      <c r="N1838" s="24" t="n">
        <f aca="false">'DCF Base Case'!$B$2*(1+B1838)^5*$I1838-'DCF Base Case'!$B$2*(1+B1838)^4*B1838*'DCF Base Case'!$B$4</f>
        <v>34.5151702887386</v>
      </c>
      <c r="O1838" s="24" t="n">
        <f aca="false">J1838/(1+H1838)^1+K1838/(1+H1838)^2+L1838/(1+H1838)^3+M1838/(1+H1838)^4+N1838/(1+H1838)^5</f>
        <v>109.772204508481</v>
      </c>
      <c r="P1838" s="24" t="n">
        <f aca="false">N1838*(1+F1838)/(H1838-F1838)</f>
        <v>476.409355798047</v>
      </c>
      <c r="Q1838" s="24" t="n">
        <f aca="false">O1838+P1838/(1+H1838)^5</f>
        <v>409.019458846354</v>
      </c>
      <c r="R1838" s="24" t="n">
        <f aca="false">Q1838-'DCF Base Case'!$B$5</f>
        <v>224.019458846354</v>
      </c>
      <c r="S1838" s="32" t="n">
        <f aca="false">R1838/'DCF Base Case'!$B$6</f>
        <v>8.96077835385418</v>
      </c>
    </row>
    <row r="1839" customFormat="false" ht="15" hidden="false" customHeight="true" outlineLevel="0" collapsed="false">
      <c r="A1839" s="6" t="n">
        <v>1838</v>
      </c>
      <c r="B1839" s="30" t="n">
        <v>0.0709423084385956</v>
      </c>
      <c r="C1839" s="30" t="n">
        <v>0.443622587384234</v>
      </c>
      <c r="D1839" s="30" t="n">
        <v>0.0944193987465107</v>
      </c>
      <c r="E1839" s="30" t="n">
        <v>0.268190373924431</v>
      </c>
      <c r="F1839" s="30" t="n">
        <v>0.0243158216875807</v>
      </c>
      <c r="G1839" s="30" t="n">
        <v>0.154415951706229</v>
      </c>
      <c r="H1839" s="31" t="n">
        <f aca="false">MAX(D1839,F1839+0.015)</f>
        <v>0.0944193987465107</v>
      </c>
      <c r="I1839" s="25" t="n">
        <f aca="false">(C1839-'DCF Base Case'!$B$3)*(1-E1839)+'DCF Base Case'!$B$3-G1839</f>
        <v>0.20509607669628</v>
      </c>
      <c r="J1839" s="24" t="n">
        <f aca="false">'DCF Base Case'!$B$2*(1+B1839)^1*$I1839-'DCF Base Case'!$B$2*(1+B1839)^0*B1839*'DCF Base Case'!$B$4</f>
        <v>31.54008050347</v>
      </c>
      <c r="K1839" s="24" t="n">
        <f aca="false">'DCF Base Case'!$B$2*(1+B1839)^2*$I1839-'DCF Base Case'!$B$2*(1+B1839)^1*B1839*'DCF Base Case'!$B$4</f>
        <v>33.7776066227253</v>
      </c>
      <c r="L1839" s="24" t="n">
        <f aca="false">'DCF Base Case'!$B$2*(1+B1839)^3*$I1839-'DCF Base Case'!$B$2*(1+B1839)^2*B1839*'DCF Base Case'!$B$4</f>
        <v>36.1738680100722</v>
      </c>
      <c r="M1839" s="24" t="n">
        <f aca="false">'DCF Base Case'!$B$2*(1+B1839)^4*$I1839-'DCF Base Case'!$B$2*(1+B1839)^3*B1839*'DCF Base Case'!$B$4</f>
        <v>38.7401257118598</v>
      </c>
      <c r="N1839" s="24" t="n">
        <f aca="false">'DCF Base Case'!$B$2*(1+B1839)^5*$I1839-'DCF Base Case'!$B$2*(1+B1839)^4*B1839*'DCF Base Case'!$B$4</f>
        <v>41.4884396590606</v>
      </c>
      <c r="O1839" s="24" t="n">
        <f aca="false">J1839/(1+H1839)^1+K1839/(1+H1839)^2+L1839/(1+H1839)^3+M1839/(1+H1839)^4+N1839/(1+H1839)^5</f>
        <v>138.044087283113</v>
      </c>
      <c r="P1839" s="24" t="n">
        <f aca="false">N1839*(1+F1839)/(H1839-F1839)</f>
        <v>606.206800605659</v>
      </c>
      <c r="Q1839" s="24" t="n">
        <f aca="false">O1839+P1839/(1+H1839)^5</f>
        <v>524.145945876581</v>
      </c>
      <c r="R1839" s="24" t="n">
        <f aca="false">Q1839-'DCF Base Case'!$B$5</f>
        <v>339.145945876581</v>
      </c>
      <c r="S1839" s="32" t="n">
        <f aca="false">R1839/'DCF Base Case'!$B$6</f>
        <v>13.5658378350633</v>
      </c>
    </row>
    <row r="1840" customFormat="false" ht="15" hidden="false" customHeight="true" outlineLevel="0" collapsed="false">
      <c r="A1840" s="6" t="n">
        <v>1839</v>
      </c>
      <c r="B1840" s="30" t="n">
        <v>0.12010451765485</v>
      </c>
      <c r="C1840" s="30" t="n">
        <v>0.449017390469708</v>
      </c>
      <c r="D1840" s="30" t="n">
        <v>0.0748636895115084</v>
      </c>
      <c r="E1840" s="30" t="n">
        <v>0.297315932254182</v>
      </c>
      <c r="F1840" s="30" t="n">
        <v>0.0221625870486045</v>
      </c>
      <c r="G1840" s="30" t="n">
        <v>0.214825509331416</v>
      </c>
      <c r="H1840" s="31" t="n">
        <f aca="false">MAX(D1840,F1840+0.015)</f>
        <v>0.0748636895115084</v>
      </c>
      <c r="I1840" s="25" t="n">
        <f aca="false">(C1840-'DCF Base Case'!$B$3)*(1-E1840)+'DCF Base Case'!$B$3-G1840</f>
        <v>0.139342928285494</v>
      </c>
      <c r="J1840" s="24" t="n">
        <f aca="false">'DCF Base Case'!$B$2*(1+B1840)^1*$I1840-'DCF Base Case'!$B$2*(1+B1840)^0*B1840*'DCF Base Case'!$B$4</f>
        <v>22.1089486521979</v>
      </c>
      <c r="K1840" s="24" t="n">
        <f aca="false">'DCF Base Case'!$B$2*(1+B1840)^2*$I1840-'DCF Base Case'!$B$2*(1+B1840)^1*B1840*'DCF Base Case'!$B$4</f>
        <v>24.764333265926</v>
      </c>
      <c r="L1840" s="24" t="n">
        <f aca="false">'DCF Base Case'!$B$2*(1+B1840)^3*$I1840-'DCF Base Case'!$B$2*(1+B1840)^2*B1840*'DCF Base Case'!$B$4</f>
        <v>27.738641567874</v>
      </c>
      <c r="M1840" s="24" t="n">
        <f aca="false">'DCF Base Case'!$B$2*(1+B1840)^4*$I1840-'DCF Base Case'!$B$2*(1+B1840)^3*B1840*'DCF Base Case'!$B$4</f>
        <v>31.0701777337843</v>
      </c>
      <c r="N1840" s="24" t="n">
        <f aca="false">'DCF Base Case'!$B$2*(1+B1840)^5*$I1840-'DCF Base Case'!$B$2*(1+B1840)^4*B1840*'DCF Base Case'!$B$4</f>
        <v>34.8018464439509</v>
      </c>
      <c r="O1840" s="24" t="n">
        <f aca="false">J1840/(1+H1840)^1+K1840/(1+H1840)^2+L1840/(1+H1840)^3+M1840/(1+H1840)^4+N1840/(1+H1840)^5</f>
        <v>111.874972553596</v>
      </c>
      <c r="P1840" s="24" t="n">
        <f aca="false">N1840*(1+F1840)/(H1840-F1840)</f>
        <v>674.998125897972</v>
      </c>
      <c r="Q1840" s="24" t="n">
        <f aca="false">O1840+P1840/(1+H1840)^5</f>
        <v>582.348949903675</v>
      </c>
      <c r="R1840" s="24" t="n">
        <f aca="false">Q1840-'DCF Base Case'!$B$5</f>
        <v>397.348949903675</v>
      </c>
      <c r="S1840" s="32" t="n">
        <f aca="false">R1840/'DCF Base Case'!$B$6</f>
        <v>15.893957996147</v>
      </c>
    </row>
    <row r="1841" customFormat="false" ht="15" hidden="false" customHeight="true" outlineLevel="0" collapsed="false">
      <c r="A1841" s="6" t="n">
        <v>1840</v>
      </c>
      <c r="B1841" s="30" t="n">
        <v>0.0738343359187972</v>
      </c>
      <c r="C1841" s="30" t="n">
        <v>0.436369715622154</v>
      </c>
      <c r="D1841" s="30" t="n">
        <v>0.0851908061983691</v>
      </c>
      <c r="E1841" s="30" t="n">
        <v>0.255359634384695</v>
      </c>
      <c r="F1841" s="30" t="n">
        <v>0.0188962444187232</v>
      </c>
      <c r="G1841" s="30" t="n">
        <v>0.165281628117322</v>
      </c>
      <c r="H1841" s="31" t="n">
        <f aca="false">MAX(D1841,F1841+0.015)</f>
        <v>0.0851908061983691</v>
      </c>
      <c r="I1841" s="25" t="n">
        <f aca="false">(C1841-'DCF Base Case'!$B$3)*(1-E1841)+'DCF Base Case'!$B$3-G1841</f>
        <v>0.192853628937016</v>
      </c>
      <c r="J1841" s="24" t="n">
        <f aca="false">'DCF Base Case'!$B$2*(1+B1841)^1*$I1841-'DCF Base Case'!$B$2*(1+B1841)^0*B1841*'DCF Base Case'!$B$4</f>
        <v>29.7072836798243</v>
      </c>
      <c r="K1841" s="24" t="n">
        <f aca="false">'DCF Base Case'!$B$2*(1+B1841)^2*$I1841-'DCF Base Case'!$B$2*(1+B1841)^1*B1841*'DCF Base Case'!$B$4</f>
        <v>31.9007012422754</v>
      </c>
      <c r="L1841" s="24" t="n">
        <f aca="false">'DCF Base Case'!$B$2*(1+B1841)^3*$I1841-'DCF Base Case'!$B$2*(1+B1841)^2*B1841*'DCF Base Case'!$B$4</f>
        <v>34.2560683338428</v>
      </c>
      <c r="M1841" s="24" t="n">
        <f aca="false">'DCF Base Case'!$B$2*(1+B1841)^4*$I1841-'DCF Base Case'!$B$2*(1+B1841)^3*B1841*'DCF Base Case'!$B$4</f>
        <v>36.785342390461</v>
      </c>
      <c r="N1841" s="24" t="n">
        <f aca="false">'DCF Base Case'!$B$2*(1+B1841)^5*$I1841-'DCF Base Case'!$B$2*(1+B1841)^4*B1841*'DCF Base Case'!$B$4</f>
        <v>39.5013637174062</v>
      </c>
      <c r="O1841" s="24" t="n">
        <f aca="false">J1841/(1+H1841)^1+K1841/(1+H1841)^2+L1841/(1+H1841)^3+M1841/(1+H1841)^4+N1841/(1+H1841)^5</f>
        <v>134.040878852671</v>
      </c>
      <c r="P1841" s="24" t="n">
        <f aca="false">N1841*(1+F1841)/(H1841-F1841)</f>
        <v>607.105470805606</v>
      </c>
      <c r="Q1841" s="24" t="n">
        <f aca="false">O1841+P1841/(1+H1841)^5</f>
        <v>537.438764662137</v>
      </c>
      <c r="R1841" s="24" t="n">
        <f aca="false">Q1841-'DCF Base Case'!$B$5</f>
        <v>352.438764662137</v>
      </c>
      <c r="S1841" s="32" t="n">
        <f aca="false">R1841/'DCF Base Case'!$B$6</f>
        <v>14.0975505864855</v>
      </c>
    </row>
    <row r="1842" customFormat="false" ht="15" hidden="false" customHeight="true" outlineLevel="0" collapsed="false">
      <c r="A1842" s="6" t="n">
        <v>1841</v>
      </c>
      <c r="B1842" s="30" t="n">
        <v>0.0669095610818345</v>
      </c>
      <c r="C1842" s="30" t="n">
        <v>0.413038169246608</v>
      </c>
      <c r="D1842" s="30" t="n">
        <v>0.0955359018104844</v>
      </c>
      <c r="E1842" s="30" t="n">
        <v>0.286611980029668</v>
      </c>
      <c r="F1842" s="30" t="n">
        <v>0.0171724136541134</v>
      </c>
      <c r="G1842" s="30" t="n">
        <v>0.162085499945363</v>
      </c>
      <c r="H1842" s="31" t="n">
        <f aca="false">MAX(D1842,F1842+0.015)</f>
        <v>0.0955359018104844</v>
      </c>
      <c r="I1842" s="25" t="n">
        <f aca="false">(C1842-'DCF Base Case'!$B$3)*(1-E1842)+'DCF Base Case'!$B$3-G1842</f>
        <v>0.169830539189502</v>
      </c>
      <c r="J1842" s="24" t="n">
        <f aca="false">'DCF Base Case'!$B$2*(1+B1842)^1*$I1842-'DCF Base Case'!$B$2*(1+B1842)^0*B1842*'DCF Base Case'!$B$4</f>
        <v>25.9820481829137</v>
      </c>
      <c r="K1842" s="24" t="n">
        <f aca="false">'DCF Base Case'!$B$2*(1+B1842)^2*$I1842-'DCF Base Case'!$B$2*(1+B1842)^1*B1842*'DCF Base Case'!$B$4</f>
        <v>27.7204956228395</v>
      </c>
      <c r="L1842" s="24" t="n">
        <f aca="false">'DCF Base Case'!$B$2*(1+B1842)^3*$I1842-'DCF Base Case'!$B$2*(1+B1842)^2*B1842*'DCF Base Case'!$B$4</f>
        <v>29.5752618179346</v>
      </c>
      <c r="M1842" s="24" t="n">
        <f aca="false">'DCF Base Case'!$B$2*(1+B1842)^4*$I1842-'DCF Base Case'!$B$2*(1+B1842)^3*B1842*'DCF Base Case'!$B$4</f>
        <v>31.554129605053</v>
      </c>
      <c r="N1842" s="24" t="n">
        <f aca="false">'DCF Base Case'!$B$2*(1+B1842)^5*$I1842-'DCF Base Case'!$B$2*(1+B1842)^4*B1842*'DCF Base Case'!$B$4</f>
        <v>33.6654025672464</v>
      </c>
      <c r="O1842" s="24" t="n">
        <f aca="false">J1842/(1+H1842)^1+K1842/(1+H1842)^2+L1842/(1+H1842)^3+M1842/(1+H1842)^4+N1842/(1+H1842)^5</f>
        <v>112.544215228008</v>
      </c>
      <c r="P1842" s="24" t="n">
        <f aca="false">N1842*(1+F1842)/(H1842-F1842)</f>
        <v>436.98308474518</v>
      </c>
      <c r="Q1842" s="24" t="n">
        <f aca="false">O1842+P1842/(1+H1842)^5</f>
        <v>389.449697493858</v>
      </c>
      <c r="R1842" s="24" t="n">
        <f aca="false">Q1842-'DCF Base Case'!$B$5</f>
        <v>204.449697493858</v>
      </c>
      <c r="S1842" s="32" t="n">
        <f aca="false">R1842/'DCF Base Case'!$B$6</f>
        <v>8.17798789975431</v>
      </c>
    </row>
    <row r="1843" customFormat="false" ht="15" hidden="false" customHeight="true" outlineLevel="0" collapsed="false">
      <c r="A1843" s="6" t="n">
        <v>1842</v>
      </c>
      <c r="B1843" s="30" t="n">
        <v>0.0899092911748846</v>
      </c>
      <c r="C1843" s="30" t="n">
        <v>0.418993359887938</v>
      </c>
      <c r="D1843" s="30" t="n">
        <v>0.0972081383846404</v>
      </c>
      <c r="E1843" s="30" t="n">
        <v>0.287637685241119</v>
      </c>
      <c r="F1843" s="30" t="n">
        <v>0.0137499187685126</v>
      </c>
      <c r="G1843" s="30" t="n">
        <v>0.153879116987612</v>
      </c>
      <c r="H1843" s="31" t="n">
        <f aca="false">MAX(D1843,F1843+0.015)</f>
        <v>0.0972081383846404</v>
      </c>
      <c r="I1843" s="25" t="n">
        <f aca="false">(C1843-'DCF Base Case'!$B$3)*(1-E1843)+'DCF Base Case'!$B$3-G1843</f>
        <v>0.181988861812106</v>
      </c>
      <c r="J1843" s="24" t="n">
        <f aca="false">'DCF Base Case'!$B$2*(1+B1843)^1*$I1843-'DCF Base Case'!$B$2*(1+B1843)^0*B1843*'DCF Base Case'!$B$4</f>
        <v>28.3698405333959</v>
      </c>
      <c r="K1843" s="24" t="n">
        <f aca="false">'DCF Base Case'!$B$2*(1+B1843)^2*$I1843-'DCF Base Case'!$B$2*(1+B1843)^1*B1843*'DCF Base Case'!$B$4</f>
        <v>30.9205527864981</v>
      </c>
      <c r="L1843" s="24" t="n">
        <f aca="false">'DCF Base Case'!$B$2*(1+B1843)^3*$I1843-'DCF Base Case'!$B$2*(1+B1843)^2*B1843*'DCF Base Case'!$B$4</f>
        <v>33.7005977702677</v>
      </c>
      <c r="M1843" s="24" t="n">
        <f aca="false">'DCF Base Case'!$B$2*(1+B1843)^4*$I1843-'DCF Base Case'!$B$2*(1+B1843)^3*B1843*'DCF Base Case'!$B$4</f>
        <v>36.7305946279624</v>
      </c>
      <c r="N1843" s="24" t="n">
        <f aca="false">'DCF Base Case'!$B$2*(1+B1843)^5*$I1843-'DCF Base Case'!$B$2*(1+B1843)^4*B1843*'DCF Base Case'!$B$4</f>
        <v>40.0330163553945</v>
      </c>
      <c r="O1843" s="24" t="n">
        <f aca="false">J1843/(1+H1843)^1+K1843/(1+H1843)^2+L1843/(1+H1843)^3+M1843/(1+H1843)^4+N1843/(1+H1843)^5</f>
        <v>127.573330791588</v>
      </c>
      <c r="P1843" s="24" t="n">
        <f aca="false">N1843*(1+F1843)/(H1843-F1843)</f>
        <v>486.272859222331</v>
      </c>
      <c r="Q1843" s="24" t="n">
        <f aca="false">O1843+P1843/(1+H1843)^5</f>
        <v>433.371533994644</v>
      </c>
      <c r="R1843" s="24" t="n">
        <f aca="false">Q1843-'DCF Base Case'!$B$5</f>
        <v>248.371533994644</v>
      </c>
      <c r="S1843" s="32" t="n">
        <f aca="false">R1843/'DCF Base Case'!$B$6</f>
        <v>9.93486135978576</v>
      </c>
    </row>
    <row r="1844" customFormat="false" ht="15" hidden="false" customHeight="true" outlineLevel="0" collapsed="false">
      <c r="A1844" s="6" t="n">
        <v>1843</v>
      </c>
      <c r="B1844" s="30" t="n">
        <v>0.0934129743424562</v>
      </c>
      <c r="C1844" s="30" t="n">
        <v>0.436912682257404</v>
      </c>
      <c r="D1844" s="30" t="n">
        <v>0.0992763108569021</v>
      </c>
      <c r="E1844" s="30" t="n">
        <v>0.33061052367503</v>
      </c>
      <c r="F1844" s="30" t="n">
        <v>0.0198281722176705</v>
      </c>
      <c r="G1844" s="30" t="n">
        <v>0.18345089476049</v>
      </c>
      <c r="H1844" s="31" t="n">
        <f aca="false">MAX(D1844,F1844+0.015)</f>
        <v>0.0992763108569021</v>
      </c>
      <c r="I1844" s="25" t="n">
        <f aca="false">(C1844-'DCF Base Case'!$B$3)*(1-E1844)+'DCF Base Case'!$B$3-G1844</f>
        <v>0.151993224893286</v>
      </c>
      <c r="J1844" s="24" t="n">
        <f aca="false">'DCF Base Case'!$B$2*(1+B1844)^1*$I1844-'DCF Base Case'!$B$2*(1+B1844)^0*B1844*'DCF Base Case'!$B$4</f>
        <v>23.6914013576283</v>
      </c>
      <c r="K1844" s="24" t="n">
        <f aca="false">'DCF Base Case'!$B$2*(1+B1844)^2*$I1844-'DCF Base Case'!$B$2*(1+B1844)^1*B1844*'DCF Base Case'!$B$4</f>
        <v>25.9044856247853</v>
      </c>
      <c r="L1844" s="24" t="n">
        <f aca="false">'DCF Base Case'!$B$2*(1+B1844)^3*$I1844-'DCF Base Case'!$B$2*(1+B1844)^2*B1844*'DCF Base Case'!$B$4</f>
        <v>28.3243006758079</v>
      </c>
      <c r="M1844" s="24" t="n">
        <f aca="false">'DCF Base Case'!$B$2*(1+B1844)^4*$I1844-'DCF Base Case'!$B$2*(1+B1844)^3*B1844*'DCF Base Case'!$B$4</f>
        <v>30.9701578481052</v>
      </c>
      <c r="N1844" s="24" t="n">
        <f aca="false">'DCF Base Case'!$B$2*(1+B1844)^5*$I1844-'DCF Base Case'!$B$2*(1+B1844)^4*B1844*'DCF Base Case'!$B$4</f>
        <v>33.863172408552</v>
      </c>
      <c r="O1844" s="24" t="n">
        <f aca="false">J1844/(1+H1844)^1+K1844/(1+H1844)^2+L1844/(1+H1844)^3+M1844/(1+H1844)^4+N1844/(1+H1844)^5</f>
        <v>106.615663643259</v>
      </c>
      <c r="P1844" s="24" t="n">
        <f aca="false">N1844*(1+F1844)/(H1844-F1844)</f>
        <v>434.681262700498</v>
      </c>
      <c r="Q1844" s="24" t="n">
        <f aca="false">O1844+P1844/(1+H1844)^5</f>
        <v>377.408127840595</v>
      </c>
      <c r="R1844" s="24" t="n">
        <f aca="false">Q1844-'DCF Base Case'!$B$5</f>
        <v>192.408127840595</v>
      </c>
      <c r="S1844" s="32" t="n">
        <f aca="false">R1844/'DCF Base Case'!$B$6</f>
        <v>7.6963251136238</v>
      </c>
    </row>
    <row r="1845" customFormat="false" ht="15" hidden="false" customHeight="true" outlineLevel="0" collapsed="false">
      <c r="A1845" s="6" t="n">
        <v>1844</v>
      </c>
      <c r="B1845" s="30" t="n">
        <v>0.0590930871300997</v>
      </c>
      <c r="C1845" s="30" t="n">
        <v>0.412401012774424</v>
      </c>
      <c r="D1845" s="30" t="n">
        <v>0.0731720948839305</v>
      </c>
      <c r="E1845" s="30" t="n">
        <v>0.277910892460124</v>
      </c>
      <c r="F1845" s="30" t="n">
        <v>0.0270992827824954</v>
      </c>
      <c r="G1845" s="30" t="n">
        <v>0.172204575906223</v>
      </c>
      <c r="H1845" s="31" t="n">
        <f aca="false">MAX(D1845,F1845+0.015)</f>
        <v>0.0731720948839305</v>
      </c>
      <c r="I1845" s="25" t="n">
        <f aca="false">(C1845-'DCF Base Case'!$B$3)*(1-E1845)+'DCF Base Case'!$B$3-G1845</f>
        <v>0.161714119376418</v>
      </c>
      <c r="J1845" s="24" t="n">
        <f aca="false">'DCF Base Case'!$B$2*(1+B1845)^1*$I1845-'DCF Base Case'!$B$2*(1+B1845)^0*B1845*'DCF Base Case'!$B$4</f>
        <v>24.577139429804</v>
      </c>
      <c r="K1845" s="24" t="n">
        <f aca="false">'DCF Base Case'!$B$2*(1+B1845)^2*$I1845-'DCF Base Case'!$B$2*(1+B1845)^1*B1845*'DCF Base Case'!$B$4</f>
        <v>26.029478471538</v>
      </c>
      <c r="L1845" s="24" t="n">
        <f aca="false">'DCF Base Case'!$B$2*(1+B1845)^3*$I1845-'DCF Base Case'!$B$2*(1+B1845)^2*B1845*'DCF Base Case'!$B$4</f>
        <v>27.5676407108076</v>
      </c>
      <c r="M1845" s="24" t="n">
        <f aca="false">'DCF Base Case'!$B$2*(1+B1845)^4*$I1845-'DCF Base Case'!$B$2*(1+B1845)^3*B1845*'DCF Base Case'!$B$4</f>
        <v>29.1966977053027</v>
      </c>
      <c r="N1845" s="24" t="n">
        <f aca="false">'DCF Base Case'!$B$2*(1+B1845)^5*$I1845-'DCF Base Case'!$B$2*(1+B1845)^4*B1845*'DCF Base Case'!$B$4</f>
        <v>30.9220207067133</v>
      </c>
      <c r="O1845" s="24" t="n">
        <f aca="false">J1845/(1+H1845)^1+K1845/(1+H1845)^2+L1845/(1+H1845)^3+M1845/(1+H1845)^4+N1845/(1+H1845)^5</f>
        <v>111.541691462516</v>
      </c>
      <c r="P1845" s="24" t="n">
        <f aca="false">N1845*(1+F1845)/(H1845-F1845)</f>
        <v>689.343320744718</v>
      </c>
      <c r="Q1845" s="24" t="n">
        <f aca="false">O1845+P1845/(1+H1845)^5</f>
        <v>595.812972706272</v>
      </c>
      <c r="R1845" s="24" t="n">
        <f aca="false">Q1845-'DCF Base Case'!$B$5</f>
        <v>410.812972706272</v>
      </c>
      <c r="S1845" s="32" t="n">
        <f aca="false">R1845/'DCF Base Case'!$B$6</f>
        <v>16.4325189082509</v>
      </c>
    </row>
    <row r="1846" customFormat="false" ht="15" hidden="false" customHeight="true" outlineLevel="0" collapsed="false">
      <c r="A1846" s="6" t="n">
        <v>1845</v>
      </c>
      <c r="B1846" s="30" t="n">
        <v>0.0711323989133632</v>
      </c>
      <c r="C1846" s="30" t="n">
        <v>0.41648434120949</v>
      </c>
      <c r="D1846" s="30" t="n">
        <v>0.0793121729475171</v>
      </c>
      <c r="E1846" s="30" t="n">
        <v>0.259244451913887</v>
      </c>
      <c r="F1846" s="30" t="n">
        <v>0.0259746669879395</v>
      </c>
      <c r="G1846" s="30" t="n">
        <v>0.190705458179674</v>
      </c>
      <c r="H1846" s="31" t="n">
        <f aca="false">MAX(D1846,F1846+0.015)</f>
        <v>0.0793121729475171</v>
      </c>
      <c r="I1846" s="25" t="n">
        <f aca="false">(C1846-'DCF Base Case'!$B$3)*(1-E1846)+'DCF Base Case'!$B$3-G1846</f>
        <v>0.151509407011051</v>
      </c>
      <c r="J1846" s="24" t="n">
        <f aca="false">'DCF Base Case'!$B$2*(1+B1846)^1*$I1846-'DCF Base Case'!$B$2*(1+B1846)^0*B1846*'DCF Base Case'!$B$4</f>
        <v>23.2221360802316</v>
      </c>
      <c r="K1846" s="24" t="n">
        <f aca="false">'DCF Base Case'!$B$2*(1+B1846)^2*$I1846-'DCF Base Case'!$B$2*(1+B1846)^1*B1846*'DCF Base Case'!$B$4</f>
        <v>24.8739823275111</v>
      </c>
      <c r="L1846" s="24" t="n">
        <f aca="false">'DCF Base Case'!$B$2*(1+B1846)^3*$I1846-'DCF Base Case'!$B$2*(1+B1846)^2*B1846*'DCF Base Case'!$B$4</f>
        <v>26.6433283609955</v>
      </c>
      <c r="M1846" s="24" t="n">
        <f aca="false">'DCF Base Case'!$B$2*(1+B1846)^4*$I1846-'DCF Base Case'!$B$2*(1+B1846)^3*B1846*'DCF Base Case'!$B$4</f>
        <v>28.5385322223496</v>
      </c>
      <c r="N1846" s="24" t="n">
        <f aca="false">'DCF Base Case'!$B$2*(1+B1846)^5*$I1846-'DCF Base Case'!$B$2*(1+B1846)^4*B1846*'DCF Base Case'!$B$4</f>
        <v>30.5685464807916</v>
      </c>
      <c r="O1846" s="24" t="n">
        <f aca="false">J1846/(1+H1846)^1+K1846/(1+H1846)^2+L1846/(1+H1846)^3+M1846/(1+H1846)^4+N1846/(1+H1846)^5</f>
        <v>105.960107498863</v>
      </c>
      <c r="P1846" s="24" t="n">
        <f aca="false">N1846*(1+F1846)/(H1846-F1846)</f>
        <v>588.001889696604</v>
      </c>
      <c r="Q1846" s="24" t="n">
        <f aca="false">O1846+P1846/(1+H1846)^5</f>
        <v>507.421092250629</v>
      </c>
      <c r="R1846" s="24" t="n">
        <f aca="false">Q1846-'DCF Base Case'!$B$5</f>
        <v>322.421092250629</v>
      </c>
      <c r="S1846" s="32" t="n">
        <f aca="false">R1846/'DCF Base Case'!$B$6</f>
        <v>12.8968436900251</v>
      </c>
    </row>
    <row r="1847" customFormat="false" ht="15" hidden="false" customHeight="true" outlineLevel="0" collapsed="false">
      <c r="A1847" s="6" t="n">
        <v>1846</v>
      </c>
      <c r="B1847" s="30" t="n">
        <v>0.0972890242136757</v>
      </c>
      <c r="C1847" s="30" t="n">
        <v>0.409161047509083</v>
      </c>
      <c r="D1847" s="30" t="n">
        <v>0.0815813156873058</v>
      </c>
      <c r="E1847" s="30" t="n">
        <v>0.325329473491604</v>
      </c>
      <c r="F1847" s="30" t="n">
        <v>0.0204416574147321</v>
      </c>
      <c r="G1847" s="30" t="n">
        <v>0.122025138897608</v>
      </c>
      <c r="H1847" s="31" t="n">
        <f aca="false">MAX(D1847,F1847+0.015)</f>
        <v>0.0815813156873058</v>
      </c>
      <c r="I1847" s="25" t="n">
        <f aca="false">(C1847-'DCF Base Case'!$B$3)*(1-E1847)+'DCF Base Case'!$B$3-G1847</f>
        <v>0.19631659200598</v>
      </c>
      <c r="J1847" s="24" t="n">
        <f aca="false">'DCF Base Case'!$B$2*(1+B1847)^1*$I1847-'DCF Base Case'!$B$2*(1+B1847)^0*B1847*'DCF Base Case'!$B$4</f>
        <v>30.812118788154</v>
      </c>
      <c r="K1847" s="24" t="n">
        <f aca="false">'DCF Base Case'!$B$2*(1+B1847)^2*$I1847-'DCF Base Case'!$B$2*(1+B1847)^1*B1847*'DCF Base Case'!$B$4</f>
        <v>33.8097997590094</v>
      </c>
      <c r="L1847" s="24" t="n">
        <f aca="false">'DCF Base Case'!$B$2*(1+B1847)^3*$I1847-'DCF Base Case'!$B$2*(1+B1847)^2*B1847*'DCF Base Case'!$B$4</f>
        <v>37.0991221864232</v>
      </c>
      <c r="M1847" s="24" t="n">
        <f aca="false">'DCF Base Case'!$B$2*(1+B1847)^4*$I1847-'DCF Base Case'!$B$2*(1+B1847)^3*B1847*'DCF Base Case'!$B$4</f>
        <v>40.7084595831242</v>
      </c>
      <c r="N1847" s="24" t="n">
        <f aca="false">'DCF Base Case'!$B$2*(1+B1847)^5*$I1847-'DCF Base Case'!$B$2*(1+B1847)^4*B1847*'DCF Base Case'!$B$4</f>
        <v>44.6689458932082</v>
      </c>
      <c r="O1847" s="24" t="n">
        <f aca="false">J1847/(1+H1847)^1+K1847/(1+H1847)^2+L1847/(1+H1847)^3+M1847/(1+H1847)^4+N1847/(1+H1847)^5</f>
        <v>146.637953773883</v>
      </c>
      <c r="P1847" s="24" t="n">
        <f aca="false">N1847*(1+F1847)/(H1847-F1847)</f>
        <v>745.539874937145</v>
      </c>
      <c r="Q1847" s="24" t="n">
        <f aca="false">O1847+P1847/(1+H1847)^5</f>
        <v>650.341484839544</v>
      </c>
      <c r="R1847" s="24" t="n">
        <f aca="false">Q1847-'DCF Base Case'!$B$5</f>
        <v>465.341484839544</v>
      </c>
      <c r="S1847" s="32" t="n">
        <f aca="false">R1847/'DCF Base Case'!$B$6</f>
        <v>18.6136593935818</v>
      </c>
    </row>
    <row r="1848" customFormat="false" ht="15" hidden="false" customHeight="true" outlineLevel="0" collapsed="false">
      <c r="A1848" s="6" t="n">
        <v>1847</v>
      </c>
      <c r="B1848" s="30" t="n">
        <v>0.133778968057578</v>
      </c>
      <c r="C1848" s="30" t="n">
        <v>0.435168883003147</v>
      </c>
      <c r="D1848" s="30" t="n">
        <v>0.088777059063083</v>
      </c>
      <c r="E1848" s="30" t="n">
        <v>0.312959482329333</v>
      </c>
      <c r="F1848" s="30" t="n">
        <v>0.0210109459454955</v>
      </c>
      <c r="G1848" s="30" t="n">
        <v>0.183049273740773</v>
      </c>
      <c r="H1848" s="31" t="n">
        <f aca="false">MAX(D1848,F1848+0.015)</f>
        <v>0.088777059063083</v>
      </c>
      <c r="I1848" s="25" t="n">
        <f aca="false">(C1848-'DCF Base Case'!$B$3)*(1-E1848)+'DCF Base Case'!$B$3-G1848</f>
        <v>0.156614113614688</v>
      </c>
      <c r="J1848" s="24" t="n">
        <f aca="false">'DCF Base Case'!$B$2*(1+B1848)^1*$I1848-'DCF Base Case'!$B$2*(1+B1848)^0*B1848*'DCF Base Case'!$B$4</f>
        <v>25.16510076596</v>
      </c>
      <c r="K1848" s="24" t="n">
        <f aca="false">'DCF Base Case'!$B$2*(1+B1848)^2*$I1848-'DCF Base Case'!$B$2*(1+B1848)^1*B1848*'DCF Base Case'!$B$4</f>
        <v>28.5316619774951</v>
      </c>
      <c r="L1848" s="24" t="n">
        <f aca="false">'DCF Base Case'!$B$2*(1+B1848)^3*$I1848-'DCF Base Case'!$B$2*(1+B1848)^2*B1848*'DCF Base Case'!$B$4</f>
        <v>32.348598273812</v>
      </c>
      <c r="M1848" s="24" t="n">
        <f aca="false">'DCF Base Case'!$B$2*(1+B1848)^4*$I1848-'DCF Base Case'!$B$2*(1+B1848)^3*B1848*'DCF Base Case'!$B$4</f>
        <v>36.6761603689918</v>
      </c>
      <c r="N1848" s="24" t="n">
        <f aca="false">'DCF Base Case'!$B$2*(1+B1848)^5*$I1848-'DCF Base Case'!$B$2*(1+B1848)^4*B1848*'DCF Base Case'!$B$4</f>
        <v>41.5826592554697</v>
      </c>
      <c r="O1848" s="24" t="n">
        <f aca="false">J1848/(1+H1848)^1+K1848/(1+H1848)^2+L1848/(1+H1848)^3+M1848/(1+H1848)^4+N1848/(1+H1848)^5</f>
        <v>125.522253052081</v>
      </c>
      <c r="P1848" s="24" t="n">
        <f aca="false">N1848*(1+F1848)/(H1848-F1848)</f>
        <v>626.51299164357</v>
      </c>
      <c r="Q1848" s="24" t="n">
        <f aca="false">O1848+P1848/(1+H1848)^5</f>
        <v>535.004684511371</v>
      </c>
      <c r="R1848" s="24" t="n">
        <f aca="false">Q1848-'DCF Base Case'!$B$5</f>
        <v>350.004684511371</v>
      </c>
      <c r="S1848" s="32" t="n">
        <f aca="false">R1848/'DCF Base Case'!$B$6</f>
        <v>14.0001873804548</v>
      </c>
    </row>
    <row r="1849" customFormat="false" ht="15" hidden="false" customHeight="true" outlineLevel="0" collapsed="false">
      <c r="A1849" s="6" t="n">
        <v>1848</v>
      </c>
      <c r="B1849" s="30" t="n">
        <v>0.0809807118806114</v>
      </c>
      <c r="C1849" s="30" t="n">
        <v>0.384093163172042</v>
      </c>
      <c r="D1849" s="30" t="n">
        <v>0.0880825605962052</v>
      </c>
      <c r="E1849" s="30" t="n">
        <v>0.322547168394437</v>
      </c>
      <c r="F1849" s="30" t="n">
        <v>0.0167266156268223</v>
      </c>
      <c r="G1849" s="30" t="n">
        <v>0.150548286304523</v>
      </c>
      <c r="H1849" s="31" t="n">
        <f aca="false">MAX(D1849,F1849+0.015)</f>
        <v>0.0880825605962052</v>
      </c>
      <c r="I1849" s="25" t="n">
        <f aca="false">(C1849-'DCF Base Case'!$B$3)*(1-E1849)+'DCF Base Case'!$B$3-G1849</f>
        <v>0.151587846577991</v>
      </c>
      <c r="J1849" s="24" t="n">
        <f aca="false">'DCF Base Case'!$B$2*(1+B1849)^1*$I1849-'DCF Base Case'!$B$2*(1+B1849)^0*B1849*'DCF Base Case'!$B$4</f>
        <v>23.4079469577366</v>
      </c>
      <c r="K1849" s="24" t="n">
        <f aca="false">'DCF Base Case'!$B$2*(1+B1849)^2*$I1849-'DCF Base Case'!$B$2*(1+B1849)^1*B1849*'DCF Base Case'!$B$4</f>
        <v>25.3035391660377</v>
      </c>
      <c r="L1849" s="24" t="n">
        <f aca="false">'DCF Base Case'!$B$2*(1+B1849)^3*$I1849-'DCF Base Case'!$B$2*(1+B1849)^2*B1849*'DCF Base Case'!$B$4</f>
        <v>27.3526377808024</v>
      </c>
      <c r="M1849" s="24" t="n">
        <f aca="false">'DCF Base Case'!$B$2*(1+B1849)^4*$I1849-'DCF Base Case'!$B$2*(1+B1849)^3*B1849*'DCF Base Case'!$B$4</f>
        <v>29.5676738601042</v>
      </c>
      <c r="N1849" s="24" t="n">
        <f aca="false">'DCF Base Case'!$B$2*(1+B1849)^5*$I1849-'DCF Base Case'!$B$2*(1+B1849)^4*B1849*'DCF Base Case'!$B$4</f>
        <v>31.9620851379492</v>
      </c>
      <c r="O1849" s="24" t="n">
        <f aca="false">J1849/(1+H1849)^1+K1849/(1+H1849)^2+L1849/(1+H1849)^3+M1849/(1+H1849)^4+N1849/(1+H1849)^5</f>
        <v>106.17011613843</v>
      </c>
      <c r="P1849" s="24" t="n">
        <f aca="false">N1849*(1+F1849)/(H1849-F1849)</f>
        <v>455.416891537587</v>
      </c>
      <c r="Q1849" s="24" t="n">
        <f aca="false">O1849+P1849/(1+H1849)^5</f>
        <v>404.777048877365</v>
      </c>
      <c r="R1849" s="24" t="n">
        <f aca="false">Q1849-'DCF Base Case'!$B$5</f>
        <v>219.777048877365</v>
      </c>
      <c r="S1849" s="32" t="n">
        <f aca="false">R1849/'DCF Base Case'!$B$6</f>
        <v>8.79108195509462</v>
      </c>
    </row>
    <row r="1850" customFormat="false" ht="15" hidden="false" customHeight="true" outlineLevel="0" collapsed="false">
      <c r="A1850" s="6" t="n">
        <v>1849</v>
      </c>
      <c r="B1850" s="30" t="n">
        <v>0.116437385149544</v>
      </c>
      <c r="C1850" s="30" t="n">
        <v>0.41475110938468</v>
      </c>
      <c r="D1850" s="30" t="n">
        <v>0.0804838409478216</v>
      </c>
      <c r="E1850" s="30" t="n">
        <v>0.270060981323517</v>
      </c>
      <c r="F1850" s="30" t="n">
        <v>0.019108597588621</v>
      </c>
      <c r="G1850" s="30" t="n">
        <v>0.135203364148238</v>
      </c>
      <c r="H1850" s="31" t="n">
        <f aca="false">MAX(D1850,F1850+0.015)</f>
        <v>0.0804838409478216</v>
      </c>
      <c r="I1850" s="25" t="n">
        <f aca="false">(C1850-'DCF Base Case'!$B$3)*(1-E1850)+'DCF Base Case'!$B$3-G1850</f>
        <v>0.202647581203055</v>
      </c>
      <c r="J1850" s="24" t="n">
        <f aca="false">'DCF Base Case'!$B$2*(1+B1850)^1*$I1850-'DCF Base Case'!$B$2*(1+B1850)^0*B1850*'DCF Base Case'!$B$4</f>
        <v>32.2987810460562</v>
      </c>
      <c r="K1850" s="24" t="n">
        <f aca="false">'DCF Base Case'!$B$2*(1+B1850)^2*$I1850-'DCF Base Case'!$B$2*(1+B1850)^1*B1850*'DCF Base Case'!$B$4</f>
        <v>36.0595666545766</v>
      </c>
      <c r="L1850" s="24" t="n">
        <f aca="false">'DCF Base Case'!$B$2*(1+B1850)^3*$I1850-'DCF Base Case'!$B$2*(1+B1850)^2*B1850*'DCF Base Case'!$B$4</f>
        <v>40.2582483054612</v>
      </c>
      <c r="M1850" s="24" t="n">
        <f aca="false">'DCF Base Case'!$B$2*(1+B1850)^4*$I1850-'DCF Base Case'!$B$2*(1+B1850)^3*B1850*'DCF Base Case'!$B$4</f>
        <v>44.9458134688502</v>
      </c>
      <c r="N1850" s="24" t="n">
        <f aca="false">'DCF Base Case'!$B$2*(1+B1850)^5*$I1850-'DCF Base Case'!$B$2*(1+B1850)^4*B1850*'DCF Base Case'!$B$4</f>
        <v>50.1791864625823</v>
      </c>
      <c r="O1850" s="24" t="n">
        <f aca="false">J1850/(1+H1850)^1+K1850/(1+H1850)^2+L1850/(1+H1850)^3+M1850/(1+H1850)^4+N1850/(1+H1850)^5</f>
        <v>159.747947978118</v>
      </c>
      <c r="P1850" s="24" t="n">
        <f aca="false">N1850*(1+F1850)/(H1850-F1850)</f>
        <v>833.203056234467</v>
      </c>
      <c r="Q1850" s="24" t="n">
        <f aca="false">O1850+P1850/(1+H1850)^5</f>
        <v>725.543427324521</v>
      </c>
      <c r="R1850" s="24" t="n">
        <f aca="false">Q1850-'DCF Base Case'!$B$5</f>
        <v>540.543427324521</v>
      </c>
      <c r="S1850" s="32" t="n">
        <f aca="false">R1850/'DCF Base Case'!$B$6</f>
        <v>21.6217370929808</v>
      </c>
    </row>
    <row r="1851" customFormat="false" ht="15" hidden="false" customHeight="true" outlineLevel="0" collapsed="false">
      <c r="A1851" s="6" t="n">
        <v>1850</v>
      </c>
      <c r="B1851" s="30" t="n">
        <v>0.0783944070028092</v>
      </c>
      <c r="C1851" s="30" t="n">
        <v>0.415359625313846</v>
      </c>
      <c r="D1851" s="30" t="n">
        <v>0.0874556172979231</v>
      </c>
      <c r="E1851" s="30" t="n">
        <v>0.31504301193852</v>
      </c>
      <c r="F1851" s="30" t="n">
        <v>0.025421082115135</v>
      </c>
      <c r="G1851" s="30" t="n">
        <v>0.200220395306577</v>
      </c>
      <c r="H1851" s="31" t="n">
        <f aca="false">MAX(D1851,F1851+0.015)</f>
        <v>0.0874556172979231</v>
      </c>
      <c r="I1851" s="25" t="n">
        <f aca="false">(C1851-'DCF Base Case'!$B$3)*(1-E1851)+'DCF Base Case'!$B$3-G1851</f>
        <v>0.125238674162747</v>
      </c>
      <c r="J1851" s="24" t="n">
        <f aca="false">'DCF Base Case'!$B$2*(1+B1851)^1*$I1851-'DCF Base Case'!$B$2*(1+B1851)^0*B1851*'DCF Base Case'!$B$4</f>
        <v>19.2422037643831</v>
      </c>
      <c r="K1851" s="24" t="n">
        <f aca="false">'DCF Base Case'!$B$2*(1+B1851)^2*$I1851-'DCF Base Case'!$B$2*(1+B1851)^1*B1851*'DCF Base Case'!$B$4</f>
        <v>20.7506849179192</v>
      </c>
      <c r="L1851" s="24" t="n">
        <f aca="false">'DCF Base Case'!$B$2*(1+B1851)^3*$I1851-'DCF Base Case'!$B$2*(1+B1851)^2*B1851*'DCF Base Case'!$B$4</f>
        <v>22.3774225569616</v>
      </c>
      <c r="M1851" s="24" t="n">
        <f aca="false">'DCF Base Case'!$B$2*(1+B1851)^4*$I1851-'DCF Base Case'!$B$2*(1+B1851)^3*B1851*'DCF Base Case'!$B$4</f>
        <v>24.1316873285658</v>
      </c>
      <c r="N1851" s="24" t="n">
        <f aca="false">'DCF Base Case'!$B$2*(1+B1851)^5*$I1851-'DCF Base Case'!$B$2*(1+B1851)^4*B1851*'DCF Base Case'!$B$4</f>
        <v>26.023476646666</v>
      </c>
      <c r="O1851" s="24" t="n">
        <f aca="false">J1851/(1+H1851)^1+K1851/(1+H1851)^2+L1851/(1+H1851)^3+M1851/(1+H1851)^4+N1851/(1+H1851)^5</f>
        <v>87.0113386348122</v>
      </c>
      <c r="P1851" s="24" t="n">
        <f aca="false">N1851*(1+F1851)/(H1851-F1851)</f>
        <v>430.163964391662</v>
      </c>
      <c r="Q1851" s="24" t="n">
        <f aca="false">O1851+P1851/(1+H1851)^5</f>
        <v>369.874454528491</v>
      </c>
      <c r="R1851" s="24" t="n">
        <f aca="false">Q1851-'DCF Base Case'!$B$5</f>
        <v>184.874454528491</v>
      </c>
      <c r="S1851" s="32" t="n">
        <f aca="false">R1851/'DCF Base Case'!$B$6</f>
        <v>7.39497818113965</v>
      </c>
    </row>
    <row r="1852" customFormat="false" ht="15" hidden="false" customHeight="true" outlineLevel="0" collapsed="false">
      <c r="A1852" s="6" t="n">
        <v>1851</v>
      </c>
      <c r="B1852" s="30" t="n">
        <v>0.109984414508362</v>
      </c>
      <c r="C1852" s="30" t="n">
        <v>0.418569866458894</v>
      </c>
      <c r="D1852" s="30" t="n">
        <v>0.0781462402304743</v>
      </c>
      <c r="E1852" s="30" t="n">
        <v>0.28014735236644</v>
      </c>
      <c r="F1852" s="30" t="n">
        <v>0.0214477971491524</v>
      </c>
      <c r="G1852" s="30" t="n">
        <v>0.184881103413266</v>
      </c>
      <c r="H1852" s="31" t="n">
        <f aca="false">MAX(D1852,F1852+0.015)</f>
        <v>0.0781462402304743</v>
      </c>
      <c r="I1852" s="25" t="n">
        <f aca="false">(C1852-'DCF Base Case'!$B$3)*(1-E1852)+'DCF Base Case'!$B$3-G1852</f>
        <v>0.152846678984432</v>
      </c>
      <c r="J1852" s="24" t="n">
        <f aca="false">'DCF Base Case'!$B$2*(1+B1852)^1*$I1852-'DCF Base Case'!$B$2*(1+B1852)^0*B1852*'DCF Base Case'!$B$4</f>
        <v>24.1218953617905</v>
      </c>
      <c r="K1852" s="24" t="n">
        <f aca="false">'DCF Base Case'!$B$2*(1+B1852)^2*$I1852-'DCF Base Case'!$B$2*(1+B1852)^1*B1852*'DCF Base Case'!$B$4</f>
        <v>26.774927899989</v>
      </c>
      <c r="L1852" s="24" t="n">
        <f aca="false">'DCF Base Case'!$B$2*(1+B1852)^3*$I1852-'DCF Base Case'!$B$2*(1+B1852)^2*B1852*'DCF Base Case'!$B$4</f>
        <v>29.7197526685729</v>
      </c>
      <c r="M1852" s="24" t="n">
        <f aca="false">'DCF Base Case'!$B$2*(1+B1852)^4*$I1852-'DCF Base Case'!$B$2*(1+B1852)^3*B1852*'DCF Base Case'!$B$4</f>
        <v>32.9884622651592</v>
      </c>
      <c r="N1852" s="24" t="n">
        <f aca="false">'DCF Base Case'!$B$2*(1+B1852)^5*$I1852-'DCF Base Case'!$B$2*(1+B1852)^4*B1852*'DCF Base Case'!$B$4</f>
        <v>36.616678972924</v>
      </c>
      <c r="O1852" s="24" t="n">
        <f aca="false">J1852/(1+H1852)^1+K1852/(1+H1852)^2+L1852/(1+H1852)^3+M1852/(1+H1852)^4+N1852/(1+H1852)^5</f>
        <v>118.67246038234</v>
      </c>
      <c r="P1852" s="24" t="n">
        <f aca="false">N1852*(1+F1852)/(H1852-F1852)</f>
        <v>659.665839892033</v>
      </c>
      <c r="Q1852" s="24" t="n">
        <f aca="false">O1852+P1852/(1+H1852)^5</f>
        <v>571.50291949166</v>
      </c>
      <c r="R1852" s="24" t="n">
        <f aca="false">Q1852-'DCF Base Case'!$B$5</f>
        <v>386.50291949166</v>
      </c>
      <c r="S1852" s="32" t="n">
        <f aca="false">R1852/'DCF Base Case'!$B$6</f>
        <v>15.4601167796664</v>
      </c>
    </row>
    <row r="1853" customFormat="false" ht="15" hidden="false" customHeight="true" outlineLevel="0" collapsed="false">
      <c r="A1853" s="6" t="n">
        <v>1852</v>
      </c>
      <c r="B1853" s="30" t="n">
        <v>0.103488762541849</v>
      </c>
      <c r="C1853" s="30" t="n">
        <v>0.417007423793664</v>
      </c>
      <c r="D1853" s="30" t="n">
        <v>0.0936554846382649</v>
      </c>
      <c r="E1853" s="30" t="n">
        <v>0.317962425352468</v>
      </c>
      <c r="F1853" s="30" t="n">
        <v>0.0225143264452568</v>
      </c>
      <c r="G1853" s="30" t="n">
        <v>0.164532756686114</v>
      </c>
      <c r="H1853" s="31" t="n">
        <f aca="false">MAX(D1853,F1853+0.015)</f>
        <v>0.0936554846382649</v>
      </c>
      <c r="I1853" s="25" t="n">
        <f aca="false">(C1853-'DCF Base Case'!$B$3)*(1-E1853)+'DCF Base Case'!$B$3-G1853</f>
        <v>0.161217090543953</v>
      </c>
      <c r="J1853" s="24" t="n">
        <f aca="false">'DCF Base Case'!$B$2*(1+B1853)^1*$I1853-'DCF Base Case'!$B$2*(1+B1853)^0*B1853*'DCF Base Case'!$B$4</f>
        <v>25.3455048059598</v>
      </c>
      <c r="K1853" s="24" t="n">
        <f aca="false">'DCF Base Case'!$B$2*(1+B1853)^2*$I1853-'DCF Base Case'!$B$2*(1+B1853)^1*B1853*'DCF Base Case'!$B$4</f>
        <v>27.9684797343271</v>
      </c>
      <c r="L1853" s="24" t="n">
        <f aca="false">'DCF Base Case'!$B$2*(1+B1853)^3*$I1853-'DCF Base Case'!$B$2*(1+B1853)^2*B1853*'DCF Base Case'!$B$4</f>
        <v>30.8629030922094</v>
      </c>
      <c r="M1853" s="24" t="n">
        <f aca="false">'DCF Base Case'!$B$2*(1+B1853)^4*$I1853-'DCF Base Case'!$B$2*(1+B1853)^3*B1853*'DCF Base Case'!$B$4</f>
        <v>34.0568667416711</v>
      </c>
      <c r="N1853" s="24" t="n">
        <f aca="false">'DCF Base Case'!$B$2*(1+B1853)^5*$I1853-'DCF Base Case'!$B$2*(1+B1853)^4*B1853*'DCF Base Case'!$B$4</f>
        <v>37.5813697368193</v>
      </c>
      <c r="O1853" s="24" t="n">
        <f aca="false">J1853/(1+H1853)^1+K1853/(1+H1853)^2+L1853/(1+H1853)^3+M1853/(1+H1853)^4+N1853/(1+H1853)^5</f>
        <v>117.977711921361</v>
      </c>
      <c r="P1853" s="24" t="n">
        <f aca="false">N1853*(1+F1853)/(H1853-F1853)</f>
        <v>540.15832661986</v>
      </c>
      <c r="Q1853" s="24" t="n">
        <f aca="false">O1853+P1853/(1+H1853)^5</f>
        <v>463.215558363512</v>
      </c>
      <c r="R1853" s="24" t="n">
        <f aca="false">Q1853-'DCF Base Case'!$B$5</f>
        <v>278.215558363512</v>
      </c>
      <c r="S1853" s="32" t="n">
        <f aca="false">R1853/'DCF Base Case'!$B$6</f>
        <v>11.1286223345405</v>
      </c>
    </row>
    <row r="1854" customFormat="false" ht="15" hidden="false" customHeight="true" outlineLevel="0" collapsed="false">
      <c r="A1854" s="6" t="n">
        <v>1853</v>
      </c>
      <c r="B1854" s="30" t="n">
        <v>0.0717948994567051</v>
      </c>
      <c r="C1854" s="30" t="n">
        <v>0.388641271940674</v>
      </c>
      <c r="D1854" s="30" t="n">
        <v>0.077506606140486</v>
      </c>
      <c r="E1854" s="30" t="n">
        <v>0.287184814111278</v>
      </c>
      <c r="F1854" s="30" t="n">
        <v>0.0212083369594622</v>
      </c>
      <c r="G1854" s="30" t="n">
        <v>0.137731647712733</v>
      </c>
      <c r="H1854" s="31" t="n">
        <f aca="false">MAX(D1854,F1854+0.015)</f>
        <v>0.077506606140486</v>
      </c>
      <c r="I1854" s="25" t="n">
        <f aca="false">(C1854-'DCF Base Case'!$B$3)*(1-E1854)+'DCF Base Case'!$B$3-G1854</f>
        <v>0.176631778624154</v>
      </c>
      <c r="J1854" s="24" t="n">
        <f aca="false">'DCF Base Case'!$B$2*(1+B1854)^1*$I1854-'DCF Base Case'!$B$2*(1+B1854)^0*B1854*'DCF Base Case'!$B$4</f>
        <v>27.1380829020068</v>
      </c>
      <c r="K1854" s="24" t="n">
        <f aca="false">'DCF Base Case'!$B$2*(1+B1854)^2*$I1854-'DCF Base Case'!$B$2*(1+B1854)^1*B1854*'DCF Base Case'!$B$4</f>
        <v>29.0864588354041</v>
      </c>
      <c r="L1854" s="24" t="n">
        <f aca="false">'DCF Base Case'!$B$2*(1+B1854)^3*$I1854-'DCF Base Case'!$B$2*(1+B1854)^2*B1854*'DCF Base Case'!$B$4</f>
        <v>31.1747182230435</v>
      </c>
      <c r="M1854" s="24" t="n">
        <f aca="false">'DCF Base Case'!$B$2*(1+B1854)^4*$I1854-'DCF Base Case'!$B$2*(1+B1854)^3*B1854*'DCF Base Case'!$B$4</f>
        <v>33.412903983458</v>
      </c>
      <c r="N1854" s="24" t="n">
        <f aca="false">'DCF Base Case'!$B$2*(1+B1854)^5*$I1854-'DCF Base Case'!$B$2*(1+B1854)^4*B1854*'DCF Base Case'!$B$4</f>
        <v>35.8117800655069</v>
      </c>
      <c r="O1854" s="24" t="n">
        <f aca="false">J1854/(1+H1854)^1+K1854/(1+H1854)^2+L1854/(1+H1854)^3+M1854/(1+H1854)^4+N1854/(1+H1854)^5</f>
        <v>124.6019918372</v>
      </c>
      <c r="P1854" s="24" t="n">
        <f aca="false">N1854*(1+F1854)/(H1854-F1854)</f>
        <v>649.598804657058</v>
      </c>
      <c r="Q1854" s="24" t="n">
        <f aca="false">O1854+P1854/(1+H1854)^5</f>
        <v>571.847007937418</v>
      </c>
      <c r="R1854" s="24" t="n">
        <f aca="false">Q1854-'DCF Base Case'!$B$5</f>
        <v>386.847007937418</v>
      </c>
      <c r="S1854" s="32" t="n">
        <f aca="false">R1854/'DCF Base Case'!$B$6</f>
        <v>15.4738803174967</v>
      </c>
    </row>
    <row r="1855" customFormat="false" ht="15" hidden="false" customHeight="true" outlineLevel="0" collapsed="false">
      <c r="A1855" s="6" t="n">
        <v>1854</v>
      </c>
      <c r="B1855" s="30" t="n">
        <v>0.0791875239849774</v>
      </c>
      <c r="C1855" s="30" t="n">
        <v>0.415885749685274</v>
      </c>
      <c r="D1855" s="30" t="n">
        <v>0.0751035209889264</v>
      </c>
      <c r="E1855" s="30" t="n">
        <v>0.292653925009695</v>
      </c>
      <c r="F1855" s="30" t="n">
        <v>0.0181467952132438</v>
      </c>
      <c r="G1855" s="30" t="n">
        <v>0.150640552233715</v>
      </c>
      <c r="H1855" s="31" t="n">
        <f aca="false">MAX(D1855,F1855+0.015)</f>
        <v>0.0751035209889264</v>
      </c>
      <c r="I1855" s="25" t="n">
        <f aca="false">(C1855-'DCF Base Case'!$B$3)*(1-E1855)+'DCF Base Case'!$B$3-G1855</f>
        <v>0.181579610701824</v>
      </c>
      <c r="J1855" s="24" t="n">
        <f aca="false">'DCF Base Case'!$B$2*(1+B1855)^1*$I1855-'DCF Base Case'!$B$2*(1+B1855)^0*B1855*'DCF Base Case'!$B$4</f>
        <v>28.0695095901867</v>
      </c>
      <c r="K1855" s="24" t="n">
        <f aca="false">'DCF Base Case'!$B$2*(1+B1855)^2*$I1855-'DCF Base Case'!$B$2*(1+B1855)^1*B1855*'DCF Base Case'!$B$4</f>
        <v>30.2922645541062</v>
      </c>
      <c r="L1855" s="24" t="n">
        <f aca="false">'DCF Base Case'!$B$2*(1+B1855)^3*$I1855-'DCF Base Case'!$B$2*(1+B1855)^2*B1855*'DCF Base Case'!$B$4</f>
        <v>32.6910339800438</v>
      </c>
      <c r="M1855" s="24" t="n">
        <f aca="false">'DCF Base Case'!$B$2*(1+B1855)^4*$I1855-'DCF Base Case'!$B$2*(1+B1855)^3*B1855*'DCF Base Case'!$B$4</f>
        <v>35.2797560174322</v>
      </c>
      <c r="N1855" s="24" t="n">
        <f aca="false">'DCF Base Case'!$B$2*(1+B1855)^5*$I1855-'DCF Base Case'!$B$2*(1+B1855)^4*B1855*'DCF Base Case'!$B$4</f>
        <v>38.0734725432468</v>
      </c>
      <c r="O1855" s="24" t="n">
        <f aca="false">J1855/(1+H1855)^1+K1855/(1+H1855)^2+L1855/(1+H1855)^3+M1855/(1+H1855)^4+N1855/(1+H1855)^5</f>
        <v>131.538853442382</v>
      </c>
      <c r="P1855" s="24" t="n">
        <f aca="false">N1855*(1+F1855)/(H1855-F1855)</f>
        <v>680.593617779489</v>
      </c>
      <c r="Q1855" s="24" t="n">
        <f aca="false">O1855+P1855/(1+H1855)^5</f>
        <v>605.384015967746</v>
      </c>
      <c r="R1855" s="24" t="n">
        <f aca="false">Q1855-'DCF Base Case'!$B$5</f>
        <v>420.384015967746</v>
      </c>
      <c r="S1855" s="32" t="n">
        <f aca="false">R1855/'DCF Base Case'!$B$6</f>
        <v>16.8153606387098</v>
      </c>
    </row>
    <row r="1856" customFormat="false" ht="15" hidden="false" customHeight="true" outlineLevel="0" collapsed="false">
      <c r="A1856" s="6" t="n">
        <v>1855</v>
      </c>
      <c r="B1856" s="30" t="n">
        <v>0.0910722924285235</v>
      </c>
      <c r="C1856" s="30" t="n">
        <v>0.422598670278168</v>
      </c>
      <c r="D1856" s="30" t="n">
        <v>0.0756661819430308</v>
      </c>
      <c r="E1856" s="30" t="n">
        <v>0.273195788953482</v>
      </c>
      <c r="F1856" s="30" t="n">
        <v>0.0210191853497067</v>
      </c>
      <c r="G1856" s="30" t="n">
        <v>0.149866576013441</v>
      </c>
      <c r="H1856" s="31" t="n">
        <f aca="false">MAX(D1856,F1856+0.015)</f>
        <v>0.0756661819430308</v>
      </c>
      <c r="I1856" s="25" t="n">
        <f aca="false">(C1856-'DCF Base Case'!$B$3)*(1-E1856)+'DCF Base Case'!$B$3-G1856</f>
        <v>0.192795369691343</v>
      </c>
      <c r="J1856" s="24" t="n">
        <f aca="false">'DCF Base Case'!$B$2*(1+B1856)^1*$I1856-'DCF Base Case'!$B$2*(1+B1856)^0*B1856*'DCF Base Case'!$B$4</f>
        <v>30.105119994853</v>
      </c>
      <c r="K1856" s="24" t="n">
        <f aca="false">'DCF Base Case'!$B$2*(1+B1856)^2*$I1856-'DCF Base Case'!$B$2*(1+B1856)^1*B1856*'DCF Base Case'!$B$4</f>
        <v>32.84686228662</v>
      </c>
      <c r="L1856" s="24" t="n">
        <f aca="false">'DCF Base Case'!$B$2*(1+B1856)^3*$I1856-'DCF Base Case'!$B$2*(1+B1856)^2*B1856*'DCF Base Case'!$B$4</f>
        <v>35.8383013341465</v>
      </c>
      <c r="M1856" s="24" t="n">
        <f aca="false">'DCF Base Case'!$B$2*(1+B1856)^4*$I1856-'DCF Base Case'!$B$2*(1+B1856)^3*B1856*'DCF Base Case'!$B$4</f>
        <v>39.1021775933915</v>
      </c>
      <c r="N1856" s="24" t="n">
        <f aca="false">'DCF Base Case'!$B$2*(1+B1856)^5*$I1856-'DCF Base Case'!$B$2*(1+B1856)^4*B1856*'DCF Base Case'!$B$4</f>
        <v>42.6633025457689</v>
      </c>
      <c r="O1856" s="24" t="n">
        <f aca="false">J1856/(1+H1856)^1+K1856/(1+H1856)^2+L1856/(1+H1856)^3+M1856/(1+H1856)^4+N1856/(1+H1856)^5</f>
        <v>144.003384732408</v>
      </c>
      <c r="P1856" s="24" t="n">
        <f aca="false">N1856*(1+F1856)/(H1856-F1856)</f>
        <v>797.117007797835</v>
      </c>
      <c r="Q1856" s="24" t="n">
        <f aca="false">O1856+P1856/(1+H1856)^5</f>
        <v>697.524892651985</v>
      </c>
      <c r="R1856" s="24" t="n">
        <f aca="false">Q1856-'DCF Base Case'!$B$5</f>
        <v>512.524892651985</v>
      </c>
      <c r="S1856" s="32" t="n">
        <f aca="false">R1856/'DCF Base Case'!$B$6</f>
        <v>20.5009957060794</v>
      </c>
    </row>
    <row r="1857" customFormat="false" ht="15" hidden="false" customHeight="true" outlineLevel="0" collapsed="false">
      <c r="A1857" s="6" t="n">
        <v>1856</v>
      </c>
      <c r="B1857" s="30" t="n">
        <v>0.055601807260669</v>
      </c>
      <c r="C1857" s="30" t="n">
        <v>0.371413793885344</v>
      </c>
      <c r="D1857" s="30" t="n">
        <v>0.0804014404953733</v>
      </c>
      <c r="E1857" s="30" t="n">
        <v>0.254356184472171</v>
      </c>
      <c r="F1857" s="30" t="n">
        <v>0.0179814968532089</v>
      </c>
      <c r="G1857" s="30" t="n">
        <v>0.203036142126775</v>
      </c>
      <c r="H1857" s="31" t="n">
        <f aca="false">MAX(D1857,F1857+0.015)</f>
        <v>0.0804014404953733</v>
      </c>
      <c r="I1857" s="25" t="n">
        <f aca="false">(C1857-'DCF Base Case'!$B$3)*(1-E1857)+'DCF Base Case'!$B$3-G1857</f>
        <v>0.106972560266942</v>
      </c>
      <c r="J1857" s="24" t="n">
        <f aca="false">'DCF Base Case'!$B$2*(1+B1857)^1*$I1857-'DCF Base Case'!$B$2*(1+B1857)^0*B1857*'DCF Base Case'!$B$4</f>
        <v>16.1315941904534</v>
      </c>
      <c r="K1857" s="24" t="n">
        <f aca="false">'DCF Base Case'!$B$2*(1+B1857)^2*$I1857-'DCF Base Case'!$B$2*(1+B1857)^1*B1857*'DCF Base Case'!$B$4</f>
        <v>17.0285399814383</v>
      </c>
      <c r="L1857" s="24" t="n">
        <f aca="false">'DCF Base Case'!$B$2*(1+B1857)^3*$I1857-'DCF Base Case'!$B$2*(1+B1857)^2*B1857*'DCF Base Case'!$B$4</f>
        <v>17.9753575794168</v>
      </c>
      <c r="M1857" s="24" t="n">
        <f aca="false">'DCF Base Case'!$B$2*(1+B1857)^4*$I1857-'DCF Base Case'!$B$2*(1+B1857)^3*B1857*'DCF Base Case'!$B$4</f>
        <v>18.9748199469891</v>
      </c>
      <c r="N1857" s="24" t="n">
        <f aca="false">'DCF Base Case'!$B$2*(1+B1857)^5*$I1857-'DCF Base Case'!$B$2*(1+B1857)^4*B1857*'DCF Base Case'!$B$4</f>
        <v>20.0298542284875</v>
      </c>
      <c r="O1857" s="24" t="n">
        <f aca="false">J1857/(1+H1857)^1+K1857/(1+H1857)^2+L1857/(1+H1857)^3+M1857/(1+H1857)^4+N1857/(1+H1857)^5</f>
        <v>71.3060275560851</v>
      </c>
      <c r="P1857" s="24" t="n">
        <f aca="false">N1857*(1+F1857)/(H1857-F1857)</f>
        <v>326.658753589357</v>
      </c>
      <c r="Q1857" s="24" t="n">
        <f aca="false">O1857+P1857/(1+H1857)^5</f>
        <v>293.211763277081</v>
      </c>
      <c r="R1857" s="24" t="n">
        <f aca="false">Q1857-'DCF Base Case'!$B$5</f>
        <v>108.211763277081</v>
      </c>
      <c r="S1857" s="32" t="n">
        <f aca="false">R1857/'DCF Base Case'!$B$6</f>
        <v>4.32847053108323</v>
      </c>
    </row>
    <row r="1858" customFormat="false" ht="15" hidden="false" customHeight="true" outlineLevel="0" collapsed="false">
      <c r="A1858" s="6" t="n">
        <v>1857</v>
      </c>
      <c r="B1858" s="30" t="n">
        <v>0.0604950368348523</v>
      </c>
      <c r="C1858" s="30" t="n">
        <v>0.396942619191901</v>
      </c>
      <c r="D1858" s="30" t="n">
        <v>0.108455350096985</v>
      </c>
      <c r="E1858" s="30" t="n">
        <v>0.291847339119558</v>
      </c>
      <c r="F1858" s="30" t="n">
        <v>0.017899016569611</v>
      </c>
      <c r="G1858" s="30" t="n">
        <v>0.161913960696862</v>
      </c>
      <c r="H1858" s="31" t="n">
        <f aca="false">MAX(D1858,F1858+0.015)</f>
        <v>0.108455350096985</v>
      </c>
      <c r="I1858" s="25" t="n">
        <f aca="false">(C1858-'DCF Base Case'!$B$3)*(1-E1858)+'DCF Base Case'!$B$3-G1858</f>
        <v>0.157122165386277</v>
      </c>
      <c r="J1858" s="24" t="n">
        <f aca="false">'DCF Base Case'!$B$2*(1+B1858)^1*$I1858-'DCF Base Case'!$B$2*(1+B1858)^0*B1858*'DCF Base Case'!$B$4</f>
        <v>23.8978016922577</v>
      </c>
      <c r="K1858" s="24" t="n">
        <f aca="false">'DCF Base Case'!$B$2*(1+B1858)^2*$I1858-'DCF Base Case'!$B$2*(1+B1858)^1*B1858*'DCF Base Case'!$B$4</f>
        <v>25.3435000859028</v>
      </c>
      <c r="L1858" s="24" t="n">
        <f aca="false">'DCF Base Case'!$B$2*(1+B1858)^3*$I1858-'DCF Base Case'!$B$2*(1+B1858)^2*B1858*'DCF Base Case'!$B$4</f>
        <v>26.8766560571236</v>
      </c>
      <c r="M1858" s="24" t="n">
        <f aca="false">'DCF Base Case'!$B$2*(1+B1858)^4*$I1858-'DCF Base Case'!$B$2*(1+B1858)^3*B1858*'DCF Base Case'!$B$4</f>
        <v>28.502560355297</v>
      </c>
      <c r="N1858" s="24" t="n">
        <f aca="false">'DCF Base Case'!$B$2*(1+B1858)^5*$I1858-'DCF Base Case'!$B$2*(1+B1858)^4*B1858*'DCF Base Case'!$B$4</f>
        <v>30.2268237938782</v>
      </c>
      <c r="O1858" s="24" t="n">
        <f aca="false">J1858/(1+H1858)^1+K1858/(1+H1858)^2+L1858/(1+H1858)^3+M1858/(1+H1858)^4+N1858/(1+H1858)^5</f>
        <v>98.8644004901963</v>
      </c>
      <c r="P1858" s="24" t="n">
        <f aca="false">N1858*(1+F1858)/(H1858-F1858)</f>
        <v>339.76479629126</v>
      </c>
      <c r="Q1858" s="24" t="n">
        <f aca="false">O1858+P1858/(1+H1858)^5</f>
        <v>301.90709082388</v>
      </c>
      <c r="R1858" s="24" t="n">
        <f aca="false">Q1858-'DCF Base Case'!$B$5</f>
        <v>116.90709082388</v>
      </c>
      <c r="S1858" s="32" t="n">
        <f aca="false">R1858/'DCF Base Case'!$B$6</f>
        <v>4.67628363295518</v>
      </c>
    </row>
    <row r="1859" customFormat="false" ht="15" hidden="false" customHeight="true" outlineLevel="0" collapsed="false">
      <c r="A1859" s="6" t="n">
        <v>1858</v>
      </c>
      <c r="B1859" s="30" t="n">
        <v>0.0991447851107332</v>
      </c>
      <c r="C1859" s="30" t="n">
        <v>0.447188163232589</v>
      </c>
      <c r="D1859" s="30" t="n">
        <v>0.0791606103177503</v>
      </c>
      <c r="E1859" s="30" t="n">
        <v>0.262370024513183</v>
      </c>
      <c r="F1859" s="30" t="n">
        <v>0.0138335299243194</v>
      </c>
      <c r="G1859" s="30" t="n">
        <v>0.167524669972136</v>
      </c>
      <c r="H1859" s="31" t="n">
        <f aca="false">MAX(D1859,F1859+0.015)</f>
        <v>0.0791606103177503</v>
      </c>
      <c r="I1859" s="25" t="n">
        <f aca="false">(C1859-'DCF Base Case'!$B$3)*(1-E1859)+'DCF Base Case'!$B$3-G1859</f>
        <v>0.196442827097827</v>
      </c>
      <c r="J1859" s="24" t="n">
        <f aca="false">'DCF Base Case'!$B$2*(1+B1859)^1*$I1859-'DCF Base Case'!$B$2*(1+B1859)^0*B1859*'DCF Base Case'!$B$4</f>
        <v>30.8769909864313</v>
      </c>
      <c r="K1859" s="24" t="n">
        <f aca="false">'DCF Base Case'!$B$2*(1+B1859)^2*$I1859-'DCF Base Case'!$B$2*(1+B1859)^1*B1859*'DCF Base Case'!$B$4</f>
        <v>33.9382836226471</v>
      </c>
      <c r="L1859" s="24" t="n">
        <f aca="false">'DCF Base Case'!$B$2*(1+B1859)^3*$I1859-'DCF Base Case'!$B$2*(1+B1859)^2*B1859*'DCF Base Case'!$B$4</f>
        <v>37.3030874594415</v>
      </c>
      <c r="M1859" s="24" t="n">
        <f aca="false">'DCF Base Case'!$B$2*(1+B1859)^4*$I1859-'DCF Base Case'!$B$2*(1+B1859)^3*B1859*'DCF Base Case'!$B$4</f>
        <v>41.0014940495748</v>
      </c>
      <c r="N1859" s="24" t="n">
        <f aca="false">'DCF Base Case'!$B$2*(1+B1859)^5*$I1859-'DCF Base Case'!$B$2*(1+B1859)^4*B1859*'DCF Base Case'!$B$4</f>
        <v>45.0665783663389</v>
      </c>
      <c r="O1859" s="24" t="n">
        <f aca="false">J1859/(1+H1859)^1+K1859/(1+H1859)^2+L1859/(1+H1859)^3+M1859/(1+H1859)^4+N1859/(1+H1859)^5</f>
        <v>148.457702716558</v>
      </c>
      <c r="P1859" s="24" t="n">
        <f aca="false">N1859*(1+F1859)/(H1859-F1859)</f>
        <v>699.403799336955</v>
      </c>
      <c r="Q1859" s="24" t="n">
        <f aca="false">O1859+P1859/(1+H1859)^5</f>
        <v>626.314273092984</v>
      </c>
      <c r="R1859" s="24" t="n">
        <f aca="false">Q1859-'DCF Base Case'!$B$5</f>
        <v>441.314273092984</v>
      </c>
      <c r="S1859" s="32" t="n">
        <f aca="false">R1859/'DCF Base Case'!$B$6</f>
        <v>17.6525709237194</v>
      </c>
    </row>
    <row r="1860" customFormat="false" ht="15" hidden="false" customHeight="true" outlineLevel="0" collapsed="false">
      <c r="A1860" s="6" t="n">
        <v>1859</v>
      </c>
      <c r="B1860" s="30" t="n">
        <v>0.0599885579176957</v>
      </c>
      <c r="C1860" s="30" t="n">
        <v>0.392598373310682</v>
      </c>
      <c r="D1860" s="30" t="n">
        <v>0.0750044821477861</v>
      </c>
      <c r="E1860" s="30" t="n">
        <v>0.31258745829251</v>
      </c>
      <c r="F1860" s="30" t="n">
        <v>0.0173128548637618</v>
      </c>
      <c r="G1860" s="30" t="n">
        <v>0.174455993623767</v>
      </c>
      <c r="H1860" s="31" t="n">
        <f aca="false">MAX(D1860,F1860+0.015)</f>
        <v>0.0750044821477861</v>
      </c>
      <c r="I1860" s="25" t="n">
        <f aca="false">(C1860-'DCF Base Case'!$B$3)*(1-E1860)+'DCF Base Case'!$B$3-G1860</f>
        <v>0.136057421621981</v>
      </c>
      <c r="J1860" s="24" t="n">
        <f aca="false">'DCF Base Case'!$B$2*(1+B1860)^1*$I1860-'DCF Base Case'!$B$2*(1+B1860)^0*B1860*'DCF Base Case'!$B$4</f>
        <v>20.6508497432252</v>
      </c>
      <c r="K1860" s="24" t="n">
        <f aca="false">'DCF Base Case'!$B$2*(1+B1860)^2*$I1860-'DCF Base Case'!$B$2*(1+B1860)^1*B1860*'DCF Base Case'!$B$4</f>
        <v>21.8896644390963</v>
      </c>
      <c r="L1860" s="24" t="n">
        <f aca="false">'DCF Base Case'!$B$2*(1+B1860)^3*$I1860-'DCF Base Case'!$B$2*(1+B1860)^2*B1860*'DCF Base Case'!$B$4</f>
        <v>23.2027938420999</v>
      </c>
      <c r="M1860" s="24" t="n">
        <f aca="false">'DCF Base Case'!$B$2*(1+B1860)^4*$I1860-'DCF Base Case'!$B$2*(1+B1860)^3*B1860*'DCF Base Case'!$B$4</f>
        <v>24.5946959843491</v>
      </c>
      <c r="N1860" s="24" t="n">
        <f aca="false">'DCF Base Case'!$B$2*(1+B1860)^5*$I1860-'DCF Base Case'!$B$2*(1+B1860)^4*B1860*'DCF Base Case'!$B$4</f>
        <v>26.0700963288743</v>
      </c>
      <c r="O1860" s="24" t="n">
        <f aca="false">J1860/(1+H1860)^1+K1860/(1+H1860)^2+L1860/(1+H1860)^3+M1860/(1+H1860)^4+N1860/(1+H1860)^5</f>
        <v>93.4039820885434</v>
      </c>
      <c r="P1860" s="24" t="n">
        <f aca="false">N1860*(1+F1860)/(H1860-F1860)</f>
        <v>459.710453170812</v>
      </c>
      <c r="Q1860" s="24" t="n">
        <f aca="false">O1860+P1860/(1+H1860)^5</f>
        <v>413.612591117995</v>
      </c>
      <c r="R1860" s="24" t="n">
        <f aca="false">Q1860-'DCF Base Case'!$B$5</f>
        <v>228.612591117995</v>
      </c>
      <c r="S1860" s="32" t="n">
        <f aca="false">R1860/'DCF Base Case'!$B$6</f>
        <v>9.14450364471981</v>
      </c>
    </row>
    <row r="1861" customFormat="false" ht="15" hidden="false" customHeight="true" outlineLevel="0" collapsed="false">
      <c r="A1861" s="6" t="n">
        <v>1860</v>
      </c>
      <c r="B1861" s="30" t="n">
        <v>0.0564843694645837</v>
      </c>
      <c r="C1861" s="30" t="n">
        <v>0.404537963620465</v>
      </c>
      <c r="D1861" s="30" t="n">
        <v>0.0717652366355318</v>
      </c>
      <c r="E1861" s="30" t="n">
        <v>0.268872333759403</v>
      </c>
      <c r="F1861" s="30" t="n">
        <v>0.0261683444791332</v>
      </c>
      <c r="G1861" s="30" t="n">
        <v>0.187538649983732</v>
      </c>
      <c r="H1861" s="31" t="n">
        <f aca="false">MAX(D1861,F1861+0.015)</f>
        <v>0.0717652366355318</v>
      </c>
      <c r="I1861" s="25" t="n">
        <f aca="false">(C1861-'DCF Base Case'!$B$3)*(1-E1861)+'DCF Base Case'!$B$3-G1861</f>
        <v>0.143183650652545</v>
      </c>
      <c r="J1861" s="24" t="n">
        <f aca="false">'DCF Base Case'!$B$2*(1+B1861)^1*$I1861-'DCF Base Case'!$B$2*(1+B1861)^0*B1861*'DCF Base Case'!$B$4</f>
        <v>21.6886298800362</v>
      </c>
      <c r="K1861" s="24" t="n">
        <f aca="false">'DCF Base Case'!$B$2*(1+B1861)^2*$I1861-'DCF Base Case'!$B$2*(1+B1861)^1*B1861*'DCF Base Case'!$B$4</f>
        <v>22.9136984633608</v>
      </c>
      <c r="L1861" s="24" t="n">
        <f aca="false">'DCF Base Case'!$B$2*(1+B1861)^3*$I1861-'DCF Base Case'!$B$2*(1+B1861)^2*B1861*'DCF Base Case'!$B$4</f>
        <v>24.2079642731653</v>
      </c>
      <c r="M1861" s="24" t="n">
        <f aca="false">'DCF Base Case'!$B$2*(1+B1861)^4*$I1861-'DCF Base Case'!$B$2*(1+B1861)^3*B1861*'DCF Base Case'!$B$4</f>
        <v>25.5753358711563</v>
      </c>
      <c r="N1861" s="24" t="n">
        <f aca="false">'DCF Base Case'!$B$2*(1+B1861)^5*$I1861-'DCF Base Case'!$B$2*(1+B1861)^4*B1861*'DCF Base Case'!$B$4</f>
        <v>27.0199425916835</v>
      </c>
      <c r="O1861" s="24" t="n">
        <f aca="false">J1861/(1+H1861)^1+K1861/(1+H1861)^2+L1861/(1+H1861)^3+M1861/(1+H1861)^4+N1861/(1+H1861)^5</f>
        <v>98.3374246189929</v>
      </c>
      <c r="P1861" s="24" t="n">
        <f aca="false">N1861*(1+F1861)/(H1861-F1861)</f>
        <v>608.089903630375</v>
      </c>
      <c r="Q1861" s="24" t="n">
        <f aca="false">O1861+P1861/(1+H1861)^5</f>
        <v>528.338420161125</v>
      </c>
      <c r="R1861" s="24" t="n">
        <f aca="false">Q1861-'DCF Base Case'!$B$5</f>
        <v>343.338420161125</v>
      </c>
      <c r="S1861" s="32" t="n">
        <f aca="false">R1861/'DCF Base Case'!$B$6</f>
        <v>13.733536806445</v>
      </c>
    </row>
    <row r="1862" customFormat="false" ht="15" hidden="false" customHeight="true" outlineLevel="0" collapsed="false">
      <c r="A1862" s="6" t="n">
        <v>1861</v>
      </c>
      <c r="B1862" s="30" t="n">
        <v>0.0873767473012339</v>
      </c>
      <c r="C1862" s="30" t="n">
        <v>0.457485771704704</v>
      </c>
      <c r="D1862" s="30" t="n">
        <v>0.0749330784058935</v>
      </c>
      <c r="E1862" s="30" t="n">
        <v>0.315251467519848</v>
      </c>
      <c r="F1862" s="30" t="n">
        <v>0.0133118963613246</v>
      </c>
      <c r="G1862" s="30" t="n">
        <v>0.160182543769817</v>
      </c>
      <c r="H1862" s="31" t="n">
        <f aca="false">MAX(D1862,F1862+0.015)</f>
        <v>0.0749330784058935</v>
      </c>
      <c r="I1862" s="25" t="n">
        <f aca="false">(C1862-'DCF Base Case'!$B$3)*(1-E1862)+'DCF Base Case'!$B$3-G1862</f>
        <v>0.194062857813109</v>
      </c>
      <c r="J1862" s="24" t="n">
        <f aca="false">'DCF Base Case'!$B$2*(1+B1862)^1*$I1862-'DCF Base Case'!$B$2*(1+B1862)^0*B1862*'DCF Base Case'!$B$4</f>
        <v>30.2177298188557</v>
      </c>
      <c r="K1862" s="24" t="n">
        <f aca="false">'DCF Base Case'!$B$2*(1+B1862)^2*$I1862-'DCF Base Case'!$B$2*(1+B1862)^1*B1862*'DCF Base Case'!$B$4</f>
        <v>32.8580567612548</v>
      </c>
      <c r="L1862" s="24" t="n">
        <f aca="false">'DCF Base Case'!$B$2*(1+B1862)^3*$I1862-'DCF Base Case'!$B$2*(1+B1862)^2*B1862*'DCF Base Case'!$B$4</f>
        <v>35.7290868836926</v>
      </c>
      <c r="M1862" s="24" t="n">
        <f aca="false">'DCF Base Case'!$B$2*(1+B1862)^4*$I1862-'DCF Base Case'!$B$2*(1+B1862)^3*B1862*'DCF Base Case'!$B$4</f>
        <v>38.8509782796328</v>
      </c>
      <c r="N1862" s="24" t="n">
        <f aca="false">'DCF Base Case'!$B$2*(1+B1862)^5*$I1862-'DCF Base Case'!$B$2*(1+B1862)^4*B1862*'DCF Base Case'!$B$4</f>
        <v>42.245650391178</v>
      </c>
      <c r="O1862" s="24" t="n">
        <f aca="false">J1862/(1+H1862)^1+K1862/(1+H1862)^2+L1862/(1+H1862)^3+M1862/(1+H1862)^4+N1862/(1+H1862)^5</f>
        <v>143.84844460678</v>
      </c>
      <c r="P1862" s="24" t="n">
        <f aca="false">N1862*(1+F1862)/(H1862-F1862)</f>
        <v>694.69651004001</v>
      </c>
      <c r="Q1862" s="24" t="n">
        <f aca="false">O1862+P1862/(1+H1862)^5</f>
        <v>627.895942968118</v>
      </c>
      <c r="R1862" s="24" t="n">
        <f aca="false">Q1862-'DCF Base Case'!$B$5</f>
        <v>442.895942968118</v>
      </c>
      <c r="S1862" s="32" t="n">
        <f aca="false">R1862/'DCF Base Case'!$B$6</f>
        <v>17.7158377187247</v>
      </c>
    </row>
    <row r="1863" customFormat="false" ht="15" hidden="false" customHeight="true" outlineLevel="0" collapsed="false">
      <c r="A1863" s="6" t="n">
        <v>1862</v>
      </c>
      <c r="B1863" s="30" t="n">
        <v>0.0610787817201241</v>
      </c>
      <c r="C1863" s="30" t="n">
        <v>0.409523624345518</v>
      </c>
      <c r="D1863" s="30" t="n">
        <v>0.0856156727893663</v>
      </c>
      <c r="E1863" s="30" t="n">
        <v>0.27160210568437</v>
      </c>
      <c r="F1863" s="30" t="n">
        <v>0.023253321600146</v>
      </c>
      <c r="G1863" s="30" t="n">
        <v>0.153783041325916</v>
      </c>
      <c r="H1863" s="31" t="n">
        <f aca="false">MAX(D1863,F1863+0.015)</f>
        <v>0.0856156727893663</v>
      </c>
      <c r="I1863" s="25" t="n">
        <f aca="false">(C1863-'DCF Base Case'!$B$3)*(1-E1863)+'DCF Base Case'!$B$3-G1863</f>
        <v>0.179821378058832</v>
      </c>
      <c r="J1863" s="24" t="n">
        <f aca="false">'DCF Base Case'!$B$2*(1+B1863)^1*$I1863-'DCF Base Case'!$B$2*(1+B1863)^0*B1863*'DCF Base Case'!$B$4</f>
        <v>27.4009813694129</v>
      </c>
      <c r="K1863" s="24" t="n">
        <f aca="false">'DCF Base Case'!$B$2*(1+B1863)^2*$I1863-'DCF Base Case'!$B$2*(1+B1863)^1*B1863*'DCF Base Case'!$B$4</f>
        <v>29.0745999293925</v>
      </c>
      <c r="L1863" s="24" t="n">
        <f aca="false">'DCF Base Case'!$B$2*(1+B1863)^3*$I1863-'DCF Base Case'!$B$2*(1+B1863)^2*B1863*'DCF Base Case'!$B$4</f>
        <v>30.8504410720798</v>
      </c>
      <c r="M1863" s="24" t="n">
        <f aca="false">'DCF Base Case'!$B$2*(1+B1863)^4*$I1863-'DCF Base Case'!$B$2*(1+B1863)^3*B1863*'DCF Base Case'!$B$4</f>
        <v>32.7347484282909</v>
      </c>
      <c r="N1863" s="24" t="n">
        <f aca="false">'DCF Base Case'!$B$2*(1+B1863)^5*$I1863-'DCF Base Case'!$B$2*(1+B1863)^4*B1863*'DCF Base Case'!$B$4</f>
        <v>34.7341469822057</v>
      </c>
      <c r="O1863" s="24" t="n">
        <f aca="false">J1863/(1+H1863)^1+K1863/(1+H1863)^2+L1863/(1+H1863)^3+M1863/(1+H1863)^4+N1863/(1+H1863)^5</f>
        <v>120.62297043182</v>
      </c>
      <c r="P1863" s="24" t="n">
        <f aca="false">N1863*(1+F1863)/(H1863-F1863)</f>
        <v>569.924491215034</v>
      </c>
      <c r="Q1863" s="24" t="n">
        <f aca="false">O1863+P1863/(1+H1863)^5</f>
        <v>498.575100818495</v>
      </c>
      <c r="R1863" s="24" t="n">
        <f aca="false">Q1863-'DCF Base Case'!$B$5</f>
        <v>313.575100818495</v>
      </c>
      <c r="S1863" s="32" t="n">
        <f aca="false">R1863/'DCF Base Case'!$B$6</f>
        <v>12.5430040327398</v>
      </c>
    </row>
    <row r="1864" customFormat="false" ht="15" hidden="false" customHeight="true" outlineLevel="0" collapsed="false">
      <c r="A1864" s="6" t="n">
        <v>1863</v>
      </c>
      <c r="B1864" s="30" t="n">
        <v>0.0968786590555737</v>
      </c>
      <c r="C1864" s="30" t="n">
        <v>0.432533373143123</v>
      </c>
      <c r="D1864" s="30" t="n">
        <v>0.068684566702142</v>
      </c>
      <c r="E1864" s="30" t="n">
        <v>0.262526237415167</v>
      </c>
      <c r="F1864" s="30" t="n">
        <v>0.0195529304761102</v>
      </c>
      <c r="G1864" s="30" t="n">
        <v>0.18017811360669</v>
      </c>
      <c r="H1864" s="31" t="n">
        <f aca="false">MAX(D1864,F1864+0.015)</f>
        <v>0.068684566702142</v>
      </c>
      <c r="I1864" s="25" t="n">
        <f aca="false">(C1864-'DCF Base Case'!$B$3)*(1-E1864)+'DCF Base Case'!$B$3-G1864</f>
        <v>0.17293231139265</v>
      </c>
      <c r="J1864" s="24" t="n">
        <f aca="false">'DCF Base Case'!$B$2*(1+B1864)^1*$I1864-'DCF Base Case'!$B$2*(1+B1864)^0*B1864*'DCF Base Case'!$B$4</f>
        <v>27.0830132981322</v>
      </c>
      <c r="K1864" s="24" t="n">
        <f aca="false">'DCF Base Case'!$B$2*(1+B1864)^2*$I1864-'DCF Base Case'!$B$2*(1+B1864)^1*B1864*'DCF Base Case'!$B$4</f>
        <v>29.7067793096395</v>
      </c>
      <c r="L1864" s="24" t="n">
        <f aca="false">'DCF Base Case'!$B$2*(1+B1864)^3*$I1864-'DCF Base Case'!$B$2*(1+B1864)^2*B1864*'DCF Base Case'!$B$4</f>
        <v>32.5847322540172</v>
      </c>
      <c r="M1864" s="24" t="n">
        <f aca="false">'DCF Base Case'!$B$2*(1+B1864)^4*$I1864-'DCF Base Case'!$B$2*(1+B1864)^3*B1864*'DCF Base Case'!$B$4</f>
        <v>35.7414974204713</v>
      </c>
      <c r="N1864" s="24" t="n">
        <f aca="false">'DCF Base Case'!$B$2*(1+B1864)^5*$I1864-'DCF Base Case'!$B$2*(1+B1864)^4*B1864*'DCF Base Case'!$B$4</f>
        <v>39.2040857632048</v>
      </c>
      <c r="O1864" s="24" t="n">
        <f aca="false">J1864/(1+H1864)^1+K1864/(1+H1864)^2+L1864/(1+H1864)^3+M1864/(1+H1864)^4+N1864/(1+H1864)^5</f>
        <v>133.576479517481</v>
      </c>
      <c r="P1864" s="24" t="n">
        <f aca="false">N1864*(1+F1864)/(H1864-F1864)</f>
        <v>813.541815351434</v>
      </c>
      <c r="Q1864" s="24" t="n">
        <f aca="false">O1864+P1864/(1+H1864)^5</f>
        <v>717.199201954596</v>
      </c>
      <c r="R1864" s="24" t="n">
        <f aca="false">Q1864-'DCF Base Case'!$B$5</f>
        <v>532.199201954596</v>
      </c>
      <c r="S1864" s="32" t="n">
        <f aca="false">R1864/'DCF Base Case'!$B$6</f>
        <v>21.2879680781838</v>
      </c>
    </row>
    <row r="1865" customFormat="false" ht="15" hidden="false" customHeight="true" outlineLevel="0" collapsed="false">
      <c r="A1865" s="6" t="n">
        <v>1864</v>
      </c>
      <c r="B1865" s="30" t="n">
        <v>0.120299260864134</v>
      </c>
      <c r="C1865" s="30" t="n">
        <v>0.420812372318683</v>
      </c>
      <c r="D1865" s="30" t="n">
        <v>0.0815188185308513</v>
      </c>
      <c r="E1865" s="30" t="n">
        <v>0.260530856493618</v>
      </c>
      <c r="F1865" s="30" t="n">
        <v>0.0205246748228625</v>
      </c>
      <c r="G1865" s="30" t="n">
        <v>0.159150395860203</v>
      </c>
      <c r="H1865" s="31" t="n">
        <f aca="false">MAX(D1865,F1865+0.015)</f>
        <v>0.0815188185308513</v>
      </c>
      <c r="I1865" s="25" t="n">
        <f aca="false">(C1865-'DCF Base Case'!$B$3)*(1-E1865)+'DCF Base Case'!$B$3-G1865</f>
        <v>0.185896380019353</v>
      </c>
      <c r="J1865" s="24" t="n">
        <f aca="false">'DCF Base Case'!$B$2*(1+B1865)^1*$I1865-'DCF Base Case'!$B$2*(1+B1865)^0*B1865*'DCF Base Case'!$B$4</f>
        <v>29.6743368995259</v>
      </c>
      <c r="K1865" s="24" t="n">
        <f aca="false">'DCF Base Case'!$B$2*(1+B1865)^2*$I1865-'DCF Base Case'!$B$2*(1+B1865)^1*B1865*'DCF Base Case'!$B$4</f>
        <v>33.2441376951721</v>
      </c>
      <c r="L1865" s="24" t="n">
        <f aca="false">'DCF Base Case'!$B$2*(1+B1865)^3*$I1865-'DCF Base Case'!$B$2*(1+B1865)^2*B1865*'DCF Base Case'!$B$4</f>
        <v>37.2433828879668</v>
      </c>
      <c r="M1865" s="24" t="n">
        <f aca="false">'DCF Base Case'!$B$2*(1+B1865)^4*$I1865-'DCF Base Case'!$B$2*(1+B1865)^3*B1865*'DCF Base Case'!$B$4</f>
        <v>41.7237343214692</v>
      </c>
      <c r="N1865" s="24" t="n">
        <f aca="false">'DCF Base Case'!$B$2*(1+B1865)^5*$I1865-'DCF Base Case'!$B$2*(1+B1865)^4*B1865*'DCF Base Case'!$B$4</f>
        <v>46.7430687208334</v>
      </c>
      <c r="O1865" s="24" t="n">
        <f aca="false">J1865/(1+H1865)^1+K1865/(1+H1865)^2+L1865/(1+H1865)^3+M1865/(1+H1865)^4+N1865/(1+H1865)^5</f>
        <v>147.385836107911</v>
      </c>
      <c r="P1865" s="24" t="n">
        <f aca="false">N1865*(1+F1865)/(H1865-F1865)</f>
        <v>782.082542791782</v>
      </c>
      <c r="Q1865" s="24" t="n">
        <f aca="false">O1865+P1865/(1+H1865)^5</f>
        <v>675.931103974734</v>
      </c>
      <c r="R1865" s="24" t="n">
        <f aca="false">Q1865-'DCF Base Case'!$B$5</f>
        <v>490.931103974734</v>
      </c>
      <c r="S1865" s="32" t="n">
        <f aca="false">R1865/'DCF Base Case'!$B$6</f>
        <v>19.6372441589894</v>
      </c>
    </row>
    <row r="1866" customFormat="false" ht="15" hidden="false" customHeight="true" outlineLevel="0" collapsed="false">
      <c r="A1866" s="6" t="n">
        <v>1865</v>
      </c>
      <c r="B1866" s="30" t="n">
        <v>0.0842735764352893</v>
      </c>
      <c r="C1866" s="30" t="n">
        <v>0.410619825610675</v>
      </c>
      <c r="D1866" s="30" t="n">
        <v>0.0910679086829937</v>
      </c>
      <c r="E1866" s="30" t="n">
        <v>0.265952636733308</v>
      </c>
      <c r="F1866" s="30" t="n">
        <v>0.0162049834882478</v>
      </c>
      <c r="G1866" s="30" t="n">
        <v>0.175302956918493</v>
      </c>
      <c r="H1866" s="31" t="n">
        <f aca="false">MAX(D1866,F1866+0.015)</f>
        <v>0.0910679086829937</v>
      </c>
      <c r="I1866" s="25" t="n">
        <f aca="false">(C1866-'DCF Base Case'!$B$3)*(1-E1866)+'DCF Base Case'!$B$3-G1866</f>
        <v>0.160685286151382</v>
      </c>
      <c r="J1866" s="24" t="n">
        <f aca="false">'DCF Base Case'!$B$2*(1+B1866)^1*$I1866-'DCF Base Case'!$B$2*(1+B1866)^0*B1866*'DCF Base Case'!$B$4</f>
        <v>24.8962973774101</v>
      </c>
      <c r="K1866" s="24" t="n">
        <f aca="false">'DCF Base Case'!$B$2*(1+B1866)^2*$I1866-'DCF Base Case'!$B$2*(1+B1866)^1*B1866*'DCF Base Case'!$B$4</f>
        <v>26.9943973974009</v>
      </c>
      <c r="L1866" s="24" t="n">
        <f aca="false">'DCF Base Case'!$B$2*(1+B1866)^3*$I1866-'DCF Base Case'!$B$2*(1+B1866)^2*B1866*'DCF Base Case'!$B$4</f>
        <v>29.2693118097954</v>
      </c>
      <c r="M1866" s="24" t="n">
        <f aca="false">'DCF Base Case'!$B$2*(1+B1866)^4*$I1866-'DCF Base Case'!$B$2*(1+B1866)^3*B1866*'DCF Base Case'!$B$4</f>
        <v>31.7359413958065</v>
      </c>
      <c r="N1866" s="24" t="n">
        <f aca="false">'DCF Base Case'!$B$2*(1+B1866)^5*$I1866-'DCF Base Case'!$B$2*(1+B1866)^4*B1866*'DCF Base Case'!$B$4</f>
        <v>34.4104426787718</v>
      </c>
      <c r="O1866" s="24" t="n">
        <f aca="false">J1866/(1+H1866)^1+K1866/(1+H1866)^2+L1866/(1+H1866)^3+M1866/(1+H1866)^4+N1866/(1+H1866)^5</f>
        <v>112.679293605579</v>
      </c>
      <c r="P1866" s="24" t="n">
        <f aca="false">N1866*(1+F1866)/(H1866-F1866)</f>
        <v>467.094536357481</v>
      </c>
      <c r="Q1866" s="24" t="n">
        <f aca="false">O1866+P1866/(1+H1866)^5</f>
        <v>414.775920780236</v>
      </c>
      <c r="R1866" s="24" t="n">
        <f aca="false">Q1866-'DCF Base Case'!$B$5</f>
        <v>229.775920780236</v>
      </c>
      <c r="S1866" s="32" t="n">
        <f aca="false">R1866/'DCF Base Case'!$B$6</f>
        <v>9.19103683120945</v>
      </c>
    </row>
    <row r="1867" customFormat="false" ht="15" hidden="false" customHeight="true" outlineLevel="0" collapsed="false">
      <c r="A1867" s="6" t="n">
        <v>1866</v>
      </c>
      <c r="B1867" s="30" t="n">
        <v>0.0424901699868269</v>
      </c>
      <c r="C1867" s="30" t="n">
        <v>0.377686379511654</v>
      </c>
      <c r="D1867" s="30" t="n">
        <v>0.072335595506519</v>
      </c>
      <c r="E1867" s="30" t="n">
        <v>0.316340852195632</v>
      </c>
      <c r="F1867" s="30" t="n">
        <v>0.0175950902893546</v>
      </c>
      <c r="G1867" s="30" t="n">
        <v>0.153911386862705</v>
      </c>
      <c r="H1867" s="31" t="n">
        <f aca="false">MAX(D1867,F1867+0.015)</f>
        <v>0.072335595506519</v>
      </c>
      <c r="I1867" s="25" t="n">
        <f aca="false">(C1867-'DCF Base Case'!$B$3)*(1-E1867)+'DCF Base Case'!$B$3-G1867</f>
        <v>0.145421672276982</v>
      </c>
      <c r="J1867" s="24" t="n">
        <f aca="false">'DCF Base Case'!$B$2*(1+B1867)^1*$I1867-'DCF Base Case'!$B$2*(1+B1867)^0*B1867*'DCF Base Case'!$B$4</f>
        <v>21.7972640190682</v>
      </c>
      <c r="K1867" s="24" t="n">
        <f aca="false">'DCF Base Case'!$B$2*(1+B1867)^2*$I1867-'DCF Base Case'!$B$2*(1+B1867)^1*B1867*'DCF Base Case'!$B$4</f>
        <v>22.7234334724862</v>
      </c>
      <c r="L1867" s="24" t="n">
        <f aca="false">'DCF Base Case'!$B$2*(1+B1867)^3*$I1867-'DCF Base Case'!$B$2*(1+B1867)^2*B1867*'DCF Base Case'!$B$4</f>
        <v>23.6889560234164</v>
      </c>
      <c r="M1867" s="24" t="n">
        <f aca="false">'DCF Base Case'!$B$2*(1+B1867)^4*$I1867-'DCF Base Case'!$B$2*(1+B1867)^3*B1867*'DCF Base Case'!$B$4</f>
        <v>24.6955037916619</v>
      </c>
      <c r="N1867" s="24" t="n">
        <f aca="false">'DCF Base Case'!$B$2*(1+B1867)^5*$I1867-'DCF Base Case'!$B$2*(1+B1867)^4*B1867*'DCF Base Case'!$B$4</f>
        <v>25.7448199456799</v>
      </c>
      <c r="O1867" s="24" t="n">
        <f aca="false">J1867/(1+H1867)^1+K1867/(1+H1867)^2+L1867/(1+H1867)^3+M1867/(1+H1867)^4+N1867/(1+H1867)^5</f>
        <v>96.1323867354555</v>
      </c>
      <c r="P1867" s="24" t="n">
        <f aca="false">N1867*(1+F1867)/(H1867-F1867)</f>
        <v>478.581669518329</v>
      </c>
      <c r="Q1867" s="24" t="n">
        <f aca="false">O1867+P1867/(1+H1867)^5</f>
        <v>433.654668674857</v>
      </c>
      <c r="R1867" s="24" t="n">
        <f aca="false">Q1867-'DCF Base Case'!$B$5</f>
        <v>248.654668674857</v>
      </c>
      <c r="S1867" s="32" t="n">
        <f aca="false">R1867/'DCF Base Case'!$B$6</f>
        <v>9.94618674699426</v>
      </c>
    </row>
    <row r="1868" customFormat="false" ht="15" hidden="false" customHeight="true" outlineLevel="0" collapsed="false">
      <c r="A1868" s="6" t="n">
        <v>1867</v>
      </c>
      <c r="B1868" s="30" t="n">
        <v>0.0890209177422011</v>
      </c>
      <c r="C1868" s="30" t="n">
        <v>0.40118757137006</v>
      </c>
      <c r="D1868" s="30" t="n">
        <v>0.0805708702603111</v>
      </c>
      <c r="E1868" s="30" t="n">
        <v>0.282419961287356</v>
      </c>
      <c r="F1868" s="30" t="n">
        <v>0.0176737934954867</v>
      </c>
      <c r="G1868" s="30" t="n">
        <v>0.156544903431838</v>
      </c>
      <c r="H1868" s="31" t="n">
        <f aca="false">MAX(D1868,F1868+0.015)</f>
        <v>0.0805708702603111</v>
      </c>
      <c r="I1868" s="25" t="n">
        <f aca="false">(C1868-'DCF Base Case'!$B$3)*(1-E1868)+'DCF Base Case'!$B$3-G1868</f>
        <v>0.168053884530278</v>
      </c>
      <c r="J1868" s="24" t="n">
        <f aca="false">'DCF Base Case'!$B$2*(1+B1868)^1*$I1868-'DCF Base Case'!$B$2*(1+B1868)^0*B1868*'DCF Base Case'!$B$4</f>
        <v>26.1498173642106</v>
      </c>
      <c r="K1868" s="24" t="n">
        <f aca="false">'DCF Base Case'!$B$2*(1+B1868)^2*$I1868-'DCF Base Case'!$B$2*(1+B1868)^1*B1868*'DCF Base Case'!$B$4</f>
        <v>28.4776981047636</v>
      </c>
      <c r="L1868" s="24" t="n">
        <f aca="false">'DCF Base Case'!$B$2*(1+B1868)^3*$I1868-'DCF Base Case'!$B$2*(1+B1868)^2*B1868*'DCF Base Case'!$B$4</f>
        <v>31.012808925235</v>
      </c>
      <c r="M1868" s="24" t="n">
        <f aca="false">'DCF Base Case'!$B$2*(1+B1868)^4*$I1868-'DCF Base Case'!$B$2*(1+B1868)^3*B1868*'DCF Base Case'!$B$4</f>
        <v>33.7735976375229</v>
      </c>
      <c r="N1868" s="24" t="n">
        <f aca="false">'DCF Base Case'!$B$2*(1+B1868)^5*$I1868-'DCF Base Case'!$B$2*(1+B1868)^4*B1868*'DCF Base Case'!$B$4</f>
        <v>36.780154294671</v>
      </c>
      <c r="O1868" s="24" t="n">
        <f aca="false">J1868/(1+H1868)^1+K1868/(1+H1868)^2+L1868/(1+H1868)^3+M1868/(1+H1868)^4+N1868/(1+H1868)^5</f>
        <v>122.907303859329</v>
      </c>
      <c r="P1868" s="24" t="n">
        <f aca="false">N1868*(1+F1868)/(H1868-F1868)</f>
        <v>595.102365191959</v>
      </c>
      <c r="Q1868" s="24" t="n">
        <f aca="false">O1868+P1868/(1+H1868)^5</f>
        <v>526.855243664944</v>
      </c>
      <c r="R1868" s="24" t="n">
        <f aca="false">Q1868-'DCF Base Case'!$B$5</f>
        <v>341.855243664944</v>
      </c>
      <c r="S1868" s="32" t="n">
        <f aca="false">R1868/'DCF Base Case'!$B$6</f>
        <v>13.6742097465978</v>
      </c>
    </row>
    <row r="1869" customFormat="false" ht="15" hidden="false" customHeight="true" outlineLevel="0" collapsed="false">
      <c r="A1869" s="6" t="n">
        <v>1868</v>
      </c>
      <c r="B1869" s="30" t="n">
        <v>0.0679472607886839</v>
      </c>
      <c r="C1869" s="30" t="n">
        <v>0.381316828191921</v>
      </c>
      <c r="D1869" s="30" t="n">
        <v>0.0856670058734931</v>
      </c>
      <c r="E1869" s="30" t="n">
        <v>0.288699266280465</v>
      </c>
      <c r="F1869" s="30" t="n">
        <v>0.0136618428367504</v>
      </c>
      <c r="G1869" s="30" t="n">
        <v>0.183368472418957</v>
      </c>
      <c r="H1869" s="31" t="n">
        <f aca="false">MAX(D1869,F1869+0.015)</f>
        <v>0.0856670058734931</v>
      </c>
      <c r="I1869" s="25" t="n">
        <f aca="false">(C1869-'DCF Base Case'!$B$3)*(1-E1869)+'DCF Base Case'!$B$3-G1869</f>
        <v>0.125393371870023</v>
      </c>
      <c r="J1869" s="24" t="n">
        <f aca="false">'DCF Base Case'!$B$2*(1+B1869)^1*$I1869-'DCF Base Case'!$B$2*(1+B1869)^0*B1869*'DCF Base Case'!$B$4</f>
        <v>19.1218880769681</v>
      </c>
      <c r="K1869" s="24" t="n">
        <f aca="false">'DCF Base Case'!$B$2*(1+B1869)^2*$I1869-'DCF Base Case'!$B$2*(1+B1869)^1*B1869*'DCF Base Case'!$B$4</f>
        <v>20.4211679929059</v>
      </c>
      <c r="L1869" s="24" t="n">
        <f aca="false">'DCF Base Case'!$B$2*(1+B1869)^3*$I1869-'DCF Base Case'!$B$2*(1+B1869)^2*B1869*'DCF Base Case'!$B$4</f>
        <v>21.8087304201294</v>
      </c>
      <c r="M1869" s="24" t="n">
        <f aca="false">'DCF Base Case'!$B$2*(1+B1869)^4*$I1869-'DCF Base Case'!$B$2*(1+B1869)^3*B1869*'DCF Base Case'!$B$4</f>
        <v>23.290573913456</v>
      </c>
      <c r="N1869" s="24" t="n">
        <f aca="false">'DCF Base Case'!$B$2*(1+B1869)^5*$I1869-'DCF Base Case'!$B$2*(1+B1869)^4*B1869*'DCF Base Case'!$B$4</f>
        <v>24.8731046130718</v>
      </c>
      <c r="O1869" s="24" t="n">
        <f aca="false">J1869/(1+H1869)^1+K1869/(1+H1869)^2+L1869/(1+H1869)^3+M1869/(1+H1869)^4+N1869/(1+H1869)^5</f>
        <v>85.2369836641178</v>
      </c>
      <c r="P1869" s="24" t="n">
        <f aca="false">N1869*(1+F1869)/(H1869-F1869)</f>
        <v>350.154294439858</v>
      </c>
      <c r="Q1869" s="24" t="n">
        <f aca="false">O1869+P1869/(1+H1869)^5</f>
        <v>317.391030955464</v>
      </c>
      <c r="R1869" s="24" t="n">
        <f aca="false">Q1869-'DCF Base Case'!$B$5</f>
        <v>132.391030955464</v>
      </c>
      <c r="S1869" s="32" t="n">
        <f aca="false">R1869/'DCF Base Case'!$B$6</f>
        <v>5.29564123821855</v>
      </c>
    </row>
    <row r="1870" customFormat="false" ht="15" hidden="false" customHeight="true" outlineLevel="0" collapsed="false">
      <c r="A1870" s="6" t="n">
        <v>1869</v>
      </c>
      <c r="B1870" s="30" t="n">
        <v>0.106651879613628</v>
      </c>
      <c r="C1870" s="30" t="n">
        <v>0.438190885897011</v>
      </c>
      <c r="D1870" s="30" t="n">
        <v>0.0882987799321466</v>
      </c>
      <c r="E1870" s="30" t="n">
        <v>0.299067169056997</v>
      </c>
      <c r="F1870" s="30" t="n">
        <v>0.0261231535291224</v>
      </c>
      <c r="G1870" s="30" t="n">
        <v>0.159064479539985</v>
      </c>
      <c r="H1870" s="31" t="n">
        <f aca="false">MAX(D1870,F1870+0.015)</f>
        <v>0.0882987799321466</v>
      </c>
      <c r="I1870" s="25" t="n">
        <f aca="false">(C1870-'DCF Base Case'!$B$3)*(1-E1870)+'DCF Base Case'!$B$3-G1870</f>
        <v>0.186956630582639</v>
      </c>
      <c r="J1870" s="24" t="n">
        <f aca="false">'DCF Base Case'!$B$2*(1+B1870)^1*$I1870-'DCF Base Case'!$B$2*(1+B1870)^0*B1870*'DCF Base Case'!$B$4</f>
        <v>29.5359707865544</v>
      </c>
      <c r="K1870" s="24" t="n">
        <f aca="false">'DCF Base Case'!$B$2*(1+B1870)^2*$I1870-'DCF Base Case'!$B$2*(1+B1870)^1*B1870*'DCF Base Case'!$B$4</f>
        <v>32.6860375871536</v>
      </c>
      <c r="L1870" s="24" t="n">
        <f aca="false">'DCF Base Case'!$B$2*(1+B1870)^3*$I1870-'DCF Base Case'!$B$2*(1+B1870)^2*B1870*'DCF Base Case'!$B$4</f>
        <v>36.1720649329452</v>
      </c>
      <c r="M1870" s="24" t="n">
        <f aca="false">'DCF Base Case'!$B$2*(1+B1870)^4*$I1870-'DCF Base Case'!$B$2*(1+B1870)^3*B1870*'DCF Base Case'!$B$4</f>
        <v>40.0298836475501</v>
      </c>
      <c r="N1870" s="24" t="n">
        <f aca="false">'DCF Base Case'!$B$2*(1+B1870)^5*$I1870-'DCF Base Case'!$B$2*(1+B1870)^4*B1870*'DCF Base Case'!$B$4</f>
        <v>44.2991459792761</v>
      </c>
      <c r="O1870" s="24" t="n">
        <f aca="false">J1870/(1+H1870)^1+K1870/(1+H1870)^2+L1870/(1+H1870)^3+M1870/(1+H1870)^4+N1870/(1+H1870)^5</f>
        <v>140.352557917895</v>
      </c>
      <c r="P1870" s="24" t="n">
        <f aca="false">N1870*(1+F1870)/(H1870-F1870)</f>
        <v>731.0964440672</v>
      </c>
      <c r="Q1870" s="24" t="n">
        <f aca="false">O1870+P1870/(1+H1870)^5</f>
        <v>619.240563976743</v>
      </c>
      <c r="R1870" s="24" t="n">
        <f aca="false">Q1870-'DCF Base Case'!$B$5</f>
        <v>434.240563976743</v>
      </c>
      <c r="S1870" s="32" t="n">
        <f aca="false">R1870/'DCF Base Case'!$B$6</f>
        <v>17.3696225590697</v>
      </c>
    </row>
    <row r="1871" customFormat="false" ht="15" hidden="false" customHeight="true" outlineLevel="0" collapsed="false">
      <c r="A1871" s="6" t="n">
        <v>1870</v>
      </c>
      <c r="B1871" s="30" t="n">
        <v>0.0671893126095122</v>
      </c>
      <c r="C1871" s="30" t="n">
        <v>0.374634008454611</v>
      </c>
      <c r="D1871" s="30" t="n">
        <v>0.104312413232556</v>
      </c>
      <c r="E1871" s="30" t="n">
        <v>0.330485891002076</v>
      </c>
      <c r="F1871" s="30" t="n">
        <v>0.0155747410605558</v>
      </c>
      <c r="G1871" s="30" t="n">
        <v>0.150562377241557</v>
      </c>
      <c r="H1871" s="31" t="n">
        <f aca="false">MAX(D1871,F1871+0.015)</f>
        <v>0.104312413232556</v>
      </c>
      <c r="I1871" s="25" t="n">
        <f aca="false">(C1871-'DCF Base Case'!$B$3)*(1-E1871)+'DCF Base Case'!$B$3-G1871</f>
        <v>0.143223542959522</v>
      </c>
      <c r="J1871" s="24" t="n">
        <f aca="false">'DCF Base Case'!$B$2*(1+B1871)^1*$I1871-'DCF Base Case'!$B$2*(1+B1871)^0*B1871*'DCF Base Case'!$B$4</f>
        <v>21.870488472417</v>
      </c>
      <c r="K1871" s="24" t="n">
        <f aca="false">'DCF Base Case'!$B$2*(1+B1871)^2*$I1871-'DCF Base Case'!$B$2*(1+B1871)^1*B1871*'DCF Base Case'!$B$4</f>
        <v>23.339951559313</v>
      </c>
      <c r="L1871" s="24" t="n">
        <f aca="false">'DCF Base Case'!$B$2*(1+B1871)^3*$I1871-'DCF Base Case'!$B$2*(1+B1871)^2*B1871*'DCF Base Case'!$B$4</f>
        <v>24.9081468609225</v>
      </c>
      <c r="M1871" s="24" t="n">
        <f aca="false">'DCF Base Case'!$B$2*(1+B1871)^4*$I1871-'DCF Base Case'!$B$2*(1+B1871)^3*B1871*'DCF Base Case'!$B$4</f>
        <v>26.5817081268847</v>
      </c>
      <c r="N1871" s="24" t="n">
        <f aca="false">'DCF Base Case'!$B$2*(1+B1871)^5*$I1871-'DCF Base Case'!$B$2*(1+B1871)^4*B1871*'DCF Base Case'!$B$4</f>
        <v>28.3677148239168</v>
      </c>
      <c r="O1871" s="24" t="n">
        <f aca="false">J1871/(1+H1871)^1+K1871/(1+H1871)^2+L1871/(1+H1871)^3+M1871/(1+H1871)^4+N1871/(1+H1871)^5</f>
        <v>92.5855555089864</v>
      </c>
      <c r="P1871" s="24" t="n">
        <f aca="false">N1871*(1+F1871)/(H1871-F1871)</f>
        <v>324.659571652245</v>
      </c>
      <c r="Q1871" s="24" t="n">
        <f aca="false">O1871+P1871/(1+H1871)^5</f>
        <v>290.268154170369</v>
      </c>
      <c r="R1871" s="24" t="n">
        <f aca="false">Q1871-'DCF Base Case'!$B$5</f>
        <v>105.268154170369</v>
      </c>
      <c r="S1871" s="32" t="n">
        <f aca="false">R1871/'DCF Base Case'!$B$6</f>
        <v>4.21072616681476</v>
      </c>
    </row>
    <row r="1872" customFormat="false" ht="15" hidden="false" customHeight="true" outlineLevel="0" collapsed="false">
      <c r="A1872" s="6" t="n">
        <v>1871</v>
      </c>
      <c r="B1872" s="30" t="n">
        <v>0.0831840485478763</v>
      </c>
      <c r="C1872" s="30" t="n">
        <v>0.435447816080619</v>
      </c>
      <c r="D1872" s="30" t="n">
        <v>0.0708396758167166</v>
      </c>
      <c r="E1872" s="30" t="n">
        <v>0.247358654760013</v>
      </c>
      <c r="F1872" s="30" t="n">
        <v>0.0260923106384261</v>
      </c>
      <c r="G1872" s="30" t="n">
        <v>0.172415648076695</v>
      </c>
      <c r="H1872" s="31" t="n">
        <f aca="false">MAX(D1872,F1872+0.015)</f>
        <v>0.0708396758167166</v>
      </c>
      <c r="I1872" s="25" t="n">
        <f aca="false">(C1872-'DCF Base Case'!$B$3)*(1-E1872)+'DCF Base Case'!$B$3-G1872</f>
        <v>0.187477007118838</v>
      </c>
      <c r="J1872" s="24" t="n">
        <f aca="false">'DCF Base Case'!$B$2*(1+B1872)^1*$I1872-'DCF Base Case'!$B$2*(1+B1872)^0*B1872*'DCF Base Case'!$B$4</f>
        <v>29.083604408007</v>
      </c>
      <c r="K1872" s="24" t="n">
        <f aca="false">'DCF Base Case'!$B$2*(1+B1872)^2*$I1872-'DCF Base Case'!$B$2*(1+B1872)^1*B1872*'DCF Base Case'!$B$4</f>
        <v>31.5028963690298</v>
      </c>
      <c r="L1872" s="24" t="n">
        <f aca="false">'DCF Base Case'!$B$2*(1+B1872)^3*$I1872-'DCF Base Case'!$B$2*(1+B1872)^2*B1872*'DCF Base Case'!$B$4</f>
        <v>34.1234348299899</v>
      </c>
      <c r="M1872" s="24" t="n">
        <f aca="false">'DCF Base Case'!$B$2*(1+B1872)^4*$I1872-'DCF Base Case'!$B$2*(1+B1872)^3*B1872*'DCF Base Case'!$B$4</f>
        <v>36.9619602895081</v>
      </c>
      <c r="N1872" s="24" t="n">
        <f aca="false">'DCF Base Case'!$B$2*(1+B1872)^5*$I1872-'DCF Base Case'!$B$2*(1+B1872)^4*B1872*'DCF Base Case'!$B$4</f>
        <v>40.0366057886552</v>
      </c>
      <c r="O1872" s="24" t="n">
        <f aca="false">J1872/(1+H1872)^1+K1872/(1+H1872)^2+L1872/(1+H1872)^3+M1872/(1+H1872)^4+N1872/(1+H1872)^5</f>
        <v>138.965321316328</v>
      </c>
      <c r="P1872" s="24" t="n">
        <f aca="false">N1872*(1+F1872)/(H1872-F1872)</f>
        <v>918.070889316448</v>
      </c>
      <c r="Q1872" s="24" t="n">
        <f aca="false">O1872+P1872/(1+H1872)^5</f>
        <v>790.974856757729</v>
      </c>
      <c r="R1872" s="24" t="n">
        <f aca="false">Q1872-'DCF Base Case'!$B$5</f>
        <v>605.974856757729</v>
      </c>
      <c r="S1872" s="32" t="n">
        <f aca="false">R1872/'DCF Base Case'!$B$6</f>
        <v>24.2389942703091</v>
      </c>
    </row>
    <row r="1873" customFormat="false" ht="15" hidden="false" customHeight="true" outlineLevel="0" collapsed="false">
      <c r="A1873" s="6" t="n">
        <v>1872</v>
      </c>
      <c r="B1873" s="30" t="n">
        <v>0.0997032452553048</v>
      </c>
      <c r="C1873" s="30" t="n">
        <v>0.414044541285757</v>
      </c>
      <c r="D1873" s="30" t="n">
        <v>0.0901236341608983</v>
      </c>
      <c r="E1873" s="30" t="n">
        <v>0.251957047837489</v>
      </c>
      <c r="F1873" s="30" t="n">
        <v>0.0159189811725034</v>
      </c>
      <c r="G1873" s="30" t="n">
        <v>0.167571462103479</v>
      </c>
      <c r="H1873" s="31" t="n">
        <f aca="false">MAX(D1873,F1873+0.015)</f>
        <v>0.0901236341608983</v>
      </c>
      <c r="I1873" s="25" t="n">
        <f aca="false">(C1873-'DCF Base Case'!$B$3)*(1-E1873)+'DCF Base Case'!$B$3-G1873</f>
        <v>0.174906055105565</v>
      </c>
      <c r="J1873" s="24" t="n">
        <f aca="false">'DCF Base Case'!$B$2*(1+B1873)^1*$I1873-'DCF Base Case'!$B$2*(1+B1873)^0*B1873*'DCF Base Case'!$B$4</f>
        <v>27.4562805632264</v>
      </c>
      <c r="K1873" s="24" t="n">
        <f aca="false">'DCF Base Case'!$B$2*(1+B1873)^2*$I1873-'DCF Base Case'!$B$2*(1+B1873)^1*B1873*'DCF Base Case'!$B$4</f>
        <v>30.1937608380202</v>
      </c>
      <c r="L1873" s="24" t="n">
        <f aca="false">'DCF Base Case'!$B$2*(1+B1873)^3*$I1873-'DCF Base Case'!$B$2*(1+B1873)^2*B1873*'DCF Base Case'!$B$4</f>
        <v>33.2041767800334</v>
      </c>
      <c r="M1873" s="24" t="n">
        <f aca="false">'DCF Base Case'!$B$2*(1+B1873)^4*$I1873-'DCF Base Case'!$B$2*(1+B1873)^3*B1873*'DCF Base Case'!$B$4</f>
        <v>36.5147409610335</v>
      </c>
      <c r="N1873" s="24" t="n">
        <f aca="false">'DCF Base Case'!$B$2*(1+B1873)^5*$I1873-'DCF Base Case'!$B$2*(1+B1873)^4*B1873*'DCF Base Case'!$B$4</f>
        <v>40.1553791345054</v>
      </c>
      <c r="O1873" s="24" t="n">
        <f aca="false">J1873/(1+H1873)^1+K1873/(1+H1873)^2+L1873/(1+H1873)^3+M1873/(1+H1873)^4+N1873/(1+H1873)^5</f>
        <v>128.164781089788</v>
      </c>
      <c r="P1873" s="24" t="n">
        <f aca="false">N1873*(1+F1873)/(H1873-F1873)</f>
        <v>549.758138014638</v>
      </c>
      <c r="Q1873" s="24" t="n">
        <f aca="false">O1873+P1873/(1+H1873)^5</f>
        <v>485.267280663291</v>
      </c>
      <c r="R1873" s="24" t="n">
        <f aca="false">Q1873-'DCF Base Case'!$B$5</f>
        <v>300.267280663291</v>
      </c>
      <c r="S1873" s="32" t="n">
        <f aca="false">R1873/'DCF Base Case'!$B$6</f>
        <v>12.0106912265317</v>
      </c>
    </row>
    <row r="1874" customFormat="false" ht="15" hidden="false" customHeight="true" outlineLevel="0" collapsed="false">
      <c r="A1874" s="6" t="n">
        <v>1873</v>
      </c>
      <c r="B1874" s="30" t="n">
        <v>0.0476081508443782</v>
      </c>
      <c r="C1874" s="30" t="n">
        <v>0.389031708516733</v>
      </c>
      <c r="D1874" s="30" t="n">
        <v>0.0809941919263215</v>
      </c>
      <c r="E1874" s="30" t="n">
        <v>0.271721800070039</v>
      </c>
      <c r="F1874" s="30" t="n">
        <v>0.0171335853276222</v>
      </c>
      <c r="G1874" s="30" t="n">
        <v>0.14527064141491</v>
      </c>
      <c r="H1874" s="31" t="n">
        <f aca="false">MAX(D1874,F1874+0.015)</f>
        <v>0.0809941919263215</v>
      </c>
      <c r="I1874" s="25" t="n">
        <f aca="false">(C1874-'DCF Base Case'!$B$3)*(1-E1874)+'DCF Base Case'!$B$3-G1874</f>
        <v>0.173376504988439</v>
      </c>
      <c r="J1874" s="24" t="n">
        <f aca="false">'DCF Base Case'!$B$2*(1+B1874)^1*$I1874-'DCF Base Case'!$B$2*(1+B1874)^0*B1874*'DCF Base Case'!$B$4</f>
        <v>26.1293473134929</v>
      </c>
      <c r="K1874" s="24" t="n">
        <f aca="false">'DCF Base Case'!$B$2*(1+B1874)^2*$I1874-'DCF Base Case'!$B$2*(1+B1874)^1*B1874*'DCF Base Case'!$B$4</f>
        <v>27.3733172218588</v>
      </c>
      <c r="L1874" s="24" t="n">
        <f aca="false">'DCF Base Case'!$B$2*(1+B1874)^3*$I1874-'DCF Base Case'!$B$2*(1+B1874)^2*B1874*'DCF Base Case'!$B$4</f>
        <v>28.676510237268</v>
      </c>
      <c r="M1874" s="24" t="n">
        <f aca="false">'DCF Base Case'!$B$2*(1+B1874)^4*$I1874-'DCF Base Case'!$B$2*(1+B1874)^3*B1874*'DCF Base Case'!$B$4</f>
        <v>30.0417458623343</v>
      </c>
      <c r="N1874" s="24" t="n">
        <f aca="false">'DCF Base Case'!$B$2*(1+B1874)^5*$I1874-'DCF Base Case'!$B$2*(1+B1874)^4*B1874*'DCF Base Case'!$B$4</f>
        <v>31.4719778309767</v>
      </c>
      <c r="O1874" s="24" t="n">
        <f aca="false">J1874/(1+H1874)^1+K1874/(1+H1874)^2+L1874/(1+H1874)^3+M1874/(1+H1874)^4+N1874/(1+H1874)^5</f>
        <v>113.619677487425</v>
      </c>
      <c r="P1874" s="24" t="n">
        <f aca="false">N1874*(1+F1874)/(H1874-F1874)</f>
        <v>501.266858452059</v>
      </c>
      <c r="Q1874" s="24" t="n">
        <f aca="false">O1874+P1874/(1+H1874)^5</f>
        <v>453.207563350508</v>
      </c>
      <c r="R1874" s="24" t="n">
        <f aca="false">Q1874-'DCF Base Case'!$B$5</f>
        <v>268.207563350508</v>
      </c>
      <c r="S1874" s="32" t="n">
        <f aca="false">R1874/'DCF Base Case'!$B$6</f>
        <v>10.7283025340203</v>
      </c>
    </row>
    <row r="1875" customFormat="false" ht="15" hidden="false" customHeight="true" outlineLevel="0" collapsed="false">
      <c r="A1875" s="6" t="n">
        <v>1874</v>
      </c>
      <c r="B1875" s="30" t="n">
        <v>0.0530814900771947</v>
      </c>
      <c r="C1875" s="30" t="n">
        <v>0.402973836398903</v>
      </c>
      <c r="D1875" s="30" t="n">
        <v>0.0816986361452413</v>
      </c>
      <c r="E1875" s="30" t="n">
        <v>0.253636296886604</v>
      </c>
      <c r="F1875" s="30" t="n">
        <v>0.0195845146063674</v>
      </c>
      <c r="G1875" s="30" t="n">
        <v>0.159192650497856</v>
      </c>
      <c r="H1875" s="31" t="n">
        <f aca="false">MAX(D1875,F1875+0.015)</f>
        <v>0.0816986361452413</v>
      </c>
      <c r="I1875" s="25" t="n">
        <f aca="false">(C1875-'DCF Base Case'!$B$3)*(1-E1875)+'DCF Base Case'!$B$3-G1875</f>
        <v>0.1745451128899</v>
      </c>
      <c r="J1875" s="24" t="n">
        <f aca="false">'DCF Base Case'!$B$2*(1+B1875)^1*$I1875-'DCF Base Case'!$B$2*(1+B1875)^0*B1875*'DCF Base Case'!$B$4</f>
        <v>26.4215785154934</v>
      </c>
      <c r="K1875" s="24" t="n">
        <f aca="false">'DCF Base Case'!$B$2*(1+B1875)^2*$I1875-'DCF Base Case'!$B$2*(1+B1875)^1*B1875*'DCF Base Case'!$B$4</f>
        <v>27.8240752732874</v>
      </c>
      <c r="L1875" s="24" t="n">
        <f aca="false">'DCF Base Case'!$B$2*(1+B1875)^3*$I1875-'DCF Base Case'!$B$2*(1+B1875)^2*B1875*'DCF Base Case'!$B$4</f>
        <v>29.3010186488135</v>
      </c>
      <c r="M1875" s="24" t="n">
        <f aca="false">'DCF Base Case'!$B$2*(1+B1875)^4*$I1875-'DCF Base Case'!$B$2*(1+B1875)^3*B1875*'DCF Base Case'!$B$4</f>
        <v>30.8563603794722</v>
      </c>
      <c r="N1875" s="24" t="n">
        <f aca="false">'DCF Base Case'!$B$2*(1+B1875)^5*$I1875-'DCF Base Case'!$B$2*(1+B1875)^4*B1875*'DCF Base Case'!$B$4</f>
        <v>32.4942619667735</v>
      </c>
      <c r="O1875" s="24" t="n">
        <f aca="false">J1875/(1+H1875)^1+K1875/(1+H1875)^2+L1875/(1+H1875)^3+M1875/(1+H1875)^4+N1875/(1+H1875)^5</f>
        <v>115.836662264878</v>
      </c>
      <c r="P1875" s="24" t="n">
        <f aca="false">N1875*(1+F1875)/(H1875-F1875)</f>
        <v>533.383480182525</v>
      </c>
      <c r="Q1875" s="24" t="n">
        <f aca="false">O1875+P1875/(1+H1875)^5</f>
        <v>476.00717162625</v>
      </c>
      <c r="R1875" s="24" t="n">
        <f aca="false">Q1875-'DCF Base Case'!$B$5</f>
        <v>291.00717162625</v>
      </c>
      <c r="S1875" s="32" t="n">
        <f aca="false">R1875/'DCF Base Case'!$B$6</f>
        <v>11.64028686505</v>
      </c>
    </row>
    <row r="1876" customFormat="false" ht="15" hidden="false" customHeight="true" outlineLevel="0" collapsed="false">
      <c r="A1876" s="6" t="n">
        <v>1875</v>
      </c>
      <c r="B1876" s="30" t="n">
        <v>0.0801491413692264</v>
      </c>
      <c r="C1876" s="30" t="n">
        <v>0.369347002819009</v>
      </c>
      <c r="D1876" s="30" t="n">
        <v>0.0925104426353868</v>
      </c>
      <c r="E1876" s="30" t="n">
        <v>0.255469725092698</v>
      </c>
      <c r="F1876" s="30" t="n">
        <v>0.0195871925567212</v>
      </c>
      <c r="G1876" s="30" t="n">
        <v>0.148946020952158</v>
      </c>
      <c r="H1876" s="31" t="n">
        <f aca="false">MAX(D1876,F1876+0.015)</f>
        <v>0.0925104426353868</v>
      </c>
      <c r="I1876" s="25" t="n">
        <f aca="false">(C1876-'DCF Base Case'!$B$3)*(1-E1876)+'DCF Base Case'!$B$3-G1876</f>
        <v>0.159255068854918</v>
      </c>
      <c r="J1876" s="24" t="n">
        <f aca="false">'DCF Base Case'!$B$2*(1+B1876)^1*$I1876-'DCF Base Case'!$B$2*(1+B1876)^0*B1876*'DCF Base Case'!$B$4</f>
        <v>24.5941389879826</v>
      </c>
      <c r="K1876" s="24" t="n">
        <f aca="false">'DCF Base Case'!$B$2*(1+B1876)^2*$I1876-'DCF Base Case'!$B$2*(1+B1876)^1*B1876*'DCF Base Case'!$B$4</f>
        <v>26.5653381105848</v>
      </c>
      <c r="L1876" s="24" t="n">
        <f aca="false">'DCF Base Case'!$B$2*(1+B1876)^3*$I1876-'DCF Base Case'!$B$2*(1+B1876)^2*B1876*'DCF Base Case'!$B$4</f>
        <v>28.6945271503314</v>
      </c>
      <c r="M1876" s="24" t="n">
        <f aca="false">'DCF Base Case'!$B$2*(1+B1876)^4*$I1876-'DCF Base Case'!$B$2*(1+B1876)^3*B1876*'DCF Base Case'!$B$4</f>
        <v>30.9943688634264</v>
      </c>
      <c r="N1876" s="24" t="n">
        <f aca="false">'DCF Base Case'!$B$2*(1+B1876)^5*$I1876-'DCF Base Case'!$B$2*(1+B1876)^4*B1876*'DCF Base Case'!$B$4</f>
        <v>33.4785409151111</v>
      </c>
      <c r="O1876" s="24" t="n">
        <f aca="false">J1876/(1+H1876)^1+K1876/(1+H1876)^2+L1876/(1+H1876)^3+M1876/(1+H1876)^4+N1876/(1+H1876)^5</f>
        <v>110.039477303479</v>
      </c>
      <c r="P1876" s="24" t="n">
        <f aca="false">N1876*(1+F1876)/(H1876-F1876)</f>
        <v>468.085164960575</v>
      </c>
      <c r="Q1876" s="24" t="n">
        <f aca="false">O1876+P1876/(1+H1876)^5</f>
        <v>410.783422914255</v>
      </c>
      <c r="R1876" s="24" t="n">
        <f aca="false">Q1876-'DCF Base Case'!$B$5</f>
        <v>225.783422914255</v>
      </c>
      <c r="S1876" s="32" t="n">
        <f aca="false">R1876/'DCF Base Case'!$B$6</f>
        <v>9.0313369165702</v>
      </c>
    </row>
    <row r="1877" customFormat="false" ht="15" hidden="false" customHeight="true" outlineLevel="0" collapsed="false">
      <c r="A1877" s="6" t="n">
        <v>1876</v>
      </c>
      <c r="B1877" s="30" t="n">
        <v>0.0817575880528015</v>
      </c>
      <c r="C1877" s="30" t="n">
        <v>0.433713152874485</v>
      </c>
      <c r="D1877" s="30" t="n">
        <v>0.0908478002088371</v>
      </c>
      <c r="E1877" s="30" t="n">
        <v>0.31423166213525</v>
      </c>
      <c r="F1877" s="30" t="n">
        <v>0.0205261016308373</v>
      </c>
      <c r="G1877" s="30" t="n">
        <v>0.174436886396351</v>
      </c>
      <c r="H1877" s="31" t="n">
        <f aca="false">MAX(D1877,F1877+0.015)</f>
        <v>0.0908478002088371</v>
      </c>
      <c r="I1877" s="25" t="n">
        <f aca="false">(C1877-'DCF Base Case'!$B$3)*(1-E1877)+'DCF Base Case'!$B$3-G1877</f>
        <v>0.163839977638047</v>
      </c>
      <c r="J1877" s="24" t="n">
        <f aca="false">'DCF Base Case'!$B$2*(1+B1877)^1*$I1877-'DCF Base Case'!$B$2*(1+B1877)^0*B1877*'DCF Base Case'!$B$4</f>
        <v>25.3434496522424</v>
      </c>
      <c r="K1877" s="24" t="n">
        <f aca="false">'DCF Base Case'!$B$2*(1+B1877)^2*$I1877-'DCF Base Case'!$B$2*(1+B1877)^1*B1877*'DCF Base Case'!$B$4</f>
        <v>27.4154689687473</v>
      </c>
      <c r="L1877" s="24" t="n">
        <f aca="false">'DCF Base Case'!$B$2*(1+B1877)^3*$I1877-'DCF Base Case'!$B$2*(1+B1877)^2*B1877*'DCF Base Case'!$B$4</f>
        <v>29.6568915869685</v>
      </c>
      <c r="M1877" s="24" t="n">
        <f aca="false">'DCF Base Case'!$B$2*(1+B1877)^4*$I1877-'DCF Base Case'!$B$2*(1+B1877)^3*B1877*'DCF Base Case'!$B$4</f>
        <v>32.0815675122625</v>
      </c>
      <c r="N1877" s="24" t="n">
        <f aca="false">'DCF Base Case'!$B$2*(1+B1877)^5*$I1877-'DCF Base Case'!$B$2*(1+B1877)^4*B1877*'DCF Base Case'!$B$4</f>
        <v>34.7044790930182</v>
      </c>
      <c r="O1877" s="24" t="n">
        <f aca="false">J1877/(1+H1877)^1+K1877/(1+H1877)^2+L1877/(1+H1877)^3+M1877/(1+H1877)^4+N1877/(1+H1877)^5</f>
        <v>114.244043070131</v>
      </c>
      <c r="P1877" s="24" t="n">
        <f aca="false">N1877*(1+F1877)/(H1877-F1877)</f>
        <v>503.64009223473</v>
      </c>
      <c r="Q1877" s="24" t="n">
        <f aca="false">O1877+P1877/(1+H1877)^5</f>
        <v>440.305521889664</v>
      </c>
      <c r="R1877" s="24" t="n">
        <f aca="false">Q1877-'DCF Base Case'!$B$5</f>
        <v>255.305521889664</v>
      </c>
      <c r="S1877" s="32" t="n">
        <f aca="false">R1877/'DCF Base Case'!$B$6</f>
        <v>10.2122208755865</v>
      </c>
    </row>
    <row r="1878" customFormat="false" ht="15" hidden="false" customHeight="true" outlineLevel="0" collapsed="false">
      <c r="A1878" s="6" t="n">
        <v>1877</v>
      </c>
      <c r="B1878" s="30" t="n">
        <v>0.0536829954558806</v>
      </c>
      <c r="C1878" s="30" t="n">
        <v>0.392732273955562</v>
      </c>
      <c r="D1878" s="30" t="n">
        <v>0.0825260017496653</v>
      </c>
      <c r="E1878" s="30" t="n">
        <v>0.316919196732511</v>
      </c>
      <c r="F1878" s="30" t="n">
        <v>0.0173219444835427</v>
      </c>
      <c r="G1878" s="30" t="n">
        <v>0.171282928298347</v>
      </c>
      <c r="H1878" s="31" t="n">
        <f aca="false">MAX(D1878,F1878+0.015)</f>
        <v>0.0825260017496653</v>
      </c>
      <c r="I1878" s="25" t="n">
        <f aca="false">(C1878-'DCF Base Case'!$B$3)*(1-E1878)+'DCF Base Case'!$B$3-G1878</f>
        <v>0.138184444439512</v>
      </c>
      <c r="J1878" s="24" t="n">
        <f aca="false">'DCF Base Case'!$B$2*(1+B1878)^1*$I1878-'DCF Base Case'!$B$2*(1+B1878)^0*B1878*'DCF Base Case'!$B$4</f>
        <v>20.8788558744196</v>
      </c>
      <c r="K1878" s="24" t="n">
        <f aca="false">'DCF Base Case'!$B$2*(1+B1878)^2*$I1878-'DCF Base Case'!$B$2*(1+B1878)^1*B1878*'DCF Base Case'!$B$4</f>
        <v>21.99969539945</v>
      </c>
      <c r="L1878" s="24" t="n">
        <f aca="false">'DCF Base Case'!$B$2*(1+B1878)^3*$I1878-'DCF Base Case'!$B$2*(1+B1878)^2*B1878*'DCF Base Case'!$B$4</f>
        <v>23.1807049476095</v>
      </c>
      <c r="M1878" s="24" t="n">
        <f aca="false">'DCF Base Case'!$B$2*(1+B1878)^4*$I1878-'DCF Base Case'!$B$2*(1+B1878)^3*B1878*'DCF Base Case'!$B$4</f>
        <v>24.4251146259761</v>
      </c>
      <c r="N1878" s="24" t="n">
        <f aca="false">'DCF Base Case'!$B$2*(1+B1878)^5*$I1878-'DCF Base Case'!$B$2*(1+B1878)^4*B1878*'DCF Base Case'!$B$4</f>
        <v>25.7363279434517</v>
      </c>
      <c r="O1878" s="24" t="n">
        <f aca="false">J1878/(1+H1878)^1+K1878/(1+H1878)^2+L1878/(1+H1878)^3+M1878/(1+H1878)^4+N1878/(1+H1878)^5</f>
        <v>91.4320199414303</v>
      </c>
      <c r="P1878" s="24" t="n">
        <f aca="false">N1878*(1+F1878)/(H1878-F1878)</f>
        <v>401.541442128964</v>
      </c>
      <c r="Q1878" s="24" t="n">
        <f aca="false">O1878+P1878/(1+H1878)^5</f>
        <v>361.540793478892</v>
      </c>
      <c r="R1878" s="24" t="n">
        <f aca="false">Q1878-'DCF Base Case'!$B$5</f>
        <v>176.540793478892</v>
      </c>
      <c r="S1878" s="32" t="n">
        <f aca="false">R1878/'DCF Base Case'!$B$6</f>
        <v>7.06163173915566</v>
      </c>
    </row>
    <row r="1879" customFormat="false" ht="15" hidden="false" customHeight="true" outlineLevel="0" collapsed="false">
      <c r="A1879" s="6" t="n">
        <v>1878</v>
      </c>
      <c r="B1879" s="30" t="n">
        <v>0.094684711303997</v>
      </c>
      <c r="C1879" s="30" t="n">
        <v>0.437880320598769</v>
      </c>
      <c r="D1879" s="30" t="n">
        <v>0.0835288150946325</v>
      </c>
      <c r="E1879" s="30" t="n">
        <v>0.305071542670327</v>
      </c>
      <c r="F1879" s="30" t="n">
        <v>0.0127783472203255</v>
      </c>
      <c r="G1879" s="30" t="n">
        <v>0.13459610983948</v>
      </c>
      <c r="H1879" s="31" t="n">
        <f aca="false">MAX(D1879,F1879+0.015)</f>
        <v>0.0835288150946325</v>
      </c>
      <c r="I1879" s="25" t="n">
        <f aca="false">(C1879-'DCF Base Case'!$B$3)*(1-E1879)+'DCF Base Case'!$B$3-G1879</f>
        <v>0.209358686396388</v>
      </c>
      <c r="J1879" s="24" t="n">
        <f aca="false">'DCF Base Case'!$B$2*(1+B1879)^1*$I1879-'DCF Base Case'!$B$2*(1+B1879)^0*B1879*'DCF Base Case'!$B$4</f>
        <v>32.8194757164656</v>
      </c>
      <c r="K1879" s="24" t="n">
        <f aca="false">'DCF Base Case'!$B$2*(1+B1879)^2*$I1879-'DCF Base Case'!$B$2*(1+B1879)^1*B1879*'DCF Base Case'!$B$4</f>
        <v>35.9269782998277</v>
      </c>
      <c r="L1879" s="24" t="n">
        <f aca="false">'DCF Base Case'!$B$2*(1+B1879)^3*$I1879-'DCF Base Case'!$B$2*(1+B1879)^2*B1879*'DCF Base Case'!$B$4</f>
        <v>39.3287138681718</v>
      </c>
      <c r="M1879" s="24" t="n">
        <f aca="false">'DCF Base Case'!$B$2*(1+B1879)^4*$I1879-'DCF Base Case'!$B$2*(1+B1879)^3*B1879*'DCF Base Case'!$B$4</f>
        <v>43.0525417867372</v>
      </c>
      <c r="N1879" s="24" t="n">
        <f aca="false">'DCF Base Case'!$B$2*(1+B1879)^5*$I1879-'DCF Base Case'!$B$2*(1+B1879)^4*B1879*'DCF Base Case'!$B$4</f>
        <v>47.1289592767177</v>
      </c>
      <c r="O1879" s="24" t="n">
        <f aca="false">J1879/(1+H1879)^1+K1879/(1+H1879)^2+L1879/(1+H1879)^3+M1879/(1+H1879)^4+N1879/(1+H1879)^5</f>
        <v>154.598017215113</v>
      </c>
      <c r="P1879" s="24" t="n">
        <f aca="false">N1879*(1+F1879)/(H1879-F1879)</f>
        <v>674.641326291804</v>
      </c>
      <c r="Q1879" s="24" t="n">
        <f aca="false">O1879+P1879/(1+H1879)^5</f>
        <v>606.319364175598</v>
      </c>
      <c r="R1879" s="24" t="n">
        <f aca="false">Q1879-'DCF Base Case'!$B$5</f>
        <v>421.319364175598</v>
      </c>
      <c r="S1879" s="32" t="n">
        <f aca="false">R1879/'DCF Base Case'!$B$6</f>
        <v>16.8527745670239</v>
      </c>
    </row>
    <row r="1880" customFormat="false" ht="15" hidden="false" customHeight="true" outlineLevel="0" collapsed="false">
      <c r="A1880" s="6" t="n">
        <v>1879</v>
      </c>
      <c r="B1880" s="30" t="n">
        <v>0.0474850004750294</v>
      </c>
      <c r="C1880" s="30" t="n">
        <v>0.413381082813838</v>
      </c>
      <c r="D1880" s="30" t="n">
        <v>0.0924103363156761</v>
      </c>
      <c r="E1880" s="30" t="n">
        <v>0.307214907819532</v>
      </c>
      <c r="F1880" s="30" t="n">
        <v>0.0166023053217908</v>
      </c>
      <c r="G1880" s="30" t="n">
        <v>0.153854453697356</v>
      </c>
      <c r="H1880" s="31" t="n">
        <f aca="false">MAX(D1880,F1880+0.015)</f>
        <v>0.0924103363156761</v>
      </c>
      <c r="I1880" s="25" t="n">
        <f aca="false">(C1880-'DCF Base Case'!$B$3)*(1-E1880)+'DCF Base Case'!$B$3-G1880</f>
        <v>0.17246773588203</v>
      </c>
      <c r="J1880" s="24" t="n">
        <f aca="false">'DCF Base Case'!$B$2*(1+B1880)^1*$I1880-'DCF Base Case'!$B$2*(1+B1880)^0*B1880*'DCF Base Case'!$B$4</f>
        <v>25.9887583762693</v>
      </c>
      <c r="K1880" s="24" t="n">
        <f aca="false">'DCF Base Case'!$B$2*(1+B1880)^2*$I1880-'DCF Base Case'!$B$2*(1+B1880)^1*B1880*'DCF Base Case'!$B$4</f>
        <v>27.2228345801119</v>
      </c>
      <c r="L1880" s="24" t="n">
        <f aca="false">'DCF Base Case'!$B$2*(1+B1880)^3*$I1880-'DCF Base Case'!$B$2*(1+B1880)^2*B1880*'DCF Base Case'!$B$4</f>
        <v>28.5155108930801</v>
      </c>
      <c r="M1880" s="24" t="n">
        <f aca="false">'DCF Base Case'!$B$2*(1+B1880)^4*$I1880-'DCF Base Case'!$B$2*(1+B1880)^3*B1880*'DCF Base Case'!$B$4</f>
        <v>29.8695699413837</v>
      </c>
      <c r="N1880" s="24" t="n">
        <f aca="false">'DCF Base Case'!$B$2*(1+B1880)^5*$I1880-'DCF Base Case'!$B$2*(1+B1880)^4*B1880*'DCF Base Case'!$B$4</f>
        <v>31.2879264842393</v>
      </c>
      <c r="O1880" s="24" t="n">
        <f aca="false">J1880/(1+H1880)^1+K1880/(1+H1880)^2+L1880/(1+H1880)^3+M1880/(1+H1880)^4+N1880/(1+H1880)^5</f>
        <v>109.561851317563</v>
      </c>
      <c r="P1880" s="24" t="n">
        <f aca="false">N1880*(1+F1880)/(H1880-F1880)</f>
        <v>419.577949401983</v>
      </c>
      <c r="Q1880" s="24" t="n">
        <f aca="false">O1880+P1880/(1+H1880)^5</f>
        <v>379.263531698479</v>
      </c>
      <c r="R1880" s="24" t="n">
        <f aca="false">Q1880-'DCF Base Case'!$B$5</f>
        <v>194.263531698479</v>
      </c>
      <c r="S1880" s="32" t="n">
        <f aca="false">R1880/'DCF Base Case'!$B$6</f>
        <v>7.77054126793917</v>
      </c>
    </row>
    <row r="1881" customFormat="false" ht="15" hidden="false" customHeight="true" outlineLevel="0" collapsed="false">
      <c r="A1881" s="6" t="n">
        <v>1880</v>
      </c>
      <c r="B1881" s="30" t="n">
        <v>0.0875303402896425</v>
      </c>
      <c r="C1881" s="30" t="n">
        <v>0.440496683661237</v>
      </c>
      <c r="D1881" s="30" t="n">
        <v>0.103632109403843</v>
      </c>
      <c r="E1881" s="30" t="n">
        <v>0.304009030225943</v>
      </c>
      <c r="F1881" s="30" t="n">
        <v>0.0205283562476301</v>
      </c>
      <c r="G1881" s="30" t="n">
        <v>0.196649338892893</v>
      </c>
      <c r="H1881" s="31" t="n">
        <f aca="false">MAX(D1881,F1881+0.015)</f>
        <v>0.103632109403843</v>
      </c>
      <c r="I1881" s="25" t="n">
        <f aca="false">(C1881-'DCF Base Case'!$B$3)*(1-E1881)+'DCF Base Case'!$B$3-G1881</f>
        <v>0.14945354908012</v>
      </c>
      <c r="J1881" s="24" t="n">
        <f aca="false">'DCF Base Case'!$B$2*(1+B1881)^1*$I1881-'DCF Base Case'!$B$2*(1+B1881)^0*B1881*'DCF Base Case'!$B$4</f>
        <v>23.1868570375867</v>
      </c>
      <c r="K1881" s="24" t="n">
        <f aca="false">'DCF Base Case'!$B$2*(1+B1881)^2*$I1881-'DCF Base Case'!$B$2*(1+B1881)^1*B1881*'DCF Base Case'!$B$4</f>
        <v>25.216410524334</v>
      </c>
      <c r="L1881" s="24" t="n">
        <f aca="false">'DCF Base Case'!$B$2*(1+B1881)^3*$I1881-'DCF Base Case'!$B$2*(1+B1881)^2*B1881*'DCF Base Case'!$B$4</f>
        <v>27.4236115184122</v>
      </c>
      <c r="M1881" s="24" t="n">
        <f aca="false">'DCF Base Case'!$B$2*(1+B1881)^4*$I1881-'DCF Base Case'!$B$2*(1+B1881)^3*B1881*'DCF Base Case'!$B$4</f>
        <v>29.8240095665898</v>
      </c>
      <c r="N1881" s="24" t="n">
        <f aca="false">'DCF Base Case'!$B$2*(1+B1881)^5*$I1881-'DCF Base Case'!$B$2*(1+B1881)^4*B1881*'DCF Base Case'!$B$4</f>
        <v>32.434515272755</v>
      </c>
      <c r="O1881" s="24" t="n">
        <f aca="false">J1881/(1+H1881)^1+K1881/(1+H1881)^2+L1881/(1+H1881)^3+M1881/(1+H1881)^4+N1881/(1+H1881)^5</f>
        <v>102.027084723277</v>
      </c>
      <c r="P1881" s="24" t="n">
        <f aca="false">N1881*(1+F1881)/(H1881-F1881)</f>
        <v>398.30141599951</v>
      </c>
      <c r="Q1881" s="24" t="n">
        <f aca="false">O1881+P1881/(1+H1881)^5</f>
        <v>345.298013345692</v>
      </c>
      <c r="R1881" s="24" t="n">
        <f aca="false">Q1881-'DCF Base Case'!$B$5</f>
        <v>160.298013345692</v>
      </c>
      <c r="S1881" s="32" t="n">
        <f aca="false">R1881/'DCF Base Case'!$B$6</f>
        <v>6.41192053382766</v>
      </c>
    </row>
    <row r="1882" customFormat="false" ht="15" hidden="false" customHeight="true" outlineLevel="0" collapsed="false">
      <c r="A1882" s="6" t="n">
        <v>1881</v>
      </c>
      <c r="B1882" s="30" t="n">
        <v>0.0846674514764107</v>
      </c>
      <c r="C1882" s="30" t="n">
        <v>0.404109969311898</v>
      </c>
      <c r="D1882" s="30" t="n">
        <v>0.0835807566732481</v>
      </c>
      <c r="E1882" s="30" t="n">
        <v>0.258986659608614</v>
      </c>
      <c r="F1882" s="30" t="n">
        <v>0.0186800820330895</v>
      </c>
      <c r="G1882" s="30" t="n">
        <v>0.142970411290193</v>
      </c>
      <c r="H1882" s="31" t="n">
        <f aca="false">MAX(D1882,F1882+0.015)</f>
        <v>0.0835807566732481</v>
      </c>
      <c r="I1882" s="25" t="n">
        <f aca="false">(C1882-'DCF Base Case'!$B$3)*(1-E1882)+'DCF Base Case'!$B$3-G1882</f>
        <v>0.190148732704197</v>
      </c>
      <c r="J1882" s="24" t="n">
        <f aca="false">'DCF Base Case'!$B$2*(1+B1882)^1*$I1882-'DCF Base Case'!$B$2*(1+B1882)^0*B1882*'DCF Base Case'!$B$4</f>
        <v>29.5376770751185</v>
      </c>
      <c r="K1882" s="24" t="n">
        <f aca="false">'DCF Base Case'!$B$2*(1+B1882)^2*$I1882-'DCF Base Case'!$B$2*(1+B1882)^1*B1882*'DCF Base Case'!$B$4</f>
        <v>32.038556915602</v>
      </c>
      <c r="L1882" s="24" t="n">
        <f aca="false">'DCF Base Case'!$B$2*(1+B1882)^3*$I1882-'DCF Base Case'!$B$2*(1+B1882)^2*B1882*'DCF Base Case'!$B$4</f>
        <v>34.751179878628</v>
      </c>
      <c r="M1882" s="24" t="n">
        <f aca="false">'DCF Base Case'!$B$2*(1+B1882)^4*$I1882-'DCF Base Case'!$B$2*(1+B1882)^3*B1882*'DCF Base Case'!$B$4</f>
        <v>37.6934737147497</v>
      </c>
      <c r="N1882" s="24" t="n">
        <f aca="false">'DCF Base Case'!$B$2*(1+B1882)^5*$I1882-'DCF Base Case'!$B$2*(1+B1882)^4*B1882*'DCF Base Case'!$B$4</f>
        <v>40.8848840714707</v>
      </c>
      <c r="O1882" s="24" t="n">
        <f aca="false">J1882/(1+H1882)^1+K1882/(1+H1882)^2+L1882/(1+H1882)^3+M1882/(1+H1882)^4+N1882/(1+H1882)^5</f>
        <v>136.570262372128</v>
      </c>
      <c r="P1882" s="24" t="n">
        <f aca="false">N1882*(1+F1882)/(H1882-F1882)</f>
        <v>641.728568936449</v>
      </c>
      <c r="Q1882" s="24" t="n">
        <f aca="false">O1882+P1882/(1+H1882)^5</f>
        <v>566.151153938943</v>
      </c>
      <c r="R1882" s="24" t="n">
        <f aca="false">Q1882-'DCF Base Case'!$B$5</f>
        <v>381.151153938943</v>
      </c>
      <c r="S1882" s="32" t="n">
        <f aca="false">R1882/'DCF Base Case'!$B$6</f>
        <v>15.2460461575577</v>
      </c>
    </row>
    <row r="1883" customFormat="false" ht="15" hidden="false" customHeight="true" outlineLevel="0" collapsed="false">
      <c r="A1883" s="6" t="n">
        <v>1882</v>
      </c>
      <c r="B1883" s="30" t="n">
        <v>0.112370328523077</v>
      </c>
      <c r="C1883" s="30" t="n">
        <v>0.4322379391816</v>
      </c>
      <c r="D1883" s="30" t="n">
        <v>0.100725186373026</v>
      </c>
      <c r="E1883" s="30" t="n">
        <v>0.250657320557253</v>
      </c>
      <c r="F1883" s="30" t="n">
        <v>0.0255623576744361</v>
      </c>
      <c r="G1883" s="30" t="n">
        <v>0.135221060193686</v>
      </c>
      <c r="H1883" s="31" t="n">
        <f aca="false">MAX(D1883,F1883+0.015)</f>
        <v>0.100725186373026</v>
      </c>
      <c r="I1883" s="25" t="n">
        <f aca="false">(C1883-'DCF Base Case'!$B$3)*(1-E1883)+'DCF Base Case'!$B$3-G1883</f>
        <v>0.221258726981908</v>
      </c>
      <c r="J1883" s="24" t="n">
        <f aca="false">'DCF Base Case'!$B$2*(1+B1883)^1*$I1883-'DCF Base Case'!$B$2*(1+B1883)^0*B1883*'DCF Base Case'!$B$4</f>
        <v>35.1988272800367</v>
      </c>
      <c r="K1883" s="24" t="n">
        <f aca="false">'DCF Base Case'!$B$2*(1+B1883)^2*$I1883-'DCF Base Case'!$B$2*(1+B1883)^1*B1883*'DCF Base Case'!$B$4</f>
        <v>39.1541310651215</v>
      </c>
      <c r="L1883" s="24" t="n">
        <f aca="false">'DCF Base Case'!$B$2*(1+B1883)^3*$I1883-'DCF Base Case'!$B$2*(1+B1883)^2*B1883*'DCF Base Case'!$B$4</f>
        <v>43.5538936359448</v>
      </c>
      <c r="M1883" s="24" t="n">
        <f aca="false">'DCF Base Case'!$B$2*(1+B1883)^4*$I1883-'DCF Base Case'!$B$2*(1+B1883)^3*B1883*'DCF Base Case'!$B$4</f>
        <v>48.4480589722751</v>
      </c>
      <c r="N1883" s="24" t="n">
        <f aca="false">'DCF Base Case'!$B$2*(1+B1883)^5*$I1883-'DCF Base Case'!$B$2*(1+B1883)^4*B1883*'DCF Base Case'!$B$4</f>
        <v>53.8921832752951</v>
      </c>
      <c r="O1883" s="24" t="n">
        <f aca="false">J1883/(1+H1883)^1+K1883/(1+H1883)^2+L1883/(1+H1883)^3+M1883/(1+H1883)^4+N1883/(1+H1883)^5</f>
        <v>163.308344824045</v>
      </c>
      <c r="P1883" s="24" t="n">
        <f aca="false">N1883*(1+F1883)/(H1883-F1883)</f>
        <v>735.334147170959</v>
      </c>
      <c r="Q1883" s="24" t="n">
        <f aca="false">O1883+P1883/(1+H1883)^5</f>
        <v>618.390927683116</v>
      </c>
      <c r="R1883" s="24" t="n">
        <f aca="false">Q1883-'DCF Base Case'!$B$5</f>
        <v>433.390927683116</v>
      </c>
      <c r="S1883" s="32" t="n">
        <f aca="false">R1883/'DCF Base Case'!$B$6</f>
        <v>17.3356371073247</v>
      </c>
    </row>
    <row r="1884" customFormat="false" ht="15" hidden="false" customHeight="true" outlineLevel="0" collapsed="false">
      <c r="A1884" s="6" t="n">
        <v>1883</v>
      </c>
      <c r="B1884" s="30" t="n">
        <v>0.0640206736003418</v>
      </c>
      <c r="C1884" s="30" t="n">
        <v>0.390830751135776</v>
      </c>
      <c r="D1884" s="30" t="n">
        <v>0.0993849276116685</v>
      </c>
      <c r="E1884" s="30" t="n">
        <v>0.28623018644471</v>
      </c>
      <c r="F1884" s="30" t="n">
        <v>0.0184050144682246</v>
      </c>
      <c r="G1884" s="30" t="n">
        <v>0.149257304038305</v>
      </c>
      <c r="H1884" s="31" t="n">
        <f aca="false">MAX(D1884,F1884+0.015)</f>
        <v>0.0993849276116685</v>
      </c>
      <c r="I1884" s="25" t="n">
        <f aca="false">(C1884-'DCF Base Case'!$B$3)*(1-E1884)+'DCF Base Case'!$B$3-G1884</f>
        <v>0.166915812569364</v>
      </c>
      <c r="J1884" s="24" t="n">
        <f aca="false">'DCF Base Case'!$B$2*(1+B1884)^1*$I1884-'DCF Base Case'!$B$2*(1+B1884)^0*B1884*'DCF Base Case'!$B$4</f>
        <v>25.473781991906</v>
      </c>
      <c r="K1884" s="24" t="n">
        <f aca="false">'DCF Base Case'!$B$2*(1+B1884)^2*$I1884-'DCF Base Case'!$B$2*(1+B1884)^1*B1884*'DCF Base Case'!$B$4</f>
        <v>27.1046306741761</v>
      </c>
      <c r="L1884" s="24" t="n">
        <f aca="false">'DCF Base Case'!$B$2*(1+B1884)^3*$I1884-'DCF Base Case'!$B$2*(1+B1884)^2*B1884*'DCF Base Case'!$B$4</f>
        <v>28.8398873876253</v>
      </c>
      <c r="M1884" s="24" t="n">
        <f aca="false">'DCF Base Case'!$B$2*(1+B1884)^4*$I1884-'DCF Base Case'!$B$2*(1+B1884)^3*B1884*'DCF Base Case'!$B$4</f>
        <v>30.6862364047391</v>
      </c>
      <c r="N1884" s="24" t="n">
        <f aca="false">'DCF Base Case'!$B$2*(1+B1884)^5*$I1884-'DCF Base Case'!$B$2*(1+B1884)^4*B1884*'DCF Base Case'!$B$4</f>
        <v>32.6507899296298</v>
      </c>
      <c r="O1884" s="24" t="n">
        <f aca="false">J1884/(1+H1884)^1+K1884/(1+H1884)^2+L1884/(1+H1884)^3+M1884/(1+H1884)^4+N1884/(1+H1884)^5</f>
        <v>108.637158026723</v>
      </c>
      <c r="P1884" s="24" t="n">
        <f aca="false">N1884*(1+F1884)/(H1884-F1884)</f>
        <v>410.61699006497</v>
      </c>
      <c r="Q1884" s="24" t="n">
        <f aca="false">O1884+P1884/(1+H1884)^5</f>
        <v>364.312015400823</v>
      </c>
      <c r="R1884" s="24" t="n">
        <f aca="false">Q1884-'DCF Base Case'!$B$5</f>
        <v>179.312015400823</v>
      </c>
      <c r="S1884" s="32" t="n">
        <f aca="false">R1884/'DCF Base Case'!$B$6</f>
        <v>7.17248061603292</v>
      </c>
    </row>
    <row r="1885" customFormat="false" ht="15" hidden="false" customHeight="true" outlineLevel="0" collapsed="false">
      <c r="A1885" s="6" t="n">
        <v>1884</v>
      </c>
      <c r="B1885" s="30" t="n">
        <v>0.0605451765272353</v>
      </c>
      <c r="C1885" s="30" t="n">
        <v>0.426464589407773</v>
      </c>
      <c r="D1885" s="30" t="n">
        <v>0.093785031871535</v>
      </c>
      <c r="E1885" s="30" t="n">
        <v>0.320464515394132</v>
      </c>
      <c r="F1885" s="30" t="n">
        <v>0.0207635475692963</v>
      </c>
      <c r="G1885" s="30" t="n">
        <v>0.124059387313275</v>
      </c>
      <c r="H1885" s="31" t="n">
        <f aca="false">MAX(D1885,F1885+0.015)</f>
        <v>0.093785031871535</v>
      </c>
      <c r="I1885" s="25" t="n">
        <f aca="false">(C1885-'DCF Base Case'!$B$3)*(1-E1885)+'DCF Base Case'!$B$3-G1885</f>
        <v>0.207398821118416</v>
      </c>
      <c r="J1885" s="24" t="n">
        <f aca="false">'DCF Base Case'!$B$2*(1+B1885)^1*$I1885-'DCF Base Case'!$B$2*(1+B1885)^0*B1885*'DCF Base Case'!$B$4</f>
        <v>31.6302222885193</v>
      </c>
      <c r="K1885" s="24" t="n">
        <f aca="false">'DCF Base Case'!$B$2*(1+B1885)^2*$I1885-'DCF Base Case'!$B$2*(1+B1885)^1*B1885*'DCF Base Case'!$B$4</f>
        <v>33.5452796805734</v>
      </c>
      <c r="L1885" s="24" t="n">
        <f aca="false">'DCF Base Case'!$B$2*(1+B1885)^3*$I1885-'DCF Base Case'!$B$2*(1+B1885)^2*B1885*'DCF Base Case'!$B$4</f>
        <v>35.5762845604892</v>
      </c>
      <c r="M1885" s="24" t="n">
        <f aca="false">'DCF Base Case'!$B$2*(1+B1885)^4*$I1885-'DCF Base Case'!$B$2*(1+B1885)^3*B1885*'DCF Base Case'!$B$4</f>
        <v>37.7302569893871</v>
      </c>
      <c r="N1885" s="24" t="n">
        <f aca="false">'DCF Base Case'!$B$2*(1+B1885)^5*$I1885-'DCF Base Case'!$B$2*(1+B1885)^4*B1885*'DCF Base Case'!$B$4</f>
        <v>40.0146420592276</v>
      </c>
      <c r="O1885" s="24" t="n">
        <f aca="false">J1885/(1+H1885)^1+K1885/(1+H1885)^2+L1885/(1+H1885)^3+M1885/(1+H1885)^4+N1885/(1+H1885)^5</f>
        <v>136.06555790162</v>
      </c>
      <c r="P1885" s="24" t="n">
        <f aca="false">N1885*(1+F1885)/(H1885-F1885)</f>
        <v>559.362609147079</v>
      </c>
      <c r="Q1885" s="24" t="n">
        <f aca="false">O1885+P1885/(1+H1885)^5</f>
        <v>493.365999498501</v>
      </c>
      <c r="R1885" s="24" t="n">
        <f aca="false">Q1885-'DCF Base Case'!$B$5</f>
        <v>308.365999498501</v>
      </c>
      <c r="S1885" s="32" t="n">
        <f aca="false">R1885/'DCF Base Case'!$B$6</f>
        <v>12.3346399799401</v>
      </c>
    </row>
    <row r="1886" customFormat="false" ht="15" hidden="false" customHeight="true" outlineLevel="0" collapsed="false">
      <c r="A1886" s="6" t="n">
        <v>1885</v>
      </c>
      <c r="B1886" s="30" t="n">
        <v>0.0630913997651773</v>
      </c>
      <c r="C1886" s="30" t="n">
        <v>0.414769284588063</v>
      </c>
      <c r="D1886" s="30" t="n">
        <v>0.0809331127224038</v>
      </c>
      <c r="E1886" s="30" t="n">
        <v>0.266050815445229</v>
      </c>
      <c r="F1886" s="30" t="n">
        <v>0.0148599137168317</v>
      </c>
      <c r="G1886" s="30" t="n">
        <v>0.187906148285991</v>
      </c>
      <c r="H1886" s="31" t="n">
        <f aca="false">MAX(D1886,F1886+0.015)</f>
        <v>0.0809331127224038</v>
      </c>
      <c r="I1886" s="25" t="n">
        <f aca="false">(C1886-'DCF Base Case'!$B$3)*(1-E1886)+'DCF Base Case'!$B$3-G1886</f>
        <v>0.151100035923663</v>
      </c>
      <c r="J1886" s="24" t="n">
        <f aca="false">'DCF Base Case'!$B$2*(1+B1886)^1*$I1886-'DCF Base Case'!$B$2*(1+B1886)^0*B1886*'DCF Base Case'!$B$4</f>
        <v>23.0173589717466</v>
      </c>
      <c r="K1886" s="24" t="n">
        <f aca="false">'DCF Base Case'!$B$2*(1+B1886)^2*$I1886-'DCF Base Case'!$B$2*(1+B1886)^1*B1886*'DCF Base Case'!$B$4</f>
        <v>24.4695563681716</v>
      </c>
      <c r="L1886" s="24" t="n">
        <f aca="false">'DCF Base Case'!$B$2*(1+B1886)^3*$I1886-'DCF Base Case'!$B$2*(1+B1886)^2*B1886*'DCF Base Case'!$B$4</f>
        <v>26.0133749310725</v>
      </c>
      <c r="M1886" s="24" t="n">
        <f aca="false">'DCF Base Case'!$B$2*(1+B1886)^4*$I1886-'DCF Base Case'!$B$2*(1+B1886)^3*B1886*'DCF Base Case'!$B$4</f>
        <v>27.6545951680902</v>
      </c>
      <c r="N1886" s="24" t="n">
        <f aca="false">'DCF Base Case'!$B$2*(1+B1886)^5*$I1886-'DCF Base Case'!$B$2*(1+B1886)^4*B1886*'DCF Base Case'!$B$4</f>
        <v>29.3993622871844</v>
      </c>
      <c r="O1886" s="24" t="n">
        <f aca="false">J1886/(1+H1886)^1+K1886/(1+H1886)^2+L1886/(1+H1886)^3+M1886/(1+H1886)^4+N1886/(1+H1886)^5</f>
        <v>103.012644901489</v>
      </c>
      <c r="P1886" s="24" t="n">
        <f aca="false">N1886*(1+F1886)/(H1886-F1886)</f>
        <v>451.563337679255</v>
      </c>
      <c r="Q1886" s="24" t="n">
        <f aca="false">O1886+P1886/(1+H1886)^5</f>
        <v>409.0148594326</v>
      </c>
      <c r="R1886" s="24" t="n">
        <f aca="false">Q1886-'DCF Base Case'!$B$5</f>
        <v>224.0148594326</v>
      </c>
      <c r="S1886" s="32" t="n">
        <f aca="false">R1886/'DCF Base Case'!$B$6</f>
        <v>8.96059437730398</v>
      </c>
    </row>
    <row r="1887" customFormat="false" ht="15" hidden="false" customHeight="true" outlineLevel="0" collapsed="false">
      <c r="A1887" s="6" t="n">
        <v>1886</v>
      </c>
      <c r="B1887" s="30" t="n">
        <v>0.0997429677149574</v>
      </c>
      <c r="C1887" s="30" t="n">
        <v>0.4274655406191</v>
      </c>
      <c r="D1887" s="30" t="n">
        <v>0.0780303752633644</v>
      </c>
      <c r="E1887" s="30" t="n">
        <v>0.284751735669427</v>
      </c>
      <c r="F1887" s="30" t="n">
        <v>0.0139793396917079</v>
      </c>
      <c r="G1887" s="30" t="n">
        <v>0.162468335451266</v>
      </c>
      <c r="H1887" s="31" t="n">
        <f aca="false">MAX(D1887,F1887+0.015)</f>
        <v>0.0780303752633644</v>
      </c>
      <c r="I1887" s="25" t="n">
        <f aca="false">(C1887-'DCF Base Case'!$B$3)*(1-E1887)+'DCF Base Case'!$B$3-G1887</f>
        <v>0.180293376174701</v>
      </c>
      <c r="J1887" s="24" t="n">
        <f aca="false">'DCF Base Case'!$B$2*(1+B1887)^1*$I1887-'DCF Base Case'!$B$2*(1+B1887)^0*B1887*'DCF Base Case'!$B$4</f>
        <v>28.3161921136286</v>
      </c>
      <c r="K1887" s="24" t="n">
        <f aca="false">'DCF Base Case'!$B$2*(1+B1887)^2*$I1887-'DCF Base Case'!$B$2*(1+B1887)^1*B1887*'DCF Base Case'!$B$4</f>
        <v>31.1405331494288</v>
      </c>
      <c r="L1887" s="24" t="n">
        <f aca="false">'DCF Base Case'!$B$2*(1+B1887)^3*$I1887-'DCF Base Case'!$B$2*(1+B1887)^2*B1887*'DCF Base Case'!$B$4</f>
        <v>34.2465823419788</v>
      </c>
      <c r="M1887" s="24" t="n">
        <f aca="false">'DCF Base Case'!$B$2*(1+B1887)^4*$I1887-'DCF Base Case'!$B$2*(1+B1887)^3*B1887*'DCF Base Case'!$B$4</f>
        <v>37.6624380988624</v>
      </c>
      <c r="N1887" s="24" t="n">
        <f aca="false">'DCF Base Case'!$B$2*(1+B1887)^5*$I1887-'DCF Base Case'!$B$2*(1+B1887)^4*B1887*'DCF Base Case'!$B$4</f>
        <v>41.4190014462238</v>
      </c>
      <c r="O1887" s="24" t="n">
        <f aca="false">J1887/(1+H1887)^1+K1887/(1+H1887)^2+L1887/(1+H1887)^3+M1887/(1+H1887)^4+N1887/(1+H1887)^5</f>
        <v>136.730979318831</v>
      </c>
      <c r="P1887" s="24" t="n">
        <f aca="false">N1887*(1+F1887)/(H1887-F1887)</f>
        <v>655.696061153407</v>
      </c>
      <c r="Q1887" s="24" t="n">
        <f aca="false">O1887+P1887/(1+H1887)^5</f>
        <v>587.078301709986</v>
      </c>
      <c r="R1887" s="24" t="n">
        <f aca="false">Q1887-'DCF Base Case'!$B$5</f>
        <v>402.078301709986</v>
      </c>
      <c r="S1887" s="32" t="n">
        <f aca="false">R1887/'DCF Base Case'!$B$6</f>
        <v>16.0831320683994</v>
      </c>
    </row>
    <row r="1888" customFormat="false" ht="15" hidden="false" customHeight="true" outlineLevel="0" collapsed="false">
      <c r="A1888" s="6" t="n">
        <v>1887</v>
      </c>
      <c r="B1888" s="30" t="n">
        <v>0.0453557763987028</v>
      </c>
      <c r="C1888" s="30" t="n">
        <v>0.367467373410329</v>
      </c>
      <c r="D1888" s="30" t="n">
        <v>0.0814545697132279</v>
      </c>
      <c r="E1888" s="30" t="n">
        <v>0.340681228482824</v>
      </c>
      <c r="F1888" s="30" t="n">
        <v>0.0125055031829449</v>
      </c>
      <c r="G1888" s="30" t="n">
        <v>0.140671427748684</v>
      </c>
      <c r="H1888" s="31" t="n">
        <f aca="false">MAX(D1888,F1888+0.015)</f>
        <v>0.0814545697132279</v>
      </c>
      <c r="I1888" s="25" t="n">
        <f aca="false">(C1888-'DCF Base Case'!$B$3)*(1-E1888)+'DCF Base Case'!$B$3-G1888</f>
        <v>0.145895269163625</v>
      </c>
      <c r="J1888" s="24" t="n">
        <f aca="false">'DCF Base Case'!$B$2*(1+B1888)^1*$I1888-'DCF Base Case'!$B$2*(1+B1888)^0*B1888*'DCF Base Case'!$B$4</f>
        <v>21.9170094162342</v>
      </c>
      <c r="K1888" s="24" t="n">
        <f aca="false">'DCF Base Case'!$B$2*(1+B1888)^2*$I1888-'DCF Base Case'!$B$2*(1+B1888)^1*B1888*'DCF Base Case'!$B$4</f>
        <v>22.9110723946452</v>
      </c>
      <c r="L1888" s="24" t="n">
        <f aca="false">'DCF Base Case'!$B$2*(1+B1888)^3*$I1888-'DCF Base Case'!$B$2*(1+B1888)^2*B1888*'DCF Base Case'!$B$4</f>
        <v>23.9502218712312</v>
      </c>
      <c r="M1888" s="24" t="n">
        <f aca="false">'DCF Base Case'!$B$2*(1+B1888)^4*$I1888-'DCF Base Case'!$B$2*(1+B1888)^3*B1888*'DCF Base Case'!$B$4</f>
        <v>25.0365027791221</v>
      </c>
      <c r="N1888" s="24" t="n">
        <f aca="false">'DCF Base Case'!$B$2*(1+B1888)^5*$I1888-'DCF Base Case'!$B$2*(1+B1888)^4*B1888*'DCF Base Case'!$B$4</f>
        <v>26.1720528009775</v>
      </c>
      <c r="O1888" s="24" t="n">
        <f aca="false">J1888/(1+H1888)^1+K1888/(1+H1888)^2+L1888/(1+H1888)^3+M1888/(1+H1888)^4+N1888/(1+H1888)^5</f>
        <v>94.7883884044816</v>
      </c>
      <c r="P1888" s="24" t="n">
        <f aca="false">N1888*(1+F1888)/(H1888-F1888)</f>
        <v>384.332215417965</v>
      </c>
      <c r="Q1888" s="24" t="n">
        <f aca="false">O1888+P1888/(1+H1888)^5</f>
        <v>354.60408721379</v>
      </c>
      <c r="R1888" s="24" t="n">
        <f aca="false">Q1888-'DCF Base Case'!$B$5</f>
        <v>169.60408721379</v>
      </c>
      <c r="S1888" s="32" t="n">
        <f aca="false">R1888/'DCF Base Case'!$B$6</f>
        <v>6.78416348855159</v>
      </c>
    </row>
    <row r="1889" customFormat="false" ht="15" hidden="false" customHeight="true" outlineLevel="0" collapsed="false">
      <c r="A1889" s="6" t="n">
        <v>1888</v>
      </c>
      <c r="B1889" s="30" t="n">
        <v>0.09449220247417</v>
      </c>
      <c r="C1889" s="30" t="n">
        <v>0.447113682891266</v>
      </c>
      <c r="D1889" s="30" t="n">
        <v>0.0872238974668688</v>
      </c>
      <c r="E1889" s="30" t="n">
        <v>0.301124402968103</v>
      </c>
      <c r="F1889" s="30" t="n">
        <v>0.0180231171525001</v>
      </c>
      <c r="G1889" s="30" t="n">
        <v>0.154917504370338</v>
      </c>
      <c r="H1889" s="31" t="n">
        <f aca="false">MAX(D1889,F1889+0.015)</f>
        <v>0.0872238974668688</v>
      </c>
      <c r="I1889" s="25" t="n">
        <f aca="false">(C1889-'DCF Base Case'!$B$3)*(1-E1889)+'DCF Base Case'!$B$3-G1889</f>
        <v>0.196705510087279</v>
      </c>
      <c r="J1889" s="24" t="n">
        <f aca="false">'DCF Base Case'!$B$2*(1+B1889)^1*$I1889-'DCF Base Case'!$B$2*(1+B1889)^0*B1889*'DCF Base Case'!$B$4</f>
        <v>30.8063927305009</v>
      </c>
      <c r="K1889" s="24" t="n">
        <f aca="false">'DCF Base Case'!$B$2*(1+B1889)^2*$I1889-'DCF Base Case'!$B$2*(1+B1889)^1*B1889*'DCF Base Case'!$B$4</f>
        <v>33.7173566298902</v>
      </c>
      <c r="L1889" s="24" t="n">
        <f aca="false">'DCF Base Case'!$B$2*(1+B1889)^3*$I1889-'DCF Base Case'!$B$2*(1+B1889)^2*B1889*'DCF Base Case'!$B$4</f>
        <v>36.9033839194556</v>
      </c>
      <c r="M1889" s="24" t="n">
        <f aca="false">'DCF Base Case'!$B$2*(1+B1889)^4*$I1889-'DCF Base Case'!$B$2*(1+B1889)^3*B1889*'DCF Base Case'!$B$4</f>
        <v>40.3904659447548</v>
      </c>
      <c r="N1889" s="24" t="n">
        <f aca="false">'DCF Base Case'!$B$2*(1+B1889)^5*$I1889-'DCF Base Case'!$B$2*(1+B1889)^4*B1889*'DCF Base Case'!$B$4</f>
        <v>44.2070500308327</v>
      </c>
      <c r="O1889" s="24" t="n">
        <f aca="false">J1889/(1+H1889)^1+K1889/(1+H1889)^2+L1889/(1+H1889)^3+M1889/(1+H1889)^4+N1889/(1+H1889)^5</f>
        <v>143.581506829936</v>
      </c>
      <c r="P1889" s="24" t="n">
        <f aca="false">N1889*(1+F1889)/(H1889-F1889)</f>
        <v>650.336581004713</v>
      </c>
      <c r="Q1889" s="24" t="n">
        <f aca="false">O1889+P1889/(1+H1889)^5</f>
        <v>571.679542220573</v>
      </c>
      <c r="R1889" s="24" t="n">
        <f aca="false">Q1889-'DCF Base Case'!$B$5</f>
        <v>386.679542220573</v>
      </c>
      <c r="S1889" s="32" t="n">
        <f aca="false">R1889/'DCF Base Case'!$B$6</f>
        <v>15.4671816888229</v>
      </c>
    </row>
    <row r="1890" customFormat="false" ht="15" hidden="false" customHeight="true" outlineLevel="0" collapsed="false">
      <c r="A1890" s="6" t="n">
        <v>1889</v>
      </c>
      <c r="B1890" s="30" t="n">
        <v>0.0916652268912621</v>
      </c>
      <c r="C1890" s="30" t="n">
        <v>0.400863463937058</v>
      </c>
      <c r="D1890" s="30" t="n">
        <v>0.0929669627258952</v>
      </c>
      <c r="E1890" s="30" t="n">
        <v>0.250910343717294</v>
      </c>
      <c r="F1890" s="30" t="n">
        <v>0.0225493277508753</v>
      </c>
      <c r="G1890" s="30" t="n">
        <v>0.166093390971435</v>
      </c>
      <c r="H1890" s="31" t="n">
        <f aca="false">MAX(D1890,F1890+0.015)</f>
        <v>0.0929669627258952</v>
      </c>
      <c r="I1890" s="25" t="n">
        <f aca="false">(C1890-'DCF Base Case'!$B$3)*(1-E1890)+'DCF Base Case'!$B$3-G1890</f>
        <v>0.166807628128719</v>
      </c>
      <c r="J1890" s="24" t="n">
        <f aca="false">'DCF Base Case'!$B$2*(1+B1890)^1*$I1890-'DCF Base Case'!$B$2*(1+B1890)^0*B1890*'DCF Base Case'!$B$4</f>
        <v>26.005478908231</v>
      </c>
      <c r="K1890" s="24" t="n">
        <f aca="false">'DCF Base Case'!$B$2*(1+B1890)^2*$I1890-'DCF Base Case'!$B$2*(1+B1890)^1*B1890*'DCF Base Case'!$B$4</f>
        <v>28.38927703277</v>
      </c>
      <c r="L1890" s="24" t="n">
        <f aca="false">'DCF Base Case'!$B$2*(1+B1890)^3*$I1890-'DCF Base Case'!$B$2*(1+B1890)^2*B1890*'DCF Base Case'!$B$4</f>
        <v>30.9915865532577</v>
      </c>
      <c r="M1890" s="24" t="n">
        <f aca="false">'DCF Base Case'!$B$2*(1+B1890)^4*$I1890-'DCF Base Case'!$B$2*(1+B1890)^3*B1890*'DCF Base Case'!$B$4</f>
        <v>33.8324373663823</v>
      </c>
      <c r="N1890" s="24" t="n">
        <f aca="false">'DCF Base Case'!$B$2*(1+B1890)^5*$I1890-'DCF Base Case'!$B$2*(1+B1890)^4*B1890*'DCF Base Case'!$B$4</f>
        <v>36.9336954138561</v>
      </c>
      <c r="O1890" s="24" t="n">
        <f aca="false">J1890/(1+H1890)^1+K1890/(1+H1890)^2+L1890/(1+H1890)^3+M1890/(1+H1890)^4+N1890/(1+H1890)^5</f>
        <v>118.684314789688</v>
      </c>
      <c r="P1890" s="24" t="n">
        <f aca="false">N1890*(1+F1890)/(H1890-F1890)</f>
        <v>536.321980001054</v>
      </c>
      <c r="Q1890" s="24" t="n">
        <f aca="false">O1890+P1890/(1+H1890)^5</f>
        <v>462.551253736684</v>
      </c>
      <c r="R1890" s="24" t="n">
        <f aca="false">Q1890-'DCF Base Case'!$B$5</f>
        <v>277.551253736684</v>
      </c>
      <c r="S1890" s="32" t="n">
        <f aca="false">R1890/'DCF Base Case'!$B$6</f>
        <v>11.1020501494674</v>
      </c>
    </row>
    <row r="1891" customFormat="false" ht="15" hidden="false" customHeight="true" outlineLevel="0" collapsed="false">
      <c r="A1891" s="6" t="n">
        <v>1890</v>
      </c>
      <c r="B1891" s="30" t="n">
        <v>0.0855517549403704</v>
      </c>
      <c r="C1891" s="30" t="n">
        <v>0.377872904321012</v>
      </c>
      <c r="D1891" s="30" t="n">
        <v>0.0742223246080234</v>
      </c>
      <c r="E1891" s="30" t="n">
        <v>0.316209701129512</v>
      </c>
      <c r="F1891" s="30" t="n">
        <v>0.018546438622138</v>
      </c>
      <c r="G1891" s="30" t="n">
        <v>0.171604550925611</v>
      </c>
      <c r="H1891" s="31" t="n">
        <f aca="false">MAX(D1891,F1891+0.015)</f>
        <v>0.0742223246080234</v>
      </c>
      <c r="I1891" s="25" t="n">
        <f aca="false">(C1891-'DCF Base Case'!$B$3)*(1-E1891)+'DCF Base Case'!$B$3-G1891</f>
        <v>0.12788853640195</v>
      </c>
      <c r="J1891" s="24" t="n">
        <f aca="false">'DCF Base Case'!$B$2*(1+B1891)^1*$I1891-'DCF Base Case'!$B$2*(1+B1891)^0*B1891*'DCF Base Case'!$B$4</f>
        <v>19.7581455095537</v>
      </c>
      <c r="K1891" s="24" t="n">
        <f aca="false">'DCF Base Case'!$B$2*(1+B1891)^2*$I1891-'DCF Base Case'!$B$2*(1+B1891)^1*B1891*'DCF Base Case'!$B$4</f>
        <v>21.4484895322632</v>
      </c>
      <c r="L1891" s="24" t="n">
        <f aca="false">'DCF Base Case'!$B$2*(1+B1891)^3*$I1891-'DCF Base Case'!$B$2*(1+B1891)^2*B1891*'DCF Base Case'!$B$4</f>
        <v>23.2834454525685</v>
      </c>
      <c r="M1891" s="24" t="n">
        <f aca="false">'DCF Base Case'!$B$2*(1+B1891)^4*$I1891-'DCF Base Case'!$B$2*(1+B1891)^3*B1891*'DCF Base Case'!$B$4</f>
        <v>25.2753850720941</v>
      </c>
      <c r="N1891" s="24" t="n">
        <f aca="false">'DCF Base Case'!$B$2*(1+B1891)^5*$I1891-'DCF Base Case'!$B$2*(1+B1891)^4*B1891*'DCF Base Case'!$B$4</f>
        <v>27.4377386218054</v>
      </c>
      <c r="O1891" s="24" t="n">
        <f aca="false">J1891/(1+H1891)^1+K1891/(1+H1891)^2+L1891/(1+H1891)^3+M1891/(1+H1891)^4+N1891/(1+H1891)^5</f>
        <v>93.9252872201392</v>
      </c>
      <c r="P1891" s="24" t="n">
        <f aca="false">N1891*(1+F1891)/(H1891-F1891)</f>
        <v>501.951795866704</v>
      </c>
      <c r="Q1891" s="24" t="n">
        <f aca="false">O1891+P1891/(1+H1891)^5</f>
        <v>444.831569873897</v>
      </c>
      <c r="R1891" s="24" t="n">
        <f aca="false">Q1891-'DCF Base Case'!$B$5</f>
        <v>259.831569873897</v>
      </c>
      <c r="S1891" s="32" t="n">
        <f aca="false">R1891/'DCF Base Case'!$B$6</f>
        <v>10.3932627949559</v>
      </c>
    </row>
    <row r="1892" customFormat="false" ht="15" hidden="false" customHeight="true" outlineLevel="0" collapsed="false">
      <c r="A1892" s="6" t="n">
        <v>1891</v>
      </c>
      <c r="B1892" s="30" t="n">
        <v>0.0707860716566476</v>
      </c>
      <c r="C1892" s="30" t="n">
        <v>0.40703993019318</v>
      </c>
      <c r="D1892" s="30" t="n">
        <v>0.0699063274706802</v>
      </c>
      <c r="E1892" s="30" t="n">
        <v>0.282500613822508</v>
      </c>
      <c r="F1892" s="30" t="n">
        <v>0.020669689486028</v>
      </c>
      <c r="G1892" s="30" t="n">
        <v>0.172613217802522</v>
      </c>
      <c r="H1892" s="31" t="n">
        <f aca="false">MAX(D1892,F1892+0.015)</f>
        <v>0.0699063274706802</v>
      </c>
      <c r="I1892" s="25" t="n">
        <f aca="false">(C1892-'DCF Base Case'!$B$3)*(1-E1892)+'DCF Base Case'!$B$3-G1892</f>
        <v>0.15616276205774</v>
      </c>
      <c r="J1892" s="24" t="n">
        <f aca="false">'DCF Base Case'!$B$2*(1+B1892)^1*$I1892-'DCF Base Case'!$B$2*(1+B1892)^0*B1892*'DCF Base Case'!$B$4</f>
        <v>23.9385326141081</v>
      </c>
      <c r="K1892" s="24" t="n">
        <f aca="false">'DCF Base Case'!$B$2*(1+B1892)^2*$I1892-'DCF Base Case'!$B$2*(1+B1892)^1*B1892*'DCF Base Case'!$B$4</f>
        <v>25.6330472990854</v>
      </c>
      <c r="L1892" s="24" t="n">
        <f aca="false">'DCF Base Case'!$B$2*(1+B1892)^3*$I1892-'DCF Base Case'!$B$2*(1+B1892)^2*B1892*'DCF Base Case'!$B$4</f>
        <v>27.4475100219767</v>
      </c>
      <c r="M1892" s="24" t="n">
        <f aca="false">'DCF Base Case'!$B$2*(1+B1892)^4*$I1892-'DCF Base Case'!$B$2*(1+B1892)^3*B1892*'DCF Base Case'!$B$4</f>
        <v>29.3904114331889</v>
      </c>
      <c r="N1892" s="24" t="n">
        <f aca="false">'DCF Base Case'!$B$2*(1+B1892)^5*$I1892-'DCF Base Case'!$B$2*(1+B1892)^4*B1892*'DCF Base Case'!$B$4</f>
        <v>31.4708432029169</v>
      </c>
      <c r="O1892" s="24" t="n">
        <f aca="false">J1892/(1+H1892)^1+K1892/(1+H1892)^2+L1892/(1+H1892)^3+M1892/(1+H1892)^4+N1892/(1+H1892)^5</f>
        <v>112.056223580201</v>
      </c>
      <c r="P1892" s="24" t="n">
        <f aca="false">N1892*(1+F1892)/(H1892-F1892)</f>
        <v>652.38686219391</v>
      </c>
      <c r="Q1892" s="24" t="n">
        <f aca="false">O1892+P1892/(1+H1892)^5</f>
        <v>577.402696775325</v>
      </c>
      <c r="R1892" s="24" t="n">
        <f aca="false">Q1892-'DCF Base Case'!$B$5</f>
        <v>392.402696775325</v>
      </c>
      <c r="S1892" s="32" t="n">
        <f aca="false">R1892/'DCF Base Case'!$B$6</f>
        <v>15.696107871013</v>
      </c>
    </row>
    <row r="1893" customFormat="false" ht="15" hidden="false" customHeight="true" outlineLevel="0" collapsed="false">
      <c r="A1893" s="6" t="n">
        <v>1892</v>
      </c>
      <c r="B1893" s="30" t="n">
        <v>0.0702578745100643</v>
      </c>
      <c r="C1893" s="30" t="n">
        <v>0.399661288427923</v>
      </c>
      <c r="D1893" s="30" t="n">
        <v>0.090909135605798</v>
      </c>
      <c r="E1893" s="30" t="n">
        <v>0.273980935443122</v>
      </c>
      <c r="F1893" s="30" t="n">
        <v>0.0182288740972151</v>
      </c>
      <c r="G1893" s="30" t="n">
        <v>0.206925648422192</v>
      </c>
      <c r="H1893" s="31" t="n">
        <f aca="false">MAX(D1893,F1893+0.015)</f>
        <v>0.090909135605798</v>
      </c>
      <c r="I1893" s="25" t="n">
        <f aca="false">(C1893-'DCF Base Case'!$B$3)*(1-E1893)+'DCF Base Case'!$B$3-G1893</f>
        <v>0.118853587949451</v>
      </c>
      <c r="J1893" s="24" t="n">
        <f aca="false">'DCF Base Case'!$B$2*(1+B1893)^1*$I1893-'DCF Base Case'!$B$2*(1+B1893)^0*B1893*'DCF Base Case'!$B$4</f>
        <v>18.138956566299</v>
      </c>
      <c r="K1893" s="24" t="n">
        <f aca="false">'DCF Base Case'!$B$2*(1+B1893)^2*$I1893-'DCF Base Case'!$B$2*(1+B1893)^1*B1893*'DCF Base Case'!$B$4</f>
        <v>19.4133611004776</v>
      </c>
      <c r="L1893" s="24" t="n">
        <f aca="false">'DCF Base Case'!$B$2*(1+B1893)^3*$I1893-'DCF Base Case'!$B$2*(1+B1893)^2*B1893*'DCF Base Case'!$B$4</f>
        <v>20.7773025884935</v>
      </c>
      <c r="M1893" s="24" t="n">
        <f aca="false">'DCF Base Case'!$B$2*(1+B1893)^4*$I1893-'DCF Base Case'!$B$2*(1+B1893)^3*B1893*'DCF Base Case'!$B$4</f>
        <v>22.2370717064135</v>
      </c>
      <c r="N1893" s="24" t="n">
        <f aca="false">'DCF Base Case'!$B$2*(1+B1893)^5*$I1893-'DCF Base Case'!$B$2*(1+B1893)^4*B1893*'DCF Base Case'!$B$4</f>
        <v>23.799401099834</v>
      </c>
      <c r="O1893" s="24" t="n">
        <f aca="false">J1893/(1+H1893)^1+K1893/(1+H1893)^2+L1893/(1+H1893)^3+M1893/(1+H1893)^4+N1893/(1+H1893)^5</f>
        <v>80.0482885549108</v>
      </c>
      <c r="P1893" s="24" t="n">
        <f aca="false">N1893*(1+F1893)/(H1893-F1893)</f>
        <v>333.422539807597</v>
      </c>
      <c r="Q1893" s="24" t="n">
        <f aca="false">O1893+P1893/(1+H1893)^5</f>
        <v>295.848597429896</v>
      </c>
      <c r="R1893" s="24" t="n">
        <f aca="false">Q1893-'DCF Base Case'!$B$5</f>
        <v>110.848597429896</v>
      </c>
      <c r="S1893" s="32" t="n">
        <f aca="false">R1893/'DCF Base Case'!$B$6</f>
        <v>4.43394389719586</v>
      </c>
    </row>
    <row r="1894" customFormat="false" ht="15" hidden="false" customHeight="true" outlineLevel="0" collapsed="false">
      <c r="A1894" s="6" t="n">
        <v>1893</v>
      </c>
      <c r="B1894" s="30" t="n">
        <v>0.0692237018336748</v>
      </c>
      <c r="C1894" s="30" t="n">
        <v>0.428472593909359</v>
      </c>
      <c r="D1894" s="30" t="n">
        <v>0.0722985127014458</v>
      </c>
      <c r="E1894" s="30" t="n">
        <v>0.299627258216077</v>
      </c>
      <c r="F1894" s="30" t="n">
        <v>0.0218942381755608</v>
      </c>
      <c r="G1894" s="30" t="n">
        <v>0.154922647778144</v>
      </c>
      <c r="H1894" s="31" t="n">
        <f aca="false">MAX(D1894,F1894+0.015)</f>
        <v>0.0722985127014458</v>
      </c>
      <c r="I1894" s="25" t="n">
        <f aca="false">(C1894-'DCF Base Case'!$B$3)*(1-E1894)+'DCF Base Case'!$B$3-G1894</f>
        <v>0.184119421165513</v>
      </c>
      <c r="J1894" s="24" t="n">
        <f aca="false">'DCF Base Case'!$B$2*(1+B1894)^1*$I1894-'DCF Base Case'!$B$2*(1+B1894)^0*B1894*'DCF Base Case'!$B$4</f>
        <v>28.2442800133427</v>
      </c>
      <c r="K1894" s="24" t="n">
        <f aca="false">'DCF Base Case'!$B$2*(1+B1894)^2*$I1894-'DCF Base Case'!$B$2*(1+B1894)^1*B1894*'DCF Base Case'!$B$4</f>
        <v>30.1994536314932</v>
      </c>
      <c r="L1894" s="24" t="n">
        <f aca="false">'DCF Base Case'!$B$2*(1+B1894)^3*$I1894-'DCF Base Case'!$B$2*(1+B1894)^2*B1894*'DCF Base Case'!$B$4</f>
        <v>32.2899716052195</v>
      </c>
      <c r="M1894" s="24" t="n">
        <f aca="false">'DCF Base Case'!$B$2*(1+B1894)^4*$I1894-'DCF Base Case'!$B$2*(1+B1894)^3*B1894*'DCF Base Case'!$B$4</f>
        <v>34.5252029718371</v>
      </c>
      <c r="N1894" s="24" t="n">
        <f aca="false">'DCF Base Case'!$B$2*(1+B1894)^5*$I1894-'DCF Base Case'!$B$2*(1+B1894)^4*B1894*'DCF Base Case'!$B$4</f>
        <v>36.9151653281066</v>
      </c>
      <c r="O1894" s="24" t="n">
        <f aca="false">J1894/(1+H1894)^1+K1894/(1+H1894)^2+L1894/(1+H1894)^3+M1894/(1+H1894)^4+N1894/(1+H1894)^5</f>
        <v>130.946573261367</v>
      </c>
      <c r="P1894" s="24" t="n">
        <f aca="false">N1894*(1+F1894)/(H1894-F1894)</f>
        <v>748.416579842205</v>
      </c>
      <c r="Q1894" s="24" t="n">
        <f aca="false">O1894+P1894/(1+H1894)^5</f>
        <v>658.862642736309</v>
      </c>
      <c r="R1894" s="24" t="n">
        <f aca="false">Q1894-'DCF Base Case'!$B$5</f>
        <v>473.862642736309</v>
      </c>
      <c r="S1894" s="32" t="n">
        <f aca="false">R1894/'DCF Base Case'!$B$6</f>
        <v>18.9545057094524</v>
      </c>
    </row>
    <row r="1895" customFormat="false" ht="15" hidden="false" customHeight="true" outlineLevel="0" collapsed="false">
      <c r="A1895" s="6" t="n">
        <v>1894</v>
      </c>
      <c r="B1895" s="30" t="n">
        <v>0.0636338125414285</v>
      </c>
      <c r="C1895" s="30" t="n">
        <v>0.368323106309455</v>
      </c>
      <c r="D1895" s="30" t="n">
        <v>0.0782337514018213</v>
      </c>
      <c r="E1895" s="30" t="n">
        <v>0.295559714556327</v>
      </c>
      <c r="F1895" s="30" t="n">
        <v>0.0149603403606596</v>
      </c>
      <c r="G1895" s="30" t="n">
        <v>0.167385347236244</v>
      </c>
      <c r="H1895" s="31" t="n">
        <f aca="false">MAX(D1895,F1895+0.015)</f>
        <v>0.0782337514018213</v>
      </c>
      <c r="I1895" s="25" t="n">
        <f aca="false">(C1895-'DCF Base Case'!$B$3)*(1-E1895)+'DCF Base Case'!$B$3-G1895</f>
        <v>0.130499049800211</v>
      </c>
      <c r="J1895" s="24" t="n">
        <f aca="false">'DCF Base Case'!$B$2*(1+B1895)^1*$I1895-'DCF Base Case'!$B$2*(1+B1895)^0*B1895*'DCF Base Case'!$B$4</f>
        <v>19.8496571868895</v>
      </c>
      <c r="K1895" s="24" t="n">
        <f aca="false">'DCF Base Case'!$B$2*(1+B1895)^2*$I1895-'DCF Base Case'!$B$2*(1+B1895)^1*B1895*'DCF Base Case'!$B$4</f>
        <v>21.1127665513316</v>
      </c>
      <c r="L1895" s="24" t="n">
        <f aca="false">'DCF Base Case'!$B$2*(1+B1895)^3*$I1895-'DCF Base Case'!$B$2*(1+B1895)^2*B1895*'DCF Base Case'!$B$4</f>
        <v>22.45625238029</v>
      </c>
      <c r="M1895" s="24" t="n">
        <f aca="false">'DCF Base Case'!$B$2*(1+B1895)^4*$I1895-'DCF Base Case'!$B$2*(1+B1895)^3*B1895*'DCF Base Case'!$B$4</f>
        <v>23.8852293346404</v>
      </c>
      <c r="N1895" s="24" t="n">
        <f aca="false">'DCF Base Case'!$B$2*(1+B1895)^5*$I1895-'DCF Base Case'!$B$2*(1+B1895)^4*B1895*'DCF Base Case'!$B$4</f>
        <v>25.4051375406299</v>
      </c>
      <c r="O1895" s="24" t="n">
        <f aca="false">J1895/(1+H1895)^1+K1895/(1+H1895)^2+L1895/(1+H1895)^3+M1895/(1+H1895)^4+N1895/(1+H1895)^5</f>
        <v>89.5878746846958</v>
      </c>
      <c r="P1895" s="24" t="n">
        <f aca="false">N1895*(1+F1895)/(H1895-F1895)</f>
        <v>407.520420044573</v>
      </c>
      <c r="Q1895" s="24" t="n">
        <f aca="false">O1895+P1895/(1+H1895)^5</f>
        <v>369.218519552339</v>
      </c>
      <c r="R1895" s="24" t="n">
        <f aca="false">Q1895-'DCF Base Case'!$B$5</f>
        <v>184.218519552339</v>
      </c>
      <c r="S1895" s="32" t="n">
        <f aca="false">R1895/'DCF Base Case'!$B$6</f>
        <v>7.36874078209356</v>
      </c>
    </row>
    <row r="1896" customFormat="false" ht="15" hidden="false" customHeight="true" outlineLevel="0" collapsed="false">
      <c r="A1896" s="6" t="n">
        <v>1895</v>
      </c>
      <c r="B1896" s="30" t="n">
        <v>0.0586968278243798</v>
      </c>
      <c r="C1896" s="30" t="n">
        <v>0.397221967587664</v>
      </c>
      <c r="D1896" s="30" t="n">
        <v>0.072382517053814</v>
      </c>
      <c r="E1896" s="30" t="n">
        <v>0.277490177470912</v>
      </c>
      <c r="F1896" s="30" t="n">
        <v>0.0173435399887563</v>
      </c>
      <c r="G1896" s="30" t="n">
        <v>0.141628801022847</v>
      </c>
      <c r="H1896" s="31" t="n">
        <f aca="false">MAX(D1896,F1896+0.015)</f>
        <v>0.072382517053814</v>
      </c>
      <c r="I1896" s="25" t="n">
        <f aca="false">(C1896-'DCF Base Case'!$B$3)*(1-E1896)+'DCF Base Case'!$B$3-G1896</f>
        <v>0.18144169535479</v>
      </c>
      <c r="J1896" s="24" t="n">
        <f aca="false">'DCF Base Case'!$B$2*(1+B1896)^1*$I1896-'DCF Base Case'!$B$2*(1+B1896)^0*B1896*'DCF Base Case'!$B$4</f>
        <v>27.597972158507</v>
      </c>
      <c r="K1896" s="24" t="n">
        <f aca="false">'DCF Base Case'!$B$2*(1+B1896)^2*$I1896-'DCF Base Case'!$B$2*(1+B1896)^1*B1896*'DCF Base Case'!$B$4</f>
        <v>29.2178855785969</v>
      </c>
      <c r="L1896" s="24" t="n">
        <f aca="false">'DCF Base Case'!$B$2*(1+B1896)^3*$I1896-'DCF Base Case'!$B$2*(1+B1896)^2*B1896*'DCF Base Case'!$B$4</f>
        <v>30.9328827777963</v>
      </c>
      <c r="M1896" s="24" t="n">
        <f aca="false">'DCF Base Case'!$B$2*(1+B1896)^4*$I1896-'DCF Base Case'!$B$2*(1+B1896)^3*B1896*'DCF Base Case'!$B$4</f>
        <v>32.7485448723163</v>
      </c>
      <c r="N1896" s="24" t="n">
        <f aca="false">'DCF Base Case'!$B$2*(1+B1896)^5*$I1896-'DCF Base Case'!$B$2*(1+B1896)^4*B1896*'DCF Base Case'!$B$4</f>
        <v>34.6707805721856</v>
      </c>
      <c r="O1896" s="24" t="n">
        <f aca="false">J1896/(1+H1896)^1+K1896/(1+H1896)^2+L1896/(1+H1896)^3+M1896/(1+H1896)^4+N1896/(1+H1896)^5</f>
        <v>125.433305715721</v>
      </c>
      <c r="P1896" s="24" t="n">
        <f aca="false">N1896*(1+F1896)/(H1896-F1896)</f>
        <v>640.856653272971</v>
      </c>
      <c r="Q1896" s="24" t="n">
        <f aca="false">O1896+P1896/(1+H1896)^5</f>
        <v>577.302018416999</v>
      </c>
      <c r="R1896" s="24" t="n">
        <f aca="false">Q1896-'DCF Base Case'!$B$5</f>
        <v>392.302018416999</v>
      </c>
      <c r="S1896" s="32" t="n">
        <f aca="false">R1896/'DCF Base Case'!$B$6</f>
        <v>15.69208073668</v>
      </c>
    </row>
    <row r="1897" customFormat="false" ht="15" hidden="false" customHeight="true" outlineLevel="0" collapsed="false">
      <c r="A1897" s="6" t="n">
        <v>1896</v>
      </c>
      <c r="B1897" s="30" t="n">
        <v>0.0757063376147278</v>
      </c>
      <c r="C1897" s="30" t="n">
        <v>0.388400690217139</v>
      </c>
      <c r="D1897" s="30" t="n">
        <v>0.0705468282973885</v>
      </c>
      <c r="E1897" s="30" t="n">
        <v>0.312842763481879</v>
      </c>
      <c r="F1897" s="30" t="n">
        <v>0.0179301754333891</v>
      </c>
      <c r="G1897" s="30" t="n">
        <v>0.127436314577842</v>
      </c>
      <c r="H1897" s="31" t="n">
        <f aca="false">MAX(D1897,F1897+0.015)</f>
        <v>0.0705468282973885</v>
      </c>
      <c r="I1897" s="25" t="n">
        <f aca="false">(C1897-'DCF Base Case'!$B$3)*(1-E1897)+'DCF Base Case'!$B$3-G1897</f>
        <v>0.180125589626142</v>
      </c>
      <c r="J1897" s="24" t="n">
        <f aca="false">'DCF Base Case'!$B$2*(1+B1897)^1*$I1897-'DCF Base Case'!$B$2*(1+B1897)^0*B1897*'DCF Base Case'!$B$4</f>
        <v>27.7662019888534</v>
      </c>
      <c r="K1897" s="24" t="n">
        <f aca="false">'DCF Base Case'!$B$2*(1+B1897)^2*$I1897-'DCF Base Case'!$B$2*(1+B1897)^1*B1897*'DCF Base Case'!$B$4</f>
        <v>29.8682794509003</v>
      </c>
      <c r="L1897" s="24" t="n">
        <f aca="false">'DCF Base Case'!$B$2*(1+B1897)^3*$I1897-'DCF Base Case'!$B$2*(1+B1897)^2*B1897*'DCF Base Case'!$B$4</f>
        <v>32.1294974989812</v>
      </c>
      <c r="M1897" s="24" t="n">
        <f aca="false">'DCF Base Case'!$B$2*(1+B1897)^4*$I1897-'DCF Base Case'!$B$2*(1+B1897)^3*B1897*'DCF Base Case'!$B$4</f>
        <v>34.5619040840306</v>
      </c>
      <c r="N1897" s="24" t="n">
        <f aca="false">'DCF Base Case'!$B$2*(1+B1897)^5*$I1897-'DCF Base Case'!$B$2*(1+B1897)^4*B1897*'DCF Base Case'!$B$4</f>
        <v>37.1784592632241</v>
      </c>
      <c r="O1897" s="24" t="n">
        <f aca="false">J1897/(1+H1897)^1+K1897/(1+H1897)^2+L1897/(1+H1897)^3+M1897/(1+H1897)^4+N1897/(1+H1897)^5</f>
        <v>130.938381808462</v>
      </c>
      <c r="P1897" s="24" t="n">
        <f aca="false">N1897*(1+F1897)/(H1897-F1897)</f>
        <v>719.260414720348</v>
      </c>
      <c r="Q1897" s="24" t="n">
        <f aca="false">O1897+P1897/(1+H1897)^5</f>
        <v>642.452721830326</v>
      </c>
      <c r="R1897" s="24" t="n">
        <f aca="false">Q1897-'DCF Base Case'!$B$5</f>
        <v>457.452721830326</v>
      </c>
      <c r="S1897" s="32" t="n">
        <f aca="false">R1897/'DCF Base Case'!$B$6</f>
        <v>18.298108873213</v>
      </c>
    </row>
    <row r="1898" customFormat="false" ht="15" hidden="false" customHeight="true" outlineLevel="0" collapsed="false">
      <c r="A1898" s="6" t="n">
        <v>1897</v>
      </c>
      <c r="B1898" s="30" t="n">
        <v>0.0765068489344116</v>
      </c>
      <c r="C1898" s="30" t="n">
        <v>0.427657670422766</v>
      </c>
      <c r="D1898" s="30" t="n">
        <v>0.0766250550341689</v>
      </c>
      <c r="E1898" s="30" t="n">
        <v>0.324226194602855</v>
      </c>
      <c r="F1898" s="30" t="n">
        <v>0.0158538681206877</v>
      </c>
      <c r="G1898" s="30" t="n">
        <v>0.177057803655847</v>
      </c>
      <c r="H1898" s="31" t="n">
        <f aca="false">MAX(D1898,F1898+0.015)</f>
        <v>0.0766250550341689</v>
      </c>
      <c r="I1898" s="25" t="n">
        <f aca="false">(C1898-'DCF Base Case'!$B$3)*(1-E1898)+'DCF Base Case'!$B$3-G1898</f>
        <v>0.154091452991395</v>
      </c>
      <c r="J1898" s="24" t="n">
        <f aca="false">'DCF Base Case'!$B$2*(1+B1898)^1*$I1898-'DCF Base Case'!$B$2*(1+B1898)^0*B1898*'DCF Base Case'!$B$4</f>
        <v>23.7198683607216</v>
      </c>
      <c r="K1898" s="24" t="n">
        <f aca="false">'DCF Base Case'!$B$2*(1+B1898)^2*$I1898-'DCF Base Case'!$B$2*(1+B1898)^1*B1898*'DCF Base Case'!$B$4</f>
        <v>25.5346007461394</v>
      </c>
      <c r="L1898" s="24" t="n">
        <f aca="false">'DCF Base Case'!$B$2*(1+B1898)^3*$I1898-'DCF Base Case'!$B$2*(1+B1898)^2*B1898*'DCF Base Case'!$B$4</f>
        <v>27.4881725880248</v>
      </c>
      <c r="M1898" s="24" t="n">
        <f aca="false">'DCF Base Case'!$B$2*(1+B1898)^4*$I1898-'DCF Base Case'!$B$2*(1+B1898)^3*B1898*'DCF Base Case'!$B$4</f>
        <v>29.5912060556999</v>
      </c>
      <c r="N1898" s="24" t="n">
        <f aca="false">'DCF Base Case'!$B$2*(1+B1898)^5*$I1898-'DCF Base Case'!$B$2*(1+B1898)^4*B1898*'DCF Base Case'!$B$4</f>
        <v>31.8551359871903</v>
      </c>
      <c r="O1898" s="24" t="n">
        <f aca="false">J1898/(1+H1898)^1+K1898/(1+H1898)^2+L1898/(1+H1898)^3+M1898/(1+H1898)^4+N1898/(1+H1898)^5</f>
        <v>110.134258262043</v>
      </c>
      <c r="P1898" s="24" t="n">
        <f aca="false">N1898*(1+F1898)/(H1898-F1898)</f>
        <v>532.491872475165</v>
      </c>
      <c r="Q1898" s="24" t="n">
        <f aca="false">O1898+P1898/(1+H1898)^5</f>
        <v>478.255239787775</v>
      </c>
      <c r="R1898" s="24" t="n">
        <f aca="false">Q1898-'DCF Base Case'!$B$5</f>
        <v>293.255239787775</v>
      </c>
      <c r="S1898" s="32" t="n">
        <f aca="false">R1898/'DCF Base Case'!$B$6</f>
        <v>11.730209591511</v>
      </c>
    </row>
    <row r="1899" customFormat="false" ht="15" hidden="false" customHeight="true" outlineLevel="0" collapsed="false">
      <c r="A1899" s="6" t="n">
        <v>1898</v>
      </c>
      <c r="B1899" s="30" t="n">
        <v>0.112618239460379</v>
      </c>
      <c r="C1899" s="30" t="n">
        <v>0.4305815768095</v>
      </c>
      <c r="D1899" s="30" t="n">
        <v>0.0698805662789487</v>
      </c>
      <c r="E1899" s="30" t="n">
        <v>0.25950764134613</v>
      </c>
      <c r="F1899" s="30" t="n">
        <v>0.0235150986394517</v>
      </c>
      <c r="G1899" s="30" t="n">
        <v>0.14901875011161</v>
      </c>
      <c r="H1899" s="31" t="n">
        <f aca="false">MAX(D1899,F1899+0.015)</f>
        <v>0.0698805662789487</v>
      </c>
      <c r="I1899" s="25" t="n">
        <f aca="false">(C1899-'DCF Base Case'!$B$3)*(1-E1899)+'DCF Base Case'!$B$3-G1899</f>
        <v>0.203559610667956</v>
      </c>
      <c r="J1899" s="24" t="n">
        <f aca="false">'DCF Base Case'!$B$2*(1+B1899)^1*$I1899-'DCF Base Case'!$B$2*(1+B1899)^0*B1899*'DCF Base Case'!$B$4</f>
        <v>32.3503103271075</v>
      </c>
      <c r="K1899" s="24" t="n">
        <f aca="false">'DCF Base Case'!$B$2*(1+B1899)^2*$I1899-'DCF Base Case'!$B$2*(1+B1899)^1*B1899*'DCF Base Case'!$B$4</f>
        <v>35.9935453221432</v>
      </c>
      <c r="L1899" s="24" t="n">
        <f aca="false">'DCF Base Case'!$B$2*(1+B1899)^3*$I1899-'DCF Base Case'!$B$2*(1+B1899)^2*B1899*'DCF Base Case'!$B$4</f>
        <v>40.0470750282603</v>
      </c>
      <c r="M1899" s="24" t="n">
        <f aca="false">'DCF Base Case'!$B$2*(1+B1899)^4*$I1899-'DCF Base Case'!$B$2*(1+B1899)^3*B1899*'DCF Base Case'!$B$4</f>
        <v>44.5571061134807</v>
      </c>
      <c r="N1899" s="24" t="n">
        <f aca="false">'DCF Base Case'!$B$2*(1+B1899)^5*$I1899-'DCF Base Case'!$B$2*(1+B1899)^4*B1899*'DCF Base Case'!$B$4</f>
        <v>49.5750489594302</v>
      </c>
      <c r="O1899" s="24" t="n">
        <f aca="false">J1899/(1+H1899)^1+K1899/(1+H1899)^2+L1899/(1+H1899)^3+M1899/(1+H1899)^4+N1899/(1+H1899)^5</f>
        <v>163.757419687307</v>
      </c>
      <c r="P1899" s="24" t="n">
        <f aca="false">N1899*(1+F1899)/(H1899-F1899)</f>
        <v>1094.36642633024</v>
      </c>
      <c r="Q1899" s="24" t="n">
        <f aca="false">O1899+P1899/(1+H1899)^5</f>
        <v>944.461171629167</v>
      </c>
      <c r="R1899" s="24" t="n">
        <f aca="false">Q1899-'DCF Base Case'!$B$5</f>
        <v>759.461171629167</v>
      </c>
      <c r="S1899" s="32" t="n">
        <f aca="false">R1899/'DCF Base Case'!$B$6</f>
        <v>30.3784468651667</v>
      </c>
    </row>
    <row r="1900" customFormat="false" ht="15" hidden="false" customHeight="true" outlineLevel="0" collapsed="false">
      <c r="A1900" s="6" t="n">
        <v>1899</v>
      </c>
      <c r="B1900" s="30" t="n">
        <v>0.11131094309651</v>
      </c>
      <c r="C1900" s="30" t="n">
        <v>0.413410545853885</v>
      </c>
      <c r="D1900" s="30" t="n">
        <v>0.0865558105114107</v>
      </c>
      <c r="E1900" s="30" t="n">
        <v>0.253501317102928</v>
      </c>
      <c r="F1900" s="30" t="n">
        <v>0.0168929947779946</v>
      </c>
      <c r="G1900" s="30" t="n">
        <v>0.147619095690877</v>
      </c>
      <c r="H1900" s="31" t="n">
        <f aca="false">MAX(D1900,F1900+0.015)</f>
        <v>0.0865558105114107</v>
      </c>
      <c r="I1900" s="25" t="n">
        <f aca="false">(C1900-'DCF Base Case'!$B$3)*(1-E1900)+'DCF Base Case'!$B$3-G1900</f>
        <v>0.193946503508188</v>
      </c>
      <c r="J1900" s="24" t="n">
        <f aca="false">'DCF Base Case'!$B$2*(1+B1900)^1*$I1900-'DCF Base Case'!$B$2*(1+B1900)^0*B1900*'DCF Base Case'!$B$4</f>
        <v>30.7683537975037</v>
      </c>
      <c r="K1900" s="24" t="n">
        <f aca="false">'DCF Base Case'!$B$2*(1+B1900)^2*$I1900-'DCF Base Case'!$B$2*(1+B1900)^1*B1900*'DCF Base Case'!$B$4</f>
        <v>34.193208276231</v>
      </c>
      <c r="L1900" s="24" t="n">
        <f aca="false">'DCF Base Case'!$B$2*(1+B1900)^3*$I1900-'DCF Base Case'!$B$2*(1+B1900)^2*B1900*'DCF Base Case'!$B$4</f>
        <v>37.9992865369536</v>
      </c>
      <c r="M1900" s="24" t="n">
        <f aca="false">'DCF Base Case'!$B$2*(1+B1900)^4*$I1900-'DCF Base Case'!$B$2*(1+B1900)^3*B1900*'DCF Base Case'!$B$4</f>
        <v>42.2290229583764</v>
      </c>
      <c r="N1900" s="24" t="n">
        <f aca="false">'DCF Base Case'!$B$2*(1+B1900)^5*$I1900-'DCF Base Case'!$B$2*(1+B1900)^4*B1900*'DCF Base Case'!$B$4</f>
        <v>46.9295753299175</v>
      </c>
      <c r="O1900" s="24" t="n">
        <f aca="false">J1900/(1+H1900)^1+K1900/(1+H1900)^2+L1900/(1+H1900)^3+M1900/(1+H1900)^4+N1900/(1+H1900)^5</f>
        <v>148.186863333601</v>
      </c>
      <c r="P1900" s="24" t="n">
        <f aca="false">N1900*(1+F1900)/(H1900-F1900)</f>
        <v>685.047767571181</v>
      </c>
      <c r="Q1900" s="24" t="n">
        <f aca="false">O1900+P1900/(1+H1900)^5</f>
        <v>600.522352106246</v>
      </c>
      <c r="R1900" s="24" t="n">
        <f aca="false">Q1900-'DCF Base Case'!$B$5</f>
        <v>415.522352106246</v>
      </c>
      <c r="S1900" s="32" t="n">
        <f aca="false">R1900/'DCF Base Case'!$B$6</f>
        <v>16.6208940842498</v>
      </c>
    </row>
    <row r="1901" customFormat="false" ht="15" hidden="false" customHeight="true" outlineLevel="0" collapsed="false">
      <c r="A1901" s="6" t="n">
        <v>1900</v>
      </c>
      <c r="B1901" s="30" t="n">
        <v>0.0946813280021715</v>
      </c>
      <c r="C1901" s="30" t="n">
        <v>0.418276490140707</v>
      </c>
      <c r="D1901" s="30" t="n">
        <v>0.090089148858702</v>
      </c>
      <c r="E1901" s="30" t="n">
        <v>0.267462934628206</v>
      </c>
      <c r="F1901" s="30" t="n">
        <v>0.0155517607870021</v>
      </c>
      <c r="G1901" s="30" t="n">
        <v>0.169353857214544</v>
      </c>
      <c r="H1901" s="31" t="n">
        <f aca="false">MAX(D1901,F1901+0.015)</f>
        <v>0.090089148858702</v>
      </c>
      <c r="I1901" s="25" t="n">
        <f aca="false">(C1901-'DCF Base Case'!$B$3)*(1-E1901)+'DCF Base Case'!$B$3-G1901</f>
        <v>0.17181935688881</v>
      </c>
      <c r="J1901" s="24" t="n">
        <f aca="false">'DCF Base Case'!$B$2*(1+B1901)^1*$I1901-'DCF Base Case'!$B$2*(1+B1901)^0*B1901*'DCF Base Case'!$B$4</f>
        <v>26.8608152806413</v>
      </c>
      <c r="K1901" s="24" t="n">
        <f aca="false">'DCF Base Case'!$B$2*(1+B1901)^2*$I1901-'DCF Base Case'!$B$2*(1+B1901)^1*B1901*'DCF Base Case'!$B$4</f>
        <v>29.4040329426334</v>
      </c>
      <c r="L1901" s="24" t="n">
        <f aca="false">'DCF Base Case'!$B$2*(1+B1901)^3*$I1901-'DCF Base Case'!$B$2*(1+B1901)^2*B1901*'DCF Base Case'!$B$4</f>
        <v>32.1880458302615</v>
      </c>
      <c r="M1901" s="24" t="n">
        <f aca="false">'DCF Base Case'!$B$2*(1+B1901)^4*$I1901-'DCF Base Case'!$B$2*(1+B1901)^3*B1901*'DCF Base Case'!$B$4</f>
        <v>35.2356527552654</v>
      </c>
      <c r="N1901" s="24" t="n">
        <f aca="false">'DCF Base Case'!$B$2*(1+B1901)^5*$I1901-'DCF Base Case'!$B$2*(1+B1901)^4*B1901*'DCF Base Case'!$B$4</f>
        <v>38.5718111511573</v>
      </c>
      <c r="O1901" s="24" t="n">
        <f aca="false">J1901/(1+H1901)^1+K1901/(1+H1901)^2+L1901/(1+H1901)^3+M1901/(1+H1901)^4+N1901/(1+H1901)^5</f>
        <v>124.24709420497</v>
      </c>
      <c r="P1901" s="24" t="n">
        <f aca="false">N1901*(1+F1901)/(H1901-F1901)</f>
        <v>525.530498782988</v>
      </c>
      <c r="Q1901" s="24" t="n">
        <f aca="false">O1901+P1901/(1+H1901)^5</f>
        <v>465.666217140618</v>
      </c>
      <c r="R1901" s="24" t="n">
        <f aca="false">Q1901-'DCF Base Case'!$B$5</f>
        <v>280.666217140618</v>
      </c>
      <c r="S1901" s="32" t="n">
        <f aca="false">R1901/'DCF Base Case'!$B$6</f>
        <v>11.2266486856247</v>
      </c>
    </row>
    <row r="1902" customFormat="false" ht="15" hidden="false" customHeight="true" outlineLevel="0" collapsed="false">
      <c r="A1902" s="6" t="n">
        <v>1901</v>
      </c>
      <c r="B1902" s="30" t="n">
        <v>0.0675319372129402</v>
      </c>
      <c r="C1902" s="30" t="n">
        <v>0.427881926231796</v>
      </c>
      <c r="D1902" s="30" t="n">
        <v>0.0837402537475198</v>
      </c>
      <c r="E1902" s="30" t="n">
        <v>0.271160888923483</v>
      </c>
      <c r="F1902" s="30" t="n">
        <v>0.0209992637326242</v>
      </c>
      <c r="G1902" s="30" t="n">
        <v>0.163585350638007</v>
      </c>
      <c r="H1902" s="31" t="n">
        <f aca="false">MAX(D1902,F1902+0.015)</f>
        <v>0.0837402537475198</v>
      </c>
      <c r="I1902" s="25" t="n">
        <f aca="false">(C1902-'DCF Base Case'!$B$3)*(1-E1902)+'DCF Base Case'!$B$3-G1902</f>
        <v>0.183522647682536</v>
      </c>
      <c r="J1902" s="24" t="n">
        <f aca="false">'DCF Base Case'!$B$2*(1+B1902)^1*$I1902-'DCF Base Case'!$B$2*(1+B1902)^0*B1902*'DCF Base Case'!$B$4</f>
        <v>28.1140977755566</v>
      </c>
      <c r="K1902" s="24" t="n">
        <f aca="false">'DCF Base Case'!$B$2*(1+B1902)^2*$I1902-'DCF Base Case'!$B$2*(1+B1902)^1*B1902*'DCF Base Case'!$B$4</f>
        <v>30.0126972613339</v>
      </c>
      <c r="L1902" s="24" t="n">
        <f aca="false">'DCF Base Case'!$B$2*(1+B1902)^3*$I1902-'DCF Base Case'!$B$2*(1+B1902)^2*B1902*'DCF Base Case'!$B$4</f>
        <v>32.0395128483773</v>
      </c>
      <c r="M1902" s="24" t="n">
        <f aca="false">'DCF Base Case'!$B$2*(1+B1902)^4*$I1902-'DCF Base Case'!$B$2*(1+B1902)^3*B1902*'DCF Base Case'!$B$4</f>
        <v>34.2032032183871</v>
      </c>
      <c r="N1902" s="24" t="n">
        <f aca="false">'DCF Base Case'!$B$2*(1+B1902)^5*$I1902-'DCF Base Case'!$B$2*(1+B1902)^4*B1902*'DCF Base Case'!$B$4</f>
        <v>36.5130117906127</v>
      </c>
      <c r="O1902" s="24" t="n">
        <f aca="false">J1902/(1+H1902)^1+K1902/(1+H1902)^2+L1902/(1+H1902)^3+M1902/(1+H1902)^4+N1902/(1+H1902)^5</f>
        <v>125.886426289991</v>
      </c>
      <c r="P1902" s="24" t="n">
        <f aca="false">N1902*(1+F1902)/(H1902-F1902)</f>
        <v>594.185047861461</v>
      </c>
      <c r="Q1902" s="24" t="n">
        <f aca="false">O1902+P1902/(1+H1902)^5</f>
        <v>523.34850071164</v>
      </c>
      <c r="R1902" s="24" t="n">
        <f aca="false">Q1902-'DCF Base Case'!$B$5</f>
        <v>338.34850071164</v>
      </c>
      <c r="S1902" s="32" t="n">
        <f aca="false">R1902/'DCF Base Case'!$B$6</f>
        <v>13.5339400284656</v>
      </c>
    </row>
    <row r="1903" customFormat="false" ht="15" hidden="false" customHeight="true" outlineLevel="0" collapsed="false">
      <c r="A1903" s="6" t="n">
        <v>1902</v>
      </c>
      <c r="B1903" s="30" t="n">
        <v>0.0555970372365941</v>
      </c>
      <c r="C1903" s="30" t="n">
        <v>0.37860209469885</v>
      </c>
      <c r="D1903" s="30" t="n">
        <v>0.0966347957425108</v>
      </c>
      <c r="E1903" s="30" t="n">
        <v>0.282036152975919</v>
      </c>
      <c r="F1903" s="30" t="n">
        <v>0.0128472986086527</v>
      </c>
      <c r="G1903" s="30" t="n">
        <v>0.173371010543428</v>
      </c>
      <c r="H1903" s="31" t="n">
        <f aca="false">MAX(D1903,F1903+0.015)</f>
        <v>0.0966347957425108</v>
      </c>
      <c r="I1903" s="25" t="n">
        <f aca="false">(C1903-'DCF Base Case'!$B$3)*(1-E1903)+'DCF Base Case'!$B$3-G1903</f>
        <v>0.135116305744803</v>
      </c>
      <c r="J1903" s="24" t="n">
        <f aca="false">'DCF Base Case'!$B$2*(1+B1903)^1*$I1903-'DCF Base Case'!$B$2*(1+B1903)^0*B1903*'DCF Base Case'!$B$4</f>
        <v>20.4392668318732</v>
      </c>
      <c r="K1903" s="24" t="n">
        <f aca="false">'DCF Base Case'!$B$2*(1+B1903)^2*$I1903-'DCF Base Case'!$B$2*(1+B1903)^1*B1903*'DCF Base Case'!$B$4</f>
        <v>21.5756295110135</v>
      </c>
      <c r="L1903" s="24" t="n">
        <f aca="false">'DCF Base Case'!$B$2*(1+B1903)^3*$I1903-'DCF Base Case'!$B$2*(1+B1903)^2*B1903*'DCF Base Case'!$B$4</f>
        <v>22.7751705883403</v>
      </c>
      <c r="M1903" s="24" t="n">
        <f aca="false">'DCF Base Case'!$B$2*(1+B1903)^4*$I1903-'DCF Base Case'!$B$2*(1+B1903)^3*B1903*'DCF Base Case'!$B$4</f>
        <v>24.04140259561</v>
      </c>
      <c r="N1903" s="24" t="n">
        <f aca="false">'DCF Base Case'!$B$2*(1+B1903)^5*$I1903-'DCF Base Case'!$B$2*(1+B1903)^4*B1903*'DCF Base Case'!$B$4</f>
        <v>25.3780333509381</v>
      </c>
      <c r="O1903" s="24" t="n">
        <f aca="false">J1903/(1+H1903)^1+K1903/(1+H1903)^2+L1903/(1+H1903)^3+M1903/(1+H1903)^4+N1903/(1+H1903)^5</f>
        <v>86.4723216404142</v>
      </c>
      <c r="P1903" s="24" t="n">
        <f aca="false">N1903*(1+F1903)/(H1903-F1903)</f>
        <v>306.776946474883</v>
      </c>
      <c r="Q1903" s="24" t="n">
        <f aca="false">O1903+P1903/(1+H1903)^5</f>
        <v>279.897324367072</v>
      </c>
      <c r="R1903" s="24" t="n">
        <f aca="false">Q1903-'DCF Base Case'!$B$5</f>
        <v>94.8973243670723</v>
      </c>
      <c r="S1903" s="32" t="n">
        <f aca="false">R1903/'DCF Base Case'!$B$6</f>
        <v>3.79589297468289</v>
      </c>
    </row>
    <row r="1904" customFormat="false" ht="15" hidden="false" customHeight="true" outlineLevel="0" collapsed="false">
      <c r="A1904" s="6" t="n">
        <v>1903</v>
      </c>
      <c r="B1904" s="30" t="n">
        <v>0.0779468409524405</v>
      </c>
      <c r="C1904" s="30" t="n">
        <v>0.390502790499169</v>
      </c>
      <c r="D1904" s="30" t="n">
        <v>0.0724064000180277</v>
      </c>
      <c r="E1904" s="30" t="n">
        <v>0.310365974566631</v>
      </c>
      <c r="F1904" s="30" t="n">
        <v>0.0120781484769267</v>
      </c>
      <c r="G1904" s="30" t="n">
        <v>0.148365244779488</v>
      </c>
      <c r="H1904" s="31" t="n">
        <f aca="false">MAX(D1904,F1904+0.015)</f>
        <v>0.0724064000180277</v>
      </c>
      <c r="I1904" s="25" t="n">
        <f aca="false">(C1904-'DCF Base Case'!$B$3)*(1-E1904)+'DCF Base Case'!$B$3-G1904</f>
        <v>0.16128634326908</v>
      </c>
      <c r="J1904" s="24" t="n">
        <f aca="false">'DCF Base Case'!$B$2*(1+B1904)^1*$I1904-'DCF Base Case'!$B$2*(1+B1904)^0*B1904*'DCF Base Case'!$B$4</f>
        <v>24.8703563531298</v>
      </c>
      <c r="K1904" s="24" t="n">
        <f aca="false">'DCF Base Case'!$B$2*(1+B1904)^2*$I1904-'DCF Base Case'!$B$2*(1+B1904)^1*B1904*'DCF Base Case'!$B$4</f>
        <v>26.8089220642177</v>
      </c>
      <c r="L1904" s="24" t="n">
        <f aca="false">'DCF Base Case'!$B$2*(1+B1904)^3*$I1904-'DCF Base Case'!$B$2*(1+B1904)^2*B1904*'DCF Base Case'!$B$4</f>
        <v>28.8985928484637</v>
      </c>
      <c r="M1904" s="24" t="n">
        <f aca="false">'DCF Base Case'!$B$2*(1+B1904)^4*$I1904-'DCF Base Case'!$B$2*(1+B1904)^3*B1904*'DCF Base Case'!$B$4</f>
        <v>31.1511468689722</v>
      </c>
      <c r="N1904" s="24" t="n">
        <f aca="false">'DCF Base Case'!$B$2*(1+B1904)^5*$I1904-'DCF Base Case'!$B$2*(1+B1904)^4*B1904*'DCF Base Case'!$B$4</f>
        <v>33.5792803594541</v>
      </c>
      <c r="O1904" s="24" t="n">
        <f aca="false">J1904/(1+H1904)^1+K1904/(1+H1904)^2+L1904/(1+H1904)^3+M1904/(1+H1904)^4+N1904/(1+H1904)^5</f>
        <v>117.160183009734</v>
      </c>
      <c r="P1904" s="24" t="n">
        <f aca="false">N1904*(1+F1904)/(H1904-F1904)</f>
        <v>563.332353005961</v>
      </c>
      <c r="Q1904" s="24" t="n">
        <f aca="false">O1904+P1904/(1+H1904)^5</f>
        <v>514.322200726889</v>
      </c>
      <c r="R1904" s="24" t="n">
        <f aca="false">Q1904-'DCF Base Case'!$B$5</f>
        <v>329.322200726888</v>
      </c>
      <c r="S1904" s="32" t="n">
        <f aca="false">R1904/'DCF Base Case'!$B$6</f>
        <v>13.1728880290755</v>
      </c>
    </row>
    <row r="1905" customFormat="false" ht="15" hidden="false" customHeight="true" outlineLevel="0" collapsed="false">
      <c r="A1905" s="6" t="n">
        <v>1904</v>
      </c>
      <c r="B1905" s="30" t="n">
        <v>0.092450480291991</v>
      </c>
      <c r="C1905" s="30" t="n">
        <v>0.443977116417436</v>
      </c>
      <c r="D1905" s="30" t="n">
        <v>0.0910924401598535</v>
      </c>
      <c r="E1905" s="30" t="n">
        <v>0.260937202556239</v>
      </c>
      <c r="F1905" s="30" t="n">
        <v>0.0246224393253347</v>
      </c>
      <c r="G1905" s="30" t="n">
        <v>0.138728494044047</v>
      </c>
      <c r="H1905" s="31" t="n">
        <f aca="false">MAX(D1905,F1905+0.015)</f>
        <v>0.0910924401598535</v>
      </c>
      <c r="I1905" s="25" t="n">
        <f aca="false">(C1905-'DCF Base Case'!$B$3)*(1-E1905)+'DCF Base Case'!$B$3-G1905</f>
        <v>0.223320311948749</v>
      </c>
      <c r="J1905" s="24" t="n">
        <f aca="false">'DCF Base Case'!$B$2*(1+B1905)^1*$I1905-'DCF Base Case'!$B$2*(1+B1905)^0*B1905*'DCF Base Case'!$B$4</f>
        <v>34.9729658075982</v>
      </c>
      <c r="K1905" s="24" t="n">
        <f aca="false">'DCF Base Case'!$B$2*(1+B1905)^2*$I1905-'DCF Base Case'!$B$2*(1+B1905)^1*B1905*'DCF Base Case'!$B$4</f>
        <v>38.206233293746</v>
      </c>
      <c r="L1905" s="24" t="n">
        <f aca="false">'DCF Base Case'!$B$2*(1+B1905)^3*$I1905-'DCF Base Case'!$B$2*(1+B1905)^2*B1905*'DCF Base Case'!$B$4</f>
        <v>41.7384179119007</v>
      </c>
      <c r="M1905" s="24" t="n">
        <f aca="false">'DCF Base Case'!$B$2*(1+B1905)^4*$I1905-'DCF Base Case'!$B$2*(1+B1905)^3*B1905*'DCF Base Case'!$B$4</f>
        <v>45.5971546944837</v>
      </c>
      <c r="N1905" s="24" t="n">
        <f aca="false">'DCF Base Case'!$B$2*(1+B1905)^5*$I1905-'DCF Base Case'!$B$2*(1+B1905)^4*B1905*'DCF Base Case'!$B$4</f>
        <v>49.812633545937</v>
      </c>
      <c r="O1905" s="24" t="n">
        <f aca="false">J1905/(1+H1905)^1+K1905/(1+H1905)^2+L1905/(1+H1905)^3+M1905/(1+H1905)^4+N1905/(1+H1905)^5</f>
        <v>160.665274141018</v>
      </c>
      <c r="P1905" s="24" t="n">
        <f aca="false">N1905*(1+F1905)/(H1905-F1905)</f>
        <v>767.852286027828</v>
      </c>
      <c r="Q1905" s="24" t="n">
        <f aca="false">O1905+P1905/(1+H1905)^5</f>
        <v>657.223234064351</v>
      </c>
      <c r="R1905" s="24" t="n">
        <f aca="false">Q1905-'DCF Base Case'!$B$5</f>
        <v>472.223234064351</v>
      </c>
      <c r="S1905" s="32" t="n">
        <f aca="false">R1905/'DCF Base Case'!$B$6</f>
        <v>18.888929362574</v>
      </c>
    </row>
    <row r="1906" customFormat="false" ht="15" hidden="false" customHeight="true" outlineLevel="0" collapsed="false">
      <c r="A1906" s="6" t="n">
        <v>1905</v>
      </c>
      <c r="B1906" s="30" t="n">
        <v>0.0955379232745022</v>
      </c>
      <c r="C1906" s="30" t="n">
        <v>0.425869171978394</v>
      </c>
      <c r="D1906" s="30" t="n">
        <v>0.0753077285847952</v>
      </c>
      <c r="E1906" s="30" t="n">
        <v>0.300980748130823</v>
      </c>
      <c r="F1906" s="30" t="n">
        <v>0.0172898059513245</v>
      </c>
      <c r="G1906" s="30" t="n">
        <v>0.181778302701442</v>
      </c>
      <c r="H1906" s="31" t="n">
        <f aca="false">MAX(D1906,F1906+0.015)</f>
        <v>0.0753077285847952</v>
      </c>
      <c r="I1906" s="25" t="n">
        <f aca="false">(C1906-'DCF Base Case'!$B$3)*(1-E1906)+'DCF Base Case'!$B$3-G1906</f>
        <v>0.155039944546048</v>
      </c>
      <c r="J1906" s="24" t="n">
        <f aca="false">'DCF Base Case'!$B$2*(1+B1906)^1*$I1906-'DCF Base Case'!$B$2*(1+B1906)^0*B1906*'DCF Base Case'!$B$4</f>
        <v>24.2129701702788</v>
      </c>
      <c r="K1906" s="24" t="n">
        <f aca="false">'DCF Base Case'!$B$2*(1+B1906)^2*$I1906-'DCF Base Case'!$B$2*(1+B1906)^1*B1906*'DCF Base Case'!$B$4</f>
        <v>26.5262270566547</v>
      </c>
      <c r="L1906" s="24" t="n">
        <f aca="false">'DCF Base Case'!$B$2*(1+B1906)^3*$I1906-'DCF Base Case'!$B$2*(1+B1906)^2*B1906*'DCF Base Case'!$B$4</f>
        <v>29.0604877019554</v>
      </c>
      <c r="M1906" s="24" t="n">
        <f aca="false">'DCF Base Case'!$B$2*(1+B1906)^4*$I1906-'DCF Base Case'!$B$2*(1+B1906)^3*B1906*'DCF Base Case'!$B$4</f>
        <v>31.8368663463444</v>
      </c>
      <c r="N1906" s="24" t="n">
        <f aca="false">'DCF Base Case'!$B$2*(1+B1906)^5*$I1906-'DCF Base Case'!$B$2*(1+B1906)^4*B1906*'DCF Base Case'!$B$4</f>
        <v>34.878494440642</v>
      </c>
      <c r="O1906" s="24" t="n">
        <f aca="false">J1906/(1+H1906)^1+K1906/(1+H1906)^2+L1906/(1+H1906)^3+M1906/(1+H1906)^4+N1906/(1+H1906)^5</f>
        <v>116.902947922116</v>
      </c>
      <c r="P1906" s="24" t="n">
        <f aca="false">N1906*(1+F1906)/(H1906-F1906)</f>
        <v>611.561655965352</v>
      </c>
      <c r="Q1906" s="24" t="n">
        <f aca="false">O1906+P1906/(1+H1906)^5</f>
        <v>542.28230626033</v>
      </c>
      <c r="R1906" s="24" t="n">
        <f aca="false">Q1906-'DCF Base Case'!$B$5</f>
        <v>357.28230626033</v>
      </c>
      <c r="S1906" s="32" t="n">
        <f aca="false">R1906/'DCF Base Case'!$B$6</f>
        <v>14.2912922504132</v>
      </c>
    </row>
    <row r="1907" customFormat="false" ht="15" hidden="false" customHeight="true" outlineLevel="0" collapsed="false">
      <c r="A1907" s="6" t="n">
        <v>1906</v>
      </c>
      <c r="B1907" s="30" t="n">
        <v>0.0528284494993329</v>
      </c>
      <c r="C1907" s="30" t="n">
        <v>0.407159749351517</v>
      </c>
      <c r="D1907" s="30" t="n">
        <v>0.0804668266003704</v>
      </c>
      <c r="E1907" s="30" t="n">
        <v>0.314803179351066</v>
      </c>
      <c r="F1907" s="30" t="n">
        <v>0.0191886059544703</v>
      </c>
      <c r="G1907" s="30" t="n">
        <v>0.194805885639588</v>
      </c>
      <c r="H1907" s="31" t="n">
        <f aca="false">MAX(D1907,F1907+0.015)</f>
        <v>0.0804668266003704</v>
      </c>
      <c r="I1907" s="25" t="n">
        <f aca="false">(C1907-'DCF Base Case'!$B$3)*(1-E1907)+'DCF Base Case'!$B$3-G1907</f>
        <v>0.125103093427927</v>
      </c>
      <c r="J1907" s="24" t="n">
        <f aca="false">'DCF Base Case'!$B$2*(1+B1907)^1*$I1907-'DCF Base Case'!$B$2*(1+B1907)^0*B1907*'DCF Base Case'!$B$4</f>
        <v>18.8684501474656</v>
      </c>
      <c r="K1907" s="24" t="n">
        <f aca="false">'DCF Base Case'!$B$2*(1+B1907)^2*$I1907-'DCF Base Case'!$B$2*(1+B1907)^1*B1907*'DCF Base Case'!$B$4</f>
        <v>19.8652411132117</v>
      </c>
      <c r="L1907" s="24" t="n">
        <f aca="false">'DCF Base Case'!$B$2*(1+B1907)^3*$I1907-'DCF Base Case'!$B$2*(1+B1907)^2*B1907*'DCF Base Case'!$B$4</f>
        <v>20.9146910001531</v>
      </c>
      <c r="M1907" s="24" t="n">
        <f aca="false">'DCF Base Case'!$B$2*(1+B1907)^4*$I1907-'DCF Base Case'!$B$2*(1+B1907)^3*B1907*'DCF Base Case'!$B$4</f>
        <v>22.0195816974488</v>
      </c>
      <c r="N1907" s="24" t="n">
        <f aca="false">'DCF Base Case'!$B$2*(1+B1907)^5*$I1907-'DCF Base Case'!$B$2*(1+B1907)^4*B1907*'DCF Base Case'!$B$4</f>
        <v>23.1828420571489</v>
      </c>
      <c r="O1907" s="24" t="n">
        <f aca="false">J1907/(1+H1907)^1+K1907/(1+H1907)^2+L1907/(1+H1907)^3+M1907/(1+H1907)^4+N1907/(1+H1907)^5</f>
        <v>82.9619060832901</v>
      </c>
      <c r="P1907" s="24" t="n">
        <f aca="false">N1907*(1+F1907)/(H1907-F1907)</f>
        <v>385.580524846214</v>
      </c>
      <c r="Q1907" s="24" t="n">
        <f aca="false">O1907+P1907/(1+H1907)^5</f>
        <v>344.815116815603</v>
      </c>
      <c r="R1907" s="24" t="n">
        <f aca="false">Q1907-'DCF Base Case'!$B$5</f>
        <v>159.815116815603</v>
      </c>
      <c r="S1907" s="32" t="n">
        <f aca="false">R1907/'DCF Base Case'!$B$6</f>
        <v>6.39260467262413</v>
      </c>
    </row>
    <row r="1908" customFormat="false" ht="15" hidden="false" customHeight="true" outlineLevel="0" collapsed="false">
      <c r="A1908" s="6" t="n">
        <v>1907</v>
      </c>
      <c r="B1908" s="30" t="n">
        <v>0.100893576718105</v>
      </c>
      <c r="C1908" s="30" t="n">
        <v>0.416029296950669</v>
      </c>
      <c r="D1908" s="30" t="n">
        <v>0.0936643624057573</v>
      </c>
      <c r="E1908" s="30" t="n">
        <v>0.304016862740508</v>
      </c>
      <c r="F1908" s="30" t="n">
        <v>0.0210345119185497</v>
      </c>
      <c r="G1908" s="30" t="n">
        <v>0.126616382480987</v>
      </c>
      <c r="H1908" s="31" t="n">
        <f aca="false">MAX(D1908,F1908+0.015)</f>
        <v>0.0936643624057573</v>
      </c>
      <c r="I1908" s="25" t="n">
        <f aca="false">(C1908-'DCF Base Case'!$B$3)*(1-E1908)+'DCF Base Case'!$B$3-G1908</f>
        <v>0.202455184958866</v>
      </c>
      <c r="J1908" s="24" t="n">
        <f aca="false">'DCF Base Case'!$B$2*(1+B1908)^1*$I1908-'DCF Base Case'!$B$2*(1+B1908)^0*B1908*'DCF Base Case'!$B$4</f>
        <v>31.8789467819776</v>
      </c>
      <c r="K1908" s="24" t="n">
        <f aca="false">'DCF Base Case'!$B$2*(1+B1908)^2*$I1908-'DCF Base Case'!$B$2*(1+B1908)^1*B1908*'DCF Base Case'!$B$4</f>
        <v>35.0953277448174</v>
      </c>
      <c r="L1908" s="24" t="n">
        <f aca="false">'DCF Base Case'!$B$2*(1+B1908)^3*$I1908-'DCF Base Case'!$B$2*(1+B1908)^2*B1908*'DCF Base Case'!$B$4</f>
        <v>38.6362208870862</v>
      </c>
      <c r="M1908" s="24" t="n">
        <f aca="false">'DCF Base Case'!$B$2*(1+B1908)^4*$I1908-'DCF Base Case'!$B$2*(1+B1908)^3*B1908*'DCF Base Case'!$B$4</f>
        <v>42.5343674032551</v>
      </c>
      <c r="N1908" s="24" t="n">
        <f aca="false">'DCF Base Case'!$B$2*(1+B1908)^5*$I1908-'DCF Base Case'!$B$2*(1+B1908)^4*B1908*'DCF Base Case'!$B$4</f>
        <v>46.8258118640115</v>
      </c>
      <c r="O1908" s="24" t="n">
        <f aca="false">J1908/(1+H1908)^1+K1908/(1+H1908)^2+L1908/(1+H1908)^3+M1908/(1+H1908)^4+N1908/(1+H1908)^5</f>
        <v>147.683274642987</v>
      </c>
      <c r="P1908" s="24" t="n">
        <f aca="false">N1908*(1+F1908)/(H1908-F1908)</f>
        <v>658.279889618962</v>
      </c>
      <c r="Q1908" s="24" t="n">
        <f aca="false">O1908+P1908/(1+H1908)^5</f>
        <v>568.400491079781</v>
      </c>
      <c r="R1908" s="24" t="n">
        <f aca="false">Q1908-'DCF Base Case'!$B$5</f>
        <v>383.400491079781</v>
      </c>
      <c r="S1908" s="32" t="n">
        <f aca="false">R1908/'DCF Base Case'!$B$6</f>
        <v>15.3360196431912</v>
      </c>
    </row>
    <row r="1909" customFormat="false" ht="15" hidden="false" customHeight="true" outlineLevel="0" collapsed="false">
      <c r="A1909" s="6" t="n">
        <v>1908</v>
      </c>
      <c r="B1909" s="30" t="n">
        <v>0.0685404886790093</v>
      </c>
      <c r="C1909" s="30" t="n">
        <v>0.433894059949883</v>
      </c>
      <c r="D1909" s="30" t="n">
        <v>0.0711845955902121</v>
      </c>
      <c r="E1909" s="30" t="n">
        <v>0.306770831311335</v>
      </c>
      <c r="F1909" s="30" t="n">
        <v>0.0218880594999858</v>
      </c>
      <c r="G1909" s="30" t="n">
        <v>0.150593809694379</v>
      </c>
      <c r="H1909" s="31" t="n">
        <f aca="false">MAX(D1909,F1909+0.015)</f>
        <v>0.0711845955902121</v>
      </c>
      <c r="I1909" s="25" t="n">
        <f aca="false">(C1909-'DCF Base Case'!$B$3)*(1-E1909)+'DCF Base Case'!$B$3-G1909</f>
        <v>0.190074416854102</v>
      </c>
      <c r="J1909" s="24" t="n">
        <f aca="false">'DCF Base Case'!$B$2*(1+B1909)^1*$I1909-'DCF Base Case'!$B$2*(1+B1909)^0*B1909*'DCF Base Case'!$B$4</f>
        <v>29.151669363492</v>
      </c>
      <c r="K1909" s="24" t="n">
        <f aca="false">'DCF Base Case'!$B$2*(1+B1909)^2*$I1909-'DCF Base Case'!$B$2*(1+B1909)^1*B1909*'DCF Base Case'!$B$4</f>
        <v>31.1497390274746</v>
      </c>
      <c r="L1909" s="24" t="n">
        <f aca="false">'DCF Base Case'!$B$2*(1+B1909)^3*$I1909-'DCF Base Case'!$B$2*(1+B1909)^2*B1909*'DCF Base Case'!$B$4</f>
        <v>33.2847573626413</v>
      </c>
      <c r="M1909" s="24" t="n">
        <f aca="false">'DCF Base Case'!$B$2*(1+B1909)^4*$I1909-'DCF Base Case'!$B$2*(1+B1909)^3*B1909*'DCF Base Case'!$B$4</f>
        <v>35.566110897839</v>
      </c>
      <c r="N1909" s="24" t="n">
        <f aca="false">'DCF Base Case'!$B$2*(1+B1909)^5*$I1909-'DCF Base Case'!$B$2*(1+B1909)^4*B1909*'DCF Base Case'!$B$4</f>
        <v>38.0038295191887</v>
      </c>
      <c r="O1909" s="24" t="n">
        <f aca="false">J1909/(1+H1909)^1+K1909/(1+H1909)^2+L1909/(1+H1909)^3+M1909/(1+H1909)^4+N1909/(1+H1909)^5</f>
        <v>135.402005425418</v>
      </c>
      <c r="P1909" s="24" t="n">
        <f aca="false">N1909*(1+F1909)/(H1909-F1909)</f>
        <v>787.796926133959</v>
      </c>
      <c r="Q1909" s="24" t="n">
        <f aca="false">O1909+P1909/(1+H1909)^5</f>
        <v>693.991404029976</v>
      </c>
      <c r="R1909" s="24" t="n">
        <f aca="false">Q1909-'DCF Base Case'!$B$5</f>
        <v>508.991404029976</v>
      </c>
      <c r="S1909" s="32" t="n">
        <f aca="false">R1909/'DCF Base Case'!$B$6</f>
        <v>20.359656161199</v>
      </c>
    </row>
    <row r="1910" customFormat="false" ht="15" hidden="false" customHeight="true" outlineLevel="0" collapsed="false">
      <c r="A1910" s="6" t="n">
        <v>1909</v>
      </c>
      <c r="B1910" s="30" t="n">
        <v>0.0507258593015062</v>
      </c>
      <c r="C1910" s="30" t="n">
        <v>0.385586659884844</v>
      </c>
      <c r="D1910" s="30" t="n">
        <v>0.107858165479963</v>
      </c>
      <c r="E1910" s="30" t="n">
        <v>0.260672097748909</v>
      </c>
      <c r="F1910" s="30" t="n">
        <v>0.0161128138118147</v>
      </c>
      <c r="G1910" s="30" t="n">
        <v>0.145238141531235</v>
      </c>
      <c r="H1910" s="31" t="n">
        <f aca="false">MAX(D1910,F1910+0.015)</f>
        <v>0.107858165479963</v>
      </c>
      <c r="I1910" s="25" t="n">
        <f aca="false">(C1910-'DCF Base Case'!$B$3)*(1-E1910)+'DCF Base Case'!$B$3-G1910</f>
        <v>0.17372420756479</v>
      </c>
      <c r="J1910" s="24" t="n">
        <f aca="false">'DCF Base Case'!$B$2*(1+B1910)^1*$I1910-'DCF Base Case'!$B$2*(1+B1910)^0*B1910*'DCF Base Case'!$B$4</f>
        <v>26.2471375169116</v>
      </c>
      <c r="K1910" s="24" t="n">
        <f aca="false">'DCF Base Case'!$B$2*(1+B1910)^2*$I1910-'DCF Base Case'!$B$2*(1+B1910)^1*B1910*'DCF Base Case'!$B$4</f>
        <v>27.5785461216617</v>
      </c>
      <c r="L1910" s="24" t="n">
        <f aca="false">'DCF Base Case'!$B$2*(1+B1910)^3*$I1910-'DCF Base Case'!$B$2*(1+B1910)^2*B1910*'DCF Base Case'!$B$4</f>
        <v>28.9774915719692</v>
      </c>
      <c r="M1910" s="24" t="n">
        <f aca="false">'DCF Base Case'!$B$2*(1+B1910)^4*$I1910-'DCF Base Case'!$B$2*(1+B1910)^3*B1910*'DCF Base Case'!$B$4</f>
        <v>30.4473997323595</v>
      </c>
      <c r="N1910" s="24" t="n">
        <f aca="false">'DCF Base Case'!$B$2*(1+B1910)^5*$I1910-'DCF Base Case'!$B$2*(1+B1910)^4*B1910*'DCF Base Case'!$B$4</f>
        <v>31.9918702472799</v>
      </c>
      <c r="O1910" s="24" t="n">
        <f aca="false">J1910/(1+H1910)^1+K1910/(1+H1910)^2+L1910/(1+H1910)^3+M1910/(1+H1910)^4+N1910/(1+H1910)^5</f>
        <v>106.85505580379</v>
      </c>
      <c r="P1910" s="24" t="n">
        <f aca="false">N1910*(1+F1910)/(H1910-F1910)</f>
        <v>354.321485557636</v>
      </c>
      <c r="Q1910" s="24" t="n">
        <f aca="false">O1910+P1910/(1+H1910)^5</f>
        <v>319.168097881402</v>
      </c>
      <c r="R1910" s="24" t="n">
        <f aca="false">Q1910-'DCF Base Case'!$B$5</f>
        <v>134.168097881402</v>
      </c>
      <c r="S1910" s="32" t="n">
        <f aca="false">R1910/'DCF Base Case'!$B$6</f>
        <v>5.3667239152561</v>
      </c>
    </row>
    <row r="1911" customFormat="false" ht="15" hidden="false" customHeight="true" outlineLevel="0" collapsed="false">
      <c r="A1911" s="6" t="n">
        <v>1910</v>
      </c>
      <c r="B1911" s="30" t="n">
        <v>0.116312012378979</v>
      </c>
      <c r="C1911" s="30" t="n">
        <v>0.418906542075734</v>
      </c>
      <c r="D1911" s="30" t="n">
        <v>0.0781150314815595</v>
      </c>
      <c r="E1911" s="30" t="n">
        <v>0.322076780999658</v>
      </c>
      <c r="F1911" s="30" t="n">
        <v>0.0214256243820004</v>
      </c>
      <c r="G1911" s="30" t="n">
        <v>0.146756075218737</v>
      </c>
      <c r="H1911" s="31" t="n">
        <f aca="false">MAX(D1911,F1911+0.015)</f>
        <v>0.0781150314815595</v>
      </c>
      <c r="I1911" s="25" t="n">
        <f aca="false">(C1911-'DCF Base Case'!$B$3)*(1-E1911)+'DCF Base Case'!$B$3-G1911</f>
        <v>0.179100377775502</v>
      </c>
      <c r="J1911" s="24" t="n">
        <f aca="false">'DCF Base Case'!$B$2*(1+B1911)^1*$I1911-'DCF Base Case'!$B$2*(1+B1911)^0*B1911*'DCF Base Case'!$B$4</f>
        <v>28.4841687003504</v>
      </c>
      <c r="K1911" s="24" t="n">
        <f aca="false">'DCF Base Case'!$B$2*(1+B1911)^2*$I1911-'DCF Base Case'!$B$2*(1+B1911)^1*B1911*'DCF Base Case'!$B$4</f>
        <v>31.7972196828305</v>
      </c>
      <c r="L1911" s="24" t="n">
        <f aca="false">'DCF Base Case'!$B$2*(1+B1911)^3*$I1911-'DCF Base Case'!$B$2*(1+B1911)^2*B1911*'DCF Base Case'!$B$4</f>
        <v>35.4956182921969</v>
      </c>
      <c r="M1911" s="24" t="n">
        <f aca="false">'DCF Base Case'!$B$2*(1+B1911)^4*$I1911-'DCF Base Case'!$B$2*(1+B1911)^3*B1911*'DCF Base Case'!$B$4</f>
        <v>39.6241850863985</v>
      </c>
      <c r="N1911" s="24" t="n">
        <f aca="false">'DCF Base Case'!$B$2*(1+B1911)^5*$I1911-'DCF Base Case'!$B$2*(1+B1911)^4*B1911*'DCF Base Case'!$B$4</f>
        <v>44.2329537926746</v>
      </c>
      <c r="O1911" s="24" t="n">
        <f aca="false">J1911/(1+H1911)^1+K1911/(1+H1911)^2+L1911/(1+H1911)^3+M1911/(1+H1911)^4+N1911/(1+H1911)^5</f>
        <v>141.799841954731</v>
      </c>
      <c r="P1911" s="24" t="n">
        <f aca="false">N1911*(1+F1911)/(H1911-F1911)</f>
        <v>796.986152396965</v>
      </c>
      <c r="Q1911" s="24" t="n">
        <f aca="false">O1911+P1911/(1+H1911)^5</f>
        <v>688.973611187898</v>
      </c>
      <c r="R1911" s="24" t="n">
        <f aca="false">Q1911-'DCF Base Case'!$B$5</f>
        <v>503.973611187898</v>
      </c>
      <c r="S1911" s="32" t="n">
        <f aca="false">R1911/'DCF Base Case'!$B$6</f>
        <v>20.1589444475159</v>
      </c>
    </row>
    <row r="1912" customFormat="false" ht="15" hidden="false" customHeight="true" outlineLevel="0" collapsed="false">
      <c r="A1912" s="6" t="n">
        <v>1911</v>
      </c>
      <c r="B1912" s="30" t="n">
        <v>0.0635111267278848</v>
      </c>
      <c r="C1912" s="30" t="n">
        <v>0.428018789332933</v>
      </c>
      <c r="D1912" s="30" t="n">
        <v>0.0851846698011589</v>
      </c>
      <c r="E1912" s="30" t="n">
        <v>0.251554348281147</v>
      </c>
      <c r="F1912" s="30" t="n">
        <v>0.012554340212438</v>
      </c>
      <c r="G1912" s="30" t="n">
        <v>0.142995893676511</v>
      </c>
      <c r="H1912" s="31" t="n">
        <f aca="false">MAX(D1912,F1912+0.015)</f>
        <v>0.0851846698011589</v>
      </c>
      <c r="I1912" s="25" t="n">
        <f aca="false">(C1912-'DCF Base Case'!$B$3)*(1-E1912)+'DCF Base Case'!$B$3-G1912</f>
        <v>0.21005497333024</v>
      </c>
      <c r="J1912" s="24" t="n">
        <f aca="false">'DCF Base Case'!$B$2*(1+B1912)^1*$I1912-'DCF Base Case'!$B$2*(1+B1912)^0*B1912*'DCF Base Case'!$B$4</f>
        <v>32.1161177961133</v>
      </c>
      <c r="K1912" s="24" t="n">
        <f aca="false">'DCF Base Case'!$B$2*(1+B1912)^2*$I1912-'DCF Base Case'!$B$2*(1+B1912)^1*B1912*'DCF Base Case'!$B$4</f>
        <v>34.15584862347</v>
      </c>
      <c r="L1912" s="24" t="n">
        <f aca="false">'DCF Base Case'!$B$2*(1+B1912)^3*$I1912-'DCF Base Case'!$B$2*(1+B1912)^2*B1912*'DCF Base Case'!$B$4</f>
        <v>36.3251250538936</v>
      </c>
      <c r="M1912" s="24" t="n">
        <f aca="false">'DCF Base Case'!$B$2*(1+B1912)^4*$I1912-'DCF Base Case'!$B$2*(1+B1912)^3*B1912*'DCF Base Case'!$B$4</f>
        <v>38.6321746745977</v>
      </c>
      <c r="N1912" s="24" t="n">
        <f aca="false">'DCF Base Case'!$B$2*(1+B1912)^5*$I1912-'DCF Base Case'!$B$2*(1+B1912)^4*B1912*'DCF Base Case'!$B$4</f>
        <v>41.0857476161299</v>
      </c>
      <c r="O1912" s="24" t="n">
        <f aca="false">J1912/(1+H1912)^1+K1912/(1+H1912)^2+L1912/(1+H1912)^3+M1912/(1+H1912)^4+N1912/(1+H1912)^5</f>
        <v>142.181442785792</v>
      </c>
      <c r="P1912" s="24" t="n">
        <f aca="false">N1912*(1+F1912)/(H1912-F1912)</f>
        <v>572.784844914784</v>
      </c>
      <c r="Q1912" s="24" t="n">
        <f aca="false">O1912+P1912/(1+H1912)^5</f>
        <v>522.785373291823</v>
      </c>
      <c r="R1912" s="24" t="n">
        <f aca="false">Q1912-'DCF Base Case'!$B$5</f>
        <v>337.785373291823</v>
      </c>
      <c r="S1912" s="32" t="n">
        <f aca="false">R1912/'DCF Base Case'!$B$6</f>
        <v>13.5114149316729</v>
      </c>
    </row>
    <row r="1913" customFormat="false" ht="15" hidden="false" customHeight="true" outlineLevel="0" collapsed="false">
      <c r="A1913" s="6" t="n">
        <v>1912</v>
      </c>
      <c r="B1913" s="30" t="n">
        <v>0.0631929996347298</v>
      </c>
      <c r="C1913" s="30" t="n">
        <v>0.367499826982593</v>
      </c>
      <c r="D1913" s="30" t="n">
        <v>0.0729054231468666</v>
      </c>
      <c r="E1913" s="30" t="n">
        <v>0.259845875624361</v>
      </c>
      <c r="F1913" s="30" t="n">
        <v>0.0175042902955676</v>
      </c>
      <c r="G1913" s="30" t="n">
        <v>0.203525238302846</v>
      </c>
      <c r="H1913" s="31" t="n">
        <f aca="false">MAX(D1913,F1913+0.015)</f>
        <v>0.0729054231468666</v>
      </c>
      <c r="I1913" s="25" t="n">
        <f aca="false">(C1913-'DCF Base Case'!$B$3)*(1-E1913)+'DCF Base Case'!$B$3-G1913</f>
        <v>0.102261238176821</v>
      </c>
      <c r="J1913" s="24" t="n">
        <f aca="false">'DCF Base Case'!$B$2*(1+B1913)^1*$I1913-'DCF Base Case'!$B$2*(1+B1913)^0*B1913*'DCF Base Case'!$B$4</f>
        <v>15.4900081733074</v>
      </c>
      <c r="K1913" s="24" t="n">
        <f aca="false">'DCF Base Case'!$B$2*(1+B1913)^2*$I1913-'DCF Base Case'!$B$2*(1+B1913)^1*B1913*'DCF Base Case'!$B$4</f>
        <v>16.4688682541452</v>
      </c>
      <c r="L1913" s="24" t="n">
        <f aca="false">'DCF Base Case'!$B$2*(1+B1913)^3*$I1913-'DCF Base Case'!$B$2*(1+B1913)^2*B1913*'DCF Base Case'!$B$4</f>
        <v>17.5095854397138</v>
      </c>
      <c r="M1913" s="24" t="n">
        <f aca="false">'DCF Base Case'!$B$2*(1+B1913)^4*$I1913-'DCF Base Case'!$B$2*(1+B1913)^3*B1913*'DCF Base Case'!$B$4</f>
        <v>18.6160686660099</v>
      </c>
      <c r="N1913" s="24" t="n">
        <f aca="false">'DCF Base Case'!$B$2*(1+B1913)^5*$I1913-'DCF Base Case'!$B$2*(1+B1913)^4*B1913*'DCF Base Case'!$B$4</f>
        <v>19.7924738864212</v>
      </c>
      <c r="O1913" s="24" t="n">
        <f aca="false">J1913/(1+H1913)^1+K1913/(1+H1913)^2+L1913/(1+H1913)^3+M1913/(1+H1913)^4+N1913/(1+H1913)^5</f>
        <v>70.8920377222727</v>
      </c>
      <c r="P1913" s="24" t="n">
        <f aca="false">N1913*(1+F1913)/(H1913-F1913)</f>
        <v>363.511106335153</v>
      </c>
      <c r="Q1913" s="24" t="n">
        <f aca="false">O1913+P1913/(1+H1913)^5</f>
        <v>326.580117659919</v>
      </c>
      <c r="R1913" s="24" t="n">
        <f aca="false">Q1913-'DCF Base Case'!$B$5</f>
        <v>141.580117659919</v>
      </c>
      <c r="S1913" s="32" t="n">
        <f aca="false">R1913/'DCF Base Case'!$B$6</f>
        <v>5.66320470639677</v>
      </c>
    </row>
    <row r="1914" customFormat="false" ht="15" hidden="false" customHeight="true" outlineLevel="0" collapsed="false">
      <c r="A1914" s="6" t="n">
        <v>1913</v>
      </c>
      <c r="B1914" s="30" t="n">
        <v>0.0844294338113926</v>
      </c>
      <c r="C1914" s="30" t="n">
        <v>0.409060185185937</v>
      </c>
      <c r="D1914" s="30" t="n">
        <v>0.0906018090017884</v>
      </c>
      <c r="E1914" s="30" t="n">
        <v>0.273328164994341</v>
      </c>
      <c r="F1914" s="30" t="n">
        <v>0.0207755295330668</v>
      </c>
      <c r="G1914" s="30" t="n">
        <v>0.171657292043491</v>
      </c>
      <c r="H1914" s="31" t="n">
        <f aca="false">MAX(D1914,F1914+0.015)</f>
        <v>0.0906018090017884</v>
      </c>
      <c r="I1914" s="25" t="n">
        <f aca="false">(C1914-'DCF Base Case'!$B$3)*(1-E1914)+'DCF Base Case'!$B$3-G1914</f>
        <v>0.161127884802593</v>
      </c>
      <c r="J1914" s="24" t="n">
        <f aca="false">'DCF Base Case'!$B$2*(1+B1914)^1*$I1914-'DCF Base Case'!$B$2*(1+B1914)^0*B1914*'DCF Base Case'!$B$4</f>
        <v>24.9688459916374</v>
      </c>
      <c r="K1914" s="24" t="n">
        <f aca="false">'DCF Base Case'!$B$2*(1+B1914)^2*$I1914-'DCF Base Case'!$B$2*(1+B1914)^1*B1914*'DCF Base Case'!$B$4</f>
        <v>27.0769515216352</v>
      </c>
      <c r="L1914" s="24" t="n">
        <f aca="false">'DCF Base Case'!$B$2*(1+B1914)^3*$I1914-'DCF Base Case'!$B$2*(1+B1914)^2*B1914*'DCF Base Case'!$B$4</f>
        <v>29.3630432079454</v>
      </c>
      <c r="M1914" s="24" t="n">
        <f aca="false">'DCF Base Case'!$B$2*(1+B1914)^4*$I1914-'DCF Base Case'!$B$2*(1+B1914)^3*B1914*'DCF Base Case'!$B$4</f>
        <v>31.8421483209717</v>
      </c>
      <c r="N1914" s="24" t="n">
        <f aca="false">'DCF Base Case'!$B$2*(1+B1914)^5*$I1914-'DCF Base Case'!$B$2*(1+B1914)^4*B1914*'DCF Base Case'!$B$4</f>
        <v>34.5305628750497</v>
      </c>
      <c r="O1914" s="24" t="n">
        <f aca="false">J1914/(1+H1914)^1+K1914/(1+H1914)^2+L1914/(1+H1914)^3+M1914/(1+H1914)^4+N1914/(1+H1914)^5</f>
        <v>113.184359441556</v>
      </c>
      <c r="P1914" s="24" t="n">
        <f aca="false">N1914*(1+F1914)/(H1914-F1914)</f>
        <v>504.794955023243</v>
      </c>
      <c r="Q1914" s="24" t="n">
        <f aca="false">O1914+P1914/(1+H1914)^5</f>
        <v>440.362241890285</v>
      </c>
      <c r="R1914" s="24" t="n">
        <f aca="false">Q1914-'DCF Base Case'!$B$5</f>
        <v>255.362241890285</v>
      </c>
      <c r="S1914" s="32" t="n">
        <f aca="false">R1914/'DCF Base Case'!$B$6</f>
        <v>10.2144896756114</v>
      </c>
    </row>
    <row r="1915" customFormat="false" ht="15" hidden="false" customHeight="true" outlineLevel="0" collapsed="false">
      <c r="A1915" s="6" t="n">
        <v>1914</v>
      </c>
      <c r="B1915" s="30" t="n">
        <v>0.0925017655729661</v>
      </c>
      <c r="C1915" s="30" t="n">
        <v>0.455894198099826</v>
      </c>
      <c r="D1915" s="30" t="n">
        <v>0.0950223842844879</v>
      </c>
      <c r="E1915" s="30" t="n">
        <v>0.257530364783496</v>
      </c>
      <c r="F1915" s="30" t="n">
        <v>0.0206681911510689</v>
      </c>
      <c r="G1915" s="30" t="n">
        <v>0.149275045897667</v>
      </c>
      <c r="H1915" s="31" t="n">
        <f aca="false">MAX(D1915,F1915+0.015)</f>
        <v>0.0950223842844879</v>
      </c>
      <c r="I1915" s="25" t="n">
        <f aca="false">(C1915-'DCF Base Case'!$B$3)*(1-E1915)+'DCF Base Case'!$B$3-G1915</f>
        <v>0.222691500484686</v>
      </c>
      <c r="J1915" s="24" t="n">
        <f aca="false">'DCF Base Case'!$B$2*(1+B1915)^1*$I1915-'DCF Base Case'!$B$2*(1+B1915)^0*B1915*'DCF Base Case'!$B$4</f>
        <v>34.8747916511114</v>
      </c>
      <c r="K1915" s="24" t="n">
        <f aca="false">'DCF Base Case'!$B$2*(1+B1915)^2*$I1915-'DCF Base Case'!$B$2*(1+B1915)^1*B1915*'DCF Base Case'!$B$4</f>
        <v>38.1007714528285</v>
      </c>
      <c r="L1915" s="24" t="n">
        <f aca="false">'DCF Base Case'!$B$2*(1+B1915)^3*$I1915-'DCF Base Case'!$B$2*(1+B1915)^2*B1915*'DCF Base Case'!$B$4</f>
        <v>41.6251600819072</v>
      </c>
      <c r="M1915" s="24" t="n">
        <f aca="false">'DCF Base Case'!$B$2*(1+B1915)^4*$I1915-'DCF Base Case'!$B$2*(1+B1915)^3*B1915*'DCF Base Case'!$B$4</f>
        <v>45.475560881741</v>
      </c>
      <c r="N1915" s="24" t="n">
        <f aca="false">'DCF Base Case'!$B$2*(1+B1915)^5*$I1915-'DCF Base Case'!$B$2*(1+B1915)^4*B1915*'DCF Base Case'!$B$4</f>
        <v>49.682130553723</v>
      </c>
      <c r="O1915" s="24" t="n">
        <f aca="false">J1915/(1+H1915)^1+K1915/(1+H1915)^2+L1915/(1+H1915)^3+M1915/(1+H1915)^4+N1915/(1+H1915)^5</f>
        <v>158.510938167671</v>
      </c>
      <c r="P1915" s="24" t="n">
        <f aca="false">N1915*(1+F1915)/(H1915-F1915)</f>
        <v>681.992073181522</v>
      </c>
      <c r="Q1915" s="24" t="n">
        <f aca="false">O1915+P1915/(1+H1915)^5</f>
        <v>591.686893248428</v>
      </c>
      <c r="R1915" s="24" t="n">
        <f aca="false">Q1915-'DCF Base Case'!$B$5</f>
        <v>406.686893248428</v>
      </c>
      <c r="S1915" s="32" t="n">
        <f aca="false">R1915/'DCF Base Case'!$B$6</f>
        <v>16.2674757299371</v>
      </c>
    </row>
    <row r="1916" customFormat="false" ht="15" hidden="false" customHeight="true" outlineLevel="0" collapsed="false">
      <c r="A1916" s="6" t="n">
        <v>1915</v>
      </c>
      <c r="B1916" s="30" t="n">
        <v>0.0995211129927715</v>
      </c>
      <c r="C1916" s="30" t="n">
        <v>0.38780071587044</v>
      </c>
      <c r="D1916" s="30" t="n">
        <v>0.0728144260710762</v>
      </c>
      <c r="E1916" s="30" t="n">
        <v>0.289849910793743</v>
      </c>
      <c r="F1916" s="30" t="n">
        <v>0.0229286091641114</v>
      </c>
      <c r="G1916" s="30" t="n">
        <v>0.177039052280551</v>
      </c>
      <c r="H1916" s="31" t="n">
        <f aca="false">MAX(D1916,F1916+0.015)</f>
        <v>0.0728144260710762</v>
      </c>
      <c r="I1916" s="25" t="n">
        <f aca="false">(C1916-'DCF Base Case'!$B$3)*(1-E1916)+'DCF Base Case'!$B$3-G1916</f>
        <v>0.136038149092279</v>
      </c>
      <c r="J1916" s="24" t="n">
        <f aca="false">'DCF Base Case'!$B$2*(1+B1916)^1*$I1916-'DCF Base Case'!$B$2*(1+B1916)^0*B1916*'DCF Base Case'!$B$4</f>
        <v>21.2557216378972</v>
      </c>
      <c r="K1916" s="24" t="n">
        <f aca="false">'DCF Base Case'!$B$2*(1+B1916)^2*$I1916-'DCF Base Case'!$B$2*(1+B1916)^1*B1916*'DCF Base Case'!$B$4</f>
        <v>23.3711147127653</v>
      </c>
      <c r="L1916" s="24" t="n">
        <f aca="false">'DCF Base Case'!$B$2*(1+B1916)^3*$I1916-'DCF Base Case'!$B$2*(1+B1916)^2*B1916*'DCF Base Case'!$B$4</f>
        <v>25.6970340608614</v>
      </c>
      <c r="M1916" s="24" t="n">
        <f aca="false">'DCF Base Case'!$B$2*(1+B1916)^4*$I1916-'DCF Base Case'!$B$2*(1+B1916)^3*B1916*'DCF Base Case'!$B$4</f>
        <v>28.2544314912115</v>
      </c>
      <c r="N1916" s="24" t="n">
        <f aca="false">'DCF Base Case'!$B$2*(1+B1916)^5*$I1916-'DCF Base Case'!$B$2*(1+B1916)^4*B1916*'DCF Base Case'!$B$4</f>
        <v>31.0663439601949</v>
      </c>
      <c r="O1916" s="24" t="n">
        <f aca="false">J1916/(1+H1916)^1+K1916/(1+H1916)^2+L1916/(1+H1916)^3+M1916/(1+H1916)^4+N1916/(1+H1916)^5</f>
        <v>104.121818212263</v>
      </c>
      <c r="P1916" s="24" t="n">
        <f aca="false">N1916*(1+F1916)/(H1916-F1916)</f>
        <v>637.027796463313</v>
      </c>
      <c r="Q1916" s="24" t="n">
        <f aca="false">O1916+P1916/(1+H1916)^5</f>
        <v>552.387363153913</v>
      </c>
      <c r="R1916" s="24" t="n">
        <f aca="false">Q1916-'DCF Base Case'!$B$5</f>
        <v>367.387363153913</v>
      </c>
      <c r="S1916" s="32" t="n">
        <f aca="false">R1916/'DCF Base Case'!$B$6</f>
        <v>14.6954945261565</v>
      </c>
    </row>
    <row r="1917" customFormat="false" ht="15" hidden="false" customHeight="true" outlineLevel="0" collapsed="false">
      <c r="A1917" s="6" t="n">
        <v>1916</v>
      </c>
      <c r="B1917" s="30" t="n">
        <v>0.108653549637636</v>
      </c>
      <c r="C1917" s="30" t="n">
        <v>0.427867034667792</v>
      </c>
      <c r="D1917" s="30" t="n">
        <v>0.0868974570893557</v>
      </c>
      <c r="E1917" s="30" t="n">
        <v>0.267184909770054</v>
      </c>
      <c r="F1917" s="30" t="n">
        <v>0.0222736970989605</v>
      </c>
      <c r="G1917" s="30" t="n">
        <v>0.189730204429311</v>
      </c>
      <c r="H1917" s="31" t="n">
        <f aca="false">MAX(D1917,F1917+0.015)</f>
        <v>0.0868974570893557</v>
      </c>
      <c r="I1917" s="25" t="n">
        <f aca="false">(C1917-'DCF Base Case'!$B$3)*(1-E1917)+'DCF Base Case'!$B$3-G1917</f>
        <v>0.158551253457293</v>
      </c>
      <c r="J1917" s="24" t="n">
        <f aca="false">'DCF Base Case'!$B$2*(1+B1917)^1*$I1917-'DCF Base Case'!$B$2*(1+B1917)^0*B1917*'DCF Base Case'!$B$4</f>
        <v>25.0152265010904</v>
      </c>
      <c r="K1917" s="24" t="n">
        <f aca="false">'DCF Base Case'!$B$2*(1+B1917)^2*$I1917-'DCF Base Case'!$B$2*(1+B1917)^1*B1917*'DCF Base Case'!$B$4</f>
        <v>27.7332196554233</v>
      </c>
      <c r="L1917" s="24" t="n">
        <f aca="false">'DCF Base Case'!$B$2*(1+B1917)^3*$I1917-'DCF Base Case'!$B$2*(1+B1917)^2*B1917*'DCF Base Case'!$B$4</f>
        <v>30.7465324138653</v>
      </c>
      <c r="M1917" s="24" t="n">
        <f aca="false">'DCF Base Case'!$B$2*(1+B1917)^4*$I1917-'DCF Base Case'!$B$2*(1+B1917)^3*B1917*'DCF Base Case'!$B$4</f>
        <v>34.0872522996804</v>
      </c>
      <c r="N1917" s="24" t="n">
        <f aca="false">'DCF Base Case'!$B$2*(1+B1917)^5*$I1917-'DCF Base Case'!$B$2*(1+B1917)^4*B1917*'DCF Base Case'!$B$4</f>
        <v>37.7909532594344</v>
      </c>
      <c r="O1917" s="24" t="n">
        <f aca="false">J1917/(1+H1917)^1+K1917/(1+H1917)^2+L1917/(1+H1917)^3+M1917/(1+H1917)^4+N1917/(1+H1917)^5</f>
        <v>119.776330183441</v>
      </c>
      <c r="P1917" s="24" t="n">
        <f aca="false">N1917*(1+F1917)/(H1917-F1917)</f>
        <v>597.809497793967</v>
      </c>
      <c r="Q1917" s="24" t="n">
        <f aca="false">O1917+P1917/(1+H1917)^5</f>
        <v>513.888592208835</v>
      </c>
      <c r="R1917" s="24" t="n">
        <f aca="false">Q1917-'DCF Base Case'!$B$5</f>
        <v>328.888592208835</v>
      </c>
      <c r="S1917" s="32" t="n">
        <f aca="false">R1917/'DCF Base Case'!$B$6</f>
        <v>13.1555436883534</v>
      </c>
    </row>
    <row r="1918" customFormat="false" ht="15" hidden="false" customHeight="true" outlineLevel="0" collapsed="false">
      <c r="A1918" s="6" t="n">
        <v>1917</v>
      </c>
      <c r="B1918" s="30" t="n">
        <v>0.0887256190144612</v>
      </c>
      <c r="C1918" s="30" t="n">
        <v>0.411825210059779</v>
      </c>
      <c r="D1918" s="30" t="n">
        <v>0.102505463928945</v>
      </c>
      <c r="E1918" s="30" t="n">
        <v>0.27907291915617</v>
      </c>
      <c r="F1918" s="30" t="n">
        <v>0.019632183603074</v>
      </c>
      <c r="G1918" s="30" t="n">
        <v>0.176587137199296</v>
      </c>
      <c r="H1918" s="31" t="n">
        <f aca="false">MAX(D1918,F1918+0.015)</f>
        <v>0.102505463928945</v>
      </c>
      <c r="I1918" s="25" t="n">
        <f aca="false">(C1918-'DCF Base Case'!$B$3)*(1-E1918)+'DCF Base Case'!$B$3-G1918</f>
        <v>0.1565882887973</v>
      </c>
      <c r="J1918" s="24" t="n">
        <f aca="false">'DCF Base Case'!$B$2*(1+B1918)^1*$I1918-'DCF Base Case'!$B$2*(1+B1918)^0*B1918*'DCF Base Case'!$B$4</f>
        <v>24.3338873967191</v>
      </c>
      <c r="K1918" s="24" t="n">
        <f aca="false">'DCF Base Case'!$B$2*(1+B1918)^2*$I1918-'DCF Base Case'!$B$2*(1+B1918)^1*B1918*'DCF Base Case'!$B$4</f>
        <v>26.4929266190212</v>
      </c>
      <c r="L1918" s="24" t="n">
        <f aca="false">'DCF Base Case'!$B$2*(1+B1918)^3*$I1918-'DCF Base Case'!$B$2*(1+B1918)^2*B1918*'DCF Base Case'!$B$4</f>
        <v>28.8435279327986</v>
      </c>
      <c r="M1918" s="24" t="n">
        <f aca="false">'DCF Base Case'!$B$2*(1+B1918)^4*$I1918-'DCF Base Case'!$B$2*(1+B1918)^3*B1918*'DCF Base Case'!$B$4</f>
        <v>31.402687803197</v>
      </c>
      <c r="N1918" s="24" t="n">
        <f aca="false">'DCF Base Case'!$B$2*(1+B1918)^5*$I1918-'DCF Base Case'!$B$2*(1+B1918)^4*B1918*'DCF Base Case'!$B$4</f>
        <v>34.1889107172535</v>
      </c>
      <c r="O1918" s="24" t="n">
        <f aca="false">J1918/(1+H1918)^1+K1918/(1+H1918)^2+L1918/(1+H1918)^3+M1918/(1+H1918)^4+N1918/(1+H1918)^5</f>
        <v>107.632847856707</v>
      </c>
      <c r="P1918" s="24" t="n">
        <f aca="false">N1918*(1+F1918)/(H1918-F1918)</f>
        <v>420.64358442876</v>
      </c>
      <c r="Q1918" s="24" t="n">
        <f aca="false">O1918+P1918/(1+H1918)^5</f>
        <v>365.865120366778</v>
      </c>
      <c r="R1918" s="24" t="n">
        <f aca="false">Q1918-'DCF Base Case'!$B$5</f>
        <v>180.865120366778</v>
      </c>
      <c r="S1918" s="32" t="n">
        <f aca="false">R1918/'DCF Base Case'!$B$6</f>
        <v>7.23460481467113</v>
      </c>
    </row>
    <row r="1919" customFormat="false" ht="15" hidden="false" customHeight="true" outlineLevel="0" collapsed="false">
      <c r="A1919" s="6" t="n">
        <v>1918</v>
      </c>
      <c r="B1919" s="30" t="n">
        <v>0.0880126582182163</v>
      </c>
      <c r="C1919" s="30" t="n">
        <v>0.395587486429215</v>
      </c>
      <c r="D1919" s="30" t="n">
        <v>0.0891576213307588</v>
      </c>
      <c r="E1919" s="30" t="n">
        <v>0.278564534631565</v>
      </c>
      <c r="F1919" s="30" t="n">
        <v>0.0254277042221282</v>
      </c>
      <c r="G1919" s="30" t="n">
        <v>0.184065293302984</v>
      </c>
      <c r="H1919" s="31" t="n">
        <f aca="false">MAX(D1919,F1919+0.015)</f>
        <v>0.0891576213307588</v>
      </c>
      <c r="I1919" s="25" t="n">
        <f aca="false">(C1919-'DCF Base Case'!$B$3)*(1-E1919)+'DCF Base Case'!$B$3-G1919</f>
        <v>0.13753893856511</v>
      </c>
      <c r="J1919" s="24" t="n">
        <f aca="false">'DCF Base Case'!$B$2*(1+B1919)^1*$I1919-'DCF Base Case'!$B$2*(1+B1919)^0*B1919*'DCF Base Case'!$B$4</f>
        <v>21.3155403294776</v>
      </c>
      <c r="K1919" s="24" t="n">
        <f aca="false">'DCF Base Case'!$B$2*(1+B1919)^2*$I1919-'DCF Base Case'!$B$2*(1+B1919)^1*B1919*'DCF Base Case'!$B$4</f>
        <v>23.1915776952325</v>
      </c>
      <c r="L1919" s="24" t="n">
        <f aca="false">'DCF Base Case'!$B$2*(1+B1919)^3*$I1919-'DCF Base Case'!$B$2*(1+B1919)^2*B1919*'DCF Base Case'!$B$4</f>
        <v>25.2327300964642</v>
      </c>
      <c r="M1919" s="24" t="n">
        <f aca="false">'DCF Base Case'!$B$2*(1+B1919)^4*$I1919-'DCF Base Case'!$B$2*(1+B1919)^3*B1919*'DCF Base Case'!$B$4</f>
        <v>27.4535297463568</v>
      </c>
      <c r="N1919" s="24" t="n">
        <f aca="false">'DCF Base Case'!$B$2*(1+B1919)^5*$I1919-'DCF Base Case'!$B$2*(1+B1919)^4*B1919*'DCF Base Case'!$B$4</f>
        <v>29.8697878768066</v>
      </c>
      <c r="O1919" s="24" t="n">
        <f aca="false">J1919/(1+H1919)^1+K1919/(1+H1919)^2+L1919/(1+H1919)^3+M1919/(1+H1919)^4+N1919/(1+H1919)^5</f>
        <v>97.6478134008883</v>
      </c>
      <c r="P1919" s="24" t="n">
        <f aca="false">N1919*(1+F1919)/(H1919-F1919)</f>
        <v>480.611138343498</v>
      </c>
      <c r="Q1919" s="24" t="n">
        <f aca="false">O1919+P1919/(1+H1919)^5</f>
        <v>411.22189402544</v>
      </c>
      <c r="R1919" s="24" t="n">
        <f aca="false">Q1919-'DCF Base Case'!$B$5</f>
        <v>226.22189402544</v>
      </c>
      <c r="S1919" s="32" t="n">
        <f aca="false">R1919/'DCF Base Case'!$B$6</f>
        <v>9.04887576101762</v>
      </c>
    </row>
    <row r="1920" customFormat="false" ht="15" hidden="false" customHeight="true" outlineLevel="0" collapsed="false">
      <c r="A1920" s="6" t="n">
        <v>1919</v>
      </c>
      <c r="B1920" s="30" t="n">
        <v>0.0771322345191759</v>
      </c>
      <c r="C1920" s="30" t="n">
        <v>0.424359479933648</v>
      </c>
      <c r="D1920" s="30" t="n">
        <v>0.0883865241820408</v>
      </c>
      <c r="E1920" s="30" t="n">
        <v>0.319300970129821</v>
      </c>
      <c r="F1920" s="30" t="n">
        <v>0.0172454628973795</v>
      </c>
      <c r="G1920" s="30" t="n">
        <v>0.169492179417596</v>
      </c>
      <c r="H1920" s="31" t="n">
        <f aca="false">MAX(D1920,F1920+0.015)</f>
        <v>0.0883865241820408</v>
      </c>
      <c r="I1920" s="25" t="n">
        <f aca="false">(C1920-'DCF Base Case'!$B$3)*(1-E1920)+'DCF Base Case'!$B$3-G1920</f>
        <v>0.160878033006329</v>
      </c>
      <c r="J1920" s="24" t="n">
        <f aca="false">'DCF Base Case'!$B$2*(1+B1920)^1*$I1920-'DCF Base Case'!$B$2*(1+B1920)^0*B1920*'DCF Base Case'!$B$4</f>
        <v>24.7910774805293</v>
      </c>
      <c r="K1920" s="24" t="n">
        <f aca="false">'DCF Base Case'!$B$2*(1+B1920)^2*$I1920-'DCF Base Case'!$B$2*(1+B1920)^1*B1920*'DCF Base Case'!$B$4</f>
        <v>26.7032686827405</v>
      </c>
      <c r="L1920" s="24" t="n">
        <f aca="false">'DCF Base Case'!$B$2*(1+B1920)^3*$I1920-'DCF Base Case'!$B$2*(1+B1920)^2*B1920*'DCF Base Case'!$B$4</f>
        <v>28.7629514652062</v>
      </c>
      <c r="M1920" s="24" t="n">
        <f aca="false">'DCF Base Case'!$B$2*(1+B1920)^4*$I1920-'DCF Base Case'!$B$2*(1+B1920)^3*B1920*'DCF Base Case'!$B$4</f>
        <v>30.9815021830842</v>
      </c>
      <c r="N1920" s="24" t="n">
        <f aca="false">'DCF Base Case'!$B$2*(1+B1920)^5*$I1920-'DCF Base Case'!$B$2*(1+B1920)^4*B1920*'DCF Base Case'!$B$4</f>
        <v>33.3711746752262</v>
      </c>
      <c r="O1920" s="24" t="n">
        <f aca="false">J1920/(1+H1920)^1+K1920/(1+H1920)^2+L1920/(1+H1920)^3+M1920/(1+H1920)^4+N1920/(1+H1920)^5</f>
        <v>111.558047489579</v>
      </c>
      <c r="P1920" s="24" t="n">
        <f aca="false">N1920*(1+F1920)/(H1920-F1920)</f>
        <v>477.174158171422</v>
      </c>
      <c r="Q1920" s="24" t="n">
        <f aca="false">O1920+P1920/(1+H1920)^5</f>
        <v>423.994095860602</v>
      </c>
      <c r="R1920" s="24" t="n">
        <f aca="false">Q1920-'DCF Base Case'!$B$5</f>
        <v>238.994095860602</v>
      </c>
      <c r="S1920" s="32" t="n">
        <f aca="false">R1920/'DCF Base Case'!$B$6</f>
        <v>9.55976383442407</v>
      </c>
    </row>
    <row r="1921" customFormat="false" ht="15" hidden="false" customHeight="true" outlineLevel="0" collapsed="false">
      <c r="A1921" s="6" t="n">
        <v>1920</v>
      </c>
      <c r="B1921" s="30" t="n">
        <v>0.0879860374109029</v>
      </c>
      <c r="C1921" s="30" t="n">
        <v>0.415209636351794</v>
      </c>
      <c r="D1921" s="30" t="n">
        <v>0.0752628115609566</v>
      </c>
      <c r="E1921" s="30" t="n">
        <v>0.297130909799693</v>
      </c>
      <c r="F1921" s="30" t="n">
        <v>0.0208396138506676</v>
      </c>
      <c r="G1921" s="30" t="n">
        <v>0.195583971266909</v>
      </c>
      <c r="H1921" s="31" t="n">
        <f aca="false">MAX(D1921,F1921+0.015)</f>
        <v>0.0752628115609566</v>
      </c>
      <c r="I1921" s="25" t="n">
        <f aca="false">(C1921-'DCF Base Case'!$B$3)*(1-E1921)+'DCF Base Case'!$B$3-G1921</f>
        <v>0.134881066352037</v>
      </c>
      <c r="J1921" s="24" t="n">
        <f aca="false">'DCF Base Case'!$B$2*(1+B1921)^1*$I1921-'DCF Base Case'!$B$2*(1+B1921)^0*B1921*'DCF Base Case'!$B$4</f>
        <v>20.8958246880685</v>
      </c>
      <c r="K1921" s="24" t="n">
        <f aca="false">'DCF Base Case'!$B$2*(1+B1921)^2*$I1921-'DCF Base Case'!$B$2*(1+B1921)^1*B1921*'DCF Base Case'!$B$4</f>
        <v>22.7343655008045</v>
      </c>
      <c r="L1921" s="24" t="n">
        <f aca="false">'DCF Base Case'!$B$2*(1+B1921)^3*$I1921-'DCF Base Case'!$B$2*(1+B1921)^2*B1921*'DCF Base Case'!$B$4</f>
        <v>24.7346722342715</v>
      </c>
      <c r="M1921" s="24" t="n">
        <f aca="false">'DCF Base Case'!$B$2*(1+B1921)^4*$I1921-'DCF Base Case'!$B$2*(1+B1921)^3*B1921*'DCF Base Case'!$B$4</f>
        <v>26.9109780308225</v>
      </c>
      <c r="N1921" s="24" t="n">
        <f aca="false">'DCF Base Case'!$B$2*(1+B1921)^5*$I1921-'DCF Base Case'!$B$2*(1+B1921)^4*B1921*'DCF Base Case'!$B$4</f>
        <v>29.2787683506064</v>
      </c>
      <c r="O1921" s="24" t="n">
        <f aca="false">J1921/(1+H1921)^1+K1921/(1+H1921)^2+L1921/(1+H1921)^3+M1921/(1+H1921)^4+N1921/(1+H1921)^5</f>
        <v>99.4929663907081</v>
      </c>
      <c r="P1921" s="24" t="n">
        <f aca="false">N1921*(1+F1921)/(H1921-F1921)</f>
        <v>549.194605141799</v>
      </c>
      <c r="Q1921" s="24" t="n">
        <f aca="false">O1921+P1921/(1+H1921)^5</f>
        <v>481.57193558056</v>
      </c>
      <c r="R1921" s="24" t="n">
        <f aca="false">Q1921-'DCF Base Case'!$B$5</f>
        <v>296.57193558056</v>
      </c>
      <c r="S1921" s="32" t="n">
        <f aca="false">R1921/'DCF Base Case'!$B$6</f>
        <v>11.8628774232224</v>
      </c>
    </row>
    <row r="1922" customFormat="false" ht="15" hidden="false" customHeight="true" outlineLevel="0" collapsed="false">
      <c r="A1922" s="6" t="n">
        <v>1921</v>
      </c>
      <c r="B1922" s="30" t="n">
        <v>0.0897996149960922</v>
      </c>
      <c r="C1922" s="30" t="n">
        <v>0.405729242637918</v>
      </c>
      <c r="D1922" s="30" t="n">
        <v>0.0936822381573844</v>
      </c>
      <c r="E1922" s="30" t="n">
        <v>0.261761847638285</v>
      </c>
      <c r="F1922" s="30" t="n">
        <v>0.0232292789687604</v>
      </c>
      <c r="G1922" s="30" t="n">
        <v>0.191075344732235</v>
      </c>
      <c r="H1922" s="31" t="n">
        <f aca="false">MAX(D1922,F1922+0.015)</f>
        <v>0.0936822381573844</v>
      </c>
      <c r="I1922" s="25" t="n">
        <f aca="false">(C1922-'DCF Base Case'!$B$3)*(1-E1922)+'DCF Base Case'!$B$3-G1922</f>
        <v>0.142478501904877</v>
      </c>
      <c r="J1922" s="24" t="n">
        <f aca="false">'DCF Base Case'!$B$2*(1+B1922)^1*$I1922-'DCF Base Case'!$B$2*(1+B1922)^0*B1922*'DCF Base Case'!$B$4</f>
        <v>22.1239590703344</v>
      </c>
      <c r="K1922" s="24" t="n">
        <f aca="false">'DCF Base Case'!$B$2*(1+B1922)^2*$I1922-'DCF Base Case'!$B$2*(1+B1922)^1*B1922*'DCF Base Case'!$B$4</f>
        <v>24.1106820770397</v>
      </c>
      <c r="L1922" s="24" t="n">
        <f aca="false">'DCF Base Case'!$B$2*(1+B1922)^3*$I1922-'DCF Base Case'!$B$2*(1+B1922)^2*B1922*'DCF Base Case'!$B$4</f>
        <v>26.2758120448511</v>
      </c>
      <c r="M1922" s="24" t="n">
        <f aca="false">'DCF Base Case'!$B$2*(1+B1922)^4*$I1922-'DCF Base Case'!$B$2*(1+B1922)^3*B1922*'DCF Base Case'!$B$4</f>
        <v>28.6353698501884</v>
      </c>
      <c r="N1922" s="24" t="n">
        <f aca="false">'DCF Base Case'!$B$2*(1+B1922)^5*$I1922-'DCF Base Case'!$B$2*(1+B1922)^4*B1922*'DCF Base Case'!$B$4</f>
        <v>31.206815038006</v>
      </c>
      <c r="O1922" s="24" t="n">
        <f aca="false">J1922/(1+H1922)^1+K1922/(1+H1922)^2+L1922/(1+H1922)^3+M1922/(1+H1922)^4+N1922/(1+H1922)^5</f>
        <v>100.428775298715</v>
      </c>
      <c r="P1922" s="24" t="n">
        <f aca="false">N1922*(1+F1922)/(H1922-F1922)</f>
        <v>453.234714595301</v>
      </c>
      <c r="Q1922" s="24" t="n">
        <f aca="false">O1922+P1922/(1+H1922)^5</f>
        <v>390.074665799998</v>
      </c>
      <c r="R1922" s="24" t="n">
        <f aca="false">Q1922-'DCF Base Case'!$B$5</f>
        <v>205.074665799998</v>
      </c>
      <c r="S1922" s="32" t="n">
        <f aca="false">R1922/'DCF Base Case'!$B$6</f>
        <v>8.20298663199992</v>
      </c>
    </row>
    <row r="1923" customFormat="false" ht="15" hidden="false" customHeight="true" outlineLevel="0" collapsed="false">
      <c r="A1923" s="6" t="n">
        <v>1922</v>
      </c>
      <c r="B1923" s="30" t="n">
        <v>0.117160743156565</v>
      </c>
      <c r="C1923" s="30" t="n">
        <v>0.430747111063968</v>
      </c>
      <c r="D1923" s="30" t="n">
        <v>0.0796485397914246</v>
      </c>
      <c r="E1923" s="30" t="n">
        <v>0.282771915870593</v>
      </c>
      <c r="F1923" s="30" t="n">
        <v>0.020703452217335</v>
      </c>
      <c r="G1923" s="30" t="n">
        <v>0.153922936976049</v>
      </c>
      <c r="H1923" s="31" t="n">
        <f aca="false">MAX(D1923,F1923+0.015)</f>
        <v>0.0796485397914246</v>
      </c>
      <c r="I1923" s="25" t="n">
        <f aca="false">(C1923-'DCF Base Case'!$B$3)*(1-E1923)+'DCF Base Case'!$B$3-G1923</f>
        <v>0.191781337299815</v>
      </c>
      <c r="J1923" s="24" t="n">
        <f aca="false">'DCF Base Case'!$B$2*(1+B1923)^1*$I1923-'DCF Base Case'!$B$2*(1+B1923)^0*B1923*'DCF Base Case'!$B$4</f>
        <v>30.556685055975</v>
      </c>
      <c r="K1923" s="24" t="n">
        <f aca="false">'DCF Base Case'!$B$2*(1+B1923)^2*$I1923-'DCF Base Case'!$B$2*(1+B1923)^1*B1923*'DCF Base Case'!$B$4</f>
        <v>34.1367289855341</v>
      </c>
      <c r="L1923" s="24" t="n">
        <f aca="false">'DCF Base Case'!$B$2*(1+B1923)^3*$I1923-'DCF Base Case'!$B$2*(1+B1923)^2*B1923*'DCF Base Case'!$B$4</f>
        <v>38.1362135224135</v>
      </c>
      <c r="M1923" s="24" t="n">
        <f aca="false">'DCF Base Case'!$B$2*(1+B1923)^4*$I1923-'DCF Base Case'!$B$2*(1+B1923)^3*B1923*'DCF Base Case'!$B$4</f>
        <v>42.6042806398769</v>
      </c>
      <c r="N1923" s="24" t="n">
        <f aca="false">'DCF Base Case'!$B$2*(1+B1923)^5*$I1923-'DCF Base Case'!$B$2*(1+B1923)^4*B1923*'DCF Base Case'!$B$4</f>
        <v>47.5958298212958</v>
      </c>
      <c r="O1923" s="24" t="n">
        <f aca="false">J1923/(1+H1923)^1+K1923/(1+H1923)^2+L1923/(1+H1923)^3+M1923/(1+H1923)^4+N1923/(1+H1923)^5</f>
        <v>151.693464313291</v>
      </c>
      <c r="P1923" s="24" t="n">
        <f aca="false">N1923*(1+F1923)/(H1923-F1923)</f>
        <v>824.177718773976</v>
      </c>
      <c r="Q1923" s="24" t="n">
        <f aca="false">O1923+P1923/(1+H1923)^5</f>
        <v>713.528555344679</v>
      </c>
      <c r="R1923" s="24" t="n">
        <f aca="false">Q1923-'DCF Base Case'!$B$5</f>
        <v>528.528555344679</v>
      </c>
      <c r="S1923" s="32" t="n">
        <f aca="false">R1923/'DCF Base Case'!$B$6</f>
        <v>21.1411422137871</v>
      </c>
    </row>
    <row r="1924" customFormat="false" ht="15" hidden="false" customHeight="true" outlineLevel="0" collapsed="false">
      <c r="A1924" s="6" t="n">
        <v>1923</v>
      </c>
      <c r="B1924" s="30" t="n">
        <v>0.118640362556156</v>
      </c>
      <c r="C1924" s="30" t="n">
        <v>0.434999888879294</v>
      </c>
      <c r="D1924" s="30" t="n">
        <v>0.075185547491458</v>
      </c>
      <c r="E1924" s="30" t="n">
        <v>0.332806932433057</v>
      </c>
      <c r="F1924" s="30" t="n">
        <v>0.0197102260337254</v>
      </c>
      <c r="G1924" s="30" t="n">
        <v>0.143405545841026</v>
      </c>
      <c r="H1924" s="31" t="n">
        <f aca="false">MAX(D1924,F1924+0.015)</f>
        <v>0.075185547491458</v>
      </c>
      <c r="I1924" s="25" t="n">
        <f aca="false">(C1924-'DCF Base Case'!$B$3)*(1-E1924)+'DCF Base Case'!$B$3-G1924</f>
        <v>0.190088265627927</v>
      </c>
      <c r="J1924" s="24" t="n">
        <f aca="false">'DCF Base Case'!$B$2*(1+B1924)^1*$I1924-'DCF Base Case'!$B$2*(1+B1924)^0*B1924*'DCF Base Case'!$B$4</f>
        <v>30.3167733479365</v>
      </c>
      <c r="K1924" s="24" t="n">
        <f aca="false">'DCF Base Case'!$B$2*(1+B1924)^2*$I1924-'DCF Base Case'!$B$2*(1+B1924)^1*B1924*'DCF Base Case'!$B$4</f>
        <v>33.9135663294685</v>
      </c>
      <c r="L1924" s="24" t="n">
        <f aca="false">'DCF Base Case'!$B$2*(1+B1924)^3*$I1924-'DCF Base Case'!$B$2*(1+B1924)^2*B1924*'DCF Base Case'!$B$4</f>
        <v>37.9370841343689</v>
      </c>
      <c r="M1924" s="24" t="n">
        <f aca="false">'DCF Base Case'!$B$2*(1+B1924)^4*$I1924-'DCF Base Case'!$B$2*(1+B1924)^3*B1924*'DCF Base Case'!$B$4</f>
        <v>42.4379535503938</v>
      </c>
      <c r="N1924" s="24" t="n">
        <f aca="false">'DCF Base Case'!$B$2*(1+B1924)^5*$I1924-'DCF Base Case'!$B$2*(1+B1924)^4*B1924*'DCF Base Case'!$B$4</f>
        <v>47.4728077457539</v>
      </c>
      <c r="O1924" s="24" t="n">
        <f aca="false">J1924/(1+H1924)^1+K1924/(1+H1924)^2+L1924/(1+H1924)^3+M1924/(1+H1924)^4+N1924/(1+H1924)^5</f>
        <v>152.849922532516</v>
      </c>
      <c r="P1924" s="24" t="n">
        <f aca="false">N1924*(1+F1924)/(H1924-F1924)</f>
        <v>872.613375548646</v>
      </c>
      <c r="Q1924" s="24" t="n">
        <f aca="false">O1924+P1924/(1+H1924)^5</f>
        <v>760.152012278126</v>
      </c>
      <c r="R1924" s="24" t="n">
        <f aca="false">Q1924-'DCF Base Case'!$B$5</f>
        <v>575.152012278126</v>
      </c>
      <c r="S1924" s="32" t="n">
        <f aca="false">R1924/'DCF Base Case'!$B$6</f>
        <v>23.0060804911251</v>
      </c>
    </row>
    <row r="1925" customFormat="false" ht="15" hidden="false" customHeight="true" outlineLevel="0" collapsed="false">
      <c r="A1925" s="6" t="n">
        <v>1924</v>
      </c>
      <c r="B1925" s="30" t="n">
        <v>0.0718745635504322</v>
      </c>
      <c r="C1925" s="30" t="n">
        <v>0.436762648162146</v>
      </c>
      <c r="D1925" s="30" t="n">
        <v>0.105074834078385</v>
      </c>
      <c r="E1925" s="30" t="n">
        <v>0.31065443827155</v>
      </c>
      <c r="F1925" s="30" t="n">
        <v>0.0239962587404198</v>
      </c>
      <c r="G1925" s="30" t="n">
        <v>0.194091474863107</v>
      </c>
      <c r="H1925" s="31" t="n">
        <f aca="false">MAX(D1925,F1925+0.015)</f>
        <v>0.105074834078385</v>
      </c>
      <c r="I1925" s="25" t="n">
        <f aca="false">(C1925-'DCF Base Case'!$B$3)*(1-E1925)+'DCF Base Case'!$B$3-G1925</f>
        <v>0.147373995151534</v>
      </c>
      <c r="J1925" s="24" t="n">
        <f aca="false">'DCF Base Case'!$B$2*(1+B1925)^1*$I1925-'DCF Base Case'!$B$2*(1+B1925)^0*B1925*'DCF Base Case'!$B$4</f>
        <v>22.5924789746571</v>
      </c>
      <c r="K1925" s="24" t="n">
        <f aca="false">'DCF Base Case'!$B$2*(1+B1925)^2*$I1925-'DCF Base Case'!$B$2*(1+B1925)^1*B1925*'DCF Base Case'!$B$4</f>
        <v>24.2163035404829</v>
      </c>
      <c r="L1925" s="24" t="n">
        <f aca="false">'DCF Base Case'!$B$2*(1+B1925)^3*$I1925-'DCF Base Case'!$B$2*(1+B1925)^2*B1925*'DCF Base Case'!$B$4</f>
        <v>25.9568397882599</v>
      </c>
      <c r="M1925" s="24" t="n">
        <f aca="false">'DCF Base Case'!$B$2*(1+B1925)^4*$I1925-'DCF Base Case'!$B$2*(1+B1925)^3*B1925*'DCF Base Case'!$B$4</f>
        <v>27.8224763191896</v>
      </c>
      <c r="N1925" s="24" t="n">
        <f aca="false">'DCF Base Case'!$B$2*(1+B1925)^5*$I1925-'DCF Base Case'!$B$2*(1+B1925)^4*B1925*'DCF Base Case'!$B$4</f>
        <v>29.8222046615236</v>
      </c>
      <c r="O1925" s="24" t="n">
        <f aca="false">J1925/(1+H1925)^1+K1925/(1+H1925)^2+L1925/(1+H1925)^3+M1925/(1+H1925)^4+N1925/(1+H1925)^5</f>
        <v>96.2610914813811</v>
      </c>
      <c r="P1925" s="24" t="n">
        <f aca="false">N1925*(1+F1925)/(H1925-F1925)</f>
        <v>376.644827237016</v>
      </c>
      <c r="Q1925" s="24" t="n">
        <f aca="false">O1925+P1925/(1+H1925)^5</f>
        <v>324.807059134008</v>
      </c>
      <c r="R1925" s="24" t="n">
        <f aca="false">Q1925-'DCF Base Case'!$B$5</f>
        <v>139.807059134008</v>
      </c>
      <c r="S1925" s="32" t="n">
        <f aca="false">R1925/'DCF Base Case'!$B$6</f>
        <v>5.59228236536033</v>
      </c>
    </row>
    <row r="1926" customFormat="false" ht="15" hidden="false" customHeight="true" outlineLevel="0" collapsed="false">
      <c r="A1926" s="6" t="n">
        <v>1925</v>
      </c>
      <c r="B1926" s="30" t="n">
        <v>0.102000502703125</v>
      </c>
      <c r="C1926" s="30" t="n">
        <v>0.424932679047798</v>
      </c>
      <c r="D1926" s="30" t="n">
        <v>0.0909384951392427</v>
      </c>
      <c r="E1926" s="30" t="n">
        <v>0.302192883031107</v>
      </c>
      <c r="F1926" s="30" t="n">
        <v>0.016332768472399</v>
      </c>
      <c r="G1926" s="30" t="n">
        <v>0.182682694703143</v>
      </c>
      <c r="H1926" s="31" t="n">
        <f aca="false">MAX(D1926,F1926+0.015)</f>
        <v>0.0909384951392427</v>
      </c>
      <c r="I1926" s="25" t="n">
        <f aca="false">(C1926-'DCF Base Case'!$B$3)*(1-E1926)+'DCF Base Case'!$B$3-G1926</f>
        <v>0.153123427763113</v>
      </c>
      <c r="J1926" s="24" t="n">
        <f aca="false">'DCF Base Case'!$B$2*(1+B1926)^1*$I1926-'DCF Base Case'!$B$2*(1+B1926)^0*B1926*'DCF Base Case'!$B$4</f>
        <v>24.0239014969749</v>
      </c>
      <c r="K1926" s="24" t="n">
        <f aca="false">'DCF Base Case'!$B$2*(1+B1926)^2*$I1926-'DCF Base Case'!$B$2*(1+B1926)^1*B1926*'DCF Base Case'!$B$4</f>
        <v>26.4743515265567</v>
      </c>
      <c r="L1926" s="24" t="n">
        <f aca="false">'DCF Base Case'!$B$2*(1+B1926)^3*$I1926-'DCF Base Case'!$B$2*(1+B1926)^2*B1926*'DCF Base Case'!$B$4</f>
        <v>29.1747486910047</v>
      </c>
      <c r="M1926" s="24" t="n">
        <f aca="false">'DCF Base Case'!$B$2*(1+B1926)^4*$I1926-'DCF Base Case'!$B$2*(1+B1926)^3*B1926*'DCF Base Case'!$B$4</f>
        <v>32.1505877237246</v>
      </c>
      <c r="N1926" s="24" t="n">
        <f aca="false">'DCF Base Case'!$B$2*(1+B1926)^5*$I1926-'DCF Base Case'!$B$2*(1+B1926)^4*B1926*'DCF Base Case'!$B$4</f>
        <v>35.4299638337454</v>
      </c>
      <c r="O1926" s="24" t="n">
        <f aca="false">J1926/(1+H1926)^1+K1926/(1+H1926)^2+L1926/(1+H1926)^3+M1926/(1+H1926)^4+N1926/(1+H1926)^5</f>
        <v>112.362277037744</v>
      </c>
      <c r="P1926" s="24" t="n">
        <f aca="false">N1926*(1+F1926)/(H1926-F1926)</f>
        <v>482.652402687881</v>
      </c>
      <c r="Q1926" s="24" t="n">
        <f aca="false">O1926+P1926/(1+H1926)^5</f>
        <v>424.70625653045</v>
      </c>
      <c r="R1926" s="24" t="n">
        <f aca="false">Q1926-'DCF Base Case'!$B$5</f>
        <v>239.70625653045</v>
      </c>
      <c r="S1926" s="32" t="n">
        <f aca="false">R1926/'DCF Base Case'!$B$6</f>
        <v>9.58825026121802</v>
      </c>
    </row>
    <row r="1927" customFormat="false" ht="15" hidden="false" customHeight="true" outlineLevel="0" collapsed="false">
      <c r="A1927" s="6" t="n">
        <v>1926</v>
      </c>
      <c r="B1927" s="30" t="n">
        <v>0.120982206094793</v>
      </c>
      <c r="C1927" s="30" t="n">
        <v>0.421241918519077</v>
      </c>
      <c r="D1927" s="30" t="n">
        <v>0.0815542743614603</v>
      </c>
      <c r="E1927" s="30" t="n">
        <v>0.29399337666723</v>
      </c>
      <c r="F1927" s="30" t="n">
        <v>0.0167188114165907</v>
      </c>
      <c r="G1927" s="30" t="n">
        <v>0.139385532288215</v>
      </c>
      <c r="H1927" s="31" t="n">
        <f aca="false">MAX(D1927,F1927+0.015)</f>
        <v>0.0815542743614603</v>
      </c>
      <c r="I1927" s="25" t="n">
        <f aca="false">(C1927-'DCF Base Case'!$B$3)*(1-E1927)+'DCF Base Case'!$B$3-G1927</f>
        <v>0.196233191178396</v>
      </c>
      <c r="J1927" s="24" t="n">
        <f aca="false">'DCF Base Case'!$B$2*(1+B1927)^1*$I1927-'DCF Base Case'!$B$2*(1+B1927)^0*B1927*'DCF Base Case'!$B$4</f>
        <v>31.3699451591337</v>
      </c>
      <c r="K1927" s="24" t="n">
        <f aca="false">'DCF Base Case'!$B$2*(1+B1927)^2*$I1927-'DCF Base Case'!$B$2*(1+B1927)^1*B1927*'DCF Base Case'!$B$4</f>
        <v>35.1651503295584</v>
      </c>
      <c r="L1927" s="24" t="n">
        <f aca="false">'DCF Base Case'!$B$2*(1+B1927)^3*$I1927-'DCF Base Case'!$B$2*(1+B1927)^2*B1927*'DCF Base Case'!$B$4</f>
        <v>39.4195077940834</v>
      </c>
      <c r="M1927" s="24" t="n">
        <f aca="false">'DCF Base Case'!$B$2*(1+B1927)^4*$I1927-'DCF Base Case'!$B$2*(1+B1927)^3*B1927*'DCF Base Case'!$B$4</f>
        <v>44.1885668101825</v>
      </c>
      <c r="N1927" s="24" t="n">
        <f aca="false">'DCF Base Case'!$B$2*(1+B1927)^5*$I1927-'DCF Base Case'!$B$2*(1+B1927)^4*B1927*'DCF Base Case'!$B$4</f>
        <v>49.5345971070455</v>
      </c>
      <c r="O1927" s="24" t="n">
        <f aca="false">J1927/(1+H1927)^1+K1927/(1+H1927)^2+L1927/(1+H1927)^3+M1927/(1+H1927)^4+N1927/(1+H1927)^5</f>
        <v>155.988611561289</v>
      </c>
      <c r="P1927" s="24" t="n">
        <f aca="false">N1927*(1+F1927)/(H1927-F1927)</f>
        <v>776.777929965567</v>
      </c>
      <c r="Q1927" s="24" t="n">
        <f aca="false">O1927+P1927/(1+H1927)^5</f>
        <v>680.86288652297</v>
      </c>
      <c r="R1927" s="24" t="n">
        <f aca="false">Q1927-'DCF Base Case'!$B$5</f>
        <v>495.86288652297</v>
      </c>
      <c r="S1927" s="32" t="n">
        <f aca="false">R1927/'DCF Base Case'!$B$6</f>
        <v>19.8345154609188</v>
      </c>
    </row>
    <row r="1928" customFormat="false" ht="15" hidden="false" customHeight="true" outlineLevel="0" collapsed="false">
      <c r="A1928" s="6" t="n">
        <v>1927</v>
      </c>
      <c r="B1928" s="30" t="n">
        <v>0.114945830265572</v>
      </c>
      <c r="C1928" s="30" t="n">
        <v>0.414317499820103</v>
      </c>
      <c r="D1928" s="30" t="n">
        <v>0.0852029343659223</v>
      </c>
      <c r="E1928" s="30" t="n">
        <v>0.26504004443537</v>
      </c>
      <c r="F1928" s="30" t="n">
        <v>0.0238618921156931</v>
      </c>
      <c r="G1928" s="30" t="n">
        <v>0.185638904729594</v>
      </c>
      <c r="H1928" s="31" t="n">
        <f aca="false">MAX(D1928,F1928+0.015)</f>
        <v>0.0852029343659223</v>
      </c>
      <c r="I1928" s="25" t="n">
        <f aca="false">(C1928-'DCF Base Case'!$B$3)*(1-E1928)+'DCF Base Case'!$B$3-G1928</f>
        <v>0.153323072304436</v>
      </c>
      <c r="J1928" s="24" t="n">
        <f aca="false">'DCF Base Case'!$B$2*(1+B1928)^1*$I1928-'DCF Base Case'!$B$2*(1+B1928)^0*B1928*'DCF Base Case'!$B$4</f>
        <v>24.2872890599987</v>
      </c>
      <c r="K1928" s="24" t="n">
        <f aca="false">'DCF Base Case'!$B$2*(1+B1928)^2*$I1928-'DCF Base Case'!$B$2*(1+B1928)^1*B1928*'DCF Base Case'!$B$4</f>
        <v>27.0790116659002</v>
      </c>
      <c r="L1928" s="24" t="n">
        <f aca="false">'DCF Base Case'!$B$2*(1+B1928)^3*$I1928-'DCF Base Case'!$B$2*(1+B1928)^2*B1928*'DCF Base Case'!$B$4</f>
        <v>30.1916311446082</v>
      </c>
      <c r="M1928" s="24" t="n">
        <f aca="false">'DCF Base Case'!$B$2*(1+B1928)^4*$I1928-'DCF Base Case'!$B$2*(1+B1928)^3*B1928*'DCF Base Case'!$B$4</f>
        <v>33.662033253597</v>
      </c>
      <c r="N1928" s="24" t="n">
        <f aca="false">'DCF Base Case'!$B$2*(1+B1928)^5*$I1928-'DCF Base Case'!$B$2*(1+B1928)^4*B1928*'DCF Base Case'!$B$4</f>
        <v>37.5313436143591</v>
      </c>
      <c r="O1928" s="24" t="n">
        <f aca="false">J1928/(1+H1928)^1+K1928/(1+H1928)^2+L1928/(1+H1928)^3+M1928/(1+H1928)^4+N1928/(1+H1928)^5</f>
        <v>118.206447208089</v>
      </c>
      <c r="P1928" s="24" t="n">
        <f aca="false">N1928*(1+F1928)/(H1928-F1928)</f>
        <v>626.447009652796</v>
      </c>
      <c r="Q1928" s="24" t="n">
        <f aca="false">O1928+P1928/(1+H1928)^5</f>
        <v>534.432771156086</v>
      </c>
      <c r="R1928" s="24" t="n">
        <f aca="false">Q1928-'DCF Base Case'!$B$5</f>
        <v>349.432771156086</v>
      </c>
      <c r="S1928" s="32" t="n">
        <f aca="false">R1928/'DCF Base Case'!$B$6</f>
        <v>13.9773108462434</v>
      </c>
    </row>
    <row r="1929" customFormat="false" ht="15" hidden="false" customHeight="true" outlineLevel="0" collapsed="false">
      <c r="A1929" s="6" t="n">
        <v>1928</v>
      </c>
      <c r="B1929" s="30" t="n">
        <v>0.0849932492340556</v>
      </c>
      <c r="C1929" s="30" t="n">
        <v>0.386508426118502</v>
      </c>
      <c r="D1929" s="30" t="n">
        <v>0.0811837721465598</v>
      </c>
      <c r="E1929" s="30" t="n">
        <v>0.296948685561603</v>
      </c>
      <c r="F1929" s="30" t="n">
        <v>0.0200296533517708</v>
      </c>
      <c r="G1929" s="30" t="n">
        <v>0.167660968887443</v>
      </c>
      <c r="H1929" s="31" t="n">
        <f aca="false">MAX(D1929,F1929+0.015)</f>
        <v>0.0811837721465598</v>
      </c>
      <c r="I1929" s="25" t="n">
        <f aca="false">(C1929-'DCF Base Case'!$B$3)*(1-E1929)+'DCF Base Case'!$B$3-G1929</f>
        <v>0.142677617259694</v>
      </c>
      <c r="J1929" s="24" t="n">
        <f aca="false">'DCF Base Case'!$B$2*(1+B1929)^1*$I1929-'DCF Base Case'!$B$2*(1+B1929)^0*B1929*'DCF Base Case'!$B$4</f>
        <v>22.0768958396493</v>
      </c>
      <c r="K1929" s="24" t="n">
        <f aca="false">'DCF Base Case'!$B$2*(1+B1929)^2*$I1929-'DCF Base Case'!$B$2*(1+B1929)^1*B1929*'DCF Base Case'!$B$4</f>
        <v>23.9532829500629</v>
      </c>
      <c r="L1929" s="24" t="n">
        <f aca="false">'DCF Base Case'!$B$2*(1+B1929)^3*$I1929-'DCF Base Case'!$B$2*(1+B1929)^2*B1929*'DCF Base Case'!$B$4</f>
        <v>25.9891502978115</v>
      </c>
      <c r="M1929" s="24" t="n">
        <f aca="false">'DCF Base Case'!$B$2*(1+B1929)^4*$I1929-'DCF Base Case'!$B$2*(1+B1929)^3*B1929*'DCF Base Case'!$B$4</f>
        <v>28.1980526264547</v>
      </c>
      <c r="N1929" s="24" t="n">
        <f aca="false">'DCF Base Case'!$B$2*(1+B1929)^5*$I1929-'DCF Base Case'!$B$2*(1+B1929)^4*B1929*'DCF Base Case'!$B$4</f>
        <v>30.5946967412499</v>
      </c>
      <c r="O1929" s="24" t="n">
        <f aca="false">J1929/(1+H1929)^1+K1929/(1+H1929)^2+L1929/(1+H1929)^3+M1929/(1+H1929)^4+N1929/(1+H1929)^5</f>
        <v>102.81794082924</v>
      </c>
      <c r="P1929" s="24" t="n">
        <f aca="false">N1929*(1+F1929)/(H1929-F1929)</f>
        <v>510.309011500939</v>
      </c>
      <c r="Q1929" s="24" t="n">
        <f aca="false">O1929+P1929/(1+H1929)^5</f>
        <v>448.228527657913</v>
      </c>
      <c r="R1929" s="24" t="n">
        <f aca="false">Q1929-'DCF Base Case'!$B$5</f>
        <v>263.228527657913</v>
      </c>
      <c r="S1929" s="32" t="n">
        <f aca="false">R1929/'DCF Base Case'!$B$6</f>
        <v>10.5291411063165</v>
      </c>
    </row>
    <row r="1930" customFormat="false" ht="15" hidden="false" customHeight="true" outlineLevel="0" collapsed="false">
      <c r="A1930" s="6" t="n">
        <v>1929</v>
      </c>
      <c r="B1930" s="30" t="n">
        <v>0.0943836088678997</v>
      </c>
      <c r="C1930" s="30" t="n">
        <v>0.430588637146882</v>
      </c>
      <c r="D1930" s="30" t="n">
        <v>0.0845395487552845</v>
      </c>
      <c r="E1930" s="30" t="n">
        <v>0.293159269239497</v>
      </c>
      <c r="F1930" s="30" t="n">
        <v>0.0153218602598968</v>
      </c>
      <c r="G1930" s="30" t="n">
        <v>0.2143465345603</v>
      </c>
      <c r="H1930" s="31" t="n">
        <f aca="false">MAX(D1930,F1930+0.015)</f>
        <v>0.0845395487552845</v>
      </c>
      <c r="I1930" s="25" t="n">
        <f aca="false">(C1930-'DCF Base Case'!$B$3)*(1-E1930)+'DCF Base Case'!$B$3-G1930</f>
        <v>0.128121757378906</v>
      </c>
      <c r="J1930" s="24" t="n">
        <f aca="false">'DCF Base Case'!$B$2*(1+B1930)^1*$I1930-'DCF Base Case'!$B$2*(1+B1930)^0*B1930*'DCF Base Case'!$B$4</f>
        <v>19.9205122275742</v>
      </c>
      <c r="K1930" s="24" t="n">
        <f aca="false">'DCF Base Case'!$B$2*(1+B1930)^2*$I1930-'DCF Base Case'!$B$2*(1+B1930)^1*B1930*'DCF Base Case'!$B$4</f>
        <v>21.8006820621097</v>
      </c>
      <c r="L1930" s="24" t="n">
        <f aca="false">'DCF Base Case'!$B$2*(1+B1930)^3*$I1930-'DCF Base Case'!$B$2*(1+B1930)^2*B1930*'DCF Base Case'!$B$4</f>
        <v>23.8583091109133</v>
      </c>
      <c r="M1930" s="24" t="n">
        <f aca="false">'DCF Base Case'!$B$2*(1+B1930)^4*$I1930-'DCF Base Case'!$B$2*(1+B1930)^3*B1930*'DCF Base Case'!$B$4</f>
        <v>26.1101424262872</v>
      </c>
      <c r="N1930" s="24" t="n">
        <f aca="false">'DCF Base Case'!$B$2*(1+B1930)^5*$I1930-'DCF Base Case'!$B$2*(1+B1930)^4*B1930*'DCF Base Case'!$B$4</f>
        <v>28.5745118965351</v>
      </c>
      <c r="O1930" s="24" t="n">
        <f aca="false">J1930/(1+H1930)^1+K1930/(1+H1930)^2+L1930/(1+H1930)^3+M1930/(1+H1930)^4+N1930/(1+H1930)^5</f>
        <v>93.520956938525</v>
      </c>
      <c r="P1930" s="24" t="n">
        <f aca="false">N1930*(1+F1930)/(H1930-F1930)</f>
        <v>419.146134542499</v>
      </c>
      <c r="Q1930" s="24" t="n">
        <f aca="false">O1930+P1930/(1+H1930)^5</f>
        <v>372.864410042446</v>
      </c>
      <c r="R1930" s="24" t="n">
        <f aca="false">Q1930-'DCF Base Case'!$B$5</f>
        <v>187.864410042446</v>
      </c>
      <c r="S1930" s="32" t="n">
        <f aca="false">R1930/'DCF Base Case'!$B$6</f>
        <v>7.51457640169782</v>
      </c>
    </row>
    <row r="1931" customFormat="false" ht="15" hidden="false" customHeight="true" outlineLevel="0" collapsed="false">
      <c r="A1931" s="6" t="n">
        <v>1930</v>
      </c>
      <c r="B1931" s="30" t="n">
        <v>0.0840601348473968</v>
      </c>
      <c r="C1931" s="30" t="n">
        <v>0.416730874420603</v>
      </c>
      <c r="D1931" s="30" t="n">
        <v>0.0912311207726483</v>
      </c>
      <c r="E1931" s="30" t="n">
        <v>0.269204390254098</v>
      </c>
      <c r="F1931" s="30" t="n">
        <v>0.0193832980154207</v>
      </c>
      <c r="G1931" s="30" t="n">
        <v>0.16513332648616</v>
      </c>
      <c r="H1931" s="31" t="n">
        <f aca="false">MAX(D1931,F1931+0.015)</f>
        <v>0.0912311207726483</v>
      </c>
      <c r="I1931" s="25" t="n">
        <f aca="false">(C1931-'DCF Base Case'!$B$3)*(1-E1931)+'DCF Base Case'!$B$3-G1931</f>
        <v>0.17440833771902</v>
      </c>
      <c r="J1931" s="24" t="n">
        <f aca="false">'DCF Base Case'!$B$2*(1+B1931)^1*$I1931-'DCF Base Case'!$B$2*(1+B1931)^0*B1931*'DCF Base Case'!$B$4</f>
        <v>27.0493616988116</v>
      </c>
      <c r="K1931" s="24" t="n">
        <f aca="false">'DCF Base Case'!$B$2*(1+B1931)^2*$I1931-'DCF Base Case'!$B$2*(1+B1931)^1*B1931*'DCF Base Case'!$B$4</f>
        <v>29.3231346907497</v>
      </c>
      <c r="L1931" s="24" t="n">
        <f aca="false">'DCF Base Case'!$B$2*(1+B1931)^3*$I1931-'DCF Base Case'!$B$2*(1+B1931)^2*B1931*'DCF Base Case'!$B$4</f>
        <v>31.7880413470025</v>
      </c>
      <c r="M1931" s="24" t="n">
        <f aca="false">'DCF Base Case'!$B$2*(1+B1931)^4*$I1931-'DCF Base Case'!$B$2*(1+B1931)^3*B1931*'DCF Base Case'!$B$4</f>
        <v>34.4601483891662</v>
      </c>
      <c r="N1931" s="24" t="n">
        <f aca="false">'DCF Base Case'!$B$2*(1+B1931)^5*$I1931-'DCF Base Case'!$B$2*(1+B1931)^4*B1931*'DCF Base Case'!$B$4</f>
        <v>37.3568731096208</v>
      </c>
      <c r="O1931" s="24" t="n">
        <f aca="false">J1931/(1+H1931)^1+K1931/(1+H1931)^2+L1931/(1+H1931)^3+M1931/(1+H1931)^4+N1931/(1+H1931)^5</f>
        <v>122.321394262991</v>
      </c>
      <c r="P1931" s="24" t="n">
        <f aca="false">N1931*(1+F1931)/(H1931-F1931)</f>
        <v>530.022637466742</v>
      </c>
      <c r="Q1931" s="24" t="n">
        <f aca="false">O1931+P1931/(1+H1931)^5</f>
        <v>464.86092884771</v>
      </c>
      <c r="R1931" s="24" t="n">
        <f aca="false">Q1931-'DCF Base Case'!$B$5</f>
        <v>279.86092884771</v>
      </c>
      <c r="S1931" s="32" t="n">
        <f aca="false">R1931/'DCF Base Case'!$B$6</f>
        <v>11.1944371539084</v>
      </c>
    </row>
    <row r="1932" customFormat="false" ht="15" hidden="false" customHeight="true" outlineLevel="0" collapsed="false">
      <c r="A1932" s="6" t="n">
        <v>1931</v>
      </c>
      <c r="B1932" s="30" t="n">
        <v>0.070029020550473</v>
      </c>
      <c r="C1932" s="30" t="n">
        <v>0.41672184509986</v>
      </c>
      <c r="D1932" s="30" t="n">
        <v>0.066858559779154</v>
      </c>
      <c r="E1932" s="30" t="n">
        <v>0.330143572178253</v>
      </c>
      <c r="F1932" s="30" t="n">
        <v>0.0222015065505304</v>
      </c>
      <c r="G1932" s="30" t="n">
        <v>0.18039911605521</v>
      </c>
      <c r="H1932" s="31" t="n">
        <f aca="false">MAX(D1932,F1932+0.015)</f>
        <v>0.066858559779154</v>
      </c>
      <c r="I1932" s="25" t="n">
        <f aca="false">(C1932-'DCF Base Case'!$B$3)*(1-E1932)+'DCF Base Case'!$B$3-G1932</f>
        <v>0.141663354881842</v>
      </c>
      <c r="J1932" s="24" t="n">
        <f aca="false">'DCF Base Case'!$B$2*(1+B1932)^1*$I1932-'DCF Base Case'!$B$2*(1+B1932)^0*B1932*'DCF Base Case'!$B$4</f>
        <v>21.6750393870617</v>
      </c>
      <c r="K1932" s="24" t="n">
        <f aca="false">'DCF Base Case'!$B$2*(1+B1932)^2*$I1932-'DCF Base Case'!$B$2*(1+B1932)^1*B1932*'DCF Base Case'!$B$4</f>
        <v>23.1929211657305</v>
      </c>
      <c r="L1932" s="24" t="n">
        <f aca="false">'DCF Base Case'!$B$2*(1+B1932)^3*$I1932-'DCF Base Case'!$B$2*(1+B1932)^2*B1932*'DCF Base Case'!$B$4</f>
        <v>24.817098718671</v>
      </c>
      <c r="M1932" s="24" t="n">
        <f aca="false">'DCF Base Case'!$B$2*(1+B1932)^4*$I1932-'DCF Base Case'!$B$2*(1+B1932)^3*B1932*'DCF Base Case'!$B$4</f>
        <v>26.5550158348439</v>
      </c>
      <c r="N1932" s="24" t="n">
        <f aca="false">'DCF Base Case'!$B$2*(1+B1932)^5*$I1932-'DCF Base Case'!$B$2*(1+B1932)^4*B1932*'DCF Base Case'!$B$4</f>
        <v>28.4146375844603</v>
      </c>
      <c r="O1932" s="24" t="n">
        <f aca="false">J1932/(1+H1932)^1+K1932/(1+H1932)^2+L1932/(1+H1932)^3+M1932/(1+H1932)^4+N1932/(1+H1932)^5</f>
        <v>102.189035112365</v>
      </c>
      <c r="P1932" s="24" t="n">
        <f aca="false">N1932*(1+F1932)/(H1932-F1932)</f>
        <v>650.412045734928</v>
      </c>
      <c r="Q1932" s="24" t="n">
        <f aca="false">O1932+P1932/(1+H1932)^5</f>
        <v>572.791660370723</v>
      </c>
      <c r="R1932" s="24" t="n">
        <f aca="false">Q1932-'DCF Base Case'!$B$5</f>
        <v>387.791660370723</v>
      </c>
      <c r="S1932" s="32" t="n">
        <f aca="false">R1932/'DCF Base Case'!$B$6</f>
        <v>15.5116664148289</v>
      </c>
    </row>
    <row r="1933" customFormat="false" ht="15" hidden="false" customHeight="true" outlineLevel="0" collapsed="false">
      <c r="A1933" s="6" t="n">
        <v>1932</v>
      </c>
      <c r="B1933" s="30" t="n">
        <v>0.0543570854773705</v>
      </c>
      <c r="C1933" s="30" t="n">
        <v>0.38303976466615</v>
      </c>
      <c r="D1933" s="30" t="n">
        <v>0.100282796328856</v>
      </c>
      <c r="E1933" s="30" t="n">
        <v>0.349595419975819</v>
      </c>
      <c r="F1933" s="30" t="n">
        <v>0.0235963353127796</v>
      </c>
      <c r="G1933" s="30" t="n">
        <v>0.190011890795104</v>
      </c>
      <c r="H1933" s="31" t="n">
        <f aca="false">MAX(D1933,F1933+0.015)</f>
        <v>0.100282796328856</v>
      </c>
      <c r="I1933" s="25" t="n">
        <f aca="false">(C1933-'DCF Base Case'!$B$3)*(1-E1933)+'DCF Base Case'!$B$3-G1933</f>
        <v>0.104566331072001</v>
      </c>
      <c r="J1933" s="24" t="n">
        <f aca="false">'DCF Base Case'!$B$2*(1+B1933)^1*$I1933-'DCF Base Case'!$B$2*(1+B1933)^0*B1933*'DCF Base Case'!$B$4</f>
        <v>15.7498332280533</v>
      </c>
      <c r="K1933" s="24" t="n">
        <f aca="false">'DCF Base Case'!$B$2*(1+B1933)^2*$I1933-'DCF Base Case'!$B$2*(1+B1933)^1*B1933*'DCF Base Case'!$B$4</f>
        <v>16.6059482590849</v>
      </c>
      <c r="L1933" s="24" t="n">
        <f aca="false">'DCF Base Case'!$B$2*(1+B1933)^3*$I1933-'DCF Base Case'!$B$2*(1+B1933)^2*B1933*'DCF Base Case'!$B$4</f>
        <v>17.5085992080367</v>
      </c>
      <c r="M1933" s="24" t="n">
        <f aca="false">'DCF Base Case'!$B$2*(1+B1933)^4*$I1933-'DCF Base Case'!$B$2*(1+B1933)^3*B1933*'DCF Base Case'!$B$4</f>
        <v>18.460315631777</v>
      </c>
      <c r="N1933" s="24" t="n">
        <f aca="false">'DCF Base Case'!$B$2*(1+B1933)^5*$I1933-'DCF Base Case'!$B$2*(1+B1933)^4*B1933*'DCF Base Case'!$B$4</f>
        <v>19.4637645865128</v>
      </c>
      <c r="O1933" s="24" t="n">
        <f aca="false">J1933/(1+H1933)^1+K1933/(1+H1933)^2+L1933/(1+H1933)^3+M1933/(1+H1933)^4+N1933/(1+H1933)^5</f>
        <v>65.8411794673672</v>
      </c>
      <c r="P1933" s="24" t="n">
        <f aca="false">N1933*(1+F1933)/(H1933-F1933)</f>
        <v>259.798637701751</v>
      </c>
      <c r="Q1933" s="24" t="n">
        <f aca="false">O1933+P1933/(1+H1933)^5</f>
        <v>226.948493367868</v>
      </c>
      <c r="R1933" s="24" t="n">
        <f aca="false">Q1933-'DCF Base Case'!$B$5</f>
        <v>41.9484933678678</v>
      </c>
      <c r="S1933" s="32" t="n">
        <f aca="false">R1933/'DCF Base Case'!$B$6</f>
        <v>1.67793973471471</v>
      </c>
    </row>
    <row r="1934" customFormat="false" ht="15" hidden="false" customHeight="true" outlineLevel="0" collapsed="false">
      <c r="A1934" s="6" t="n">
        <v>1933</v>
      </c>
      <c r="B1934" s="30" t="n">
        <v>0.10128304290072</v>
      </c>
      <c r="C1934" s="30" t="n">
        <v>0.400314809168475</v>
      </c>
      <c r="D1934" s="30" t="n">
        <v>0.0959469149152036</v>
      </c>
      <c r="E1934" s="30" t="n">
        <v>0.257259405321768</v>
      </c>
      <c r="F1934" s="30" t="n">
        <v>0.0144474445308275</v>
      </c>
      <c r="G1934" s="30" t="n">
        <v>0.140141016518703</v>
      </c>
      <c r="H1934" s="31" t="n">
        <f aca="false">MAX(D1934,F1934+0.015)</f>
        <v>0.0959469149152036</v>
      </c>
      <c r="I1934" s="25" t="n">
        <f aca="false">(C1934-'DCF Base Case'!$B$3)*(1-E1934)+'DCF Base Case'!$B$3-G1934</f>
        <v>0.190632765593423</v>
      </c>
      <c r="J1934" s="24" t="n">
        <f aca="false">'DCF Base Case'!$B$2*(1+B1934)^1*$I1934-'DCF Base Case'!$B$2*(1+B1934)^0*B1934*'DCF Base Case'!$B$4</f>
        <v>30.000810427931</v>
      </c>
      <c r="K1934" s="24" t="n">
        <f aca="false">'DCF Base Case'!$B$2*(1+B1934)^2*$I1934-'DCF Base Case'!$B$2*(1+B1934)^1*B1934*'DCF Base Case'!$B$4</f>
        <v>33.0393837975595</v>
      </c>
      <c r="L1934" s="24" t="n">
        <f aca="false">'DCF Base Case'!$B$2*(1+B1934)^3*$I1934-'DCF Base Case'!$B$2*(1+B1934)^2*B1934*'DCF Base Case'!$B$4</f>
        <v>36.3857131241411</v>
      </c>
      <c r="M1934" s="24" t="n">
        <f aca="false">'DCF Base Case'!$B$2*(1+B1934)^4*$I1934-'DCF Base Case'!$B$2*(1+B1934)^3*B1934*'DCF Base Case'!$B$4</f>
        <v>40.0709688674668</v>
      </c>
      <c r="N1934" s="24" t="n">
        <f aca="false">'DCF Base Case'!$B$2*(1+B1934)^5*$I1934-'DCF Base Case'!$B$2*(1+B1934)^4*B1934*'DCF Base Case'!$B$4</f>
        <v>44.1294785263438</v>
      </c>
      <c r="O1934" s="24" t="n">
        <f aca="false">J1934/(1+H1934)^1+K1934/(1+H1934)^2+L1934/(1+H1934)^3+M1934/(1+H1934)^4+N1934/(1+H1934)^5</f>
        <v>138.210992551358</v>
      </c>
      <c r="P1934" s="24" t="n">
        <f aca="false">N1934*(1+F1934)/(H1934-F1934)</f>
        <v>549.29236359933</v>
      </c>
      <c r="Q1934" s="24" t="n">
        <f aca="false">O1934+P1934/(1+H1934)^5</f>
        <v>485.631915035206</v>
      </c>
      <c r="R1934" s="24" t="n">
        <f aca="false">Q1934-'DCF Base Case'!$B$5</f>
        <v>300.631915035206</v>
      </c>
      <c r="S1934" s="32" t="n">
        <f aca="false">R1934/'DCF Base Case'!$B$6</f>
        <v>12.0252766014082</v>
      </c>
    </row>
    <row r="1935" customFormat="false" ht="15" hidden="false" customHeight="true" outlineLevel="0" collapsed="false">
      <c r="A1935" s="6" t="n">
        <v>1934</v>
      </c>
      <c r="B1935" s="30" t="n">
        <v>0.111311939481875</v>
      </c>
      <c r="C1935" s="30" t="n">
        <v>0.420666532607565</v>
      </c>
      <c r="D1935" s="30" t="n">
        <v>0.0861094390989482</v>
      </c>
      <c r="E1935" s="30" t="n">
        <v>0.27921274208104</v>
      </c>
      <c r="F1935" s="30" t="n">
        <v>0.0147723142181006</v>
      </c>
      <c r="G1935" s="30" t="n">
        <v>0.151698327101411</v>
      </c>
      <c r="H1935" s="31" t="n">
        <f aca="false">MAX(D1935,F1935+0.015)</f>
        <v>0.0861094390989482</v>
      </c>
      <c r="I1935" s="25" t="n">
        <f aca="false">(C1935-'DCF Base Case'!$B$3)*(1-E1935)+'DCF Base Case'!$B$3-G1935</f>
        <v>0.187810405905608</v>
      </c>
      <c r="J1935" s="24" t="n">
        <f aca="false">'DCF Base Case'!$B$2*(1+B1935)^1*$I1935-'DCF Base Case'!$B$2*(1+B1935)^0*B1935*'DCF Base Case'!$B$4</f>
        <v>29.7796052973205</v>
      </c>
      <c r="K1935" s="24" t="n">
        <f aca="false">'DCF Base Case'!$B$2*(1+B1935)^2*$I1935-'DCF Base Case'!$B$2*(1+B1935)^1*B1935*'DCF Base Case'!$B$4</f>
        <v>33.09443091997</v>
      </c>
      <c r="L1935" s="24" t="n">
        <f aca="false">'DCF Base Case'!$B$2*(1+B1935)^3*$I1935-'DCF Base Case'!$B$2*(1+B1935)^2*B1935*'DCF Base Case'!$B$4</f>
        <v>36.7782362117208</v>
      </c>
      <c r="M1935" s="24" t="n">
        <f aca="false">'DCF Base Case'!$B$2*(1+B1935)^4*$I1935-'DCF Base Case'!$B$2*(1+B1935)^3*B1935*'DCF Base Case'!$B$4</f>
        <v>40.8720930151699</v>
      </c>
      <c r="N1935" s="24" t="n">
        <f aca="false">'DCF Base Case'!$B$2*(1+B1935)^5*$I1935-'DCF Base Case'!$B$2*(1+B1935)^4*B1935*'DCF Base Case'!$B$4</f>
        <v>45.4216449593721</v>
      </c>
      <c r="O1935" s="24" t="n">
        <f aca="false">J1935/(1+H1935)^1+K1935/(1+H1935)^2+L1935/(1+H1935)^3+M1935/(1+H1935)^4+N1935/(1+H1935)^5</f>
        <v>143.604695936317</v>
      </c>
      <c r="P1935" s="24" t="n">
        <f aca="false">N1935*(1+F1935)/(H1935-F1935)</f>
        <v>646.123990110369</v>
      </c>
      <c r="Q1935" s="24" t="n">
        <f aca="false">O1935+P1935/(1+H1935)^5</f>
        <v>571.116318415621</v>
      </c>
      <c r="R1935" s="24" t="n">
        <f aca="false">Q1935-'DCF Base Case'!$B$5</f>
        <v>386.116318415621</v>
      </c>
      <c r="S1935" s="32" t="n">
        <f aca="false">R1935/'DCF Base Case'!$B$6</f>
        <v>15.4446527366248</v>
      </c>
    </row>
    <row r="1936" customFormat="false" ht="15" hidden="false" customHeight="true" outlineLevel="0" collapsed="false">
      <c r="A1936" s="6" t="n">
        <v>1935</v>
      </c>
      <c r="B1936" s="30" t="n">
        <v>0.0765710686025172</v>
      </c>
      <c r="C1936" s="30" t="n">
        <v>0.379376040769979</v>
      </c>
      <c r="D1936" s="30" t="n">
        <v>0.0794536889516962</v>
      </c>
      <c r="E1936" s="30" t="n">
        <v>0.257536159729239</v>
      </c>
      <c r="F1936" s="30" t="n">
        <v>0.0214189983714865</v>
      </c>
      <c r="G1936" s="30" t="n">
        <v>0.180937324571905</v>
      </c>
      <c r="H1936" s="31" t="n">
        <f aca="false">MAX(D1936,F1936+0.015)</f>
        <v>0.0794536889516962</v>
      </c>
      <c r="I1936" s="25" t="n">
        <f aca="false">(C1936-'DCF Base Case'!$B$3)*(1-E1936)+'DCF Base Case'!$B$3-G1936</f>
        <v>0.134215368329691</v>
      </c>
      <c r="J1936" s="24" t="n">
        <f aca="false">'DCF Base Case'!$B$2*(1+B1936)^1*$I1936-'DCF Base Case'!$B$2*(1+B1936)^0*B1936*'DCF Base Case'!$B$4</f>
        <v>20.6183113148876</v>
      </c>
      <c r="K1936" s="24" t="n">
        <f aca="false">'DCF Base Case'!$B$2*(1+B1936)^2*$I1936-'DCF Base Case'!$B$2*(1+B1936)^1*B1936*'DCF Base Case'!$B$4</f>
        <v>22.1970774450479</v>
      </c>
      <c r="L1936" s="24" t="n">
        <f aca="false">'DCF Base Case'!$B$2*(1+B1936)^3*$I1936-'DCF Base Case'!$B$2*(1+B1936)^2*B1936*'DCF Base Case'!$B$4</f>
        <v>23.8967313848681</v>
      </c>
      <c r="M1936" s="24" t="n">
        <f aca="false">'DCF Base Case'!$B$2*(1+B1936)^4*$I1936-'DCF Base Case'!$B$2*(1+B1936)^3*B1936*'DCF Base Case'!$B$4</f>
        <v>25.7265296431148</v>
      </c>
      <c r="N1936" s="24" t="n">
        <f aca="false">'DCF Base Case'!$B$2*(1+B1936)^5*$I1936-'DCF Base Case'!$B$2*(1+B1936)^4*B1936*'DCF Base Case'!$B$4</f>
        <v>27.6964375093224</v>
      </c>
      <c r="O1936" s="24" t="n">
        <f aca="false">J1936/(1+H1936)^1+K1936/(1+H1936)^2+L1936/(1+H1936)^3+M1936/(1+H1936)^4+N1936/(1+H1936)^5</f>
        <v>94.9947418817744</v>
      </c>
      <c r="P1936" s="24" t="n">
        <f aca="false">N1936*(1+F1936)/(H1936-F1936)</f>
        <v>487.461330049333</v>
      </c>
      <c r="Q1936" s="24" t="n">
        <f aca="false">O1936+P1936/(1+H1936)^5</f>
        <v>427.593095383733</v>
      </c>
      <c r="R1936" s="24" t="n">
        <f aca="false">Q1936-'DCF Base Case'!$B$5</f>
        <v>242.593095383733</v>
      </c>
      <c r="S1936" s="32" t="n">
        <f aca="false">R1936/'DCF Base Case'!$B$6</f>
        <v>9.70372381534932</v>
      </c>
    </row>
    <row r="1937" customFormat="false" ht="15" hidden="false" customHeight="true" outlineLevel="0" collapsed="false">
      <c r="A1937" s="6" t="n">
        <v>1936</v>
      </c>
      <c r="B1937" s="30" t="n">
        <v>0.0621240876808952</v>
      </c>
      <c r="C1937" s="30" t="n">
        <v>0.397349577913654</v>
      </c>
      <c r="D1937" s="30" t="n">
        <v>0.105416658694484</v>
      </c>
      <c r="E1937" s="30" t="n">
        <v>0.258957337537773</v>
      </c>
      <c r="F1937" s="30" t="n">
        <v>0.0208708724858548</v>
      </c>
      <c r="G1937" s="30" t="n">
        <v>0.167579727213652</v>
      </c>
      <c r="H1937" s="31" t="n">
        <f aca="false">MAX(D1937,F1937+0.015)</f>
        <v>0.105416658694484</v>
      </c>
      <c r="I1937" s="25" t="n">
        <f aca="false">(C1937-'DCF Base Case'!$B$3)*(1-E1937)+'DCF Base Case'!$B$3-G1937</f>
        <v>0.160537715811635</v>
      </c>
      <c r="J1937" s="24" t="n">
        <f aca="false">'DCF Base Case'!$B$2*(1+B1937)^1*$I1937-'DCF Base Case'!$B$2*(1+B1937)^0*B1937*'DCF Base Case'!$B$4</f>
        <v>24.4538515855852</v>
      </c>
      <c r="K1937" s="24" t="n">
        <f aca="false">'DCF Base Case'!$B$2*(1+B1937)^2*$I1937-'DCF Base Case'!$B$2*(1+B1937)^1*B1937*'DCF Base Case'!$B$4</f>
        <v>25.9730248056237</v>
      </c>
      <c r="L1937" s="24" t="n">
        <f aca="false">'DCF Base Case'!$B$2*(1+B1937)^3*$I1937-'DCF Base Case'!$B$2*(1+B1937)^2*B1937*'DCF Base Case'!$B$4</f>
        <v>27.5865752759863</v>
      </c>
      <c r="M1937" s="24" t="n">
        <f aca="false">'DCF Base Case'!$B$2*(1+B1937)^4*$I1937-'DCF Base Case'!$B$2*(1+B1937)^3*B1937*'DCF Base Case'!$B$4</f>
        <v>29.3003660972473</v>
      </c>
      <c r="N1937" s="24" t="n">
        <f aca="false">'DCF Base Case'!$B$2*(1+B1937)^5*$I1937-'DCF Base Case'!$B$2*(1+B1937)^4*B1937*'DCF Base Case'!$B$4</f>
        <v>31.120624609755</v>
      </c>
      <c r="O1937" s="24" t="n">
        <f aca="false">J1937/(1+H1937)^1+K1937/(1+H1937)^2+L1937/(1+H1937)^3+M1937/(1+H1937)^4+N1937/(1+H1937)^5</f>
        <v>102.278117860233</v>
      </c>
      <c r="P1937" s="24" t="n">
        <f aca="false">N1937*(1+F1937)/(H1937-F1937)</f>
        <v>375.774365847966</v>
      </c>
      <c r="Q1937" s="24" t="n">
        <f aca="false">O1937+P1937/(1+H1937)^5</f>
        <v>329.943566190635</v>
      </c>
      <c r="R1937" s="24" t="n">
        <f aca="false">Q1937-'DCF Base Case'!$B$5</f>
        <v>144.943566190635</v>
      </c>
      <c r="S1937" s="32" t="n">
        <f aca="false">R1937/'DCF Base Case'!$B$6</f>
        <v>5.79774264762539</v>
      </c>
    </row>
    <row r="1938" customFormat="false" ht="15" hidden="false" customHeight="true" outlineLevel="0" collapsed="false">
      <c r="A1938" s="6" t="n">
        <v>1937</v>
      </c>
      <c r="B1938" s="30" t="n">
        <v>0.113806337989811</v>
      </c>
      <c r="C1938" s="30" t="n">
        <v>0.428071638703232</v>
      </c>
      <c r="D1938" s="30" t="n">
        <v>0.0802557497428388</v>
      </c>
      <c r="E1938" s="30" t="n">
        <v>0.281541918238112</v>
      </c>
      <c r="F1938" s="30" t="n">
        <v>0.0196526976426595</v>
      </c>
      <c r="G1938" s="30" t="n">
        <v>0.163262187879199</v>
      </c>
      <c r="H1938" s="31" t="n">
        <f aca="false">MAX(D1938,F1938+0.015)</f>
        <v>0.0802557497428388</v>
      </c>
      <c r="I1938" s="25" t="n">
        <f aca="false">(C1938-'DCF Base Case'!$B$3)*(1-E1938)+'DCF Base Case'!$B$3-G1938</f>
        <v>0.180889789891148</v>
      </c>
      <c r="J1938" s="24" t="n">
        <f aca="false">'DCF Base Case'!$B$2*(1+B1938)^1*$I1938-'DCF Base Case'!$B$2*(1+B1938)^0*B1938*'DCF Base Case'!$B$4</f>
        <v>28.7189906262131</v>
      </c>
      <c r="K1938" s="24" t="n">
        <f aca="false">'DCF Base Case'!$B$2*(1+B1938)^2*$I1938-'DCF Base Case'!$B$2*(1+B1938)^1*B1938*'DCF Base Case'!$B$4</f>
        <v>31.9873937801461</v>
      </c>
      <c r="L1938" s="24" t="n">
        <f aca="false">'DCF Base Case'!$B$2*(1+B1938)^3*$I1938-'DCF Base Case'!$B$2*(1+B1938)^2*B1938*'DCF Base Case'!$B$4</f>
        <v>35.6277619281026</v>
      </c>
      <c r="M1938" s="24" t="n">
        <f aca="false">'DCF Base Case'!$B$2*(1+B1938)^4*$I1938-'DCF Base Case'!$B$2*(1+B1938)^3*B1938*'DCF Base Case'!$B$4</f>
        <v>39.6824270439128</v>
      </c>
      <c r="N1938" s="24" t="n">
        <f aca="false">'DCF Base Case'!$B$2*(1+B1938)^5*$I1938-'DCF Base Case'!$B$2*(1+B1938)^4*B1938*'DCF Base Case'!$B$4</f>
        <v>44.1985387483284</v>
      </c>
      <c r="O1938" s="24" t="n">
        <f aca="false">J1938/(1+H1938)^1+K1938/(1+H1938)^2+L1938/(1+H1938)^3+M1938/(1+H1938)^4+N1938/(1+H1938)^5</f>
        <v>141.444144642823</v>
      </c>
      <c r="P1938" s="24" t="n">
        <f aca="false">N1938*(1+F1938)/(H1938-F1938)</f>
        <v>743.645042696839</v>
      </c>
      <c r="Q1938" s="24" t="n">
        <f aca="false">O1938+P1938/(1+H1938)^5</f>
        <v>646.957640297969</v>
      </c>
      <c r="R1938" s="24" t="n">
        <f aca="false">Q1938-'DCF Base Case'!$B$5</f>
        <v>461.957640297969</v>
      </c>
      <c r="S1938" s="32" t="n">
        <f aca="false">R1938/'DCF Base Case'!$B$6</f>
        <v>18.4783056119188</v>
      </c>
    </row>
    <row r="1939" customFormat="false" ht="15" hidden="false" customHeight="true" outlineLevel="0" collapsed="false">
      <c r="A1939" s="6" t="n">
        <v>1938</v>
      </c>
      <c r="B1939" s="30" t="n">
        <v>0.0616293697336268</v>
      </c>
      <c r="C1939" s="30" t="n">
        <v>0.428945316507999</v>
      </c>
      <c r="D1939" s="30" t="n">
        <v>0.0967307694665076</v>
      </c>
      <c r="E1939" s="30" t="n">
        <v>0.258056515086349</v>
      </c>
      <c r="F1939" s="30" t="n">
        <v>0.0181741712496984</v>
      </c>
      <c r="G1939" s="30" t="n">
        <v>0.160550339676811</v>
      </c>
      <c r="H1939" s="31" t="n">
        <f aca="false">MAX(D1939,F1939+0.015)</f>
        <v>0.0967307694665076</v>
      </c>
      <c r="I1939" s="25" t="n">
        <f aca="false">(C1939-'DCF Base Case'!$B$3)*(1-E1939)+'DCF Base Case'!$B$3-G1939</f>
        <v>0.191250190251748</v>
      </c>
      <c r="J1939" s="24" t="n">
        <f aca="false">'DCF Base Case'!$B$2*(1+B1939)^1*$I1939-'DCF Base Case'!$B$2*(1+B1939)^0*B1939*'DCF Base Case'!$B$4</f>
        <v>29.1722509877267</v>
      </c>
      <c r="K1939" s="24" t="n">
        <f aca="false">'DCF Base Case'!$B$2*(1+B1939)^2*$I1939-'DCF Base Case'!$B$2*(1+B1939)^1*B1939*'DCF Base Case'!$B$4</f>
        <v>30.9701184298114</v>
      </c>
      <c r="L1939" s="24" t="n">
        <f aca="false">'DCF Base Case'!$B$2*(1+B1939)^3*$I1939-'DCF Base Case'!$B$2*(1+B1939)^2*B1939*'DCF Base Case'!$B$4</f>
        <v>32.8787873092165</v>
      </c>
      <c r="M1939" s="24" t="n">
        <f aca="false">'DCF Base Case'!$B$2*(1+B1939)^4*$I1939-'DCF Base Case'!$B$2*(1+B1939)^3*B1939*'DCF Base Case'!$B$4</f>
        <v>34.9050862486895</v>
      </c>
      <c r="N1939" s="24" t="n">
        <f aca="false">'DCF Base Case'!$B$2*(1+B1939)^5*$I1939-'DCF Base Case'!$B$2*(1+B1939)^4*B1939*'DCF Base Case'!$B$4</f>
        <v>37.0562647146941</v>
      </c>
      <c r="O1939" s="24" t="n">
        <f aca="false">J1939/(1+H1939)^1+K1939/(1+H1939)^2+L1939/(1+H1939)^3+M1939/(1+H1939)^4+N1939/(1+H1939)^5</f>
        <v>124.751318449037</v>
      </c>
      <c r="P1939" s="24" t="n">
        <f aca="false">N1939*(1+F1939)/(H1939-F1939)</f>
        <v>480.287238398007</v>
      </c>
      <c r="Q1939" s="24" t="n">
        <f aca="false">O1939+P1939/(1+H1939)^5</f>
        <v>427.443293438324</v>
      </c>
      <c r="R1939" s="24" t="n">
        <f aca="false">Q1939-'DCF Base Case'!$B$5</f>
        <v>242.443293438324</v>
      </c>
      <c r="S1939" s="32" t="n">
        <f aca="false">R1939/'DCF Base Case'!$B$6</f>
        <v>9.69773173753298</v>
      </c>
    </row>
    <row r="1940" customFormat="false" ht="15" hidden="false" customHeight="true" outlineLevel="0" collapsed="false">
      <c r="A1940" s="6" t="n">
        <v>1939</v>
      </c>
      <c r="B1940" s="30" t="n">
        <v>0.0648731287775268</v>
      </c>
      <c r="C1940" s="30" t="n">
        <v>0.369686983095848</v>
      </c>
      <c r="D1940" s="30" t="n">
        <v>0.0776234808289643</v>
      </c>
      <c r="E1940" s="30" t="n">
        <v>0.270448880719878</v>
      </c>
      <c r="F1940" s="30" t="n">
        <v>0.0136170281649201</v>
      </c>
      <c r="G1940" s="30" t="n">
        <v>0.169220303598109</v>
      </c>
      <c r="H1940" s="31" t="n">
        <f aca="false">MAX(D1940,F1940+0.015)</f>
        <v>0.0776234808289643</v>
      </c>
      <c r="I1940" s="25" t="n">
        <f aca="false">(C1940-'DCF Base Case'!$B$3)*(1-E1940)+'DCF Base Case'!$B$3-G1940</f>
        <v>0.135643603196343</v>
      </c>
      <c r="J1940" s="24" t="n">
        <f aca="false">'DCF Base Case'!$B$2*(1+B1940)^1*$I1940-'DCF Base Case'!$B$2*(1+B1940)^0*B1940*'DCF Base Case'!$B$4</f>
        <v>20.662069969298</v>
      </c>
      <c r="K1940" s="24" t="n">
        <f aca="false">'DCF Base Case'!$B$2*(1+B1940)^2*$I1940-'DCF Base Case'!$B$2*(1+B1940)^1*B1940*'DCF Base Case'!$B$4</f>
        <v>22.0024830952266</v>
      </c>
      <c r="L1940" s="24" t="n">
        <f aca="false">'DCF Base Case'!$B$2*(1+B1940)^3*$I1940-'DCF Base Case'!$B$2*(1+B1940)^2*B1940*'DCF Base Case'!$B$4</f>
        <v>23.4298530144886</v>
      </c>
      <c r="M1940" s="24" t="n">
        <f aca="false">'DCF Base Case'!$B$2*(1+B1940)^4*$I1940-'DCF Base Case'!$B$2*(1+B1940)^3*B1940*'DCF Base Case'!$B$4</f>
        <v>24.949820886336</v>
      </c>
      <c r="N1940" s="24" t="n">
        <f aca="false">'DCF Base Case'!$B$2*(1+B1940)^5*$I1940-'DCF Base Case'!$B$2*(1+B1940)^4*B1940*'DCF Base Case'!$B$4</f>
        <v>26.5683938296715</v>
      </c>
      <c r="O1940" s="24" t="n">
        <f aca="false">J1940/(1+H1940)^1+K1940/(1+H1940)^2+L1940/(1+H1940)^3+M1940/(1+H1940)^4+N1940/(1+H1940)^5</f>
        <v>93.626751437685</v>
      </c>
      <c r="P1940" s="24" t="n">
        <f aca="false">N1940*(1+F1940)/(H1940-F1940)</f>
        <v>420.741585822564</v>
      </c>
      <c r="Q1940" s="24" t="n">
        <f aca="false">O1940+P1940/(1+H1940)^5</f>
        <v>383.147844822314</v>
      </c>
      <c r="R1940" s="24" t="n">
        <f aca="false">Q1940-'DCF Base Case'!$B$5</f>
        <v>198.147844822314</v>
      </c>
      <c r="S1940" s="32" t="n">
        <f aca="false">R1940/'DCF Base Case'!$B$6</f>
        <v>7.92591379289254</v>
      </c>
    </row>
    <row r="1941" customFormat="false" ht="15" hidden="false" customHeight="true" outlineLevel="0" collapsed="false">
      <c r="A1941" s="6" t="n">
        <v>1940</v>
      </c>
      <c r="B1941" s="30" t="n">
        <v>0.115256929815867</v>
      </c>
      <c r="C1941" s="30" t="n">
        <v>0.438470744756691</v>
      </c>
      <c r="D1941" s="30" t="n">
        <v>0.0836064578152541</v>
      </c>
      <c r="E1941" s="30" t="n">
        <v>0.248501682145535</v>
      </c>
      <c r="F1941" s="30" t="n">
        <v>0.0219216718259822</v>
      </c>
      <c r="G1941" s="30" t="n">
        <v>0.168513735553193</v>
      </c>
      <c r="H1941" s="31" t="n">
        <f aca="false">MAX(D1941,F1941+0.015)</f>
        <v>0.0836064578152541</v>
      </c>
      <c r="I1941" s="25" t="n">
        <f aca="false">(C1941-'DCF Base Case'!$B$3)*(1-E1941)+'DCF Base Case'!$B$3-G1941</f>
        <v>0.193301510238774</v>
      </c>
      <c r="J1941" s="24" t="n">
        <f aca="false">'DCF Base Case'!$B$2*(1+B1941)^1*$I1941-'DCF Base Case'!$B$2*(1+B1941)^0*B1941*'DCF Base Case'!$B$4</f>
        <v>30.7578554367625</v>
      </c>
      <c r="K1941" s="24" t="n">
        <f aca="false">'DCF Base Case'!$B$2*(1+B1941)^2*$I1941-'DCF Base Case'!$B$2*(1+B1941)^1*B1941*'DCF Base Case'!$B$4</f>
        <v>34.3029114221241</v>
      </c>
      <c r="L1941" s="24" t="n">
        <f aca="false">'DCF Base Case'!$B$2*(1+B1941)^3*$I1941-'DCF Base Case'!$B$2*(1+B1941)^2*B1941*'DCF Base Case'!$B$4</f>
        <v>38.2565596763837</v>
      </c>
      <c r="M1941" s="24" t="n">
        <f aca="false">'DCF Base Case'!$B$2*(1+B1941)^4*$I1941-'DCF Base Case'!$B$2*(1+B1941)^3*B1941*'DCF Base Case'!$B$4</f>
        <v>42.6658932900012</v>
      </c>
      <c r="N1941" s="24" t="n">
        <f aca="false">'DCF Base Case'!$B$2*(1+B1941)^5*$I1941-'DCF Base Case'!$B$2*(1+B1941)^4*B1941*'DCF Base Case'!$B$4</f>
        <v>47.5834331584581</v>
      </c>
      <c r="O1941" s="24" t="n">
        <f aca="false">J1941/(1+H1941)^1+K1941/(1+H1941)^2+L1941/(1+H1941)^3+M1941/(1+H1941)^4+N1941/(1+H1941)^5</f>
        <v>150.460004301792</v>
      </c>
      <c r="P1941" s="24" t="n">
        <f aca="false">N1941*(1+F1941)/(H1941-F1941)</f>
        <v>788.306886125348</v>
      </c>
      <c r="Q1941" s="24" t="n">
        <f aca="false">O1941+P1941/(1+H1941)^5</f>
        <v>678.099622521446</v>
      </c>
      <c r="R1941" s="24" t="n">
        <f aca="false">Q1941-'DCF Base Case'!$B$5</f>
        <v>493.099622521446</v>
      </c>
      <c r="S1941" s="32" t="n">
        <f aca="false">R1941/'DCF Base Case'!$B$6</f>
        <v>19.7239849008579</v>
      </c>
    </row>
    <row r="1942" customFormat="false" ht="15" hidden="false" customHeight="true" outlineLevel="0" collapsed="false">
      <c r="A1942" s="6" t="n">
        <v>1941</v>
      </c>
      <c r="B1942" s="30" t="n">
        <v>0.0990332521803447</v>
      </c>
      <c r="C1942" s="30" t="n">
        <v>0.450025724033594</v>
      </c>
      <c r="D1942" s="30" t="n">
        <v>0.0759270720751628</v>
      </c>
      <c r="E1942" s="30" t="n">
        <v>0.242108766005036</v>
      </c>
      <c r="F1942" s="30" t="n">
        <v>0.0150558492249573</v>
      </c>
      <c r="G1942" s="30" t="n">
        <v>0.176631743894033</v>
      </c>
      <c r="H1942" s="31" t="n">
        <f aca="false">MAX(D1942,F1942+0.015)</f>
        <v>0.0759270720751628</v>
      </c>
      <c r="I1942" s="25" t="n">
        <f aca="false">(C1942-'DCF Base Case'!$B$3)*(1-E1942)+'DCF Base Case'!$B$3-G1942</f>
        <v>0.195912947003919</v>
      </c>
      <c r="J1942" s="24" t="n">
        <f aca="false">'DCF Base Case'!$B$2*(1+B1942)^1*$I1942-'DCF Base Case'!$B$2*(1+B1942)^0*B1942*'DCF Base Case'!$B$4</f>
        <v>30.7898576300587</v>
      </c>
      <c r="K1942" s="24" t="n">
        <f aca="false">'DCF Base Case'!$B$2*(1+B1942)^2*$I1942-'DCF Base Case'!$B$2*(1+B1942)^1*B1942*'DCF Base Case'!$B$4</f>
        <v>33.8390773653332</v>
      </c>
      <c r="L1942" s="24" t="n">
        <f aca="false">'DCF Base Case'!$B$2*(1+B1942)^3*$I1942-'DCF Base Case'!$B$2*(1+B1942)^2*B1942*'DCF Base Case'!$B$4</f>
        <v>37.1902712476044</v>
      </c>
      <c r="M1942" s="24" t="n">
        <f aca="false">'DCF Base Case'!$B$2*(1+B1942)^4*$I1942-'DCF Base Case'!$B$2*(1+B1942)^3*B1942*'DCF Base Case'!$B$4</f>
        <v>40.8733447587239</v>
      </c>
      <c r="N1942" s="24" t="n">
        <f aca="false">'DCF Base Case'!$B$2*(1+B1942)^5*$I1942-'DCF Base Case'!$B$2*(1+B1942)^4*B1942*'DCF Base Case'!$B$4</f>
        <v>44.9211650176688</v>
      </c>
      <c r="O1942" s="24" t="n">
        <f aca="false">J1942/(1+H1942)^1+K1942/(1+H1942)^2+L1942/(1+H1942)^3+M1942/(1+H1942)^4+N1942/(1+H1942)^5</f>
        <v>149.364333134801</v>
      </c>
      <c r="P1942" s="24" t="n">
        <f aca="false">N1942*(1+F1942)/(H1942-F1942)</f>
        <v>749.081243486638</v>
      </c>
      <c r="Q1942" s="24" t="n">
        <f aca="false">O1942+P1942/(1+H1942)^5</f>
        <v>668.899256951195</v>
      </c>
      <c r="R1942" s="24" t="n">
        <f aca="false">Q1942-'DCF Base Case'!$B$5</f>
        <v>483.899256951195</v>
      </c>
      <c r="S1942" s="32" t="n">
        <f aca="false">R1942/'DCF Base Case'!$B$6</f>
        <v>19.3559702780478</v>
      </c>
    </row>
    <row r="1943" customFormat="false" ht="15" hidden="false" customHeight="true" outlineLevel="0" collapsed="false">
      <c r="A1943" s="6" t="n">
        <v>1942</v>
      </c>
      <c r="B1943" s="30" t="n">
        <v>0.0905399445411571</v>
      </c>
      <c r="C1943" s="30" t="n">
        <v>0.387861894543916</v>
      </c>
      <c r="D1943" s="30" t="n">
        <v>0.0693831087850593</v>
      </c>
      <c r="E1943" s="30" t="n">
        <v>0.270490682801237</v>
      </c>
      <c r="F1943" s="30" t="n">
        <v>0.0143143763889018</v>
      </c>
      <c r="G1943" s="30" t="n">
        <v>0.177480986672391</v>
      </c>
      <c r="H1943" s="31" t="n">
        <f aca="false">MAX(D1943,F1943+0.015)</f>
        <v>0.0693831087850593</v>
      </c>
      <c r="I1943" s="25" t="n">
        <f aca="false">(C1943-'DCF Base Case'!$B$3)*(1-E1943)+'DCF Base Case'!$B$3-G1943</f>
        <v>0.140631667947921</v>
      </c>
      <c r="J1943" s="24" t="n">
        <f aca="false">'DCF Base Case'!$B$2*(1+B1943)^1*$I1943-'DCF Base Case'!$B$2*(1+B1943)^0*B1943*'DCF Base Case'!$B$4</f>
        <v>21.843996689121</v>
      </c>
      <c r="K1943" s="24" t="n">
        <f aca="false">'DCF Base Case'!$B$2*(1+B1943)^2*$I1943-'DCF Base Case'!$B$2*(1+B1943)^1*B1943*'DCF Base Case'!$B$4</f>
        <v>23.8217509379113</v>
      </c>
      <c r="L1943" s="24" t="n">
        <f aca="false">'DCF Base Case'!$B$2*(1+B1943)^3*$I1943-'DCF Base Case'!$B$2*(1+B1943)^2*B1943*'DCF Base Case'!$B$4</f>
        <v>25.978570946703</v>
      </c>
      <c r="M1943" s="24" t="n">
        <f aca="false">'DCF Base Case'!$B$2*(1+B1943)^4*$I1943-'DCF Base Case'!$B$2*(1+B1943)^3*B1943*'DCF Base Case'!$B$4</f>
        <v>28.330669319476</v>
      </c>
      <c r="N1943" s="24" t="n">
        <f aca="false">'DCF Base Case'!$B$2*(1+B1943)^5*$I1943-'DCF Base Case'!$B$2*(1+B1943)^4*B1943*'DCF Base Case'!$B$4</f>
        <v>30.8957265484752</v>
      </c>
      <c r="O1943" s="24" t="n">
        <f aca="false">J1943/(1+H1943)^1+K1943/(1+H1943)^2+L1943/(1+H1943)^3+M1943/(1+H1943)^4+N1943/(1+H1943)^5</f>
        <v>106.255635460331</v>
      </c>
      <c r="P1943" s="24" t="n">
        <f aca="false">N1943*(1+F1943)/(H1943-F1943)</f>
        <v>569.070291679446</v>
      </c>
      <c r="Q1943" s="24" t="n">
        <f aca="false">O1943+P1943/(1+H1943)^5</f>
        <v>513.166526329705</v>
      </c>
      <c r="R1943" s="24" t="n">
        <f aca="false">Q1943-'DCF Base Case'!$B$5</f>
        <v>328.166526329705</v>
      </c>
      <c r="S1943" s="32" t="n">
        <f aca="false">R1943/'DCF Base Case'!$B$6</f>
        <v>13.1266610531882</v>
      </c>
    </row>
    <row r="1944" customFormat="false" ht="15" hidden="false" customHeight="true" outlineLevel="0" collapsed="false">
      <c r="A1944" s="6" t="n">
        <v>1943</v>
      </c>
      <c r="B1944" s="30" t="n">
        <v>0.0812540767940395</v>
      </c>
      <c r="C1944" s="30" t="n">
        <v>0.397329740435107</v>
      </c>
      <c r="D1944" s="30" t="n">
        <v>0.0766589595678469</v>
      </c>
      <c r="E1944" s="30" t="n">
        <v>0.287368880426737</v>
      </c>
      <c r="F1944" s="30" t="n">
        <v>0.0195117747432422</v>
      </c>
      <c r="G1944" s="30" t="n">
        <v>0.169801888596</v>
      </c>
      <c r="H1944" s="31" t="n">
        <f aca="false">MAX(D1944,F1944+0.015)</f>
        <v>0.0766589595678469</v>
      </c>
      <c r="I1944" s="25" t="n">
        <f aca="false">(C1944-'DCF Base Case'!$B$3)*(1-E1944)+'DCF Base Case'!$B$3-G1944</f>
        <v>0.1507056036255</v>
      </c>
      <c r="J1944" s="24" t="n">
        <f aca="false">'DCF Base Case'!$B$2*(1+B1944)^1*$I1944-'DCF Base Case'!$B$2*(1+B1944)^0*B1944*'DCF Base Case'!$B$4</f>
        <v>23.2744467717338</v>
      </c>
      <c r="K1944" s="24" t="n">
        <f aca="false">'DCF Base Case'!$B$2*(1+B1944)^2*$I1944-'DCF Base Case'!$B$2*(1+B1944)^1*B1944*'DCF Base Case'!$B$4</f>
        <v>25.1655904570631</v>
      </c>
      <c r="L1944" s="24" t="n">
        <f aca="false">'DCF Base Case'!$B$2*(1+B1944)^3*$I1944-'DCF Base Case'!$B$2*(1+B1944)^2*B1944*'DCF Base Case'!$B$4</f>
        <v>27.2103972766286</v>
      </c>
      <c r="M1944" s="24" t="n">
        <f aca="false">'DCF Base Case'!$B$2*(1+B1944)^4*$I1944-'DCF Base Case'!$B$2*(1+B1944)^3*B1944*'DCF Base Case'!$B$4</f>
        <v>29.4213529865401</v>
      </c>
      <c r="N1944" s="24" t="n">
        <f aca="false">'DCF Base Case'!$B$2*(1+B1944)^5*$I1944-'DCF Base Case'!$B$2*(1+B1944)^4*B1944*'DCF Base Case'!$B$4</f>
        <v>31.811957861493</v>
      </c>
      <c r="O1944" s="24" t="n">
        <f aca="false">J1944/(1+H1944)^1+K1944/(1+H1944)^2+L1944/(1+H1944)^3+M1944/(1+H1944)^4+N1944/(1+H1944)^5</f>
        <v>109.012999064578</v>
      </c>
      <c r="P1944" s="24" t="n">
        <f aca="false">N1944*(1+F1944)/(H1944-F1944)</f>
        <v>567.528666844567</v>
      </c>
      <c r="Q1944" s="24" t="n">
        <f aca="false">O1944+P1944/(1+H1944)^5</f>
        <v>501.29376032216</v>
      </c>
      <c r="R1944" s="24" t="n">
        <f aca="false">Q1944-'DCF Base Case'!$B$5</f>
        <v>316.29376032216</v>
      </c>
      <c r="S1944" s="32" t="n">
        <f aca="false">R1944/'DCF Base Case'!$B$6</f>
        <v>12.6517504128864</v>
      </c>
    </row>
    <row r="1945" customFormat="false" ht="15" hidden="false" customHeight="true" outlineLevel="0" collapsed="false">
      <c r="A1945" s="6" t="n">
        <v>1944</v>
      </c>
      <c r="B1945" s="30" t="n">
        <v>0.0937114769126243</v>
      </c>
      <c r="C1945" s="30" t="n">
        <v>0.414672002966625</v>
      </c>
      <c r="D1945" s="30" t="n">
        <v>0.073635563581961</v>
      </c>
      <c r="E1945" s="30" t="n">
        <v>0.262836541025511</v>
      </c>
      <c r="F1945" s="30" t="n">
        <v>0.0177874737370612</v>
      </c>
      <c r="G1945" s="30" t="n">
        <v>0.209196593466115</v>
      </c>
      <c r="H1945" s="31" t="n">
        <f aca="false">MAX(D1945,F1945+0.015)</f>
        <v>0.073635563581961</v>
      </c>
      <c r="I1945" s="25" t="n">
        <f aca="false">(C1945-'DCF Base Case'!$B$3)*(1-E1945)+'DCF Base Case'!$B$3-G1945</f>
        <v>0.130653204913958</v>
      </c>
      <c r="J1945" s="24" t="n">
        <f aca="false">'DCF Base Case'!$B$2*(1+B1945)^1*$I1945-'DCF Base Case'!$B$2*(1+B1945)^0*B1945*'DCF Base Case'!$B$4</f>
        <v>20.312406983353</v>
      </c>
      <c r="K1945" s="24" t="n">
        <f aca="false">'DCF Base Case'!$B$2*(1+B1945)^2*$I1945-'DCF Base Case'!$B$2*(1+B1945)^1*B1945*'DCF Base Case'!$B$4</f>
        <v>22.2159126414133</v>
      </c>
      <c r="L1945" s="24" t="n">
        <f aca="false">'DCF Base Case'!$B$2*(1+B1945)^3*$I1945-'DCF Base Case'!$B$2*(1+B1945)^2*B1945*'DCF Base Case'!$B$4</f>
        <v>24.297798626002</v>
      </c>
      <c r="M1945" s="24" t="n">
        <f aca="false">'DCF Base Case'!$B$2*(1+B1945)^4*$I1945-'DCF Base Case'!$B$2*(1+B1945)^3*B1945*'DCF Base Case'!$B$4</f>
        <v>26.5747812209701</v>
      </c>
      <c r="N1945" s="24" t="n">
        <f aca="false">'DCF Base Case'!$B$2*(1+B1945)^5*$I1945-'DCF Base Case'!$B$2*(1+B1945)^4*B1945*'DCF Base Case'!$B$4</f>
        <v>29.0651432178171</v>
      </c>
      <c r="O1945" s="24" t="n">
        <f aca="false">J1945/(1+H1945)^1+K1945/(1+H1945)^2+L1945/(1+H1945)^3+M1945/(1+H1945)^4+N1945/(1+H1945)^5</f>
        <v>98.2008655676219</v>
      </c>
      <c r="P1945" s="24" t="n">
        <f aca="false">N1945*(1+F1945)/(H1945-F1945)</f>
        <v>529.689355027592</v>
      </c>
      <c r="Q1945" s="24" t="n">
        <f aca="false">O1945+P1945/(1+H1945)^5</f>
        <v>469.510998406082</v>
      </c>
      <c r="R1945" s="24" t="n">
        <f aca="false">Q1945-'DCF Base Case'!$B$5</f>
        <v>284.510998406082</v>
      </c>
      <c r="S1945" s="32" t="n">
        <f aca="false">R1945/'DCF Base Case'!$B$6</f>
        <v>11.3804399362433</v>
      </c>
    </row>
    <row r="1946" customFormat="false" ht="15" hidden="false" customHeight="true" outlineLevel="0" collapsed="false">
      <c r="A1946" s="6" t="n">
        <v>1945</v>
      </c>
      <c r="B1946" s="30" t="n">
        <v>0.0610588191589817</v>
      </c>
      <c r="C1946" s="30" t="n">
        <v>0.394085575647309</v>
      </c>
      <c r="D1946" s="30" t="n">
        <v>0.0860809376612154</v>
      </c>
      <c r="E1946" s="30" t="n">
        <v>0.271706319696083</v>
      </c>
      <c r="F1946" s="30" t="n">
        <v>0.023191736502872</v>
      </c>
      <c r="G1946" s="30" t="n">
        <v>0.158928228182816</v>
      </c>
      <c r="H1946" s="31" t="n">
        <f aca="false">MAX(D1946,F1946+0.015)</f>
        <v>0.0860809376612154</v>
      </c>
      <c r="I1946" s="25" t="n">
        <f aca="false">(C1946-'DCF Base Case'!$B$3)*(1-E1946)+'DCF Base Case'!$B$3-G1946</f>
        <v>0.163403627620541</v>
      </c>
      <c r="J1946" s="24" t="n">
        <f aca="false">'DCF Base Case'!$B$2*(1+B1946)^1*$I1946-'DCF Base Case'!$B$2*(1+B1946)^0*B1946*'DCF Base Case'!$B$4</f>
        <v>24.8746188612135</v>
      </c>
      <c r="K1946" s="24" t="n">
        <f aca="false">'DCF Base Case'!$B$2*(1+B1946)^2*$I1946-'DCF Base Case'!$B$2*(1+B1946)^1*B1946*'DCF Base Case'!$B$4</f>
        <v>26.3934337159089</v>
      </c>
      <c r="L1946" s="24" t="n">
        <f aca="false">'DCF Base Case'!$B$2*(1+B1946)^3*$I1946-'DCF Base Case'!$B$2*(1+B1946)^2*B1946*'DCF Base Case'!$B$4</f>
        <v>28.0049856121532</v>
      </c>
      <c r="M1946" s="24" t="n">
        <f aca="false">'DCF Base Case'!$B$2*(1+B1946)^4*$I1946-'DCF Base Case'!$B$2*(1+B1946)^3*B1946*'DCF Base Case'!$B$4</f>
        <v>29.7149369641955</v>
      </c>
      <c r="N1946" s="24" t="n">
        <f aca="false">'DCF Base Case'!$B$2*(1+B1946)^5*$I1946-'DCF Base Case'!$B$2*(1+B1946)^4*B1946*'DCF Base Case'!$B$4</f>
        <v>31.5292959266129</v>
      </c>
      <c r="O1946" s="24" t="n">
        <f aca="false">J1946/(1+H1946)^1+K1946/(1+H1946)^2+L1946/(1+H1946)^3+M1946/(1+H1946)^4+N1946/(1+H1946)^5</f>
        <v>109.359043212055</v>
      </c>
      <c r="P1946" s="24" t="n">
        <f aca="false">N1946*(1+F1946)/(H1946-F1946)</f>
        <v>512.973840590501</v>
      </c>
      <c r="Q1946" s="24" t="n">
        <f aca="false">O1946+P1946/(1+H1946)^5</f>
        <v>448.815647372068</v>
      </c>
      <c r="R1946" s="24" t="n">
        <f aca="false">Q1946-'DCF Base Case'!$B$5</f>
        <v>263.815647372068</v>
      </c>
      <c r="S1946" s="32" t="n">
        <f aca="false">R1946/'DCF Base Case'!$B$6</f>
        <v>10.5526258948827</v>
      </c>
    </row>
    <row r="1947" customFormat="false" ht="15" hidden="false" customHeight="true" outlineLevel="0" collapsed="false">
      <c r="A1947" s="6" t="n">
        <v>1946</v>
      </c>
      <c r="B1947" s="30" t="n">
        <v>0.0851266190136433</v>
      </c>
      <c r="C1947" s="30" t="n">
        <v>0.428508320720385</v>
      </c>
      <c r="D1947" s="30" t="n">
        <v>0.104917828292102</v>
      </c>
      <c r="E1947" s="30" t="n">
        <v>0.321920927500191</v>
      </c>
      <c r="F1947" s="30" t="n">
        <v>0.0188311456492669</v>
      </c>
      <c r="G1947" s="30" t="n">
        <v>0.164156724086969</v>
      </c>
      <c r="H1947" s="31" t="n">
        <f aca="false">MAX(D1947,F1947+0.015)</f>
        <v>0.104917828292102</v>
      </c>
      <c r="I1947" s="25" t="n">
        <f aca="false">(C1947-'DCF Base Case'!$B$3)*(1-E1947)+'DCF Base Case'!$B$3-G1947</f>
        <v>0.168255521160585</v>
      </c>
      <c r="J1947" s="24" t="n">
        <f aca="false">'DCF Base Case'!$B$2*(1+B1947)^1*$I1947-'DCF Base Case'!$B$2*(1+B1947)^0*B1947*'DCF Base Case'!$B$4</f>
        <v>26.1035882043585</v>
      </c>
      <c r="K1947" s="24" t="n">
        <f aca="false">'DCF Base Case'!$B$2*(1+B1947)^2*$I1947-'DCF Base Case'!$B$2*(1+B1947)^1*B1947*'DCF Base Case'!$B$4</f>
        <v>28.3256984123199</v>
      </c>
      <c r="L1947" s="24" t="n">
        <f aca="false">'DCF Base Case'!$B$2*(1+B1947)^3*$I1947-'DCF Base Case'!$B$2*(1+B1947)^2*B1947*'DCF Base Case'!$B$4</f>
        <v>30.7369693493609</v>
      </c>
      <c r="M1947" s="24" t="n">
        <f aca="false">'DCF Base Case'!$B$2*(1+B1947)^4*$I1947-'DCF Base Case'!$B$2*(1+B1947)^3*B1947*'DCF Base Case'!$B$4</f>
        <v>33.3535036287979</v>
      </c>
      <c r="N1947" s="24" t="n">
        <f aca="false">'DCF Base Case'!$B$2*(1+B1947)^5*$I1947-'DCF Base Case'!$B$2*(1+B1947)^4*B1947*'DCF Base Case'!$B$4</f>
        <v>36.1927746249768</v>
      </c>
      <c r="O1947" s="24" t="n">
        <f aca="false">J1947/(1+H1947)^1+K1947/(1+H1947)^2+L1947/(1+H1947)^3+M1947/(1+H1947)^4+N1947/(1+H1947)^5</f>
        <v>113.968011332844</v>
      </c>
      <c r="P1947" s="24" t="n">
        <f aca="false">N1947*(1+F1947)/(H1947-F1947)</f>
        <v>428.339493442658</v>
      </c>
      <c r="Q1947" s="24" t="n">
        <f aca="false">O1947+P1947/(1+H1947)^5</f>
        <v>374.066730172125</v>
      </c>
      <c r="R1947" s="24" t="n">
        <f aca="false">Q1947-'DCF Base Case'!$B$5</f>
        <v>189.066730172125</v>
      </c>
      <c r="S1947" s="32" t="n">
        <f aca="false">R1947/'DCF Base Case'!$B$6</f>
        <v>7.562669206885</v>
      </c>
    </row>
    <row r="1948" customFormat="false" ht="15" hidden="false" customHeight="true" outlineLevel="0" collapsed="false">
      <c r="A1948" s="6" t="n">
        <v>1947</v>
      </c>
      <c r="B1948" s="30" t="n">
        <v>0.0909404190811604</v>
      </c>
      <c r="C1948" s="30" t="n">
        <v>0.418028416119309</v>
      </c>
      <c r="D1948" s="30" t="n">
        <v>0.075679170742174</v>
      </c>
      <c r="E1948" s="30" t="n">
        <v>0.308438126391107</v>
      </c>
      <c r="F1948" s="30" t="n">
        <v>0.0200916816696396</v>
      </c>
      <c r="G1948" s="30" t="n">
        <v>0.164256532344945</v>
      </c>
      <c r="H1948" s="31" t="n">
        <f aca="false">MAX(D1948,F1948+0.015)</f>
        <v>0.075679170742174</v>
      </c>
      <c r="I1948" s="25" t="n">
        <f aca="false">(C1948-'DCF Base Case'!$B$3)*(1-E1948)+'DCF Base Case'!$B$3-G1948</f>
        <v>0.164932938759126</v>
      </c>
      <c r="J1948" s="24" t="n">
        <f aca="false">'DCF Base Case'!$B$2*(1+B1948)^1*$I1948-'DCF Base Case'!$B$2*(1+B1948)^0*B1948*'DCF Base Case'!$B$4</f>
        <v>25.6945505298714</v>
      </c>
      <c r="K1948" s="24" t="n">
        <f aca="false">'DCF Base Case'!$B$2*(1+B1948)^2*$I1948-'DCF Base Case'!$B$2*(1+B1948)^1*B1948*'DCF Base Case'!$B$4</f>
        <v>28.03122372316</v>
      </c>
      <c r="L1948" s="24" t="n">
        <f aca="false">'DCF Base Case'!$B$2*(1+B1948)^3*$I1948-'DCF Base Case'!$B$2*(1+B1948)^2*B1948*'DCF Base Case'!$B$4</f>
        <v>30.5803949559019</v>
      </c>
      <c r="M1948" s="24" t="n">
        <f aca="false">'DCF Base Case'!$B$2*(1+B1948)^4*$I1948-'DCF Base Case'!$B$2*(1+B1948)^3*B1948*'DCF Base Case'!$B$4</f>
        <v>33.361388888859</v>
      </c>
      <c r="N1948" s="24" t="n">
        <f aca="false">'DCF Base Case'!$B$2*(1+B1948)^5*$I1948-'DCF Base Case'!$B$2*(1+B1948)^4*B1948*'DCF Base Case'!$B$4</f>
        <v>36.3952875755414</v>
      </c>
      <c r="O1948" s="24" t="n">
        <f aca="false">J1948/(1+H1948)^1+K1948/(1+H1948)^2+L1948/(1+H1948)^3+M1948/(1+H1948)^4+N1948/(1+H1948)^5</f>
        <v>122.871456613966</v>
      </c>
      <c r="P1948" s="24" t="n">
        <f aca="false">N1948*(1+F1948)/(H1948-F1948)</f>
        <v>667.89363447122</v>
      </c>
      <c r="Q1948" s="24" t="n">
        <f aca="false">O1948+P1948/(1+H1948)^5</f>
        <v>586.631693074439</v>
      </c>
      <c r="R1948" s="24" t="n">
        <f aca="false">Q1948-'DCF Base Case'!$B$5</f>
        <v>401.631693074439</v>
      </c>
      <c r="S1948" s="32" t="n">
        <f aca="false">R1948/'DCF Base Case'!$B$6</f>
        <v>16.0652677229776</v>
      </c>
    </row>
    <row r="1949" customFormat="false" ht="15" hidden="false" customHeight="true" outlineLevel="0" collapsed="false">
      <c r="A1949" s="6" t="n">
        <v>1948</v>
      </c>
      <c r="B1949" s="30" t="n">
        <v>0.0625652905425841</v>
      </c>
      <c r="C1949" s="30" t="n">
        <v>0.405795836053004</v>
      </c>
      <c r="D1949" s="30" t="n">
        <v>0.0641746646645712</v>
      </c>
      <c r="E1949" s="30" t="n">
        <v>0.265596056658743</v>
      </c>
      <c r="F1949" s="30" t="n">
        <v>0.0170830594309661</v>
      </c>
      <c r="G1949" s="30" t="n">
        <v>0.171809253973961</v>
      </c>
      <c r="H1949" s="31" t="n">
        <f aca="false">MAX(D1949,F1949+0.015)</f>
        <v>0.0641746646645712</v>
      </c>
      <c r="I1949" s="25" t="n">
        <f aca="false">(C1949-'DCF Base Case'!$B$3)*(1-E1949)+'DCF Base Case'!$B$3-G1949</f>
        <v>0.160736295580464</v>
      </c>
      <c r="J1949" s="24" t="n">
        <f aca="false">'DCF Base Case'!$B$2*(1+B1949)^1*$I1949-'DCF Base Case'!$B$2*(1+B1949)^0*B1949*'DCF Base Case'!$B$4</f>
        <v>24.4927982351979</v>
      </c>
      <c r="K1949" s="24" t="n">
        <f aca="false">'DCF Base Case'!$B$2*(1+B1949)^2*$I1949-'DCF Base Case'!$B$2*(1+B1949)^1*B1949*'DCF Base Case'!$B$4</f>
        <v>26.025197272984</v>
      </c>
      <c r="L1949" s="24" t="n">
        <f aca="false">'DCF Base Case'!$B$2*(1+B1949)^3*$I1949-'DCF Base Case'!$B$2*(1+B1949)^2*B1949*'DCF Base Case'!$B$4</f>
        <v>27.6534713017963</v>
      </c>
      <c r="M1949" s="24" t="n">
        <f aca="false">'DCF Base Case'!$B$2*(1+B1949)^4*$I1949-'DCF Base Case'!$B$2*(1+B1949)^3*B1949*'DCF Base Case'!$B$4</f>
        <v>29.3836187683042</v>
      </c>
      <c r="N1949" s="24" t="n">
        <f aca="false">'DCF Base Case'!$B$2*(1+B1949)^5*$I1949-'DCF Base Case'!$B$2*(1+B1949)^4*B1949*'DCF Base Case'!$B$4</f>
        <v>31.2220134137357</v>
      </c>
      <c r="O1949" s="24" t="n">
        <f aca="false">J1949/(1+H1949)^1+K1949/(1+H1949)^2+L1949/(1+H1949)^3+M1949/(1+H1949)^4+N1949/(1+H1949)^5</f>
        <v>114.731298493943</v>
      </c>
      <c r="P1949" s="24" t="n">
        <f aca="false">N1949*(1+F1949)/(H1949-F1949)</f>
        <v>674.332097343243</v>
      </c>
      <c r="Q1949" s="24" t="n">
        <f aca="false">O1949+P1949/(1+H1949)^5</f>
        <v>608.824929540676</v>
      </c>
      <c r="R1949" s="24" t="n">
        <f aca="false">Q1949-'DCF Base Case'!$B$5</f>
        <v>423.824929540676</v>
      </c>
      <c r="S1949" s="32" t="n">
        <f aca="false">R1949/'DCF Base Case'!$B$6</f>
        <v>16.9529971816271</v>
      </c>
    </row>
    <row r="1950" customFormat="false" ht="15" hidden="false" customHeight="true" outlineLevel="0" collapsed="false">
      <c r="A1950" s="6" t="n">
        <v>1949</v>
      </c>
      <c r="B1950" s="30" t="n">
        <v>0.127739441236814</v>
      </c>
      <c r="C1950" s="30" t="n">
        <v>0.438431387666176</v>
      </c>
      <c r="D1950" s="30" t="n">
        <v>0.100932422798992</v>
      </c>
      <c r="E1950" s="30" t="n">
        <v>0.299324473282882</v>
      </c>
      <c r="F1950" s="30" t="n">
        <v>0.0233648255255172</v>
      </c>
      <c r="G1950" s="30" t="n">
        <v>0.206220336997158</v>
      </c>
      <c r="H1950" s="31" t="n">
        <f aca="false">MAX(D1950,F1950+0.015)</f>
        <v>0.100932422798992</v>
      </c>
      <c r="I1950" s="25" t="n">
        <f aca="false">(C1950-'DCF Base Case'!$B$3)*(1-E1950)+'DCF Base Case'!$B$3-G1950</f>
        <v>0.139889988011932</v>
      </c>
      <c r="J1950" s="24" t="n">
        <f aca="false">'DCF Base Case'!$B$2*(1+B1950)^1*$I1950-'DCF Base Case'!$B$2*(1+B1950)^0*B1950*'DCF Base Case'!$B$4</f>
        <v>22.3194546833239</v>
      </c>
      <c r="K1950" s="24" t="n">
        <f aca="false">'DCF Base Case'!$B$2*(1+B1950)^2*$I1950-'DCF Base Case'!$B$2*(1+B1950)^1*B1950*'DCF Base Case'!$B$4</f>
        <v>25.1705293532821</v>
      </c>
      <c r="L1950" s="24" t="n">
        <f aca="false">'DCF Base Case'!$B$2*(1+B1950)^3*$I1950-'DCF Base Case'!$B$2*(1+B1950)^2*B1950*'DCF Base Case'!$B$4</f>
        <v>28.3857987085052</v>
      </c>
      <c r="M1950" s="24" t="n">
        <f aca="false">'DCF Base Case'!$B$2*(1+B1950)^4*$I1950-'DCF Base Case'!$B$2*(1+B1950)^3*B1950*'DCF Base Case'!$B$4</f>
        <v>32.0117847745903</v>
      </c>
      <c r="N1950" s="24" t="n">
        <f aca="false">'DCF Base Case'!$B$2*(1+B1950)^5*$I1950-'DCF Base Case'!$B$2*(1+B1950)^4*B1950*'DCF Base Case'!$B$4</f>
        <v>36.1009522746896</v>
      </c>
      <c r="O1950" s="24" t="n">
        <f aca="false">J1950/(1+H1950)^1+K1950/(1+H1950)^2+L1950/(1+H1950)^3+M1950/(1+H1950)^4+N1950/(1+H1950)^5</f>
        <v>106.42421672833</v>
      </c>
      <c r="P1950" s="24" t="n">
        <f aca="false">N1950*(1+F1950)/(H1950-F1950)</f>
        <v>476.287084098277</v>
      </c>
      <c r="Q1950" s="24" t="n">
        <f aca="false">O1950+P1950/(1+H1950)^5</f>
        <v>400.910787248816</v>
      </c>
      <c r="R1950" s="24" t="n">
        <f aca="false">Q1950-'DCF Base Case'!$B$5</f>
        <v>215.910787248816</v>
      </c>
      <c r="S1950" s="32" t="n">
        <f aca="false">R1950/'DCF Base Case'!$B$6</f>
        <v>8.63643148995266</v>
      </c>
    </row>
    <row r="1951" customFormat="false" ht="15" hidden="false" customHeight="true" outlineLevel="0" collapsed="false">
      <c r="A1951" s="6" t="n">
        <v>1950</v>
      </c>
      <c r="B1951" s="30" t="n">
        <v>0.0740686133065944</v>
      </c>
      <c r="C1951" s="30" t="n">
        <v>0.390786820889999</v>
      </c>
      <c r="D1951" s="30" t="n">
        <v>0.0923569199052506</v>
      </c>
      <c r="E1951" s="30" t="n">
        <v>0.279540592347999</v>
      </c>
      <c r="F1951" s="30" t="n">
        <v>0.0201393131363568</v>
      </c>
      <c r="G1951" s="30" t="n">
        <v>0.160090529816536</v>
      </c>
      <c r="H1951" s="31" t="n">
        <f aca="false">MAX(D1951,F1951+0.015)</f>
        <v>0.0923569199052506</v>
      </c>
      <c r="I1951" s="25" t="n">
        <f aca="false">(C1951-'DCF Base Case'!$B$3)*(1-E1951)+'DCF Base Case'!$B$3-G1951</f>
        <v>0.157795788685321</v>
      </c>
      <c r="J1951" s="24" t="n">
        <f aca="false">'DCF Base Case'!$B$2*(1+B1951)^1*$I1951-'DCF Base Case'!$B$2*(1+B1951)^0*B1951*'DCF Base Case'!$B$4</f>
        <v>24.2529096032515</v>
      </c>
      <c r="K1951" s="24" t="n">
        <f aca="false">'DCF Base Case'!$B$2*(1+B1951)^2*$I1951-'DCF Base Case'!$B$2*(1+B1951)^1*B1951*'DCF Base Case'!$B$4</f>
        <v>26.0492889862145</v>
      </c>
      <c r="L1951" s="24" t="n">
        <f aca="false">'DCF Base Case'!$B$2*(1+B1951)^3*$I1951-'DCF Base Case'!$B$2*(1+B1951)^2*B1951*'DCF Base Case'!$B$4</f>
        <v>27.9787236990462</v>
      </c>
      <c r="M1951" s="24" t="n">
        <f aca="false">'DCF Base Case'!$B$2*(1+B1951)^4*$I1951-'DCF Base Case'!$B$2*(1+B1951)^3*B1951*'DCF Base Case'!$B$4</f>
        <v>30.0510689655229</v>
      </c>
      <c r="N1951" s="24" t="n">
        <f aca="false">'DCF Base Case'!$B$2*(1+B1951)^5*$I1951-'DCF Base Case'!$B$2*(1+B1951)^4*B1951*'DCF Base Case'!$B$4</f>
        <v>32.27690997218</v>
      </c>
      <c r="O1951" s="24" t="n">
        <f aca="false">J1951/(1+H1951)^1+K1951/(1+H1951)^2+L1951/(1+H1951)^3+M1951/(1+H1951)^4+N1951/(1+H1951)^5</f>
        <v>107.356416017103</v>
      </c>
      <c r="P1951" s="24" t="n">
        <f aca="false">N1951*(1+F1951)/(H1951-F1951)</f>
        <v>455.940680429281</v>
      </c>
      <c r="Q1951" s="24" t="n">
        <f aca="false">O1951+P1951/(1+H1951)^5</f>
        <v>400.503461847735</v>
      </c>
      <c r="R1951" s="24" t="n">
        <f aca="false">Q1951-'DCF Base Case'!$B$5</f>
        <v>215.503461847735</v>
      </c>
      <c r="S1951" s="32" t="n">
        <f aca="false">R1951/'DCF Base Case'!$B$6</f>
        <v>8.62013847390939</v>
      </c>
    </row>
    <row r="1952" customFormat="false" ht="15" hidden="false" customHeight="true" outlineLevel="0" collapsed="false">
      <c r="A1952" s="6" t="n">
        <v>1951</v>
      </c>
      <c r="B1952" s="30" t="n">
        <v>0.0771147681308544</v>
      </c>
      <c r="C1952" s="30" t="n">
        <v>0.440488739782445</v>
      </c>
      <c r="D1952" s="30" t="n">
        <v>0.072901527747981</v>
      </c>
      <c r="E1952" s="30" t="n">
        <v>0.300626873371944</v>
      </c>
      <c r="F1952" s="30" t="n">
        <v>0.0212244235425181</v>
      </c>
      <c r="G1952" s="30" t="n">
        <v>0.135121706715691</v>
      </c>
      <c r="H1952" s="31" t="n">
        <f aca="false">MAX(D1952,F1952+0.015)</f>
        <v>0.072901527747981</v>
      </c>
      <c r="I1952" s="25" t="n">
        <f aca="false">(C1952-'DCF Base Case'!$B$3)*(1-E1952)+'DCF Base Case'!$B$3-G1952</f>
        <v>0.212025774008762</v>
      </c>
      <c r="J1952" s="24" t="n">
        <f aca="false">'DCF Base Case'!$B$2*(1+B1952)^1*$I1952-'DCF Base Case'!$B$2*(1+B1952)^0*B1952*'DCF Base Case'!$B$4</f>
        <v>32.7790841579667</v>
      </c>
      <c r="K1952" s="24" t="n">
        <f aca="false">'DCF Base Case'!$B$2*(1+B1952)^2*$I1952-'DCF Base Case'!$B$2*(1+B1952)^1*B1952*'DCF Base Case'!$B$4</f>
        <v>35.3068356323501</v>
      </c>
      <c r="L1952" s="24" t="n">
        <f aca="false">'DCF Base Case'!$B$2*(1+B1952)^3*$I1952-'DCF Base Case'!$B$2*(1+B1952)^2*B1952*'DCF Base Case'!$B$4</f>
        <v>38.0295140755729</v>
      </c>
      <c r="M1952" s="24" t="n">
        <f aca="false">'DCF Base Case'!$B$2*(1+B1952)^4*$I1952-'DCF Base Case'!$B$2*(1+B1952)^3*B1952*'DCF Base Case'!$B$4</f>
        <v>40.9621512356398</v>
      </c>
      <c r="N1952" s="24" t="n">
        <f aca="false">'DCF Base Case'!$B$2*(1+B1952)^5*$I1952-'DCF Base Case'!$B$2*(1+B1952)^4*B1952*'DCF Base Case'!$B$4</f>
        <v>44.1209380303171</v>
      </c>
      <c r="O1952" s="24" t="n">
        <f aca="false">J1952/(1+H1952)^1+K1952/(1+H1952)^2+L1952/(1+H1952)^3+M1952/(1+H1952)^4+N1952/(1+H1952)^5</f>
        <v>153.963530233835</v>
      </c>
      <c r="P1952" s="24" t="n">
        <f aca="false">N1952*(1+F1952)/(H1952-F1952)</f>
        <v>871.902174065757</v>
      </c>
      <c r="Q1952" s="24" t="n">
        <f aca="false">O1952+P1952/(1+H1952)^5</f>
        <v>767.25714352572</v>
      </c>
      <c r="R1952" s="24" t="n">
        <f aca="false">Q1952-'DCF Base Case'!$B$5</f>
        <v>582.25714352572</v>
      </c>
      <c r="S1952" s="32" t="n">
        <f aca="false">R1952/'DCF Base Case'!$B$6</f>
        <v>23.2902857410288</v>
      </c>
    </row>
    <row r="1953" customFormat="false" ht="15" hidden="false" customHeight="true" outlineLevel="0" collapsed="false">
      <c r="A1953" s="6" t="n">
        <v>1952</v>
      </c>
      <c r="B1953" s="30" t="n">
        <v>0.0718628991374341</v>
      </c>
      <c r="C1953" s="30" t="n">
        <v>0.39295481219526</v>
      </c>
      <c r="D1953" s="30" t="n">
        <v>0.0912104252464825</v>
      </c>
      <c r="E1953" s="30" t="n">
        <v>0.27020203334702</v>
      </c>
      <c r="F1953" s="30" t="n">
        <v>0.0190294985416468</v>
      </c>
      <c r="G1953" s="30" t="n">
        <v>0.137025731654853</v>
      </c>
      <c r="H1953" s="31" t="n">
        <f aca="false">MAX(D1953,F1953+0.015)</f>
        <v>0.0912104252464825</v>
      </c>
      <c r="I1953" s="25" t="n">
        <f aca="false">(C1953-'DCF Base Case'!$B$3)*(1-E1953)+'DCF Base Case'!$B$3-G1953</f>
        <v>0.184878155606864</v>
      </c>
      <c r="J1953" s="24" t="n">
        <f aca="false">'DCF Base Case'!$B$2*(1+B1953)^1*$I1953-'DCF Base Case'!$B$2*(1+B1953)^0*B1953*'DCF Base Case'!$B$4</f>
        <v>28.4211815878656</v>
      </c>
      <c r="K1953" s="24" t="n">
        <f aca="false">'DCF Base Case'!$B$2*(1+B1953)^2*$I1953-'DCF Base Case'!$B$2*(1+B1953)^1*B1953*'DCF Base Case'!$B$4</f>
        <v>30.4636100936811</v>
      </c>
      <c r="L1953" s="24" t="n">
        <f aca="false">'DCF Base Case'!$B$2*(1+B1953)^3*$I1953-'DCF Base Case'!$B$2*(1+B1953)^2*B1953*'DCF Base Case'!$B$4</f>
        <v>32.6528134332054</v>
      </c>
      <c r="M1953" s="24" t="n">
        <f aca="false">'DCF Base Case'!$B$2*(1+B1953)^4*$I1953-'DCF Base Case'!$B$2*(1+B1953)^3*B1953*'DCF Base Case'!$B$4</f>
        <v>34.9993392715094</v>
      </c>
      <c r="N1953" s="24" t="n">
        <f aca="false">'DCF Base Case'!$B$2*(1+B1953)^5*$I1953-'DCF Base Case'!$B$2*(1+B1953)^4*B1953*'DCF Base Case'!$B$4</f>
        <v>37.5144932594547</v>
      </c>
      <c r="O1953" s="24" t="n">
        <f aca="false">J1953/(1+H1953)^1+K1953/(1+H1953)^2+L1953/(1+H1953)^3+M1953/(1+H1953)^4+N1953/(1+H1953)^5</f>
        <v>125.690967622807</v>
      </c>
      <c r="P1953" s="24" t="n">
        <f aca="false">N1953*(1+F1953)/(H1953-F1953)</f>
        <v>529.618792656274</v>
      </c>
      <c r="Q1953" s="24" t="n">
        <f aca="false">O1953+P1953/(1+H1953)^5</f>
        <v>468.001966970515</v>
      </c>
      <c r="R1953" s="24" t="n">
        <f aca="false">Q1953-'DCF Base Case'!$B$5</f>
        <v>283.001966970515</v>
      </c>
      <c r="S1953" s="32" t="n">
        <f aca="false">R1953/'DCF Base Case'!$B$6</f>
        <v>11.3200786788206</v>
      </c>
    </row>
    <row r="1954" customFormat="false" ht="15" hidden="false" customHeight="true" outlineLevel="0" collapsed="false">
      <c r="A1954" s="6" t="n">
        <v>1953</v>
      </c>
      <c r="B1954" s="30" t="n">
        <v>0.132924821406451</v>
      </c>
      <c r="C1954" s="30" t="n">
        <v>0.432488297719919</v>
      </c>
      <c r="D1954" s="30" t="n">
        <v>0.0904890098702664</v>
      </c>
      <c r="E1954" s="30" t="n">
        <v>0.266420040931079</v>
      </c>
      <c r="F1954" s="30" t="n">
        <v>0.0167063178670784</v>
      </c>
      <c r="G1954" s="30" t="n">
        <v>0.207063025684002</v>
      </c>
      <c r="H1954" s="31" t="n">
        <f aca="false">MAX(D1954,F1954+0.015)</f>
        <v>0.0904890098702664</v>
      </c>
      <c r="I1954" s="25" t="n">
        <f aca="false">(C1954-'DCF Base Case'!$B$3)*(1-E1954)+'DCF Base Case'!$B$3-G1954</f>
        <v>0.144836327376204</v>
      </c>
      <c r="J1954" s="24" t="n">
        <f aca="false">'DCF Base Case'!$B$2*(1+B1954)^1*$I1954-'DCF Base Case'!$B$2*(1+B1954)^0*B1954*'DCF Base Case'!$B$4</f>
        <v>23.2146342241305</v>
      </c>
      <c r="K1954" s="24" t="n">
        <f aca="false">'DCF Base Case'!$B$2*(1+B1954)^2*$I1954-'DCF Base Case'!$B$2*(1+B1954)^1*B1954*'DCF Base Case'!$B$4</f>
        <v>26.3004353323891</v>
      </c>
      <c r="L1954" s="24" t="n">
        <f aca="false">'DCF Base Case'!$B$2*(1+B1954)^3*$I1954-'DCF Base Case'!$B$2*(1+B1954)^2*B1954*'DCF Base Case'!$B$4</f>
        <v>29.7964160018588</v>
      </c>
      <c r="M1954" s="24" t="n">
        <f aca="false">'DCF Base Case'!$B$2*(1+B1954)^4*$I1954-'DCF Base Case'!$B$2*(1+B1954)^3*B1954*'DCF Base Case'!$B$4</f>
        <v>33.7570992774582</v>
      </c>
      <c r="N1954" s="24" t="n">
        <f aca="false">'DCF Base Case'!$B$2*(1+B1954)^5*$I1954-'DCF Base Case'!$B$2*(1+B1954)^4*B1954*'DCF Base Case'!$B$4</f>
        <v>38.2442556701142</v>
      </c>
      <c r="O1954" s="24" t="n">
        <f aca="false">J1954/(1+H1954)^1+K1954/(1+H1954)^2+L1954/(1+H1954)^3+M1954/(1+H1954)^4+N1954/(1+H1954)^5</f>
        <v>115.054315098927</v>
      </c>
      <c r="P1954" s="24" t="n">
        <f aca="false">N1954*(1+F1954)/(H1954-F1954)</f>
        <v>526.99590251124</v>
      </c>
      <c r="Q1954" s="24" t="n">
        <f aca="false">O1954+P1954/(1+H1954)^5</f>
        <v>456.798216647349</v>
      </c>
      <c r="R1954" s="24" t="n">
        <f aca="false">Q1954-'DCF Base Case'!$B$5</f>
        <v>271.798216647349</v>
      </c>
      <c r="S1954" s="32" t="n">
        <f aca="false">R1954/'DCF Base Case'!$B$6</f>
        <v>10.871928665894</v>
      </c>
    </row>
    <row r="1955" customFormat="false" ht="15" hidden="false" customHeight="true" outlineLevel="0" collapsed="false">
      <c r="A1955" s="6" t="n">
        <v>1954</v>
      </c>
      <c r="B1955" s="30" t="n">
        <v>0.051755138105336</v>
      </c>
      <c r="C1955" s="30" t="n">
        <v>0.405230431818503</v>
      </c>
      <c r="D1955" s="30" t="n">
        <v>0.0716734571978132</v>
      </c>
      <c r="E1955" s="30" t="n">
        <v>0.269334700638104</v>
      </c>
      <c r="F1955" s="30" t="n">
        <v>0.0167674638099832</v>
      </c>
      <c r="G1955" s="30" t="n">
        <v>0.145461502865532</v>
      </c>
      <c r="H1955" s="31" t="n">
        <f aca="false">MAX(D1955,F1955+0.015)</f>
        <v>0.0716734571978132</v>
      </c>
      <c r="I1955" s="25" t="n">
        <f aca="false">(C1955-'DCF Base Case'!$B$3)*(1-E1955)+'DCF Base Case'!$B$3-G1955</f>
        <v>0.185639822992638</v>
      </c>
      <c r="J1955" s="24" t="n">
        <f aca="false">'DCF Base Case'!$B$2*(1+B1955)^1*$I1955-'DCF Base Case'!$B$2*(1+B1955)^0*B1955*'DCF Base Case'!$B$4</f>
        <v>28.0857726113153</v>
      </c>
      <c r="K1955" s="24" t="n">
        <f aca="false">'DCF Base Case'!$B$2*(1+B1955)^2*$I1955-'DCF Base Case'!$B$2*(1+B1955)^1*B1955*'DCF Base Case'!$B$4</f>
        <v>29.539355651609</v>
      </c>
      <c r="L1955" s="24" t="n">
        <f aca="false">'DCF Base Case'!$B$2*(1+B1955)^3*$I1955-'DCF Base Case'!$B$2*(1+B1955)^2*B1955*'DCF Base Case'!$B$4</f>
        <v>31.0681690829007</v>
      </c>
      <c r="M1955" s="24" t="n">
        <f aca="false">'DCF Base Case'!$B$2*(1+B1955)^4*$I1955-'DCF Base Case'!$B$2*(1+B1955)^3*B1955*'DCF Base Case'!$B$4</f>
        <v>32.6761064644661</v>
      </c>
      <c r="N1955" s="24" t="n">
        <f aca="false">'DCF Base Case'!$B$2*(1+B1955)^5*$I1955-'DCF Base Case'!$B$2*(1+B1955)^4*B1955*'DCF Base Case'!$B$4</f>
        <v>34.3672628672792</v>
      </c>
      <c r="O1955" s="24" t="n">
        <f aca="false">J1955/(1+H1955)^1+K1955/(1+H1955)^2+L1955/(1+H1955)^3+M1955/(1+H1955)^4+N1955/(1+H1955)^5</f>
        <v>126.255728352734</v>
      </c>
      <c r="P1955" s="24" t="n">
        <f aca="false">N1955*(1+F1955)/(H1955-F1955)</f>
        <v>636.424414668724</v>
      </c>
      <c r="Q1955" s="24" t="n">
        <f aca="false">O1955+P1955/(1+H1955)^5</f>
        <v>576.485759431657</v>
      </c>
      <c r="R1955" s="24" t="n">
        <f aca="false">Q1955-'DCF Base Case'!$B$5</f>
        <v>391.485759431657</v>
      </c>
      <c r="S1955" s="32" t="n">
        <f aca="false">R1955/'DCF Base Case'!$B$6</f>
        <v>15.6594303772663</v>
      </c>
    </row>
    <row r="1956" customFormat="false" ht="15" hidden="false" customHeight="true" outlineLevel="0" collapsed="false">
      <c r="A1956" s="6" t="n">
        <v>1955</v>
      </c>
      <c r="B1956" s="30" t="n">
        <v>0.0907118799784075</v>
      </c>
      <c r="C1956" s="30" t="n">
        <v>0.367078626842544</v>
      </c>
      <c r="D1956" s="30" t="n">
        <v>0.0815296266988943</v>
      </c>
      <c r="E1956" s="30" t="n">
        <v>0.2771568883924</v>
      </c>
      <c r="F1956" s="30" t="n">
        <v>0.0139025837785024</v>
      </c>
      <c r="G1956" s="30" t="n">
        <v>0.200234567273316</v>
      </c>
      <c r="H1956" s="31" t="n">
        <f aca="false">MAX(D1956,F1956+0.015)</f>
        <v>0.0815296266988943</v>
      </c>
      <c r="I1956" s="25" t="n">
        <f aca="false">(C1956-'DCF Base Case'!$B$3)*(1-E1956)+'DCF Base Case'!$B$3-G1956</f>
        <v>0.101136085049206</v>
      </c>
      <c r="J1956" s="24" t="n">
        <f aca="false">'DCF Base Case'!$B$2*(1+B1956)^1*$I1956-'DCF Base Case'!$B$2*(1+B1956)^0*B1956*'DCF Base Case'!$B$4</f>
        <v>15.6004010934568</v>
      </c>
      <c r="K1956" s="24" t="n">
        <f aca="false">'DCF Base Case'!$B$2*(1+B1956)^2*$I1956-'DCF Base Case'!$B$2*(1+B1956)^1*B1956*'DCF Base Case'!$B$4</f>
        <v>17.0155428050615</v>
      </c>
      <c r="L1956" s="24" t="n">
        <f aca="false">'DCF Base Case'!$B$2*(1+B1956)^3*$I1956-'DCF Base Case'!$B$2*(1+B1956)^2*B1956*'DCF Base Case'!$B$4</f>
        <v>18.5590546817617</v>
      </c>
      <c r="M1956" s="24" t="n">
        <f aca="false">'DCF Base Case'!$B$2*(1+B1956)^4*$I1956-'DCF Base Case'!$B$2*(1+B1956)^3*B1956*'DCF Base Case'!$B$4</f>
        <v>20.2425814225664</v>
      </c>
      <c r="N1956" s="24" t="n">
        <f aca="false">'DCF Base Case'!$B$2*(1+B1956)^5*$I1956-'DCF Base Case'!$B$2*(1+B1956)^4*B1956*'DCF Base Case'!$B$4</f>
        <v>22.0788240390233</v>
      </c>
      <c r="O1956" s="24" t="n">
        <f aca="false">J1956/(1+H1956)^1+K1956/(1+H1956)^2+L1956/(1+H1956)^3+M1956/(1+H1956)^4+N1956/(1+H1956)^5</f>
        <v>73.3570121003432</v>
      </c>
      <c r="P1956" s="24" t="n">
        <f aca="false">N1956*(1+F1956)/(H1956-F1956)</f>
        <v>331.018121941372</v>
      </c>
      <c r="Q1956" s="24" t="n">
        <f aca="false">O1956+P1956/(1+H1956)^5</f>
        <v>297.053758153545</v>
      </c>
      <c r="R1956" s="24" t="n">
        <f aca="false">Q1956-'DCF Base Case'!$B$5</f>
        <v>112.053758153545</v>
      </c>
      <c r="S1956" s="32" t="n">
        <f aca="false">R1956/'DCF Base Case'!$B$6</f>
        <v>4.48215032614181</v>
      </c>
    </row>
    <row r="1957" customFormat="false" ht="15" hidden="false" customHeight="true" outlineLevel="0" collapsed="false">
      <c r="A1957" s="6" t="n">
        <v>1956</v>
      </c>
      <c r="B1957" s="30" t="n">
        <v>0.0771552679641288</v>
      </c>
      <c r="C1957" s="30" t="n">
        <v>0.404726324899838</v>
      </c>
      <c r="D1957" s="30" t="n">
        <v>0.0784855891969383</v>
      </c>
      <c r="E1957" s="30" t="n">
        <v>0.277392900692723</v>
      </c>
      <c r="F1957" s="30" t="n">
        <v>0.0239612355420807</v>
      </c>
      <c r="G1957" s="30" t="n">
        <v>0.213660168344656</v>
      </c>
      <c r="H1957" s="31" t="n">
        <f aca="false">MAX(D1957,F1957+0.015)</f>
        <v>0.0784855891969383</v>
      </c>
      <c r="I1957" s="25" t="n">
        <f aca="false">(C1957-'DCF Base Case'!$B$3)*(1-E1957)+'DCF Base Case'!$B$3-G1957</f>
        <v>0.114859024394564</v>
      </c>
      <c r="J1957" s="24" t="n">
        <f aca="false">'DCF Base Case'!$B$2*(1+B1957)^1*$I1957-'DCF Base Case'!$B$2*(1+B1957)^0*B1957*'DCF Base Case'!$B$4</f>
        <v>17.6039200483307</v>
      </c>
      <c r="K1957" s="24" t="n">
        <f aca="false">'DCF Base Case'!$B$2*(1+B1957)^2*$I1957-'DCF Base Case'!$B$2*(1+B1957)^1*B1957*'DCF Base Case'!$B$4</f>
        <v>18.9621552168788</v>
      </c>
      <c r="L1957" s="24" t="n">
        <f aca="false">'DCF Base Case'!$B$2*(1+B1957)^3*$I1957-'DCF Base Case'!$B$2*(1+B1957)^2*B1957*'DCF Base Case'!$B$4</f>
        <v>20.4251853838145</v>
      </c>
      <c r="M1957" s="24" t="n">
        <f aca="false">'DCF Base Case'!$B$2*(1+B1957)^4*$I1957-'DCF Base Case'!$B$2*(1+B1957)^3*B1957*'DCF Base Case'!$B$4</f>
        <v>22.0010960353197</v>
      </c>
      <c r="N1957" s="24" t="n">
        <f aca="false">'DCF Base Case'!$B$2*(1+B1957)^5*$I1957-'DCF Base Case'!$B$2*(1+B1957)^4*B1957*'DCF Base Case'!$B$4</f>
        <v>23.6985964954293</v>
      </c>
      <c r="O1957" s="24" t="n">
        <f aca="false">J1957/(1+H1957)^1+K1957/(1+H1957)^2+L1957/(1+H1957)^3+M1957/(1+H1957)^4+N1957/(1+H1957)^5</f>
        <v>81.4129766241148</v>
      </c>
      <c r="P1957" s="24" t="n">
        <f aca="false">N1957*(1+F1957)/(H1957-F1957)</f>
        <v>445.056979522968</v>
      </c>
      <c r="Q1957" s="24" t="n">
        <f aca="false">O1957+P1957/(1+H1957)^5</f>
        <v>386.443910352225</v>
      </c>
      <c r="R1957" s="24" t="n">
        <f aca="false">Q1957-'DCF Base Case'!$B$5</f>
        <v>201.443910352225</v>
      </c>
      <c r="S1957" s="32" t="n">
        <f aca="false">R1957/'DCF Base Case'!$B$6</f>
        <v>8.057756414089</v>
      </c>
    </row>
    <row r="1958" customFormat="false" ht="15" hidden="false" customHeight="true" outlineLevel="0" collapsed="false">
      <c r="A1958" s="6" t="n">
        <v>1957</v>
      </c>
      <c r="B1958" s="30" t="n">
        <v>0.106240357153852</v>
      </c>
      <c r="C1958" s="30" t="n">
        <v>0.439975423117257</v>
      </c>
      <c r="D1958" s="30" t="n">
        <v>0.103880702296248</v>
      </c>
      <c r="E1958" s="30" t="n">
        <v>0.286935513012008</v>
      </c>
      <c r="F1958" s="30" t="n">
        <v>0.0247366845527284</v>
      </c>
      <c r="G1958" s="30" t="n">
        <v>0.184161745884287</v>
      </c>
      <c r="H1958" s="31" t="n">
        <f aca="false">MAX(D1958,F1958+0.015)</f>
        <v>0.103880702296248</v>
      </c>
      <c r="I1958" s="25" t="n">
        <f aca="false">(C1958-'DCF Base Case'!$B$3)*(1-E1958)+'DCF Base Case'!$B$3-G1958</f>
        <v>0.166870720179706</v>
      </c>
      <c r="J1958" s="24" t="n">
        <f aca="false">'DCF Base Case'!$B$2*(1+B1958)^1*$I1958-'DCF Base Case'!$B$2*(1+B1958)^0*B1958*'DCF Base Case'!$B$4</f>
        <v>26.3047275844479</v>
      </c>
      <c r="K1958" s="24" t="n">
        <f aca="false">'DCF Base Case'!$B$2*(1+B1958)^2*$I1958-'DCF Base Case'!$B$2*(1+B1958)^1*B1958*'DCF Base Case'!$B$4</f>
        <v>29.0993512378544</v>
      </c>
      <c r="L1958" s="24" t="n">
        <f aca="false">'DCF Base Case'!$B$2*(1+B1958)^3*$I1958-'DCF Base Case'!$B$2*(1+B1958)^2*B1958*'DCF Base Case'!$B$4</f>
        <v>32.1908767063094</v>
      </c>
      <c r="M1958" s="24" t="n">
        <f aca="false">'DCF Base Case'!$B$2*(1+B1958)^4*$I1958-'DCF Base Case'!$B$2*(1+B1958)^3*B1958*'DCF Base Case'!$B$4</f>
        <v>35.6108469446833</v>
      </c>
      <c r="N1958" s="24" t="n">
        <f aca="false">'DCF Base Case'!$B$2*(1+B1958)^5*$I1958-'DCF Base Case'!$B$2*(1+B1958)^4*B1958*'DCF Base Case'!$B$4</f>
        <v>39.3941560426377</v>
      </c>
      <c r="O1958" s="24" t="n">
        <f aca="false">J1958/(1+H1958)^1+K1958/(1+H1958)^2+L1958/(1+H1958)^3+M1958/(1+H1958)^4+N1958/(1+H1958)^5</f>
        <v>119.657070381871</v>
      </c>
      <c r="P1958" s="24" t="n">
        <f aca="false">N1958*(1+F1958)/(H1958-F1958)</f>
        <v>510.065548917508</v>
      </c>
      <c r="Q1958" s="24" t="n">
        <f aca="false">O1958+P1958/(1+H1958)^5</f>
        <v>430.83965609706</v>
      </c>
      <c r="R1958" s="24" t="n">
        <f aca="false">Q1958-'DCF Base Case'!$B$5</f>
        <v>245.83965609706</v>
      </c>
      <c r="S1958" s="32" t="n">
        <f aca="false">R1958/'DCF Base Case'!$B$6</f>
        <v>9.83358624388242</v>
      </c>
    </row>
    <row r="1959" customFormat="false" ht="15" hidden="false" customHeight="true" outlineLevel="0" collapsed="false">
      <c r="A1959" s="6" t="n">
        <v>1958</v>
      </c>
      <c r="B1959" s="30" t="n">
        <v>0.0929492175562877</v>
      </c>
      <c r="C1959" s="30" t="n">
        <v>0.422449988505922</v>
      </c>
      <c r="D1959" s="30" t="n">
        <v>0.0649644134029539</v>
      </c>
      <c r="E1959" s="30" t="n">
        <v>0.288254818547633</v>
      </c>
      <c r="F1959" s="30" t="n">
        <v>0.0132759475060727</v>
      </c>
      <c r="G1959" s="30" t="n">
        <v>0.134429499054221</v>
      </c>
      <c r="H1959" s="31" t="n">
        <f aca="false">MAX(D1959,F1959+0.015)</f>
        <v>0.0649644134029539</v>
      </c>
      <c r="I1959" s="25" t="n">
        <f aca="false">(C1959-'DCF Base Case'!$B$3)*(1-E1959)+'DCF Base Case'!$B$3-G1959</f>
        <v>0.203720371080669</v>
      </c>
      <c r="J1959" s="24" t="n">
        <f aca="false">'DCF Base Case'!$B$2*(1+B1959)^1*$I1959-'DCF Base Case'!$B$2*(1+B1959)^0*B1959*'DCF Base Case'!$B$4</f>
        <v>31.8807938286998</v>
      </c>
      <c r="K1959" s="24" t="n">
        <f aca="false">'DCF Base Case'!$B$2*(1+B1959)^2*$I1959-'DCF Base Case'!$B$2*(1+B1959)^1*B1959*'DCF Base Case'!$B$4</f>
        <v>34.8440886701507</v>
      </c>
      <c r="L1959" s="24" t="n">
        <f aca="false">'DCF Base Case'!$B$2*(1+B1959)^3*$I1959-'DCF Base Case'!$B$2*(1+B1959)^2*B1959*'DCF Base Case'!$B$4</f>
        <v>38.0828194485031</v>
      </c>
      <c r="M1959" s="24" t="n">
        <f aca="false">'DCF Base Case'!$B$2*(1+B1959)^4*$I1959-'DCF Base Case'!$B$2*(1+B1959)^3*B1959*'DCF Base Case'!$B$4</f>
        <v>41.6225877185789</v>
      </c>
      <c r="N1959" s="24" t="n">
        <f aca="false">'DCF Base Case'!$B$2*(1+B1959)^5*$I1959-'DCF Base Case'!$B$2*(1+B1959)^4*B1959*'DCF Base Case'!$B$4</f>
        <v>45.4913746796887</v>
      </c>
      <c r="O1959" s="24" t="n">
        <f aca="false">J1959/(1+H1959)^1+K1959/(1+H1959)^2+L1959/(1+H1959)^3+M1959/(1+H1959)^4+N1959/(1+H1959)^5</f>
        <v>157.756027279942</v>
      </c>
      <c r="P1959" s="24" t="n">
        <f aca="false">N1959*(1+F1959)/(H1959-F1959)</f>
        <v>891.791137192498</v>
      </c>
      <c r="Q1959" s="24" t="n">
        <f aca="false">O1959+P1959/(1+H1959)^5</f>
        <v>808.766047571409</v>
      </c>
      <c r="R1959" s="24" t="n">
        <f aca="false">Q1959-'DCF Base Case'!$B$5</f>
        <v>623.766047571409</v>
      </c>
      <c r="S1959" s="32" t="n">
        <f aca="false">R1959/'DCF Base Case'!$B$6</f>
        <v>24.9506419028564</v>
      </c>
    </row>
    <row r="1960" customFormat="false" ht="15" hidden="false" customHeight="true" outlineLevel="0" collapsed="false">
      <c r="A1960" s="6" t="n">
        <v>1959</v>
      </c>
      <c r="B1960" s="30" t="n">
        <v>0.0939822323625748</v>
      </c>
      <c r="C1960" s="30" t="n">
        <v>0.391417143923315</v>
      </c>
      <c r="D1960" s="30" t="n">
        <v>0.0849217487356629</v>
      </c>
      <c r="E1960" s="30" t="n">
        <v>0.283629899541414</v>
      </c>
      <c r="F1960" s="30" t="n">
        <v>0.0200104361974576</v>
      </c>
      <c r="G1960" s="30" t="n">
        <v>0.147052949131875</v>
      </c>
      <c r="H1960" s="31" t="n">
        <f aca="false">MAX(D1960,F1960+0.015)</f>
        <v>0.0849217487356629</v>
      </c>
      <c r="I1960" s="25" t="n">
        <f aca="false">(C1960-'DCF Base Case'!$B$3)*(1-E1960)+'DCF Base Case'!$B$3-G1960</f>
        <v>0.170218476522067</v>
      </c>
      <c r="J1960" s="24" t="n">
        <f aca="false">'DCF Base Case'!$B$2*(1+B1960)^1*$I1960-'DCF Base Case'!$B$2*(1+B1960)^0*B1960*'DCF Base Case'!$B$4</f>
        <v>26.592495684793</v>
      </c>
      <c r="K1960" s="24" t="n">
        <f aca="false">'DCF Base Case'!$B$2*(1+B1960)^2*$I1960-'DCF Base Case'!$B$2*(1+B1960)^1*B1960*'DCF Base Case'!$B$4</f>
        <v>29.091717793342</v>
      </c>
      <c r="L1960" s="24" t="n">
        <f aca="false">'DCF Base Case'!$B$2*(1+B1960)^3*$I1960-'DCF Base Case'!$B$2*(1+B1960)^2*B1960*'DCF Base Case'!$B$4</f>
        <v>31.8258223748223</v>
      </c>
      <c r="M1960" s="24" t="n">
        <f aca="false">'DCF Base Case'!$B$2*(1+B1960)^4*$I1960-'DCF Base Case'!$B$2*(1+B1960)^3*B1960*'DCF Base Case'!$B$4</f>
        <v>34.8168842083829</v>
      </c>
      <c r="N1960" s="24" t="n">
        <f aca="false">'DCF Base Case'!$B$2*(1+B1960)^5*$I1960-'DCF Base Case'!$B$2*(1+B1960)^4*B1960*'DCF Base Case'!$B$4</f>
        <v>38.089052710196</v>
      </c>
      <c r="O1960" s="24" t="n">
        <f aca="false">J1960/(1+H1960)^1+K1960/(1+H1960)^2+L1960/(1+H1960)^3+M1960/(1+H1960)^4+N1960/(1+H1960)^5</f>
        <v>124.619048469448</v>
      </c>
      <c r="P1960" s="24" t="n">
        <f aca="false">N1960*(1+F1960)/(H1960-F1960)</f>
        <v>598.527895217156</v>
      </c>
      <c r="Q1960" s="24" t="n">
        <f aca="false">O1960+P1960/(1+H1960)^5</f>
        <v>522.810855102396</v>
      </c>
      <c r="R1960" s="24" t="n">
        <f aca="false">Q1960-'DCF Base Case'!$B$5</f>
        <v>337.810855102396</v>
      </c>
      <c r="S1960" s="32" t="n">
        <f aca="false">R1960/'DCF Base Case'!$B$6</f>
        <v>13.5124342040958</v>
      </c>
    </row>
    <row r="1961" customFormat="false" ht="15" hidden="false" customHeight="true" outlineLevel="0" collapsed="false">
      <c r="A1961" s="6" t="n">
        <v>1960</v>
      </c>
      <c r="B1961" s="30" t="n">
        <v>0.109634647063318</v>
      </c>
      <c r="C1961" s="30" t="n">
        <v>0.419564534954101</v>
      </c>
      <c r="D1961" s="30" t="n">
        <v>0.0898518324818828</v>
      </c>
      <c r="E1961" s="30" t="n">
        <v>0.255958620093136</v>
      </c>
      <c r="F1961" s="30" t="n">
        <v>0.0186669344127545</v>
      </c>
      <c r="G1961" s="30" t="n">
        <v>0.191407377784741</v>
      </c>
      <c r="H1961" s="31" t="n">
        <f aca="false">MAX(D1961,F1961+0.015)</f>
        <v>0.0898518324818828</v>
      </c>
      <c r="I1961" s="25" t="n">
        <f aca="false">(C1961-'DCF Base Case'!$B$3)*(1-E1961)+'DCF Base Case'!$B$3-G1961</f>
        <v>0.154040618374598</v>
      </c>
      <c r="J1961" s="24" t="n">
        <f aca="false">'DCF Base Case'!$B$2*(1+B1961)^1*$I1961-'DCF Base Case'!$B$2*(1+B1961)^0*B1961*'DCF Base Case'!$B$4</f>
        <v>24.3077663297838</v>
      </c>
      <c r="K1961" s="24" t="n">
        <f aca="false">'DCF Base Case'!$B$2*(1+B1961)^2*$I1961-'DCF Base Case'!$B$2*(1+B1961)^1*B1961*'DCF Base Case'!$B$4</f>
        <v>26.9727397122472</v>
      </c>
      <c r="L1961" s="24" t="n">
        <f aca="false">'DCF Base Case'!$B$2*(1+B1961)^3*$I1961-'DCF Base Case'!$B$2*(1+B1961)^2*B1961*'DCF Base Case'!$B$4</f>
        <v>29.9298865109302</v>
      </c>
      <c r="M1961" s="24" t="n">
        <f aca="false">'DCF Base Case'!$B$2*(1+B1961)^4*$I1961-'DCF Base Case'!$B$2*(1+B1961)^3*B1961*'DCF Base Case'!$B$4</f>
        <v>33.2112390552012</v>
      </c>
      <c r="N1961" s="24" t="n">
        <f aca="false">'DCF Base Case'!$B$2*(1+B1961)^5*$I1961-'DCF Base Case'!$B$2*(1+B1961)^4*B1961*'DCF Base Case'!$B$4</f>
        <v>36.8523415275537</v>
      </c>
      <c r="O1961" s="24" t="n">
        <f aca="false">J1961/(1+H1961)^1+K1961/(1+H1961)^2+L1961/(1+H1961)^3+M1961/(1+H1961)^4+N1961/(1+H1961)^5</f>
        <v>115.641370163504</v>
      </c>
      <c r="P1961" s="24" t="n">
        <f aca="false">N1961*(1+F1961)/(H1961-F1961)</f>
        <v>527.362724230486</v>
      </c>
      <c r="Q1961" s="24" t="n">
        <f aca="false">O1961+P1961/(1+H1961)^5</f>
        <v>458.624007393756</v>
      </c>
      <c r="R1961" s="24" t="n">
        <f aca="false">Q1961-'DCF Base Case'!$B$5</f>
        <v>273.624007393756</v>
      </c>
      <c r="S1961" s="32" t="n">
        <f aca="false">R1961/'DCF Base Case'!$B$6</f>
        <v>10.9449602957502</v>
      </c>
    </row>
    <row r="1962" customFormat="false" ht="15" hidden="false" customHeight="true" outlineLevel="0" collapsed="false">
      <c r="A1962" s="6" t="n">
        <v>1961</v>
      </c>
      <c r="B1962" s="30" t="n">
        <v>0.111192103589567</v>
      </c>
      <c r="C1962" s="30" t="n">
        <v>0.405291938147838</v>
      </c>
      <c r="D1962" s="30" t="n">
        <v>0.0789988599036767</v>
      </c>
      <c r="E1962" s="30" t="n">
        <v>0.25884404630191</v>
      </c>
      <c r="F1962" s="30" t="n">
        <v>0.0166903936409535</v>
      </c>
      <c r="G1962" s="30" t="n">
        <v>0.137988481331071</v>
      </c>
      <c r="H1962" s="31" t="n">
        <f aca="false">MAX(D1962,F1962+0.015)</f>
        <v>0.0789988599036767</v>
      </c>
      <c r="I1962" s="25" t="n">
        <f aca="false">(C1962-'DCF Base Case'!$B$3)*(1-E1962)+'DCF Base Case'!$B$3-G1962</f>
        <v>0.196045777632285</v>
      </c>
      <c r="J1962" s="24" t="n">
        <f aca="false">'DCF Base Case'!$B$2*(1+B1962)^1*$I1962-'DCF Base Case'!$B$2*(1+B1962)^0*B1962*'DCF Base Case'!$B$4</f>
        <v>31.1037697562108</v>
      </c>
      <c r="K1962" s="24" t="n">
        <f aca="false">'DCF Base Case'!$B$2*(1+B1962)^2*$I1962-'DCF Base Case'!$B$2*(1+B1962)^1*B1962*'DCF Base Case'!$B$4</f>
        <v>34.5622633449694</v>
      </c>
      <c r="L1962" s="24" t="n">
        <f aca="false">'DCF Base Case'!$B$2*(1+B1962)^3*$I1962-'DCF Base Case'!$B$2*(1+B1962)^2*B1962*'DCF Base Case'!$B$4</f>
        <v>38.4053141111132</v>
      </c>
      <c r="M1962" s="24" t="n">
        <f aca="false">'DCF Base Case'!$B$2*(1+B1962)^4*$I1962-'DCF Base Case'!$B$2*(1+B1962)^3*B1962*'DCF Base Case'!$B$4</f>
        <v>42.6756817761459</v>
      </c>
      <c r="N1962" s="24" t="n">
        <f aca="false">'DCF Base Case'!$B$2*(1+B1962)^5*$I1962-'DCF Base Case'!$B$2*(1+B1962)^4*B1962*'DCF Base Case'!$B$4</f>
        <v>47.4208806049546</v>
      </c>
      <c r="O1962" s="24" t="n">
        <f aca="false">J1962/(1+H1962)^1+K1962/(1+H1962)^2+L1962/(1+H1962)^3+M1962/(1+H1962)^4+N1962/(1+H1962)^5</f>
        <v>152.993746323434</v>
      </c>
      <c r="P1962" s="24" t="n">
        <f aca="false">N1962*(1+F1962)/(H1962-F1962)</f>
        <v>773.768905910231</v>
      </c>
      <c r="Q1962" s="24" t="n">
        <f aca="false">O1962+P1962/(1+H1962)^5</f>
        <v>682.055472434606</v>
      </c>
      <c r="R1962" s="24" t="n">
        <f aca="false">Q1962-'DCF Base Case'!$B$5</f>
        <v>497.055472434606</v>
      </c>
      <c r="S1962" s="32" t="n">
        <f aca="false">R1962/'DCF Base Case'!$B$6</f>
        <v>19.8822188973842</v>
      </c>
    </row>
    <row r="1963" customFormat="false" ht="15" hidden="false" customHeight="true" outlineLevel="0" collapsed="false">
      <c r="A1963" s="6" t="n">
        <v>1962</v>
      </c>
      <c r="B1963" s="30" t="n">
        <v>0.0871725932930635</v>
      </c>
      <c r="C1963" s="30" t="n">
        <v>0.425767302702339</v>
      </c>
      <c r="D1963" s="30" t="n">
        <v>0.0763644184981882</v>
      </c>
      <c r="E1963" s="30" t="n">
        <v>0.277148348859886</v>
      </c>
      <c r="F1963" s="30" t="n">
        <v>0.0184988095392296</v>
      </c>
      <c r="G1963" s="30" t="n">
        <v>0.190434596597565</v>
      </c>
      <c r="H1963" s="31" t="n">
        <f aca="false">MAX(D1963,F1963+0.015)</f>
        <v>0.0763644184981882</v>
      </c>
      <c r="I1963" s="25" t="n">
        <f aca="false">(C1963-'DCF Base Case'!$B$3)*(1-E1963)+'DCF Base Case'!$B$3-G1963</f>
        <v>0.153361286514079</v>
      </c>
      <c r="J1963" s="24" t="n">
        <f aca="false">'DCF Base Case'!$B$2*(1+B1963)^1*$I1963-'DCF Base Case'!$B$2*(1+B1963)^0*B1963*'DCF Base Case'!$B$4</f>
        <v>23.7966764168645</v>
      </c>
      <c r="K1963" s="24" t="n">
        <f aca="false">'DCF Base Case'!$B$2*(1+B1963)^2*$I1963-'DCF Base Case'!$B$2*(1+B1963)^1*B1963*'DCF Base Case'!$B$4</f>
        <v>25.8710944118785</v>
      </c>
      <c r="L1963" s="24" t="n">
        <f aca="false">'DCF Base Case'!$B$2*(1+B1963)^3*$I1963-'DCF Base Case'!$B$2*(1+B1963)^2*B1963*'DCF Base Case'!$B$4</f>
        <v>28.1263448030916</v>
      </c>
      <c r="M1963" s="24" t="n">
        <f aca="false">'DCF Base Case'!$B$2*(1+B1963)^4*$I1963-'DCF Base Case'!$B$2*(1+B1963)^3*B1963*'DCF Base Case'!$B$4</f>
        <v>30.578191219432</v>
      </c>
      <c r="N1963" s="24" t="n">
        <f aca="false">'DCF Base Case'!$B$2*(1+B1963)^5*$I1963-'DCF Base Case'!$B$2*(1+B1963)^4*B1963*'DCF Base Case'!$B$4</f>
        <v>33.2437714462411</v>
      </c>
      <c r="O1963" s="24" t="n">
        <f aca="false">J1963/(1+H1963)^1+K1963/(1+H1963)^2+L1963/(1+H1963)^3+M1963/(1+H1963)^4+N1963/(1+H1963)^5</f>
        <v>112.784301793312</v>
      </c>
      <c r="P1963" s="24" t="n">
        <f aca="false">N1963*(1+F1963)/(H1963-F1963)</f>
        <v>585.127198205159</v>
      </c>
      <c r="Q1963" s="24" t="n">
        <f aca="false">O1963+P1963/(1+H1963)^5</f>
        <v>517.782994782276</v>
      </c>
      <c r="R1963" s="24" t="n">
        <f aca="false">Q1963-'DCF Base Case'!$B$5</f>
        <v>332.782994782276</v>
      </c>
      <c r="S1963" s="32" t="n">
        <f aca="false">R1963/'DCF Base Case'!$B$6</f>
        <v>13.311319791291</v>
      </c>
    </row>
    <row r="1964" customFormat="false" ht="15" hidden="false" customHeight="true" outlineLevel="0" collapsed="false">
      <c r="A1964" s="6" t="n">
        <v>1963</v>
      </c>
      <c r="B1964" s="30" t="n">
        <v>0.0767698191581667</v>
      </c>
      <c r="C1964" s="30" t="n">
        <v>0.396804169128639</v>
      </c>
      <c r="D1964" s="30" t="n">
        <v>0.075693767588784</v>
      </c>
      <c r="E1964" s="30" t="n">
        <v>0.256758815047701</v>
      </c>
      <c r="F1964" s="30" t="n">
        <v>0.0212424496433356</v>
      </c>
      <c r="G1964" s="30" t="n">
        <v>0.162359500545587</v>
      </c>
      <c r="H1964" s="31" t="n">
        <f aca="false">MAX(D1964,F1964+0.015)</f>
        <v>0.075693767588784</v>
      </c>
      <c r="I1964" s="25" t="n">
        <f aca="false">(C1964-'DCF Base Case'!$B$3)*(1-E1964)+'DCF Base Case'!$B$3-G1964</f>
        <v>0.165940346267796</v>
      </c>
      <c r="J1964" s="24" t="n">
        <f aca="false">'DCF Base Case'!$B$2*(1+B1964)^1*$I1964-'DCF Base Case'!$B$2*(1+B1964)^0*B1964*'DCF Base Case'!$B$4</f>
        <v>25.5745869997257</v>
      </c>
      <c r="K1964" s="24" t="n">
        <f aca="false">'DCF Base Case'!$B$2*(1+B1964)^2*$I1964-'DCF Base Case'!$B$2*(1+B1964)^1*B1964*'DCF Base Case'!$B$4</f>
        <v>27.5379434187394</v>
      </c>
      <c r="L1964" s="24" t="n">
        <f aca="false">'DCF Base Case'!$B$2*(1+B1964)^3*$I1964-'DCF Base Case'!$B$2*(1+B1964)^2*B1964*'DCF Base Case'!$B$4</f>
        <v>29.6520263549839</v>
      </c>
      <c r="M1964" s="24" t="n">
        <f aca="false">'DCF Base Case'!$B$2*(1+B1964)^4*$I1964-'DCF Base Case'!$B$2*(1+B1964)^3*B1964*'DCF Base Case'!$B$4</f>
        <v>31.9284070559292</v>
      </c>
      <c r="N1964" s="24" t="n">
        <f aca="false">'DCF Base Case'!$B$2*(1+B1964)^5*$I1964-'DCF Base Case'!$B$2*(1+B1964)^4*B1964*'DCF Base Case'!$B$4</f>
        <v>34.3795450916212</v>
      </c>
      <c r="O1964" s="24" t="n">
        <f aca="false">J1964/(1+H1964)^1+K1964/(1+H1964)^2+L1964/(1+H1964)^3+M1964/(1+H1964)^4+N1964/(1+H1964)^5</f>
        <v>119.112916557247</v>
      </c>
      <c r="P1964" s="24" t="n">
        <f aca="false">N1964*(1+F1964)/(H1964-F1964)</f>
        <v>644.793407611644</v>
      </c>
      <c r="Q1964" s="24" t="n">
        <f aca="false">O1964+P1964/(1+H1964)^5</f>
        <v>566.802847389895</v>
      </c>
      <c r="R1964" s="24" t="n">
        <f aca="false">Q1964-'DCF Base Case'!$B$5</f>
        <v>381.802847389895</v>
      </c>
      <c r="S1964" s="32" t="n">
        <f aca="false">R1964/'DCF Base Case'!$B$6</f>
        <v>15.2721138955958</v>
      </c>
    </row>
    <row r="1965" customFormat="false" ht="15" hidden="false" customHeight="true" outlineLevel="0" collapsed="false">
      <c r="A1965" s="6" t="n">
        <v>1964</v>
      </c>
      <c r="B1965" s="30" t="n">
        <v>0.0911049607524165</v>
      </c>
      <c r="C1965" s="30" t="n">
        <v>0.438784338239733</v>
      </c>
      <c r="D1965" s="30" t="n">
        <v>0.0996528879852066</v>
      </c>
      <c r="E1965" s="30" t="n">
        <v>0.250473160041768</v>
      </c>
      <c r="F1965" s="30" t="n">
        <v>0.0216746969977268</v>
      </c>
      <c r="G1965" s="30" t="n">
        <v>0.170356993226153</v>
      </c>
      <c r="H1965" s="31" t="n">
        <f aca="false">MAX(D1965,F1965+0.015)</f>
        <v>0.0996528879852066</v>
      </c>
      <c r="I1965" s="25" t="n">
        <f aca="false">(C1965-'DCF Base Case'!$B$3)*(1-E1965)+'DCF Base Case'!$B$3-G1965</f>
        <v>0.191085156043268</v>
      </c>
      <c r="J1965" s="24" t="n">
        <f aca="false">'DCF Base Case'!$B$2*(1+B1965)^1*$I1965-'DCF Base Case'!$B$2*(1+B1965)^0*B1965*'DCF Base Case'!$B$4</f>
        <v>29.8353178650461</v>
      </c>
      <c r="K1965" s="24" t="n">
        <f aca="false">'DCF Base Case'!$B$2*(1+B1965)^2*$I1965-'DCF Base Case'!$B$2*(1+B1965)^1*B1965*'DCF Base Case'!$B$4</f>
        <v>32.553463328177</v>
      </c>
      <c r="L1965" s="24" t="n">
        <f aca="false">'DCF Base Case'!$B$2*(1+B1965)^3*$I1965-'DCF Base Case'!$B$2*(1+B1965)^2*B1965*'DCF Base Case'!$B$4</f>
        <v>35.5192453270458</v>
      </c>
      <c r="M1965" s="24" t="n">
        <f aca="false">'DCF Base Case'!$B$2*(1+B1965)^4*$I1965-'DCF Base Case'!$B$2*(1+B1965)^3*B1965*'DCF Base Case'!$B$4</f>
        <v>38.7552247785217</v>
      </c>
      <c r="N1965" s="24" t="n">
        <f aca="false">'DCF Base Case'!$B$2*(1+B1965)^5*$I1965-'DCF Base Case'!$B$2*(1+B1965)^4*B1965*'DCF Base Case'!$B$4</f>
        <v>42.2860180109201</v>
      </c>
      <c r="O1965" s="24" t="n">
        <f aca="false">J1965/(1+H1965)^1+K1965/(1+H1965)^2+L1965/(1+H1965)^3+M1965/(1+H1965)^4+N1965/(1+H1965)^5</f>
        <v>133.565201506971</v>
      </c>
      <c r="P1965" s="24" t="n">
        <f aca="false">N1965*(1+F1965)/(H1965-F1965)</f>
        <v>554.0338149866</v>
      </c>
      <c r="Q1965" s="24" t="n">
        <f aca="false">O1965+P1965/(1+H1965)^5</f>
        <v>478.119900105006</v>
      </c>
      <c r="R1965" s="24" t="n">
        <f aca="false">Q1965-'DCF Base Case'!$B$5</f>
        <v>293.119900105006</v>
      </c>
      <c r="S1965" s="32" t="n">
        <f aca="false">R1965/'DCF Base Case'!$B$6</f>
        <v>11.7247960042002</v>
      </c>
    </row>
    <row r="1966" customFormat="false" ht="15" hidden="false" customHeight="true" outlineLevel="0" collapsed="false">
      <c r="A1966" s="6" t="n">
        <v>1965</v>
      </c>
      <c r="B1966" s="30" t="n">
        <v>0.0801364750094848</v>
      </c>
      <c r="C1966" s="30" t="n">
        <v>0.41785167735061</v>
      </c>
      <c r="D1966" s="30" t="n">
        <v>0.0660097844125714</v>
      </c>
      <c r="E1966" s="30" t="n">
        <v>0.323342016406883</v>
      </c>
      <c r="F1966" s="30" t="n">
        <v>0.0211906731278709</v>
      </c>
      <c r="G1966" s="30" t="n">
        <v>0.147818348727758</v>
      </c>
      <c r="H1966" s="31" t="n">
        <f aca="false">MAX(D1966,F1966+0.015)</f>
        <v>0.0660097844125714</v>
      </c>
      <c r="I1966" s="25" t="n">
        <f aca="false">(C1966-'DCF Base Case'!$B$3)*(1-E1966)+'DCF Base Case'!$B$3-G1966</f>
        <v>0.176958786842202</v>
      </c>
      <c r="J1966" s="24" t="n">
        <f aca="false">'DCF Base Case'!$B$2*(1+B1966)^1*$I1966-'DCF Base Case'!$B$2*(1+B1966)^0*B1966*'DCF Base Case'!$B$4</f>
        <v>27.366654168754</v>
      </c>
      <c r="K1966" s="24" t="n">
        <f aca="false">'DCF Base Case'!$B$2*(1+B1966)^2*$I1966-'DCF Base Case'!$B$2*(1+B1966)^1*B1966*'DCF Base Case'!$B$4</f>
        <v>29.5597213666415</v>
      </c>
      <c r="L1966" s="24" t="n">
        <f aca="false">'DCF Base Case'!$B$2*(1+B1966)^3*$I1966-'DCF Base Case'!$B$2*(1+B1966)^2*B1966*'DCF Base Case'!$B$4</f>
        <v>31.9285332392267</v>
      </c>
      <c r="M1966" s="24" t="n">
        <f aca="false">'DCF Base Case'!$B$2*(1+B1966)^4*$I1966-'DCF Base Case'!$B$2*(1+B1966)^3*B1966*'DCF Base Case'!$B$4</f>
        <v>34.4871733452415</v>
      </c>
      <c r="N1966" s="24" t="n">
        <f aca="false">'DCF Base Case'!$B$2*(1+B1966)^5*$I1966-'DCF Base Case'!$B$2*(1+B1966)^4*B1966*'DCF Base Case'!$B$4</f>
        <v>37.2508538501703</v>
      </c>
      <c r="O1966" s="24" t="n">
        <f aca="false">J1966/(1+H1966)^1+K1966/(1+H1966)^2+L1966/(1+H1966)^3+M1966/(1+H1966)^4+N1966/(1+H1966)^5</f>
        <v>131.807664952104</v>
      </c>
      <c r="P1966" s="24" t="n">
        <f aca="false">N1966*(1+F1966)/(H1966-F1966)</f>
        <v>848.750085118907</v>
      </c>
      <c r="Q1966" s="24" t="n">
        <f aca="false">O1966+P1966/(1+H1966)^5</f>
        <v>748.36557855714</v>
      </c>
      <c r="R1966" s="24" t="n">
        <f aca="false">Q1966-'DCF Base Case'!$B$5</f>
        <v>563.36557855714</v>
      </c>
      <c r="S1966" s="32" t="n">
        <f aca="false">R1966/'DCF Base Case'!$B$6</f>
        <v>22.5346231422856</v>
      </c>
    </row>
    <row r="1967" customFormat="false" ht="15" hidden="false" customHeight="true" outlineLevel="0" collapsed="false">
      <c r="A1967" s="6" t="n">
        <v>1966</v>
      </c>
      <c r="B1967" s="30" t="n">
        <v>0.0773587980688469</v>
      </c>
      <c r="C1967" s="30" t="n">
        <v>0.374677618729108</v>
      </c>
      <c r="D1967" s="30" t="n">
        <v>0.0815464702518012</v>
      </c>
      <c r="E1967" s="30" t="n">
        <v>0.267628682009735</v>
      </c>
      <c r="F1967" s="30" t="n">
        <v>0.0140248319692495</v>
      </c>
      <c r="G1967" s="30" t="n">
        <v>0.183778412429733</v>
      </c>
      <c r="H1967" s="31" t="n">
        <f aca="false">MAX(D1967,F1967+0.015)</f>
        <v>0.0815464702518012</v>
      </c>
      <c r="I1967" s="25" t="n">
        <f aca="false">(C1967-'DCF Base Case'!$B$3)*(1-E1967)+'DCF Base Case'!$B$3-G1967</f>
        <v>0.125416457681623</v>
      </c>
      <c r="J1967" s="24" t="n">
        <f aca="false">'DCF Base Case'!$B$2*(1+B1967)^1*$I1967-'DCF Base Case'!$B$2*(1+B1967)^0*B1967*'DCF Base Case'!$B$4</f>
        <v>19.2556752237598</v>
      </c>
      <c r="K1967" s="24" t="n">
        <f aca="false">'DCF Base Case'!$B$2*(1+B1967)^2*$I1967-'DCF Base Case'!$B$2*(1+B1967)^1*B1967*'DCF Base Case'!$B$4</f>
        <v>20.7452711150739</v>
      </c>
      <c r="L1967" s="24" t="n">
        <f aca="false">'DCF Base Case'!$B$2*(1+B1967)^3*$I1967-'DCF Base Case'!$B$2*(1+B1967)^2*B1967*'DCF Base Case'!$B$4</f>
        <v>22.3501003541484</v>
      </c>
      <c r="M1967" s="24" t="n">
        <f aca="false">'DCF Base Case'!$B$2*(1+B1967)^4*$I1967-'DCF Base Case'!$B$2*(1+B1967)^3*B1967*'DCF Base Case'!$B$4</f>
        <v>24.0790772542635</v>
      </c>
      <c r="N1967" s="24" t="n">
        <f aca="false">'DCF Base Case'!$B$2*(1+B1967)^5*$I1967-'DCF Base Case'!$B$2*(1+B1967)^4*B1967*'DCF Base Case'!$B$4</f>
        <v>25.9418057292602</v>
      </c>
      <c r="O1967" s="24" t="n">
        <f aca="false">J1967/(1+H1967)^1+K1967/(1+H1967)^2+L1967/(1+H1967)^3+M1967/(1+H1967)^4+N1967/(1+H1967)^5</f>
        <v>88.3324884174687</v>
      </c>
      <c r="P1967" s="24" t="n">
        <f aca="false">N1967*(1+F1967)/(H1967-F1967)</f>
        <v>389.588224822288</v>
      </c>
      <c r="Q1967" s="24" t="n">
        <f aca="false">O1967+P1967/(1+H1967)^5</f>
        <v>351.589471856753</v>
      </c>
      <c r="R1967" s="24" t="n">
        <f aca="false">Q1967-'DCF Base Case'!$B$5</f>
        <v>166.589471856753</v>
      </c>
      <c r="S1967" s="32" t="n">
        <f aca="false">R1967/'DCF Base Case'!$B$6</f>
        <v>6.6635788742701</v>
      </c>
    </row>
    <row r="1968" customFormat="false" ht="15" hidden="false" customHeight="true" outlineLevel="0" collapsed="false">
      <c r="A1968" s="6" t="n">
        <v>1967</v>
      </c>
      <c r="B1968" s="30" t="n">
        <v>0.117545943686212</v>
      </c>
      <c r="C1968" s="30" t="n">
        <v>0.423296506853273</v>
      </c>
      <c r="D1968" s="30" t="n">
        <v>0.08163788428869</v>
      </c>
      <c r="E1968" s="30" t="n">
        <v>0.292687790652125</v>
      </c>
      <c r="F1968" s="30" t="n">
        <v>0.0192805708847189</v>
      </c>
      <c r="G1968" s="30" t="n">
        <v>0.143629342004384</v>
      </c>
      <c r="H1968" s="31" t="n">
        <f aca="false">MAX(D1968,F1968+0.015)</f>
        <v>0.08163788428869</v>
      </c>
      <c r="I1968" s="25" t="n">
        <f aca="false">(C1968-'DCF Base Case'!$B$3)*(1-E1968)+'DCF Base Case'!$B$3-G1968</f>
        <v>0.193822858252019</v>
      </c>
      <c r="J1968" s="24" t="n">
        <f aca="false">'DCF Base Case'!$B$2*(1+B1968)^1*$I1968-'DCF Base Case'!$B$2*(1+B1968)^0*B1968*'DCF Base Case'!$B$4</f>
        <v>30.8965377547806</v>
      </c>
      <c r="K1968" s="24" t="n">
        <f aca="false">'DCF Base Case'!$B$2*(1+B1968)^2*$I1968-'DCF Base Case'!$B$2*(1+B1968)^1*B1968*'DCF Base Case'!$B$4</f>
        <v>34.528300441803</v>
      </c>
      <c r="L1968" s="24" t="n">
        <f aca="false">'DCF Base Case'!$B$2*(1+B1968)^3*$I1968-'DCF Base Case'!$B$2*(1+B1968)^2*B1968*'DCF Base Case'!$B$4</f>
        <v>38.5869621011158</v>
      </c>
      <c r="M1968" s="24" t="n">
        <f aca="false">'DCF Base Case'!$B$2*(1+B1968)^4*$I1968-'DCF Base Case'!$B$2*(1+B1968)^3*B1968*'DCF Base Case'!$B$4</f>
        <v>43.1227029752755</v>
      </c>
      <c r="N1968" s="24" t="n">
        <f aca="false">'DCF Base Case'!$B$2*(1+B1968)^5*$I1968-'DCF Base Case'!$B$2*(1+B1968)^4*B1968*'DCF Base Case'!$B$4</f>
        <v>48.1916017908045</v>
      </c>
      <c r="O1968" s="24" t="n">
        <f aca="false">J1968/(1+H1968)^1+K1968/(1+H1968)^2+L1968/(1+H1968)^3+M1968/(1+H1968)^4+N1968/(1+H1968)^5</f>
        <v>152.625827120533</v>
      </c>
      <c r="P1968" s="24" t="n">
        <f aca="false">N1968*(1+F1968)/(H1968-F1968)</f>
        <v>787.730591710388</v>
      </c>
      <c r="Q1968" s="24" t="n">
        <f aca="false">O1968+P1968/(1+H1968)^5</f>
        <v>684.695201319708</v>
      </c>
      <c r="R1968" s="24" t="n">
        <f aca="false">Q1968-'DCF Base Case'!$B$5</f>
        <v>499.695201319708</v>
      </c>
      <c r="S1968" s="32" t="n">
        <f aca="false">R1968/'DCF Base Case'!$B$6</f>
        <v>19.9878080527883</v>
      </c>
    </row>
    <row r="1969" customFormat="false" ht="15" hidden="false" customHeight="true" outlineLevel="0" collapsed="false">
      <c r="A1969" s="6" t="n">
        <v>1968</v>
      </c>
      <c r="B1969" s="30" t="n">
        <v>0.0758456377074007</v>
      </c>
      <c r="C1969" s="30" t="n">
        <v>0.402875512559694</v>
      </c>
      <c r="D1969" s="30" t="n">
        <v>0.0877300525392437</v>
      </c>
      <c r="E1969" s="30" t="n">
        <v>0.279906313396269</v>
      </c>
      <c r="F1969" s="30" t="n">
        <v>0.0201046959215635</v>
      </c>
      <c r="G1969" s="30" t="n">
        <v>0.135956315881914</v>
      </c>
      <c r="H1969" s="31" t="n">
        <f aca="false">MAX(D1969,F1969+0.015)</f>
        <v>0.0877300525392437</v>
      </c>
      <c r="I1969" s="25" t="n">
        <f aca="false">(C1969-'DCF Base Case'!$B$3)*(1-E1969)+'DCF Base Case'!$B$3-G1969</f>
        <v>0.190539617941079</v>
      </c>
      <c r="J1969" s="24" t="n">
        <f aca="false">'DCF Base Case'!$B$2*(1+B1969)^1*$I1969-'DCF Base Case'!$B$2*(1+B1969)^0*B1969*'DCF Base Case'!$B$4</f>
        <v>29.3937979079627</v>
      </c>
      <c r="K1969" s="24" t="n">
        <f aca="false">'DCF Base Case'!$B$2*(1+B1969)^2*$I1969-'DCF Base Case'!$B$2*(1+B1969)^1*B1969*'DCF Base Case'!$B$4</f>
        <v>31.6231892549346</v>
      </c>
      <c r="L1969" s="24" t="n">
        <f aca="false">'DCF Base Case'!$B$2*(1+B1969)^3*$I1969-'DCF Base Case'!$B$2*(1+B1969)^2*B1969*'DCF Base Case'!$B$4</f>
        <v>34.021670210317</v>
      </c>
      <c r="M1969" s="24" t="n">
        <f aca="false">'DCF Base Case'!$B$2*(1+B1969)^4*$I1969-'DCF Base Case'!$B$2*(1+B1969)^3*B1969*'DCF Base Case'!$B$4</f>
        <v>36.6020654832893</v>
      </c>
      <c r="N1969" s="24" t="n">
        <f aca="false">'DCF Base Case'!$B$2*(1+B1969)^5*$I1969-'DCF Base Case'!$B$2*(1+B1969)^4*B1969*'DCF Base Case'!$B$4</f>
        <v>39.3781724812775</v>
      </c>
      <c r="O1969" s="24" t="n">
        <f aca="false">J1969/(1+H1969)^1+K1969/(1+H1969)^2+L1969/(1+H1969)^3+M1969/(1+H1969)^4+N1969/(1+H1969)^5</f>
        <v>132.19488957965</v>
      </c>
      <c r="P1969" s="24" t="n">
        <f aca="false">N1969*(1+F1969)/(H1969-F1969)</f>
        <v>594.005868125186</v>
      </c>
      <c r="Q1969" s="24" t="n">
        <f aca="false">O1969+P1969/(1+H1969)^5</f>
        <v>522.303105535785</v>
      </c>
      <c r="R1969" s="24" t="n">
        <f aca="false">Q1969-'DCF Base Case'!$B$5</f>
        <v>337.303105535785</v>
      </c>
      <c r="S1969" s="32" t="n">
        <f aca="false">R1969/'DCF Base Case'!$B$6</f>
        <v>13.4921242214314</v>
      </c>
    </row>
    <row r="1970" customFormat="false" ht="15" hidden="false" customHeight="true" outlineLevel="0" collapsed="false">
      <c r="A1970" s="6" t="n">
        <v>1969</v>
      </c>
      <c r="B1970" s="30" t="n">
        <v>0.104436281378843</v>
      </c>
      <c r="C1970" s="30" t="n">
        <v>0.419663746155265</v>
      </c>
      <c r="D1970" s="30" t="n">
        <v>0.113079799595652</v>
      </c>
      <c r="E1970" s="30" t="n">
        <v>0.269728702634512</v>
      </c>
      <c r="F1970" s="30" t="n">
        <v>0.0205014937426499</v>
      </c>
      <c r="G1970" s="30" t="n">
        <v>0.216258540410056</v>
      </c>
      <c r="H1970" s="31" t="n">
        <f aca="false">MAX(D1970,F1970+0.015)</f>
        <v>0.113079799595652</v>
      </c>
      <c r="I1970" s="25" t="n">
        <f aca="false">(C1970-'DCF Base Case'!$B$3)*(1-E1970)+'DCF Base Case'!$B$3-G1970</f>
        <v>0.125274579294497</v>
      </c>
      <c r="J1970" s="24" t="n">
        <f aca="false">'DCF Base Case'!$B$2*(1+B1970)^1*$I1970-'DCF Base Case'!$B$2*(1+B1970)^0*B1970*'DCF Base Case'!$B$4</f>
        <v>19.6075817995624</v>
      </c>
      <c r="K1970" s="24" t="n">
        <f aca="false">'DCF Base Case'!$B$2*(1+B1970)^2*$I1970-'DCF Base Case'!$B$2*(1+B1970)^1*B1970*'DCF Base Case'!$B$4</f>
        <v>21.6553247295402</v>
      </c>
      <c r="L1970" s="24" t="n">
        <f aca="false">'DCF Base Case'!$B$2*(1+B1970)^3*$I1970-'DCF Base Case'!$B$2*(1+B1970)^2*B1970*'DCF Base Case'!$B$4</f>
        <v>23.9169263163447</v>
      </c>
      <c r="M1970" s="24" t="n">
        <f aca="false">'DCF Base Case'!$B$2*(1+B1970)^4*$I1970-'DCF Base Case'!$B$2*(1+B1970)^3*B1970*'DCF Base Case'!$B$4</f>
        <v>26.4147211628355</v>
      </c>
      <c r="N1970" s="24" t="n">
        <f aca="false">'DCF Base Case'!$B$2*(1+B1970)^5*$I1970-'DCF Base Case'!$B$2*(1+B1970)^4*B1970*'DCF Base Case'!$B$4</f>
        <v>29.1733764147411</v>
      </c>
      <c r="O1970" s="24" t="n">
        <f aca="false">J1970/(1+H1970)^1+K1970/(1+H1970)^2+L1970/(1+H1970)^3+M1970/(1+H1970)^4+N1970/(1+H1970)^5</f>
        <v>86.7207169210995</v>
      </c>
      <c r="P1970" s="24" t="n">
        <f aca="false">N1970*(1+F1970)/(H1970-F1970)</f>
        <v>321.581540453243</v>
      </c>
      <c r="Q1970" s="24" t="n">
        <f aca="false">O1970+P1970/(1+H1970)^5</f>
        <v>274.938045679053</v>
      </c>
      <c r="R1970" s="24" t="n">
        <f aca="false">Q1970-'DCF Base Case'!$B$5</f>
        <v>89.938045679053</v>
      </c>
      <c r="S1970" s="32" t="n">
        <f aca="false">R1970/'DCF Base Case'!$B$6</f>
        <v>3.59752182716212</v>
      </c>
    </row>
    <row r="1971" customFormat="false" ht="15" hidden="false" customHeight="true" outlineLevel="0" collapsed="false">
      <c r="A1971" s="6" t="n">
        <v>1970</v>
      </c>
      <c r="B1971" s="30" t="n">
        <v>0.0940080404937251</v>
      </c>
      <c r="C1971" s="30" t="n">
        <v>0.41487222375537</v>
      </c>
      <c r="D1971" s="30" t="n">
        <v>0.0741438591577428</v>
      </c>
      <c r="E1971" s="30" t="n">
        <v>0.32498181135473</v>
      </c>
      <c r="F1971" s="30" t="n">
        <v>0.0146434139594998</v>
      </c>
      <c r="G1971" s="30" t="n">
        <v>0.175190695432083</v>
      </c>
      <c r="H1971" s="31" t="n">
        <f aca="false">MAX(D1971,F1971+0.015)</f>
        <v>0.0741438591577428</v>
      </c>
      <c r="I1971" s="25" t="n">
        <f aca="false">(C1971-'DCF Base Case'!$B$3)*(1-E1971)+'DCF Base Case'!$B$3-G1971</f>
        <v>0.147103237042617</v>
      </c>
      <c r="J1971" s="24" t="n">
        <f aca="false">'DCF Base Case'!$B$2*(1+B1971)^1*$I1971-'DCF Base Case'!$B$2*(1+B1971)^0*B1971*'DCF Base Case'!$B$4</f>
        <v>22.9262230194075</v>
      </c>
      <c r="K1971" s="24" t="n">
        <f aca="false">'DCF Base Case'!$B$2*(1+B1971)^2*$I1971-'DCF Base Case'!$B$2*(1+B1971)^1*B1971*'DCF Base Case'!$B$4</f>
        <v>25.0814723213841</v>
      </c>
      <c r="L1971" s="24" t="n">
        <f aca="false">'DCF Base Case'!$B$2*(1+B1971)^3*$I1971-'DCF Base Case'!$B$2*(1+B1971)^2*B1971*'DCF Base Case'!$B$4</f>
        <v>27.4393323870151</v>
      </c>
      <c r="M1971" s="24" t="n">
        <f aca="false">'DCF Base Case'!$B$2*(1+B1971)^4*$I1971-'DCF Base Case'!$B$2*(1+B1971)^3*B1971*'DCF Base Case'!$B$4</f>
        <v>30.0188502571744</v>
      </c>
      <c r="N1971" s="24" t="n">
        <f aca="false">'DCF Base Case'!$B$2*(1+B1971)^5*$I1971-'DCF Base Case'!$B$2*(1+B1971)^4*B1971*'DCF Base Case'!$B$4</f>
        <v>32.8408635477259</v>
      </c>
      <c r="O1971" s="24" t="n">
        <f aca="false">J1971/(1+H1971)^1+K1971/(1+H1971)^2+L1971/(1+H1971)^3+M1971/(1+H1971)^4+N1971/(1+H1971)^5</f>
        <v>110.739359928735</v>
      </c>
      <c r="P1971" s="24" t="n">
        <f aca="false">N1971*(1+F1971)/(H1971-F1971)</f>
        <v>560.025488824857</v>
      </c>
      <c r="Q1971" s="24" t="n">
        <f aca="false">O1971+P1971/(1+H1971)^5</f>
        <v>502.387027144813</v>
      </c>
      <c r="R1971" s="24" t="n">
        <f aca="false">Q1971-'DCF Base Case'!$B$5</f>
        <v>317.387027144813</v>
      </c>
      <c r="S1971" s="32" t="n">
        <f aca="false">R1971/'DCF Base Case'!$B$6</f>
        <v>12.6954810857925</v>
      </c>
    </row>
    <row r="1972" customFormat="false" ht="15" hidden="false" customHeight="true" outlineLevel="0" collapsed="false">
      <c r="A1972" s="6" t="n">
        <v>1971</v>
      </c>
      <c r="B1972" s="30" t="n">
        <v>0.0798690682849164</v>
      </c>
      <c r="C1972" s="30" t="n">
        <v>0.406846112937258</v>
      </c>
      <c r="D1972" s="30" t="n">
        <v>0.0693367450452894</v>
      </c>
      <c r="E1972" s="30" t="n">
        <v>0.320214225325504</v>
      </c>
      <c r="F1972" s="30" t="n">
        <v>0.0182675387175474</v>
      </c>
      <c r="G1972" s="30" t="n">
        <v>0.141181685355474</v>
      </c>
      <c r="H1972" s="31" t="n">
        <f aca="false">MAX(D1972,F1972+0.015)</f>
        <v>0.0693367450452894</v>
      </c>
      <c r="I1972" s="25" t="n">
        <f aca="false">(C1972-'DCF Base Case'!$B$3)*(1-E1972)+'DCF Base Case'!$B$3-G1972</f>
        <v>0.177014363993203</v>
      </c>
      <c r="J1972" s="24" t="n">
        <f aca="false">'DCF Base Case'!$B$2*(1+B1972)^1*$I1972-'DCF Base Case'!$B$2*(1+B1972)^0*B1972*'DCF Base Case'!$B$4</f>
        <v>27.3696583191267</v>
      </c>
      <c r="K1972" s="24" t="n">
        <f aca="false">'DCF Base Case'!$B$2*(1+B1972)^2*$I1972-'DCF Base Case'!$B$2*(1+B1972)^1*B1972*'DCF Base Case'!$B$4</f>
        <v>29.5556474283519</v>
      </c>
      <c r="L1972" s="24" t="n">
        <f aca="false">'DCF Base Case'!$B$2*(1+B1972)^3*$I1972-'DCF Base Case'!$B$2*(1+B1972)^2*B1972*'DCF Base Case'!$B$4</f>
        <v>31.9162294510118</v>
      </c>
      <c r="M1972" s="24" t="n">
        <f aca="false">'DCF Base Case'!$B$2*(1+B1972)^4*$I1972-'DCF Base Case'!$B$2*(1+B1972)^3*B1972*'DCF Base Case'!$B$4</f>
        <v>34.4653489604318</v>
      </c>
      <c r="N1972" s="24" t="n">
        <f aca="false">'DCF Base Case'!$B$2*(1+B1972)^5*$I1972-'DCF Base Case'!$B$2*(1+B1972)^4*B1972*'DCF Base Case'!$B$4</f>
        <v>37.218064270016</v>
      </c>
      <c r="O1972" s="24" t="n">
        <f aca="false">J1972/(1+H1972)^1+K1972/(1+H1972)^2+L1972/(1+H1972)^3+M1972/(1+H1972)^4+N1972/(1+H1972)^5</f>
        <v>130.520831093558</v>
      </c>
      <c r="P1972" s="24" t="n">
        <f aca="false">N1972*(1+F1972)/(H1972-F1972)</f>
        <v>742.08998778729</v>
      </c>
      <c r="Q1972" s="24" t="n">
        <f aca="false">O1972+P1972/(1+H1972)^5</f>
        <v>661.263641283262</v>
      </c>
      <c r="R1972" s="24" t="n">
        <f aca="false">Q1972-'DCF Base Case'!$B$5</f>
        <v>476.263641283262</v>
      </c>
      <c r="S1972" s="32" t="n">
        <f aca="false">R1972/'DCF Base Case'!$B$6</f>
        <v>19.0505456513305</v>
      </c>
    </row>
    <row r="1973" customFormat="false" ht="15" hidden="false" customHeight="true" outlineLevel="0" collapsed="false">
      <c r="A1973" s="6" t="n">
        <v>1972</v>
      </c>
      <c r="B1973" s="30" t="n">
        <v>0.117069761814069</v>
      </c>
      <c r="C1973" s="30" t="n">
        <v>0.414028604031291</v>
      </c>
      <c r="D1973" s="30" t="n">
        <v>0.0886806802090379</v>
      </c>
      <c r="E1973" s="30" t="n">
        <v>0.305496429133114</v>
      </c>
      <c r="F1973" s="30" t="n">
        <v>0.0210422082068597</v>
      </c>
      <c r="G1973" s="30" t="n">
        <v>0.127489524034551</v>
      </c>
      <c r="H1973" s="31" t="n">
        <f aca="false">MAX(D1973,F1973+0.015)</f>
        <v>0.0886806802090379</v>
      </c>
      <c r="I1973" s="25" t="n">
        <f aca="false">(C1973-'DCF Base Case'!$B$3)*(1-E1973)+'DCF Base Case'!$B$3-G1973</f>
        <v>0.199769355693517</v>
      </c>
      <c r="J1973" s="24" t="n">
        <f aca="false">'DCF Base Case'!$B$2*(1+B1973)^1*$I1973-'DCF Base Case'!$B$2*(1+B1973)^0*B1973*'DCF Base Case'!$B$4</f>
        <v>31.8484109905434</v>
      </c>
      <c r="K1973" s="24" t="n">
        <f aca="false">'DCF Base Case'!$B$2*(1+B1973)^2*$I1973-'DCF Base Case'!$B$2*(1+B1973)^1*B1973*'DCF Base Case'!$B$4</f>
        <v>35.5768968793629</v>
      </c>
      <c r="L1973" s="24" t="n">
        <f aca="false">'DCF Base Case'!$B$2*(1+B1973)^3*$I1973-'DCF Base Case'!$B$2*(1+B1973)^2*B1973*'DCF Base Case'!$B$4</f>
        <v>39.7418757231136</v>
      </c>
      <c r="M1973" s="24" t="n">
        <f aca="false">'DCF Base Case'!$B$2*(1+B1973)^4*$I1973-'DCF Base Case'!$B$2*(1+B1973)^3*B1973*'DCF Base Case'!$B$4</f>
        <v>44.3944476480628</v>
      </c>
      <c r="N1973" s="24" t="n">
        <f aca="false">'DCF Base Case'!$B$2*(1+B1973)^5*$I1973-'DCF Base Case'!$B$2*(1+B1973)^4*B1973*'DCF Base Case'!$B$4</f>
        <v>49.5916950600887</v>
      </c>
      <c r="O1973" s="24" t="n">
        <f aca="false">J1973/(1+H1973)^1+K1973/(1+H1973)^2+L1973/(1+H1973)^3+M1973/(1+H1973)^4+N1973/(1+H1973)^5</f>
        <v>154.100685399828</v>
      </c>
      <c r="P1973" s="24" t="n">
        <f aca="false">N1973*(1+F1973)/(H1973-F1973)</f>
        <v>748.615578294607</v>
      </c>
      <c r="Q1973" s="24" t="n">
        <f aca="false">O1973+P1973/(1+H1973)^5</f>
        <v>643.604725342106</v>
      </c>
      <c r="R1973" s="24" t="n">
        <f aca="false">Q1973-'DCF Base Case'!$B$5</f>
        <v>458.604725342106</v>
      </c>
      <c r="S1973" s="32" t="n">
        <f aca="false">R1973/'DCF Base Case'!$B$6</f>
        <v>18.3441890136842</v>
      </c>
    </row>
    <row r="1974" customFormat="false" ht="15" hidden="false" customHeight="true" outlineLevel="0" collapsed="false">
      <c r="A1974" s="6" t="n">
        <v>1973</v>
      </c>
      <c r="B1974" s="30" t="n">
        <v>0.105113333905939</v>
      </c>
      <c r="C1974" s="30" t="n">
        <v>0.417927841702983</v>
      </c>
      <c r="D1974" s="30" t="n">
        <v>0.0813806843351634</v>
      </c>
      <c r="E1974" s="30" t="n">
        <v>0.276651912557302</v>
      </c>
      <c r="F1974" s="30" t="n">
        <v>0.0130654014435046</v>
      </c>
      <c r="G1974" s="30" t="n">
        <v>0.169573568597292</v>
      </c>
      <c r="H1974" s="31" t="n">
        <f aca="false">MAX(D1974,F1974+0.015)</f>
        <v>0.0813806843351634</v>
      </c>
      <c r="I1974" s="25" t="n">
        <f aca="false">(C1974-'DCF Base Case'!$B$3)*(1-E1974)+'DCF Base Case'!$B$3-G1974</f>
        <v>0.168698485020065</v>
      </c>
      <c r="J1974" s="24" t="n">
        <f aca="false">'DCF Base Case'!$B$2*(1+B1974)^1*$I1974-'DCF Base Case'!$B$2*(1+B1974)^0*B1974*'DCF Base Case'!$B$4</f>
        <v>26.5752440522929</v>
      </c>
      <c r="K1974" s="24" t="n">
        <f aca="false">'DCF Base Case'!$B$2*(1+B1974)^2*$I1974-'DCF Base Case'!$B$2*(1+B1974)^1*B1974*'DCF Base Case'!$B$4</f>
        <v>29.3686565539933</v>
      </c>
      <c r="L1974" s="24" t="n">
        <f aca="false">'DCF Base Case'!$B$2*(1+B1974)^3*$I1974-'DCF Base Case'!$B$2*(1+B1974)^2*B1974*'DCF Base Case'!$B$4</f>
        <v>32.4556939567221</v>
      </c>
      <c r="M1974" s="24" t="n">
        <f aca="false">'DCF Base Case'!$B$2*(1+B1974)^4*$I1974-'DCF Base Case'!$B$2*(1+B1974)^3*B1974*'DCF Base Case'!$B$4</f>
        <v>35.867220152744</v>
      </c>
      <c r="N1974" s="24" t="n">
        <f aca="false">'DCF Base Case'!$B$2*(1+B1974)^5*$I1974-'DCF Base Case'!$B$2*(1+B1974)^4*B1974*'DCF Base Case'!$B$4</f>
        <v>39.6373432409372</v>
      </c>
      <c r="O1974" s="24" t="n">
        <f aca="false">J1974/(1+H1974)^1+K1974/(1+H1974)^2+L1974/(1+H1974)^3+M1974/(1+H1974)^4+N1974/(1+H1974)^5</f>
        <v>128.389568318815</v>
      </c>
      <c r="P1974" s="24" t="n">
        <f aca="false">N1974*(1+F1974)/(H1974-F1974)</f>
        <v>587.792648187027</v>
      </c>
      <c r="Q1974" s="24" t="n">
        <f aca="false">O1974+P1974/(1+H1974)^5</f>
        <v>525.884055845854</v>
      </c>
      <c r="R1974" s="24" t="n">
        <f aca="false">Q1974-'DCF Base Case'!$B$5</f>
        <v>340.884055845854</v>
      </c>
      <c r="S1974" s="32" t="n">
        <f aca="false">R1974/'DCF Base Case'!$B$6</f>
        <v>13.6353622338342</v>
      </c>
    </row>
    <row r="1975" customFormat="false" ht="15" hidden="false" customHeight="true" outlineLevel="0" collapsed="false">
      <c r="A1975" s="6" t="n">
        <v>1974</v>
      </c>
      <c r="B1975" s="30" t="n">
        <v>0.0607632139491409</v>
      </c>
      <c r="C1975" s="30" t="n">
        <v>0.396990216848701</v>
      </c>
      <c r="D1975" s="30" t="n">
        <v>0.0867189087469203</v>
      </c>
      <c r="E1975" s="30" t="n">
        <v>0.312584896186206</v>
      </c>
      <c r="F1975" s="30" t="n">
        <v>0.0160073462153573</v>
      </c>
      <c r="G1975" s="30" t="n">
        <v>0.199027419891803</v>
      </c>
      <c r="H1975" s="31" t="n">
        <f aca="false">MAX(D1975,F1975+0.015)</f>
        <v>0.0867189087469203</v>
      </c>
      <c r="I1975" s="25" t="n">
        <f aca="false">(C1975-'DCF Base Case'!$B$3)*(1-E1975)+'DCF Base Case'!$B$3-G1975</f>
        <v>0.114505687740514</v>
      </c>
      <c r="J1975" s="24" t="n">
        <f aca="false">'DCF Base Case'!$B$2*(1+B1975)^1*$I1975-'DCF Base Case'!$B$2*(1+B1975)^0*B1975*'DCF Base Case'!$B$4</f>
        <v>17.3478761140685</v>
      </c>
      <c r="K1975" s="24" t="n">
        <f aca="false">'DCF Base Case'!$B$2*(1+B1975)^2*$I1975-'DCF Base Case'!$B$2*(1+B1975)^1*B1975*'DCF Base Case'!$B$4</f>
        <v>18.4019888219508</v>
      </c>
      <c r="L1975" s="24" t="n">
        <f aca="false">'DCF Base Case'!$B$2*(1+B1975)^3*$I1975-'DCF Base Case'!$B$2*(1+B1975)^2*B1975*'DCF Base Case'!$B$4</f>
        <v>19.5201528058287</v>
      </c>
      <c r="M1975" s="24" t="n">
        <f aca="false">'DCF Base Case'!$B$2*(1+B1975)^4*$I1975-'DCF Base Case'!$B$2*(1+B1975)^3*B1975*'DCF Base Case'!$B$4</f>
        <v>20.7062600270892</v>
      </c>
      <c r="N1975" s="24" t="n">
        <f aca="false">'DCF Base Case'!$B$2*(1+B1975)^5*$I1975-'DCF Base Case'!$B$2*(1+B1975)^4*B1975*'DCF Base Case'!$B$4</f>
        <v>21.9644389352018</v>
      </c>
      <c r="O1975" s="24" t="n">
        <f aca="false">J1975/(1+H1975)^1+K1975/(1+H1975)^2+L1975/(1+H1975)^3+M1975/(1+H1975)^4+N1975/(1+H1975)^5</f>
        <v>76.0948586397649</v>
      </c>
      <c r="P1975" s="24" t="n">
        <f aca="false">N1975*(1+F1975)/(H1975-F1975)</f>
        <v>315.592394153398</v>
      </c>
      <c r="Q1975" s="24" t="n">
        <f aca="false">O1975+P1975/(1+H1975)^5</f>
        <v>284.323472993784</v>
      </c>
      <c r="R1975" s="24" t="n">
        <f aca="false">Q1975-'DCF Base Case'!$B$5</f>
        <v>99.3234729937844</v>
      </c>
      <c r="S1975" s="32" t="n">
        <f aca="false">R1975/'DCF Base Case'!$B$6</f>
        <v>3.97293891975138</v>
      </c>
    </row>
    <row r="1976" customFormat="false" ht="15" hidden="false" customHeight="true" outlineLevel="0" collapsed="false">
      <c r="A1976" s="6" t="n">
        <v>1975</v>
      </c>
      <c r="B1976" s="30" t="n">
        <v>0.110686455299951</v>
      </c>
      <c r="C1976" s="30" t="n">
        <v>0.413202908584829</v>
      </c>
      <c r="D1976" s="30" t="n">
        <v>0.0728037580695714</v>
      </c>
      <c r="E1976" s="30" t="n">
        <v>0.252793348181343</v>
      </c>
      <c r="F1976" s="30" t="n">
        <v>0.0203188534346705</v>
      </c>
      <c r="G1976" s="30" t="n">
        <v>0.150362792005949</v>
      </c>
      <c r="H1976" s="31" t="n">
        <f aca="false">MAX(D1976,F1976+0.015)</f>
        <v>0.0728037580695714</v>
      </c>
      <c r="I1976" s="25" t="n">
        <f aca="false">(C1976-'DCF Base Case'!$B$3)*(1-E1976)+'DCF Base Case'!$B$3-G1976</f>
        <v>0.191248305103026</v>
      </c>
      <c r="J1976" s="24" t="n">
        <f aca="false">'DCF Base Case'!$B$2*(1+B1976)^1*$I1976-'DCF Base Case'!$B$2*(1+B1976)^0*B1976*'DCF Base Case'!$B$4</f>
        <v>30.3189647206108</v>
      </c>
      <c r="K1976" s="24" t="n">
        <f aca="false">'DCF Base Case'!$B$2*(1+B1976)^2*$I1976-'DCF Base Case'!$B$2*(1+B1976)^1*B1976*'DCF Base Case'!$B$4</f>
        <v>33.6748634538994</v>
      </c>
      <c r="L1976" s="24" t="n">
        <f aca="false">'DCF Base Case'!$B$2*(1+B1976)^3*$I1976-'DCF Base Case'!$B$2*(1+B1976)^2*B1976*'DCF Base Case'!$B$4</f>
        <v>37.4022147223214</v>
      </c>
      <c r="M1976" s="24" t="n">
        <f aca="false">'DCF Base Case'!$B$2*(1+B1976)^4*$I1976-'DCF Base Case'!$B$2*(1+B1976)^3*B1976*'DCF Base Case'!$B$4</f>
        <v>41.5421332903028</v>
      </c>
      <c r="N1976" s="24" t="n">
        <f aca="false">'DCF Base Case'!$B$2*(1+B1976)^5*$I1976-'DCF Base Case'!$B$2*(1+B1976)^4*B1976*'DCF Base Case'!$B$4</f>
        <v>46.1402847698045</v>
      </c>
      <c r="O1976" s="24" t="n">
        <f aca="false">J1976/(1+H1976)^1+K1976/(1+H1976)^2+L1976/(1+H1976)^3+M1976/(1+H1976)^4+N1976/(1+H1976)^5</f>
        <v>151.645434359838</v>
      </c>
      <c r="P1976" s="24" t="n">
        <f aca="false">N1976*(1+F1976)/(H1976-F1976)</f>
        <v>896.977955489526</v>
      </c>
      <c r="Q1976" s="24" t="n">
        <f aca="false">O1976+P1976/(1+H1976)^5</f>
        <v>782.864835392085</v>
      </c>
      <c r="R1976" s="24" t="n">
        <f aca="false">Q1976-'DCF Base Case'!$B$5</f>
        <v>597.864835392085</v>
      </c>
      <c r="S1976" s="32" t="n">
        <f aca="false">R1976/'DCF Base Case'!$B$6</f>
        <v>23.9145934156834</v>
      </c>
    </row>
    <row r="1977" customFormat="false" ht="15" hidden="false" customHeight="true" outlineLevel="0" collapsed="false">
      <c r="A1977" s="6" t="n">
        <v>1976</v>
      </c>
      <c r="B1977" s="30" t="n">
        <v>0.116000560644963</v>
      </c>
      <c r="C1977" s="30" t="n">
        <v>0.409851433672059</v>
      </c>
      <c r="D1977" s="30" t="n">
        <v>0.0750926192194283</v>
      </c>
      <c r="E1977" s="30" t="n">
        <v>0.286473536310378</v>
      </c>
      <c r="F1977" s="30" t="n">
        <v>0.0165658062399887</v>
      </c>
      <c r="G1977" s="30" t="n">
        <v>0.165414887320494</v>
      </c>
      <c r="H1977" s="31" t="n">
        <f aca="false">MAX(D1977,F1977+0.015)</f>
        <v>0.0750926192194283</v>
      </c>
      <c r="I1977" s="25" t="n">
        <f aca="false">(C1977-'DCF Base Case'!$B$3)*(1-E1977)+'DCF Base Case'!$B$3-G1977</f>
        <v>0.164266516506001</v>
      </c>
      <c r="J1977" s="24" t="n">
        <f aca="false">'DCF Base Case'!$B$2*(1+B1977)^1*$I1977-'DCF Base Case'!$B$2*(1+B1977)^0*B1977*'DCF Base Case'!$B$4</f>
        <v>26.0770186159988</v>
      </c>
      <c r="K1977" s="24" t="n">
        <f aca="false">'DCF Base Case'!$B$2*(1+B1977)^2*$I1977-'DCF Base Case'!$B$2*(1+B1977)^1*B1977*'DCF Base Case'!$B$4</f>
        <v>29.1019673954038</v>
      </c>
      <c r="L1977" s="24" t="n">
        <f aca="false">'DCF Base Case'!$B$2*(1+B1977)^3*$I1977-'DCF Base Case'!$B$2*(1+B1977)^2*B1977*'DCF Base Case'!$B$4</f>
        <v>32.4778119291421</v>
      </c>
      <c r="M1977" s="24" t="n">
        <f aca="false">'DCF Base Case'!$B$2*(1+B1977)^4*$I1977-'DCF Base Case'!$B$2*(1+B1977)^3*B1977*'DCF Base Case'!$B$4</f>
        <v>36.2452563214442</v>
      </c>
      <c r="N1977" s="24" t="n">
        <f aca="false">'DCF Base Case'!$B$2*(1+B1977)^5*$I1977-'DCF Base Case'!$B$2*(1+B1977)^4*B1977*'DCF Base Case'!$B$4</f>
        <v>40.4497263754521</v>
      </c>
      <c r="O1977" s="24" t="n">
        <f aca="false">J1977/(1+H1977)^1+K1977/(1+H1977)^2+L1977/(1+H1977)^3+M1977/(1+H1977)^4+N1977/(1+H1977)^5</f>
        <v>130.865333671523</v>
      </c>
      <c r="P1977" s="24" t="n">
        <f aca="false">N1977*(1+F1977)/(H1977-F1977)</f>
        <v>702.580690998735</v>
      </c>
      <c r="Q1977" s="24" t="n">
        <f aca="false">O1977+P1977/(1+H1977)^5</f>
        <v>620.043211090803</v>
      </c>
      <c r="R1977" s="24" t="n">
        <f aca="false">Q1977-'DCF Base Case'!$B$5</f>
        <v>435.043211090803</v>
      </c>
      <c r="S1977" s="32" t="n">
        <f aca="false">R1977/'DCF Base Case'!$B$6</f>
        <v>17.4017284436321</v>
      </c>
    </row>
    <row r="1978" customFormat="false" ht="15" hidden="false" customHeight="true" outlineLevel="0" collapsed="false">
      <c r="A1978" s="6" t="n">
        <v>1977</v>
      </c>
      <c r="B1978" s="30" t="n">
        <v>0.11153342535541</v>
      </c>
      <c r="C1978" s="30" t="n">
        <v>0.42396742007775</v>
      </c>
      <c r="D1978" s="30" t="n">
        <v>0.08633060906773</v>
      </c>
      <c r="E1978" s="30" t="n">
        <v>0.285615105462141</v>
      </c>
      <c r="F1978" s="30" t="n">
        <v>0.0128130419149168</v>
      </c>
      <c r="G1978" s="30" t="n">
        <v>0.174332349507098</v>
      </c>
      <c r="H1978" s="31" t="n">
        <f aca="false">MAX(D1978,F1978+0.015)</f>
        <v>0.08633060906773</v>
      </c>
      <c r="I1978" s="25" t="n">
        <f aca="false">(C1978-'DCF Base Case'!$B$3)*(1-E1978)+'DCF Base Case'!$B$3-G1978</f>
        <v>0.165673534882712</v>
      </c>
      <c r="J1978" s="24" t="n">
        <f aca="false">'DCF Base Case'!$B$2*(1+B1978)^1*$I1978-'DCF Base Case'!$B$2*(1+B1978)^0*B1978*'DCF Base Case'!$B$4</f>
        <v>26.2168219989473</v>
      </c>
      <c r="K1978" s="24" t="n">
        <f aca="false">'DCF Base Case'!$B$2*(1+B1978)^2*$I1978-'DCF Base Case'!$B$2*(1+B1978)^1*B1978*'DCF Base Case'!$B$4</f>
        <v>29.140873958423</v>
      </c>
      <c r="L1978" s="24" t="n">
        <f aca="false">'DCF Base Case'!$B$2*(1+B1978)^3*$I1978-'DCF Base Case'!$B$2*(1+B1978)^2*B1978*'DCF Base Case'!$B$4</f>
        <v>32.3910554488562</v>
      </c>
      <c r="M1978" s="24" t="n">
        <f aca="false">'DCF Base Case'!$B$2*(1+B1978)^4*$I1978-'DCF Base Case'!$B$2*(1+B1978)^3*B1978*'DCF Base Case'!$B$4</f>
        <v>36.0037408139442</v>
      </c>
      <c r="N1978" s="24" t="n">
        <f aca="false">'DCF Base Case'!$B$2*(1+B1978)^5*$I1978-'DCF Base Case'!$B$2*(1+B1978)^4*B1978*'DCF Base Case'!$B$4</f>
        <v>40.0193613525317</v>
      </c>
      <c r="O1978" s="24" t="n">
        <f aca="false">J1978/(1+H1978)^1+K1978/(1+H1978)^2+L1978/(1+H1978)^3+M1978/(1+H1978)^4+N1978/(1+H1978)^5</f>
        <v>126.397205263227</v>
      </c>
      <c r="P1978" s="24" t="n">
        <f aca="false">N1978*(1+F1978)/(H1978-F1978)</f>
        <v>551.325794319337</v>
      </c>
      <c r="Q1978" s="24" t="n">
        <f aca="false">O1978+P1978/(1+H1978)^5</f>
        <v>490.813869720884</v>
      </c>
      <c r="R1978" s="24" t="n">
        <f aca="false">Q1978-'DCF Base Case'!$B$5</f>
        <v>305.813869720884</v>
      </c>
      <c r="S1978" s="32" t="n">
        <f aca="false">R1978/'DCF Base Case'!$B$6</f>
        <v>12.2325547888354</v>
      </c>
    </row>
    <row r="1979" customFormat="false" ht="15" hidden="false" customHeight="true" outlineLevel="0" collapsed="false">
      <c r="A1979" s="6" t="n">
        <v>1978</v>
      </c>
      <c r="B1979" s="30" t="n">
        <v>0.0932845054067213</v>
      </c>
      <c r="C1979" s="30" t="n">
        <v>0.432717038707941</v>
      </c>
      <c r="D1979" s="30" t="n">
        <v>0.0916639188125083</v>
      </c>
      <c r="E1979" s="30" t="n">
        <v>0.27422260607166</v>
      </c>
      <c r="F1979" s="30" t="n">
        <v>0.0230489993704435</v>
      </c>
      <c r="G1979" s="30" t="n">
        <v>0.15923785027457</v>
      </c>
      <c r="H1979" s="31" t="n">
        <f aca="false">MAX(D1979,F1979+0.015)</f>
        <v>0.0916639188125083</v>
      </c>
      <c r="I1979" s="25" t="n">
        <f aca="false">(C1979-'DCF Base Case'!$B$3)*(1-E1979)+'DCF Base Case'!$B$3-G1979</f>
        <v>0.190467333176584</v>
      </c>
      <c r="J1979" s="24" t="n">
        <f aca="false">'DCF Base Case'!$B$2*(1+B1979)^1*$I1979-'DCF Base Case'!$B$2*(1+B1979)^0*B1979*'DCF Base Case'!$B$4</f>
        <v>29.7882851029551</v>
      </c>
      <c r="K1979" s="24" t="n">
        <f aca="false">'DCF Base Case'!$B$2*(1+B1979)^2*$I1979-'DCF Base Case'!$B$2*(1+B1979)^1*B1979*'DCF Base Case'!$B$4</f>
        <v>32.5670705456986</v>
      </c>
      <c r="L1979" s="24" t="n">
        <f aca="false">'DCF Base Case'!$B$2*(1+B1979)^3*$I1979-'DCF Base Case'!$B$2*(1+B1979)^2*B1979*'DCF Base Case'!$B$4</f>
        <v>35.6050736140999</v>
      </c>
      <c r="M1979" s="24" t="n">
        <f aca="false">'DCF Base Case'!$B$2*(1+B1979)^4*$I1979-'DCF Base Case'!$B$2*(1+B1979)^3*B1979*'DCF Base Case'!$B$4</f>
        <v>38.9264752961612</v>
      </c>
      <c r="N1979" s="24" t="n">
        <f aca="false">'DCF Base Case'!$B$2*(1+B1979)^5*$I1979-'DCF Base Case'!$B$2*(1+B1979)^4*B1979*'DCF Base Case'!$B$4</f>
        <v>42.5577122913905</v>
      </c>
      <c r="O1979" s="24" t="n">
        <f aca="false">J1979/(1+H1979)^1+K1979/(1+H1979)^2+L1979/(1+H1979)^3+M1979/(1+H1979)^4+N1979/(1+H1979)^5</f>
        <v>136.840917910556</v>
      </c>
      <c r="P1979" s="24" t="n">
        <f aca="false">N1979*(1+F1979)/(H1979-F1979)</f>
        <v>634.535831700047</v>
      </c>
      <c r="Q1979" s="24" t="n">
        <f aca="false">O1979+P1979/(1+H1979)^5</f>
        <v>546.112291615842</v>
      </c>
      <c r="R1979" s="24" t="n">
        <f aca="false">Q1979-'DCF Base Case'!$B$5</f>
        <v>361.112291615842</v>
      </c>
      <c r="S1979" s="32" t="n">
        <f aca="false">R1979/'DCF Base Case'!$B$6</f>
        <v>14.4444916646337</v>
      </c>
    </row>
    <row r="1980" customFormat="false" ht="15" hidden="false" customHeight="true" outlineLevel="0" collapsed="false">
      <c r="A1980" s="6" t="n">
        <v>1979</v>
      </c>
      <c r="B1980" s="30" t="n">
        <v>0.0951450492824421</v>
      </c>
      <c r="C1980" s="30" t="n">
        <v>0.410127840623022</v>
      </c>
      <c r="D1980" s="30" t="n">
        <v>0.0900793358541553</v>
      </c>
      <c r="E1980" s="30" t="n">
        <v>0.269983979162752</v>
      </c>
      <c r="F1980" s="30" t="n">
        <v>0.0249453846501337</v>
      </c>
      <c r="G1980" s="30" t="n">
        <v>0.208555655598643</v>
      </c>
      <c r="H1980" s="31" t="n">
        <f aca="false">MAX(D1980,F1980+0.015)</f>
        <v>0.0900793358541553</v>
      </c>
      <c r="I1980" s="25" t="n">
        <f aca="false">(C1980-'DCF Base Case'!$B$3)*(1-E1980)+'DCF Base Case'!$B$3-G1980</f>
        <v>0.125942155938706</v>
      </c>
      <c r="J1980" s="24" t="n">
        <f aca="false">'DCF Base Case'!$B$2*(1+B1980)^1*$I1980-'DCF Base Case'!$B$2*(1+B1980)^0*B1980*'DCF Base Case'!$B$4</f>
        <v>19.5852336785949</v>
      </c>
      <c r="K1980" s="24" t="n">
        <f aca="false">'DCF Base Case'!$B$2*(1+B1980)^2*$I1980-'DCF Base Case'!$B$2*(1+B1980)^1*B1980*'DCF Base Case'!$B$4</f>
        <v>21.448671702153</v>
      </c>
      <c r="L1980" s="24" t="n">
        <f aca="false">'DCF Base Case'!$B$2*(1+B1980)^3*$I1980-'DCF Base Case'!$B$2*(1+B1980)^2*B1980*'DCF Base Case'!$B$4</f>
        <v>23.4894066282973</v>
      </c>
      <c r="M1980" s="24" t="n">
        <f aca="false">'DCF Base Case'!$B$2*(1+B1980)^4*$I1980-'DCF Base Case'!$B$2*(1+B1980)^3*B1980*'DCF Base Case'!$B$4</f>
        <v>25.7243073795619</v>
      </c>
      <c r="N1980" s="24" t="n">
        <f aca="false">'DCF Base Case'!$B$2*(1+B1980)^5*$I1980-'DCF Base Case'!$B$2*(1+B1980)^4*B1980*'DCF Base Case'!$B$4</f>
        <v>28.1718478729471</v>
      </c>
      <c r="O1980" s="24" t="n">
        <f aca="false">J1980/(1+H1980)^1+K1980/(1+H1980)^2+L1980/(1+H1980)^3+M1980/(1+H1980)^4+N1980/(1+H1980)^5</f>
        <v>90.6728078881122</v>
      </c>
      <c r="P1980" s="24" t="n">
        <f aca="false">N1980*(1+F1980)/(H1980-F1980)</f>
        <v>443.31112915287</v>
      </c>
      <c r="Q1980" s="24" t="n">
        <f aca="false">O1980+P1980/(1+H1980)^5</f>
        <v>378.689792509729</v>
      </c>
      <c r="R1980" s="24" t="n">
        <f aca="false">Q1980-'DCF Base Case'!$B$5</f>
        <v>193.689792509729</v>
      </c>
      <c r="S1980" s="32" t="n">
        <f aca="false">R1980/'DCF Base Case'!$B$6</f>
        <v>7.74759170038916</v>
      </c>
    </row>
    <row r="1981" customFormat="false" ht="15" hidden="false" customHeight="true" outlineLevel="0" collapsed="false">
      <c r="A1981" s="6" t="n">
        <v>1980</v>
      </c>
      <c r="B1981" s="30" t="n">
        <v>0.109090782906082</v>
      </c>
      <c r="C1981" s="30" t="n">
        <v>0.447337279834085</v>
      </c>
      <c r="D1981" s="30" t="n">
        <v>0.0680686407105505</v>
      </c>
      <c r="E1981" s="30" t="n">
        <v>0.253066279906858</v>
      </c>
      <c r="F1981" s="30" t="n">
        <v>0.0180889580224429</v>
      </c>
      <c r="G1981" s="30" t="n">
        <v>0.166135955370541</v>
      </c>
      <c r="H1981" s="31" t="n">
        <f aca="false">MAX(D1981,F1981+0.015)</f>
        <v>0.0680686407105505</v>
      </c>
      <c r="I1981" s="25" t="n">
        <f aca="false">(C1981-'DCF Base Case'!$B$3)*(1-E1981)+'DCF Base Case'!$B$3-G1981</f>
        <v>0.200893959580171</v>
      </c>
      <c r="J1981" s="24" t="n">
        <f aca="false">'DCF Base Case'!$B$2*(1+B1981)^1*$I1981-'DCF Base Case'!$B$2*(1+B1981)^0*B1981*'DCF Base Case'!$B$4</f>
        <v>31.8328527365803</v>
      </c>
      <c r="K1981" s="24" t="n">
        <f aca="false">'DCF Base Case'!$B$2*(1+B1981)^2*$I1981-'DCF Base Case'!$B$2*(1+B1981)^1*B1981*'DCF Base Case'!$B$4</f>
        <v>35.3055235637479</v>
      </c>
      <c r="L1981" s="24" t="n">
        <f aca="false">'DCF Base Case'!$B$2*(1+B1981)^3*$I1981-'DCF Base Case'!$B$2*(1+B1981)^2*B1981*'DCF Base Case'!$B$4</f>
        <v>39.1570307702263</v>
      </c>
      <c r="M1981" s="24" t="n">
        <f aca="false">'DCF Base Case'!$B$2*(1+B1981)^4*$I1981-'DCF Base Case'!$B$2*(1+B1981)^3*B1981*'DCF Base Case'!$B$4</f>
        <v>43.4287019132278</v>
      </c>
      <c r="N1981" s="24" t="n">
        <f aca="false">'DCF Base Case'!$B$2*(1+B1981)^5*$I1981-'DCF Base Case'!$B$2*(1+B1981)^4*B1981*'DCF Base Case'!$B$4</f>
        <v>48.1663730055367</v>
      </c>
      <c r="O1981" s="24" t="n">
        <f aca="false">J1981/(1+H1981)^1+K1981/(1+H1981)^2+L1981/(1+H1981)^3+M1981/(1+H1981)^4+N1981/(1+H1981)^5</f>
        <v>160.915899985588</v>
      </c>
      <c r="P1981" s="24" t="n">
        <f aca="false">N1981*(1+F1981)/(H1981-F1981)</f>
        <v>981.1517374158</v>
      </c>
      <c r="Q1981" s="24" t="n">
        <f aca="false">O1981+P1981/(1+H1981)^5</f>
        <v>866.811308447644</v>
      </c>
      <c r="R1981" s="24" t="n">
        <f aca="false">Q1981-'DCF Base Case'!$B$5</f>
        <v>681.811308447644</v>
      </c>
      <c r="S1981" s="32" t="n">
        <f aca="false">R1981/'DCF Base Case'!$B$6</f>
        <v>27.2724523379058</v>
      </c>
    </row>
    <row r="1982" customFormat="false" ht="15" hidden="false" customHeight="true" outlineLevel="0" collapsed="false">
      <c r="A1982" s="6" t="n">
        <v>1981</v>
      </c>
      <c r="B1982" s="30" t="n">
        <v>0.0859043239745222</v>
      </c>
      <c r="C1982" s="30" t="n">
        <v>0.37799279378088</v>
      </c>
      <c r="D1982" s="30" t="n">
        <v>0.0976675087695601</v>
      </c>
      <c r="E1982" s="30" t="n">
        <v>0.337567706755392</v>
      </c>
      <c r="F1982" s="30" t="n">
        <v>0.0238753630057264</v>
      </c>
      <c r="G1982" s="30" t="n">
        <v>0.191137049860161</v>
      </c>
      <c r="H1982" s="31" t="n">
        <f aca="false">MAX(D1982,F1982+0.015)</f>
        <v>0.0976675087695601</v>
      </c>
      <c r="I1982" s="25" t="n">
        <f aca="false">(C1982-'DCF Base Case'!$B$3)*(1-E1982)+'DCF Base Case'!$B$3-G1982</f>
        <v>0.103141385232245</v>
      </c>
      <c r="J1982" s="24" t="n">
        <f aca="false">'DCF Base Case'!$B$2*(1+B1982)^1*$I1982-'DCF Base Case'!$B$2*(1+B1982)^0*B1982*'DCF Base Case'!$B$4</f>
        <v>15.8665592403512</v>
      </c>
      <c r="K1982" s="24" t="n">
        <f aca="false">'DCF Base Case'!$B$2*(1+B1982)^2*$I1982-'DCF Base Case'!$B$2*(1+B1982)^1*B1982*'DCF Base Case'!$B$4</f>
        <v>17.2295652856953</v>
      </c>
      <c r="L1982" s="24" t="n">
        <f aca="false">'DCF Base Case'!$B$2*(1+B1982)^3*$I1982-'DCF Base Case'!$B$2*(1+B1982)^2*B1982*'DCF Base Case'!$B$4</f>
        <v>18.7096594439378</v>
      </c>
      <c r="M1982" s="24" t="n">
        <f aca="false">'DCF Base Case'!$B$2*(1+B1982)^4*$I1982-'DCF Base Case'!$B$2*(1+B1982)^3*B1982*'DCF Base Case'!$B$4</f>
        <v>20.3169000902628</v>
      </c>
      <c r="N1982" s="24" t="n">
        <f aca="false">'DCF Base Case'!$B$2*(1+B1982)^5*$I1982-'DCF Base Case'!$B$2*(1+B1982)^4*B1982*'DCF Base Case'!$B$4</f>
        <v>22.0622096577748</v>
      </c>
      <c r="O1982" s="24" t="n">
        <f aca="false">J1982/(1+H1982)^1+K1982/(1+H1982)^2+L1982/(1+H1982)^3+M1982/(1+H1982)^4+N1982/(1+H1982)^5</f>
        <v>70.7414364077671</v>
      </c>
      <c r="P1982" s="24" t="n">
        <f aca="false">N1982*(1+F1982)/(H1982-F1982)</f>
        <v>306.115951613019</v>
      </c>
      <c r="Q1982" s="24" t="n">
        <f aca="false">O1982+P1982/(1+H1982)^5</f>
        <v>262.843449191572</v>
      </c>
      <c r="R1982" s="24" t="n">
        <f aca="false">Q1982-'DCF Base Case'!$B$5</f>
        <v>77.8434491915717</v>
      </c>
      <c r="S1982" s="32" t="n">
        <f aca="false">R1982/'DCF Base Case'!$B$6</f>
        <v>3.11373796766287</v>
      </c>
    </row>
    <row r="1983" customFormat="false" ht="15" hidden="false" customHeight="true" outlineLevel="0" collapsed="false">
      <c r="A1983" s="6" t="n">
        <v>1982</v>
      </c>
      <c r="B1983" s="30" t="n">
        <v>0.0946924841568909</v>
      </c>
      <c r="C1983" s="30" t="n">
        <v>0.397843309238995</v>
      </c>
      <c r="D1983" s="30" t="n">
        <v>0.0857978085789957</v>
      </c>
      <c r="E1983" s="30" t="n">
        <v>0.336792473509993</v>
      </c>
      <c r="F1983" s="30" t="n">
        <v>0.0179639266720084</v>
      </c>
      <c r="G1983" s="30" t="n">
        <v>0.156031652643002</v>
      </c>
      <c r="H1983" s="31" t="n">
        <f aca="false">MAX(D1983,F1983+0.015)</f>
        <v>0.0857978085789957</v>
      </c>
      <c r="I1983" s="25" t="n">
        <f aca="false">(C1983-'DCF Base Case'!$B$3)*(1-E1983)+'DCF Base Case'!$B$3-G1983</f>
        <v>0.15160404596429</v>
      </c>
      <c r="J1983" s="24" t="n">
        <f aca="false">'DCF Base Case'!$B$2*(1+B1983)^1*$I1983-'DCF Base Case'!$B$2*(1+B1983)^0*B1983*'DCF Base Case'!$B$4</f>
        <v>23.6522600982257</v>
      </c>
      <c r="K1983" s="24" t="n">
        <f aca="false">'DCF Base Case'!$B$2*(1+B1983)^2*$I1983-'DCF Base Case'!$B$2*(1+B1983)^1*B1983*'DCF Base Case'!$B$4</f>
        <v>25.8919513628516</v>
      </c>
      <c r="L1983" s="24" t="n">
        <f aca="false">'DCF Base Case'!$B$2*(1+B1983)^3*$I1983-'DCF Base Case'!$B$2*(1+B1983)^2*B1983*'DCF Base Case'!$B$4</f>
        <v>28.3437245570694</v>
      </c>
      <c r="M1983" s="24" t="n">
        <f aca="false">'DCF Base Case'!$B$2*(1+B1983)^4*$I1983-'DCF Base Case'!$B$2*(1+B1983)^3*B1983*'DCF Base Case'!$B$4</f>
        <v>31.027662245637</v>
      </c>
      <c r="N1983" s="24" t="n">
        <f aca="false">'DCF Base Case'!$B$2*(1+B1983)^5*$I1983-'DCF Base Case'!$B$2*(1+B1983)^4*B1983*'DCF Base Case'!$B$4</f>
        <v>33.9657486612573</v>
      </c>
      <c r="O1983" s="24" t="n">
        <f aca="false">J1983/(1+H1983)^1+K1983/(1+H1983)^2+L1983/(1+H1983)^3+M1983/(1+H1983)^4+N1983/(1+H1983)^5</f>
        <v>110.715632966989</v>
      </c>
      <c r="P1983" s="24" t="n">
        <f aca="false">N1983*(1+F1983)/(H1983-F1983)</f>
        <v>509.71440683548</v>
      </c>
      <c r="Q1983" s="24" t="n">
        <f aca="false">O1983+P1983/(1+H1983)^5</f>
        <v>448.455326435682</v>
      </c>
      <c r="R1983" s="24" t="n">
        <f aca="false">Q1983-'DCF Base Case'!$B$5</f>
        <v>263.455326435682</v>
      </c>
      <c r="S1983" s="32" t="n">
        <f aca="false">R1983/'DCF Base Case'!$B$6</f>
        <v>10.5382130574273</v>
      </c>
    </row>
    <row r="1984" customFormat="false" ht="15" hidden="false" customHeight="true" outlineLevel="0" collapsed="false">
      <c r="A1984" s="6" t="n">
        <v>1983</v>
      </c>
      <c r="B1984" s="30" t="n">
        <v>0.114107787712331</v>
      </c>
      <c r="C1984" s="30" t="n">
        <v>0.443446260999852</v>
      </c>
      <c r="D1984" s="30" t="n">
        <v>0.0756730801364772</v>
      </c>
      <c r="E1984" s="30" t="n">
        <v>0.272727159544902</v>
      </c>
      <c r="F1984" s="30" t="n">
        <v>0.0173400766293847</v>
      </c>
      <c r="G1984" s="30" t="n">
        <v>0.16677103526715</v>
      </c>
      <c r="H1984" s="31" t="n">
        <f aca="false">MAX(D1984,F1984+0.015)</f>
        <v>0.0756730801364772</v>
      </c>
      <c r="I1984" s="25" t="n">
        <f aca="false">(C1984-'DCF Base Case'!$B$3)*(1-E1984)+'DCF Base Case'!$B$3-G1984</f>
        <v>0.191189917300242</v>
      </c>
      <c r="J1984" s="24" t="n">
        <f aca="false">'DCF Base Case'!$B$2*(1+B1984)^1*$I1984-'DCF Base Case'!$B$2*(1+B1984)^0*B1984*'DCF Base Case'!$B$4</f>
        <v>30.3895266139115</v>
      </c>
      <c r="K1984" s="24" t="n">
        <f aca="false">'DCF Base Case'!$B$2*(1+B1984)^2*$I1984-'DCF Base Case'!$B$2*(1+B1984)^1*B1984*'DCF Base Case'!$B$4</f>
        <v>33.8572082654499</v>
      </c>
      <c r="L1984" s="24" t="n">
        <f aca="false">'DCF Base Case'!$B$2*(1+B1984)^3*$I1984-'DCF Base Case'!$B$2*(1+B1984)^2*B1984*'DCF Base Case'!$B$4</f>
        <v>37.720579398736</v>
      </c>
      <c r="M1984" s="24" t="n">
        <f aca="false">'DCF Base Case'!$B$2*(1+B1984)^4*$I1984-'DCF Base Case'!$B$2*(1+B1984)^3*B1984*'DCF Base Case'!$B$4</f>
        <v>42.0247912651532</v>
      </c>
      <c r="N1984" s="24" t="n">
        <f aca="false">'DCF Base Case'!$B$2*(1+B1984)^5*$I1984-'DCF Base Case'!$B$2*(1+B1984)^4*B1984*'DCF Base Case'!$B$4</f>
        <v>46.8201472254923</v>
      </c>
      <c r="O1984" s="24" t="n">
        <f aca="false">J1984/(1+H1984)^1+K1984/(1+H1984)^2+L1984/(1+H1984)^3+M1984/(1+H1984)^4+N1984/(1+H1984)^5</f>
        <v>151.719916208629</v>
      </c>
      <c r="P1984" s="24" t="n">
        <f aca="false">N1984*(1+F1984)/(H1984-F1984)</f>
        <v>816.553396918607</v>
      </c>
      <c r="Q1984" s="24" t="n">
        <f aca="false">O1984+P1984/(1+H1984)^5</f>
        <v>718.719956096394</v>
      </c>
      <c r="R1984" s="24" t="n">
        <f aca="false">Q1984-'DCF Base Case'!$B$5</f>
        <v>533.719956096394</v>
      </c>
      <c r="S1984" s="32" t="n">
        <f aca="false">R1984/'DCF Base Case'!$B$6</f>
        <v>21.3487982438557</v>
      </c>
    </row>
    <row r="1985" customFormat="false" ht="15" hidden="false" customHeight="true" outlineLevel="0" collapsed="false">
      <c r="A1985" s="6" t="n">
        <v>1984</v>
      </c>
      <c r="B1985" s="30" t="n">
        <v>0.114032275822747</v>
      </c>
      <c r="C1985" s="30" t="n">
        <v>0.40627224501536</v>
      </c>
      <c r="D1985" s="30" t="n">
        <v>0.0969863129346063</v>
      </c>
      <c r="E1985" s="30" t="n">
        <v>0.282552125150432</v>
      </c>
      <c r="F1985" s="30" t="n">
        <v>0.026354118294128</v>
      </c>
      <c r="G1985" s="30" t="n">
        <v>0.172570428301149</v>
      </c>
      <c r="H1985" s="31" t="n">
        <f aca="false">MAX(D1985,F1985+0.015)</f>
        <v>0.0969863129346063</v>
      </c>
      <c r="I1985" s="25" t="n">
        <f aca="false">(C1985-'DCF Base Case'!$B$3)*(1-E1985)+'DCF Base Case'!$B$3-G1985</f>
        <v>0.15564050676504</v>
      </c>
      <c r="J1985" s="24" t="n">
        <f aca="false">'DCF Base Case'!$B$2*(1+B1985)^1*$I1985-'DCF Base Case'!$B$2*(1+B1985)^0*B1985*'DCF Base Case'!$B$4</f>
        <v>24.6452990546123</v>
      </c>
      <c r="K1985" s="24" t="n">
        <f aca="false">'DCF Base Case'!$B$2*(1+B1985)^2*$I1985-'DCF Base Case'!$B$2*(1+B1985)^1*B1985*'DCF Base Case'!$B$4</f>
        <v>27.4556585941419</v>
      </c>
      <c r="L1985" s="24" t="n">
        <f aca="false">'DCF Base Case'!$B$2*(1+B1985)^3*$I1985-'DCF Base Case'!$B$2*(1+B1985)^2*B1985*'DCF Base Case'!$B$4</f>
        <v>30.5864898278442</v>
      </c>
      <c r="M1985" s="24" t="n">
        <f aca="false">'DCF Base Case'!$B$2*(1+B1985)^4*$I1985-'DCF Base Case'!$B$2*(1+B1985)^3*B1985*'DCF Base Case'!$B$4</f>
        <v>34.0743368723426</v>
      </c>
      <c r="N1985" s="24" t="n">
        <f aca="false">'DCF Base Case'!$B$2*(1+B1985)^5*$I1985-'DCF Base Case'!$B$2*(1+B1985)^4*B1985*'DCF Base Case'!$B$4</f>
        <v>37.9599110530468</v>
      </c>
      <c r="O1985" s="24" t="n">
        <f aca="false">J1985/(1+H1985)^1+K1985/(1+H1985)^2+L1985/(1+H1985)^3+M1985/(1+H1985)^4+N1985/(1+H1985)^5</f>
        <v>115.877540455311</v>
      </c>
      <c r="P1985" s="24" t="n">
        <f aca="false">N1985*(1+F1985)/(H1985-F1985)</f>
        <v>551.594230331982</v>
      </c>
      <c r="Q1985" s="24" t="n">
        <f aca="false">O1985+P1985/(1+H1985)^5</f>
        <v>463.104686028099</v>
      </c>
      <c r="R1985" s="24" t="n">
        <f aca="false">Q1985-'DCF Base Case'!$B$5</f>
        <v>278.104686028099</v>
      </c>
      <c r="S1985" s="32" t="n">
        <f aca="false">R1985/'DCF Base Case'!$B$6</f>
        <v>11.1241874411239</v>
      </c>
    </row>
    <row r="1986" customFormat="false" ht="15" hidden="false" customHeight="true" outlineLevel="0" collapsed="false">
      <c r="A1986" s="6" t="n">
        <v>1985</v>
      </c>
      <c r="B1986" s="30" t="n">
        <v>0.0880310072192508</v>
      </c>
      <c r="C1986" s="30" t="n">
        <v>0.424958579790004</v>
      </c>
      <c r="D1986" s="30" t="n">
        <v>0.0812913913832407</v>
      </c>
      <c r="E1986" s="30" t="n">
        <v>0.248937069681585</v>
      </c>
      <c r="F1986" s="30" t="n">
        <v>0.0184183458529089</v>
      </c>
      <c r="G1986" s="30" t="n">
        <v>0.159943062769895</v>
      </c>
      <c r="H1986" s="31" t="n">
        <f aca="false">MAX(D1986,F1986+0.015)</f>
        <v>0.0812913913832407</v>
      </c>
      <c r="I1986" s="25" t="n">
        <f aca="false">(C1986-'DCF Base Case'!$B$3)*(1-E1986)+'DCF Base Case'!$B$3-G1986</f>
        <v>0.191589392489743</v>
      </c>
      <c r="J1986" s="24" t="n">
        <f aca="false">'DCF Base Case'!$B$2*(1+B1986)^1*$I1986-'DCF Base Case'!$B$2*(1+B1986)^0*B1986*'DCF Base Case'!$B$4</f>
        <v>29.8430690726515</v>
      </c>
      <c r="K1986" s="24" t="n">
        <f aca="false">'DCF Base Case'!$B$2*(1+B1986)^2*$I1986-'DCF Base Case'!$B$2*(1+B1986)^1*B1986*'DCF Base Case'!$B$4</f>
        <v>32.4701845016307</v>
      </c>
      <c r="L1986" s="24" t="n">
        <f aca="false">'DCF Base Case'!$B$2*(1+B1986)^3*$I1986-'DCF Base Case'!$B$2*(1+B1986)^2*B1986*'DCF Base Case'!$B$4</f>
        <v>35.3285675479042</v>
      </c>
      <c r="M1986" s="24" t="n">
        <f aca="false">'DCF Base Case'!$B$2*(1+B1986)^4*$I1986-'DCF Base Case'!$B$2*(1+B1986)^3*B1986*'DCF Base Case'!$B$4</f>
        <v>38.4385769327595</v>
      </c>
      <c r="N1986" s="24" t="n">
        <f aca="false">'DCF Base Case'!$B$2*(1+B1986)^5*$I1986-'DCF Base Case'!$B$2*(1+B1986)^4*B1986*'DCF Base Case'!$B$4</f>
        <v>41.822363576225</v>
      </c>
      <c r="O1986" s="24" t="n">
        <f aca="false">J1986/(1+H1986)^1+K1986/(1+H1986)^2+L1986/(1+H1986)^3+M1986/(1+H1986)^4+N1986/(1+H1986)^5</f>
        <v>139.728360778341</v>
      </c>
      <c r="P1986" s="24" t="n">
        <f aca="false">N1986*(1+F1986)/(H1986-F1986)</f>
        <v>677.439146993604</v>
      </c>
      <c r="Q1986" s="24" t="n">
        <f aca="false">O1986+P1986/(1+H1986)^5</f>
        <v>598.03543669734</v>
      </c>
      <c r="R1986" s="24" t="n">
        <f aca="false">Q1986-'DCF Base Case'!$B$5</f>
        <v>413.03543669734</v>
      </c>
      <c r="S1986" s="32" t="n">
        <f aca="false">R1986/'DCF Base Case'!$B$6</f>
        <v>16.5214174678936</v>
      </c>
    </row>
    <row r="1987" customFormat="false" ht="15" hidden="false" customHeight="true" outlineLevel="0" collapsed="false">
      <c r="A1987" s="6" t="n">
        <v>1986</v>
      </c>
      <c r="B1987" s="30" t="n">
        <v>0.056681830807288</v>
      </c>
      <c r="C1987" s="30" t="n">
        <v>0.399930971044292</v>
      </c>
      <c r="D1987" s="30" t="n">
        <v>0.0622617875292966</v>
      </c>
      <c r="E1987" s="30" t="n">
        <v>0.270652493130996</v>
      </c>
      <c r="F1987" s="30" t="n">
        <v>0.0202202295738111</v>
      </c>
      <c r="G1987" s="30" t="n">
        <v>0.167386424840995</v>
      </c>
      <c r="H1987" s="31" t="n">
        <f aca="false">MAX(D1987,F1987+0.015)</f>
        <v>0.0622617875292966</v>
      </c>
      <c r="I1987" s="25" t="n">
        <f aca="false">(C1987-'DCF Base Case'!$B$3)*(1-E1987)+'DCF Base Case'!$B$3-G1987</f>
        <v>0.159487055916889</v>
      </c>
      <c r="J1987" s="24" t="n">
        <f aca="false">'DCF Base Case'!$B$2*(1+B1987)^1*$I1987-'DCF Base Case'!$B$2*(1+B1987)^0*B1987*'DCF Base Case'!$B$4</f>
        <v>24.189859800255</v>
      </c>
      <c r="K1987" s="24" t="n">
        <f aca="false">'DCF Base Case'!$B$2*(1+B1987)^2*$I1987-'DCF Base Case'!$B$2*(1+B1987)^1*B1987*'DCF Base Case'!$B$4</f>
        <v>25.5609853407051</v>
      </c>
      <c r="L1987" s="24" t="n">
        <f aca="false">'DCF Base Case'!$B$2*(1+B1987)^3*$I1987-'DCF Base Case'!$B$2*(1+B1987)^2*B1987*'DCF Base Case'!$B$4</f>
        <v>27.0098287870545</v>
      </c>
      <c r="M1987" s="24" t="n">
        <f aca="false">'DCF Base Case'!$B$2*(1+B1987)^4*$I1987-'DCF Base Case'!$B$2*(1+B1987)^3*B1987*'DCF Base Case'!$B$4</f>
        <v>28.5407953324962</v>
      </c>
      <c r="N1987" s="24" t="n">
        <f aca="false">'DCF Base Case'!$B$2*(1+B1987)^5*$I1987-'DCF Base Case'!$B$2*(1+B1987)^4*B1987*'DCF Base Case'!$B$4</f>
        <v>30.1585398646381</v>
      </c>
      <c r="O1987" s="24" t="n">
        <f aca="false">J1987/(1+H1987)^1+K1987/(1+H1987)^2+L1987/(1+H1987)^3+M1987/(1+H1987)^4+N1987/(1+H1987)^5</f>
        <v>112.670236325734</v>
      </c>
      <c r="P1987" s="24" t="n">
        <f aca="false">N1987*(1+F1987)/(H1987-F1987)</f>
        <v>731.855667596578</v>
      </c>
      <c r="Q1987" s="24" t="n">
        <f aca="false">O1987+P1987/(1+H1987)^5</f>
        <v>653.757916116426</v>
      </c>
      <c r="R1987" s="24" t="n">
        <f aca="false">Q1987-'DCF Base Case'!$B$5</f>
        <v>468.757916116426</v>
      </c>
      <c r="S1987" s="32" t="n">
        <f aca="false">R1987/'DCF Base Case'!$B$6</f>
        <v>18.750316644657</v>
      </c>
    </row>
    <row r="1988" customFormat="false" ht="15" hidden="false" customHeight="true" outlineLevel="0" collapsed="false">
      <c r="A1988" s="6" t="n">
        <v>1987</v>
      </c>
      <c r="B1988" s="30" t="n">
        <v>0.081262016237192</v>
      </c>
      <c r="C1988" s="30" t="n">
        <v>0.409681825945011</v>
      </c>
      <c r="D1988" s="30" t="n">
        <v>0.0763752911877439</v>
      </c>
      <c r="E1988" s="30" t="n">
        <v>0.27994801444316</v>
      </c>
      <c r="F1988" s="30" t="n">
        <v>0.0195683340931468</v>
      </c>
      <c r="G1988" s="30" t="n">
        <v>0.147128849396672</v>
      </c>
      <c r="H1988" s="31" t="n">
        <f aca="false">MAX(D1988,F1988+0.015)</f>
        <v>0.0763752911877439</v>
      </c>
      <c r="I1988" s="25" t="n">
        <f aca="false">(C1988-'DCF Base Case'!$B$3)*(1-E1988)+'DCF Base Case'!$B$3-G1988</f>
        <v>0.184256604699196</v>
      </c>
      <c r="J1988" s="24" t="n">
        <f aca="false">'DCF Base Case'!$B$2*(1+B1988)^1*$I1988-'DCF Base Case'!$B$2*(1+B1988)^0*B1988*'DCF Base Case'!$B$4</f>
        <v>28.5348120751686</v>
      </c>
      <c r="K1988" s="24" t="n">
        <f aca="false">'DCF Base Case'!$B$2*(1+B1988)^2*$I1988-'DCF Base Case'!$B$2*(1+B1988)^1*B1988*'DCF Base Case'!$B$4</f>
        <v>30.8536084373462</v>
      </c>
      <c r="L1988" s="24" t="n">
        <f aca="false">'DCF Base Case'!$B$2*(1+B1988)^3*$I1988-'DCF Base Case'!$B$2*(1+B1988)^2*B1988*'DCF Base Case'!$B$4</f>
        <v>33.3608348671578</v>
      </c>
      <c r="M1988" s="24" t="n">
        <f aca="false">'DCF Base Case'!$B$2*(1+B1988)^4*$I1988-'DCF Base Case'!$B$2*(1+B1988)^3*B1988*'DCF Base Case'!$B$4</f>
        <v>36.071803571819</v>
      </c>
      <c r="N1988" s="24" t="n">
        <f aca="false">'DCF Base Case'!$B$2*(1+B1988)^5*$I1988-'DCF Base Case'!$B$2*(1+B1988)^4*B1988*'DCF Base Case'!$B$4</f>
        <v>39.003071059377</v>
      </c>
      <c r="O1988" s="24" t="n">
        <f aca="false">J1988/(1+H1988)^1+K1988/(1+H1988)^2+L1988/(1+H1988)^3+M1988/(1+H1988)^4+N1988/(1+H1988)^5</f>
        <v>133.759509202068</v>
      </c>
      <c r="P1988" s="24" t="n">
        <f aca="false">N1988*(1+F1988)/(H1988-F1988)</f>
        <v>700.025106402113</v>
      </c>
      <c r="Q1988" s="24" t="n">
        <f aca="false">O1988+P1988/(1+H1988)^5</f>
        <v>618.260888360349</v>
      </c>
      <c r="R1988" s="24" t="n">
        <f aca="false">Q1988-'DCF Base Case'!$B$5</f>
        <v>433.260888360349</v>
      </c>
      <c r="S1988" s="32" t="n">
        <f aca="false">R1988/'DCF Base Case'!$B$6</f>
        <v>17.330435534414</v>
      </c>
    </row>
    <row r="1989" customFormat="false" ht="15" hidden="false" customHeight="true" outlineLevel="0" collapsed="false">
      <c r="A1989" s="6" t="n">
        <v>1988</v>
      </c>
      <c r="B1989" s="30" t="n">
        <v>0.0955891098585707</v>
      </c>
      <c r="C1989" s="30" t="n">
        <v>0.42166194489493</v>
      </c>
      <c r="D1989" s="30" t="n">
        <v>0.0831716909506082</v>
      </c>
      <c r="E1989" s="30" t="n">
        <v>0.341247538653016</v>
      </c>
      <c r="F1989" s="30" t="n">
        <v>0.0188152817715012</v>
      </c>
      <c r="G1989" s="30" t="n">
        <v>0.159498482614013</v>
      </c>
      <c r="H1989" s="31" t="n">
        <f aca="false">MAX(D1989,F1989+0.015)</f>
        <v>0.0831716909506082</v>
      </c>
      <c r="I1989" s="25" t="n">
        <f aca="false">(C1989-'DCF Base Case'!$B$3)*(1-E1989)+'DCF Base Case'!$B$3-G1989</f>
        <v>0.162634541466771</v>
      </c>
      <c r="J1989" s="24" t="n">
        <f aca="false">'DCF Base Case'!$B$2*(1+B1989)^1*$I1989-'DCF Base Case'!$B$2*(1+B1989)^0*B1989*'DCF Base Case'!$B$4</f>
        <v>25.4203790872014</v>
      </c>
      <c r="K1989" s="24" t="n">
        <f aca="false">'DCF Base Case'!$B$2*(1+B1989)^2*$I1989-'DCF Base Case'!$B$2*(1+B1989)^1*B1989*'DCF Base Case'!$B$4</f>
        <v>27.8502904964144</v>
      </c>
      <c r="L1989" s="24" t="n">
        <f aca="false">'DCF Base Case'!$B$2*(1+B1989)^3*$I1989-'DCF Base Case'!$B$2*(1+B1989)^2*B1989*'DCF Base Case'!$B$4</f>
        <v>30.5124749742693</v>
      </c>
      <c r="M1989" s="24" t="n">
        <f aca="false">'DCF Base Case'!$B$2*(1+B1989)^4*$I1989-'DCF Base Case'!$B$2*(1+B1989)^3*B1989*'DCF Base Case'!$B$4</f>
        <v>33.4291352966416</v>
      </c>
      <c r="N1989" s="24" t="n">
        <f aca="false">'DCF Base Case'!$B$2*(1+B1989)^5*$I1989-'DCF Base Case'!$B$2*(1+B1989)^4*B1989*'DCF Base Case'!$B$4</f>
        <v>36.6245965829893</v>
      </c>
      <c r="O1989" s="24" t="n">
        <f aca="false">J1989/(1+H1989)^1+K1989/(1+H1989)^2+L1989/(1+H1989)^3+M1989/(1+H1989)^4+N1989/(1+H1989)^5</f>
        <v>120.063766699212</v>
      </c>
      <c r="P1989" s="24" t="n">
        <f aca="false">N1989*(1+F1989)/(H1989-F1989)</f>
        <v>579.797710335578</v>
      </c>
      <c r="Q1989" s="24" t="n">
        <f aca="false">O1989+P1989/(1+H1989)^5</f>
        <v>508.920828801136</v>
      </c>
      <c r="R1989" s="24" t="n">
        <f aca="false">Q1989-'DCF Base Case'!$B$5</f>
        <v>323.920828801136</v>
      </c>
      <c r="S1989" s="32" t="n">
        <f aca="false">R1989/'DCF Base Case'!$B$6</f>
        <v>12.9568331520454</v>
      </c>
    </row>
    <row r="1990" customFormat="false" ht="15" hidden="false" customHeight="true" outlineLevel="0" collapsed="false">
      <c r="A1990" s="6" t="n">
        <v>1989</v>
      </c>
      <c r="B1990" s="30" t="n">
        <v>0.0810103068360876</v>
      </c>
      <c r="C1990" s="30" t="n">
        <v>0.389513312999085</v>
      </c>
      <c r="D1990" s="30" t="n">
        <v>0.0925448709582774</v>
      </c>
      <c r="E1990" s="30" t="n">
        <v>0.263618051961838</v>
      </c>
      <c r="F1990" s="30" t="n">
        <v>0.0170626581788514</v>
      </c>
      <c r="G1990" s="30" t="n">
        <v>0.154363070048996</v>
      </c>
      <c r="H1990" s="31" t="n">
        <f aca="false">MAX(D1990,F1990+0.015)</f>
        <v>0.0925448709582774</v>
      </c>
      <c r="I1990" s="25" t="n">
        <f aca="false">(C1990-'DCF Base Case'!$B$3)*(1-E1990)+'DCF Base Case'!$B$3-G1990</f>
        <v>0.166737848919107</v>
      </c>
      <c r="J1990" s="24" t="n">
        <f aca="false">'DCF Base Case'!$B$2*(1+B1990)^1*$I1990-'DCF Base Case'!$B$2*(1+B1990)^0*B1990*'DCF Base Case'!$B$4</f>
        <v>25.7831784823419</v>
      </c>
      <c r="K1990" s="24" t="n">
        <f aca="false">'DCF Base Case'!$B$2*(1+B1990)^2*$I1990-'DCF Base Case'!$B$2*(1+B1990)^1*B1990*'DCF Base Case'!$B$4</f>
        <v>27.871881682406</v>
      </c>
      <c r="L1990" s="24" t="n">
        <f aca="false">'DCF Base Case'!$B$2*(1+B1990)^3*$I1990-'DCF Base Case'!$B$2*(1+B1990)^2*B1990*'DCF Base Case'!$B$4</f>
        <v>30.1297913695969</v>
      </c>
      <c r="M1990" s="24" t="n">
        <f aca="false">'DCF Base Case'!$B$2*(1+B1990)^4*$I1990-'DCF Base Case'!$B$2*(1+B1990)^3*B1990*'DCF Base Case'!$B$4</f>
        <v>32.5706150133552</v>
      </c>
      <c r="N1990" s="24" t="n">
        <f aca="false">'DCF Base Case'!$B$2*(1+B1990)^5*$I1990-'DCF Base Case'!$B$2*(1+B1990)^4*B1990*'DCF Base Case'!$B$4</f>
        <v>35.2091705294272</v>
      </c>
      <c r="O1990" s="24" t="n">
        <f aca="false">J1990/(1+H1990)^1+K1990/(1+H1990)^2+L1990/(1+H1990)^3+M1990/(1+H1990)^4+N1990/(1+H1990)^5</f>
        <v>115.530646341961</v>
      </c>
      <c r="P1990" s="24" t="n">
        <f aca="false">N1990*(1+F1990)/(H1990-F1990)</f>
        <v>474.415511314903</v>
      </c>
      <c r="Q1990" s="24" t="n">
        <f aca="false">O1990+P1990/(1+H1990)^5</f>
        <v>420.293805941599</v>
      </c>
      <c r="R1990" s="24" t="n">
        <f aca="false">Q1990-'DCF Base Case'!$B$5</f>
        <v>235.293805941599</v>
      </c>
      <c r="S1990" s="32" t="n">
        <f aca="false">R1990/'DCF Base Case'!$B$6</f>
        <v>9.41175223766396</v>
      </c>
    </row>
    <row r="1991" customFormat="false" ht="15" hidden="false" customHeight="true" outlineLevel="0" collapsed="false">
      <c r="A1991" s="6" t="n">
        <v>1990</v>
      </c>
      <c r="B1991" s="30" t="n">
        <v>0.0684891126902983</v>
      </c>
      <c r="C1991" s="30" t="n">
        <v>0.371891778039187</v>
      </c>
      <c r="D1991" s="30" t="n">
        <v>0.0799076614612489</v>
      </c>
      <c r="E1991" s="30" t="n">
        <v>0.306488189253165</v>
      </c>
      <c r="F1991" s="30" t="n">
        <v>0.0200584128535726</v>
      </c>
      <c r="G1991" s="30" t="n">
        <v>0.201135430237613</v>
      </c>
      <c r="H1991" s="31" t="n">
        <f aca="false">MAX(D1991,F1991+0.015)</f>
        <v>0.0799076614612489</v>
      </c>
      <c r="I1991" s="25" t="n">
        <f aca="false">(C1991-'DCF Base Case'!$B$3)*(1-E1991)+'DCF Base Case'!$B$3-G1991</f>
        <v>0.0966193747551151</v>
      </c>
      <c r="J1991" s="24" t="n">
        <f aca="false">'DCF Base Case'!$B$2*(1+B1991)^1*$I1991-'DCF Base Case'!$B$2*(1+B1991)^0*B1991*'DCF Base Case'!$B$4</f>
        <v>14.6714011099109</v>
      </c>
      <c r="K1991" s="24" t="n">
        <f aca="false">'DCF Base Case'!$B$2*(1+B1991)^2*$I1991-'DCF Base Case'!$B$2*(1+B1991)^1*B1991*'DCF Base Case'!$B$4</f>
        <v>15.6762323538522</v>
      </c>
      <c r="L1991" s="24" t="n">
        <f aca="false">'DCF Base Case'!$B$2*(1+B1991)^3*$I1991-'DCF Base Case'!$B$2*(1+B1991)^2*B1991*'DCF Base Case'!$B$4</f>
        <v>16.7498835980945</v>
      </c>
      <c r="M1991" s="24" t="n">
        <f aca="false">'DCF Base Case'!$B$2*(1+B1991)^4*$I1991-'DCF Base Case'!$B$2*(1+B1991)^3*B1991*'DCF Base Case'!$B$4</f>
        <v>17.8970682633937</v>
      </c>
      <c r="N1991" s="24" t="n">
        <f aca="false">'DCF Base Case'!$B$2*(1+B1991)^5*$I1991-'DCF Base Case'!$B$2*(1+B1991)^4*B1991*'DCF Base Case'!$B$4</f>
        <v>19.1228225885113</v>
      </c>
      <c r="O1991" s="24" t="n">
        <f aca="false">J1991/(1+H1991)^1+K1991/(1+H1991)^2+L1991/(1+H1991)^3+M1991/(1+H1991)^4+N1991/(1+H1991)^5</f>
        <v>66.5075581443458</v>
      </c>
      <c r="P1991" s="24" t="n">
        <f aca="false">N1991*(1+F1991)/(H1991-F1991)</f>
        <v>325.925496354776</v>
      </c>
      <c r="Q1991" s="24" t="n">
        <f aca="false">O1991+P1991/(1+H1991)^5</f>
        <v>288.421825075558</v>
      </c>
      <c r="R1991" s="24" t="n">
        <f aca="false">Q1991-'DCF Base Case'!$B$5</f>
        <v>103.421825075558</v>
      </c>
      <c r="S1991" s="32" t="n">
        <f aca="false">R1991/'DCF Base Case'!$B$6</f>
        <v>4.13687300302234</v>
      </c>
    </row>
    <row r="1992" customFormat="false" ht="15" hidden="false" customHeight="true" outlineLevel="0" collapsed="false">
      <c r="A1992" s="6" t="n">
        <v>1991</v>
      </c>
      <c r="B1992" s="30" t="n">
        <v>0.106359289808274</v>
      </c>
      <c r="C1992" s="30" t="n">
        <v>0.429964878693873</v>
      </c>
      <c r="D1992" s="30" t="n">
        <v>0.10570913924918</v>
      </c>
      <c r="E1992" s="30" t="n">
        <v>0.276972082898595</v>
      </c>
      <c r="F1992" s="30" t="n">
        <v>0.0195864854625308</v>
      </c>
      <c r="G1992" s="30" t="n">
        <v>0.164977811257567</v>
      </c>
      <c r="H1992" s="31" t="n">
        <f aca="false">MAX(D1992,F1992+0.015)</f>
        <v>0.10570913924918</v>
      </c>
      <c r="I1992" s="25" t="n">
        <f aca="false">(C1992-'DCF Base Case'!$B$3)*(1-E1992)+'DCF Base Case'!$B$3-G1992</f>
        <v>0.18190517018804</v>
      </c>
      <c r="J1992" s="24" t="n">
        <f aca="false">'DCF Base Case'!$B$2*(1+B1992)^1*$I1992-'DCF Base Case'!$B$2*(1+B1992)^0*B1992*'DCF Base Case'!$B$4</f>
        <v>28.7189459500794</v>
      </c>
      <c r="K1992" s="24" t="n">
        <f aca="false">'DCF Base Case'!$B$2*(1+B1992)^2*$I1992-'DCF Base Case'!$B$2*(1+B1992)^1*B1992*'DCF Base Case'!$B$4</f>
        <v>31.7734726453721</v>
      </c>
      <c r="L1992" s="24" t="n">
        <f aca="false">'DCF Base Case'!$B$2*(1+B1992)^3*$I1992-'DCF Base Case'!$B$2*(1+B1992)^2*B1992*'DCF Base Case'!$B$4</f>
        <v>35.1528766306765</v>
      </c>
      <c r="M1992" s="24" t="n">
        <f aca="false">'DCF Base Case'!$B$2*(1+B1992)^4*$I1992-'DCF Base Case'!$B$2*(1+B1992)^3*B1992*'DCF Base Case'!$B$4</f>
        <v>38.8917116238331</v>
      </c>
      <c r="N1992" s="24" t="n">
        <f aca="false">'DCF Base Case'!$B$2*(1+B1992)^5*$I1992-'DCF Base Case'!$B$2*(1+B1992)^4*B1992*'DCF Base Case'!$B$4</f>
        <v>43.0282064515722</v>
      </c>
      <c r="O1992" s="24" t="n">
        <f aca="false">J1992/(1+H1992)^1+K1992/(1+H1992)^2+L1992/(1+H1992)^3+M1992/(1+H1992)^4+N1992/(1+H1992)^5</f>
        <v>130.019450599224</v>
      </c>
      <c r="P1992" s="24" t="n">
        <f aca="false">N1992*(1+F1992)/(H1992-F1992)</f>
        <v>509.401137363879</v>
      </c>
      <c r="Q1992" s="24" t="n">
        <f aca="false">O1992+P1992/(1+H1992)^5</f>
        <v>438.23561668658</v>
      </c>
      <c r="R1992" s="24" t="n">
        <f aca="false">Q1992-'DCF Base Case'!$B$5</f>
        <v>253.23561668658</v>
      </c>
      <c r="S1992" s="32" t="n">
        <f aca="false">R1992/'DCF Base Case'!$B$6</f>
        <v>10.1294246674632</v>
      </c>
    </row>
    <row r="1993" customFormat="false" ht="15" hidden="false" customHeight="true" outlineLevel="0" collapsed="false">
      <c r="A1993" s="6" t="n">
        <v>1992</v>
      </c>
      <c r="B1993" s="30" t="n">
        <v>0.12249000236826</v>
      </c>
      <c r="C1993" s="30" t="n">
        <v>0.425726130643932</v>
      </c>
      <c r="D1993" s="30" t="n">
        <v>0.0778689488851519</v>
      </c>
      <c r="E1993" s="30" t="n">
        <v>0.297503209768031</v>
      </c>
      <c r="F1993" s="30" t="n">
        <v>0.0160212756995454</v>
      </c>
      <c r="G1993" s="30" t="n">
        <v>0.177796662722866</v>
      </c>
      <c r="H1993" s="31" t="n">
        <f aca="false">MAX(D1993,F1993+0.015)</f>
        <v>0.0778689488851519</v>
      </c>
      <c r="I1993" s="25" t="n">
        <f aca="false">(C1993-'DCF Base Case'!$B$3)*(1-E1993)+'DCF Base Case'!$B$3-G1993</f>
        <v>0.159949994842216</v>
      </c>
      <c r="J1993" s="24" t="n">
        <f aca="false">'DCF Base Case'!$B$2*(1+B1993)^1*$I1993-'DCF Base Case'!$B$2*(1+B1993)^0*B1993*'DCF Base Case'!$B$4</f>
        <v>25.5007976526382</v>
      </c>
      <c r="K1993" s="24" t="n">
        <f aca="false">'DCF Base Case'!$B$2*(1+B1993)^2*$I1993-'DCF Base Case'!$B$2*(1+B1993)^1*B1993*'DCF Base Case'!$B$4</f>
        <v>28.6243904175024</v>
      </c>
      <c r="L1993" s="24" t="n">
        <f aca="false">'DCF Base Case'!$B$2*(1+B1993)^3*$I1993-'DCF Base Case'!$B$2*(1+B1993)^2*B1993*'DCF Base Case'!$B$4</f>
        <v>32.1305920675323</v>
      </c>
      <c r="M1993" s="24" t="n">
        <f aca="false">'DCF Base Case'!$B$2*(1+B1993)^4*$I1993-'DCF Base Case'!$B$2*(1+B1993)^3*B1993*'DCF Base Case'!$B$4</f>
        <v>36.0662683659779</v>
      </c>
      <c r="N1993" s="24" t="n">
        <f aca="false">'DCF Base Case'!$B$2*(1+B1993)^5*$I1993-'DCF Base Case'!$B$2*(1+B1993)^4*B1993*'DCF Base Case'!$B$4</f>
        <v>40.4840256635408</v>
      </c>
      <c r="O1993" s="24" t="n">
        <f aca="false">J1993/(1+H1993)^1+K1993/(1+H1993)^2+L1993/(1+H1993)^3+M1993/(1+H1993)^4+N1993/(1+H1993)^5</f>
        <v>128.500608275949</v>
      </c>
      <c r="P1993" s="24" t="n">
        <f aca="false">N1993*(1+F1993)/(H1993-F1993)</f>
        <v>665.063522708183</v>
      </c>
      <c r="Q1993" s="24" t="n">
        <f aca="false">O1993+P1993/(1+H1993)^5</f>
        <v>585.623871556692</v>
      </c>
      <c r="R1993" s="24" t="n">
        <f aca="false">Q1993-'DCF Base Case'!$B$5</f>
        <v>400.623871556692</v>
      </c>
      <c r="S1993" s="32" t="n">
        <f aca="false">R1993/'DCF Base Case'!$B$6</f>
        <v>16.0249548622677</v>
      </c>
    </row>
    <row r="1994" customFormat="false" ht="15" hidden="false" customHeight="true" outlineLevel="0" collapsed="false">
      <c r="A1994" s="6" t="n">
        <v>1993</v>
      </c>
      <c r="B1994" s="30" t="n">
        <v>0.0987995569377621</v>
      </c>
      <c r="C1994" s="30" t="n">
        <v>0.414055822902075</v>
      </c>
      <c r="D1994" s="30" t="n">
        <v>0.0912239272929551</v>
      </c>
      <c r="E1994" s="30" t="n">
        <v>0.252267311535164</v>
      </c>
      <c r="F1994" s="30" t="n">
        <v>0.0199411783688278</v>
      </c>
      <c r="G1994" s="30" t="n">
        <v>0.155875689417073</v>
      </c>
      <c r="H1994" s="31" t="n">
        <f aca="false">MAX(D1994,F1994+0.015)</f>
        <v>0.0912239272929551</v>
      </c>
      <c r="I1994" s="25" t="n">
        <f aca="false">(C1994-'DCF Base Case'!$B$3)*(1-E1994)+'DCF Base Case'!$B$3-G1994</f>
        <v>0.186522134715587</v>
      </c>
      <c r="J1994" s="24" t="n">
        <f aca="false">'DCF Base Case'!$B$2*(1+B1994)^1*$I1994-'DCF Base Case'!$B$2*(1+B1994)^0*B1994*'DCF Base Case'!$B$4</f>
        <v>29.2880355800837</v>
      </c>
      <c r="K1994" s="24" t="n">
        <f aca="false">'DCF Base Case'!$B$2*(1+B1994)^2*$I1994-'DCF Base Case'!$B$2*(1+B1994)^1*B1994*'DCF Base Case'!$B$4</f>
        <v>32.1816805189734</v>
      </c>
      <c r="L1994" s="24" t="n">
        <f aca="false">'DCF Base Case'!$B$2*(1+B1994)^3*$I1994-'DCF Base Case'!$B$2*(1+B1994)^2*B1994*'DCF Base Case'!$B$4</f>
        <v>35.3612162957606</v>
      </c>
      <c r="M1994" s="24" t="n">
        <f aca="false">'DCF Base Case'!$B$2*(1+B1994)^4*$I1994-'DCF Base Case'!$B$2*(1+B1994)^3*B1994*'DCF Base Case'!$B$4</f>
        <v>38.8548887985621</v>
      </c>
      <c r="N1994" s="24" t="n">
        <f aca="false">'DCF Base Case'!$B$2*(1+B1994)^5*$I1994-'DCF Base Case'!$B$2*(1+B1994)^4*B1994*'DCF Base Case'!$B$4</f>
        <v>42.6937345967261</v>
      </c>
      <c r="O1994" s="24" t="n">
        <f aca="false">J1994/(1+H1994)^1+K1994/(1+H1994)^2+L1994/(1+H1994)^3+M1994/(1+H1994)^4+N1994/(1+H1994)^5</f>
        <v>136.074373997685</v>
      </c>
      <c r="P1994" s="24" t="n">
        <f aca="false">N1994*(1+F1994)/(H1994-F1994)</f>
        <v>610.878489266734</v>
      </c>
      <c r="Q1994" s="24" t="n">
        <f aca="false">O1994+P1994/(1+H1994)^5</f>
        <v>530.881908067491</v>
      </c>
      <c r="R1994" s="24" t="n">
        <f aca="false">Q1994-'DCF Base Case'!$B$5</f>
        <v>345.881908067491</v>
      </c>
      <c r="S1994" s="32" t="n">
        <f aca="false">R1994/'DCF Base Case'!$B$6</f>
        <v>13.8352763226996</v>
      </c>
    </row>
    <row r="1995" customFormat="false" ht="15" hidden="false" customHeight="true" outlineLevel="0" collapsed="false">
      <c r="A1995" s="6" t="n">
        <v>1994</v>
      </c>
      <c r="B1995" s="30" t="n">
        <v>0.136757212062295</v>
      </c>
      <c r="C1995" s="30" t="n">
        <v>0.437591648820738</v>
      </c>
      <c r="D1995" s="30" t="n">
        <v>0.0784396874523822</v>
      </c>
      <c r="E1995" s="30" t="n">
        <v>0.253598572063774</v>
      </c>
      <c r="F1995" s="30" t="n">
        <v>0.0239526215851855</v>
      </c>
      <c r="G1995" s="30" t="n">
        <v>0.158113360975345</v>
      </c>
      <c r="H1995" s="31" t="n">
        <f aca="false">MAX(D1995,F1995+0.015)</f>
        <v>0.0784396874523822</v>
      </c>
      <c r="I1995" s="25" t="n">
        <f aca="false">(C1995-'DCF Base Case'!$B$3)*(1-E1995)+'DCF Base Case'!$B$3-G1995</f>
        <v>0.201473484925712</v>
      </c>
      <c r="J1995" s="24" t="n">
        <f aca="false">'DCF Base Case'!$B$2*(1+B1995)^1*$I1995-'DCF Base Case'!$B$2*(1+B1995)^0*B1995*'DCF Base Case'!$B$4</f>
        <v>32.61393949668</v>
      </c>
      <c r="K1995" s="24" t="n">
        <f aca="false">'DCF Base Case'!$B$2*(1+B1995)^2*$I1995-'DCF Base Case'!$B$2*(1+B1995)^1*B1995*'DCF Base Case'!$B$4</f>
        <v>37.0741309366143</v>
      </c>
      <c r="L1995" s="24" t="n">
        <f aca="false">'DCF Base Case'!$B$2*(1+B1995)^3*$I1995-'DCF Base Case'!$B$2*(1+B1995)^2*B1995*'DCF Base Case'!$B$4</f>
        <v>42.1442857231381</v>
      </c>
      <c r="M1995" s="24" t="n">
        <f aca="false">'DCF Base Case'!$B$2*(1+B1995)^4*$I1995-'DCF Base Case'!$B$2*(1+B1995)^3*B1995*'DCF Base Case'!$B$4</f>
        <v>47.9078207429913</v>
      </c>
      <c r="N1995" s="24" t="n">
        <f aca="false">'DCF Base Case'!$B$2*(1+B1995)^5*$I1995-'DCF Base Case'!$B$2*(1+B1995)^4*B1995*'DCF Base Case'!$B$4</f>
        <v>54.459560743783</v>
      </c>
      <c r="O1995" s="24" t="n">
        <f aca="false">J1995/(1+H1995)^1+K1995/(1+H1995)^2+L1995/(1+H1995)^3+M1995/(1+H1995)^4+N1995/(1+H1995)^5</f>
        <v>168.470911585679</v>
      </c>
      <c r="P1995" s="24" t="n">
        <f aca="false">N1995*(1+F1995)/(H1995-F1995)</f>
        <v>1023.435729314</v>
      </c>
      <c r="Q1995" s="24" t="n">
        <f aca="false">O1995+P1995/(1+H1995)^5</f>
        <v>870.057478712683</v>
      </c>
      <c r="R1995" s="24" t="n">
        <f aca="false">Q1995-'DCF Base Case'!$B$5</f>
        <v>685.057478712683</v>
      </c>
      <c r="S1995" s="32" t="n">
        <f aca="false">R1995/'DCF Base Case'!$B$6</f>
        <v>27.4022991485073</v>
      </c>
    </row>
    <row r="1996" customFormat="false" ht="15" hidden="false" customHeight="true" outlineLevel="0" collapsed="false">
      <c r="A1996" s="6" t="n">
        <v>1995</v>
      </c>
      <c r="B1996" s="30" t="n">
        <v>0.0727390658362968</v>
      </c>
      <c r="C1996" s="30" t="n">
        <v>0.415597377854174</v>
      </c>
      <c r="D1996" s="30" t="n">
        <v>0.0921469071454622</v>
      </c>
      <c r="E1996" s="30" t="n">
        <v>0.29896812644874</v>
      </c>
      <c r="F1996" s="30" t="n">
        <v>0.0194275545160306</v>
      </c>
      <c r="G1996" s="30" t="n">
        <v>0.168808621593173</v>
      </c>
      <c r="H1996" s="31" t="n">
        <f aca="false">MAX(D1996,F1996+0.015)</f>
        <v>0.0921469071454622</v>
      </c>
      <c r="I1996" s="25" t="n">
        <f aca="false">(C1996-'DCF Base Case'!$B$3)*(1-E1996)+'DCF Base Case'!$B$3-G1996</f>
        <v>0.161404243285266</v>
      </c>
      <c r="J1996" s="24" t="n">
        <f aca="false">'DCF Base Case'!$B$2*(1+B1996)^1*$I1996-'DCF Base Case'!$B$2*(1+B1996)^0*B1996*'DCF Base Case'!$B$4</f>
        <v>24.7895574523704</v>
      </c>
      <c r="K1996" s="24" t="n">
        <f aca="false">'DCF Base Case'!$B$2*(1+B1996)^2*$I1996-'DCF Base Case'!$B$2*(1+B1996)^1*B1996*'DCF Base Case'!$B$4</f>
        <v>26.592726703951</v>
      </c>
      <c r="L1996" s="24" t="n">
        <f aca="false">'DCF Base Case'!$B$2*(1+B1996)^3*$I1996-'DCF Base Case'!$B$2*(1+B1996)^2*B1996*'DCF Base Case'!$B$4</f>
        <v>28.5270568024364</v>
      </c>
      <c r="M1996" s="24" t="n">
        <f aca="false">'DCF Base Case'!$B$2*(1+B1996)^4*$I1996-'DCF Base Case'!$B$2*(1+B1996)^3*B1996*'DCF Base Case'!$B$4</f>
        <v>30.6020882653046</v>
      </c>
      <c r="N1996" s="24" t="n">
        <f aca="false">'DCF Base Case'!$B$2*(1+B1996)^5*$I1996-'DCF Base Case'!$B$2*(1+B1996)^4*B1996*'DCF Base Case'!$B$4</f>
        <v>32.8280555783627</v>
      </c>
      <c r="O1996" s="24" t="n">
        <f aca="false">J1996/(1+H1996)^1+K1996/(1+H1996)^2+L1996/(1+H1996)^3+M1996/(1+H1996)^4+N1996/(1+H1996)^5</f>
        <v>109.527557331008</v>
      </c>
      <c r="P1996" s="24" t="n">
        <f aca="false">N1996*(1+F1996)/(H1996-F1996)</f>
        <v>460.205202709988</v>
      </c>
      <c r="Q1996" s="24" t="n">
        <f aca="false">O1996+P1996/(1+H1996)^5</f>
        <v>405.701074648242</v>
      </c>
      <c r="R1996" s="24" t="n">
        <f aca="false">Q1996-'DCF Base Case'!$B$5</f>
        <v>220.701074648242</v>
      </c>
      <c r="S1996" s="32" t="n">
        <f aca="false">R1996/'DCF Base Case'!$B$6</f>
        <v>8.82804298592969</v>
      </c>
    </row>
    <row r="1997" customFormat="false" ht="15" hidden="false" customHeight="true" outlineLevel="0" collapsed="false">
      <c r="A1997" s="6" t="n">
        <v>1996</v>
      </c>
      <c r="B1997" s="30" t="n">
        <v>0.0948195502094834</v>
      </c>
      <c r="C1997" s="30" t="n">
        <v>0.42280161115534</v>
      </c>
      <c r="D1997" s="30" t="n">
        <v>0.0896737371549163</v>
      </c>
      <c r="E1997" s="30" t="n">
        <v>0.313188392157117</v>
      </c>
      <c r="F1997" s="30" t="n">
        <v>0.0195622439682176</v>
      </c>
      <c r="G1997" s="30" t="n">
        <v>0.148776409282402</v>
      </c>
      <c r="H1997" s="31" t="n">
        <f aca="false">MAX(D1997,F1997+0.015)</f>
        <v>0.0896737371549163</v>
      </c>
      <c r="I1997" s="25" t="n">
        <f aca="false">(C1997-'DCF Base Case'!$B$3)*(1-E1997)+'DCF Base Case'!$B$3-G1997</f>
        <v>0.182323136054184</v>
      </c>
      <c r="J1997" s="24" t="n">
        <f aca="false">'DCF Base Case'!$B$2*(1+B1997)^1*$I1997-'DCF Base Case'!$B$2*(1+B1997)^0*B1997*'DCF Base Case'!$B$4</f>
        <v>28.5311203586942</v>
      </c>
      <c r="K1997" s="24" t="n">
        <f aca="false">'DCF Base Case'!$B$2*(1+B1997)^2*$I1997-'DCF Base Case'!$B$2*(1+B1997)^1*B1997*'DCF Base Case'!$B$4</f>
        <v>31.2364283580782</v>
      </c>
      <c r="L1997" s="24" t="n">
        <f aca="false">'DCF Base Case'!$B$2*(1+B1997)^3*$I1997-'DCF Base Case'!$B$2*(1+B1997)^2*B1997*'DCF Base Case'!$B$4</f>
        <v>34.198252445142</v>
      </c>
      <c r="M1997" s="24" t="n">
        <f aca="false">'DCF Base Case'!$B$2*(1+B1997)^4*$I1997-'DCF Base Case'!$B$2*(1+B1997)^3*B1997*'DCF Base Case'!$B$4</f>
        <v>37.4409153599407</v>
      </c>
      <c r="N1997" s="24" t="n">
        <f aca="false">'DCF Base Case'!$B$2*(1+B1997)^5*$I1997-'DCF Base Case'!$B$2*(1+B1997)^4*B1997*'DCF Base Case'!$B$4</f>
        <v>40.9910461138016</v>
      </c>
      <c r="O1997" s="24" t="n">
        <f aca="false">J1997/(1+H1997)^1+K1997/(1+H1997)^2+L1997/(1+H1997)^3+M1997/(1+H1997)^4+N1997/(1+H1997)^5</f>
        <v>132.158197312522</v>
      </c>
      <c r="P1997" s="24" t="n">
        <f aca="false">N1997*(1+F1997)/(H1997-F1997)</f>
        <v>596.092324650719</v>
      </c>
      <c r="Q1997" s="24" t="n">
        <f aca="false">O1997+P1997/(1+H1997)^5</f>
        <v>520.157647888952</v>
      </c>
      <c r="R1997" s="24" t="n">
        <f aca="false">Q1997-'DCF Base Case'!$B$5</f>
        <v>335.157647888952</v>
      </c>
      <c r="S1997" s="32" t="n">
        <f aca="false">R1997/'DCF Base Case'!$B$6</f>
        <v>13.4063059155581</v>
      </c>
    </row>
    <row r="1998" customFormat="false" ht="15" hidden="false" customHeight="true" outlineLevel="0" collapsed="false">
      <c r="A1998" s="6" t="n">
        <v>1997</v>
      </c>
      <c r="B1998" s="30" t="n">
        <v>0.0870443973739802</v>
      </c>
      <c r="C1998" s="30" t="n">
        <v>0.427997489825187</v>
      </c>
      <c r="D1998" s="30" t="n">
        <v>0.0653481924577667</v>
      </c>
      <c r="E1998" s="30" t="n">
        <v>0.249080101119857</v>
      </c>
      <c r="F1998" s="30" t="n">
        <v>0.0226497548933459</v>
      </c>
      <c r="G1998" s="30" t="n">
        <v>0.200367365608589</v>
      </c>
      <c r="H1998" s="31" t="n">
        <f aca="false">MAX(D1998,F1998+0.015)</f>
        <v>0.0653481924577667</v>
      </c>
      <c r="I1998" s="25" t="n">
        <f aca="false">(C1998-'DCF Base Case'!$B$3)*(1-E1998)+'DCF Base Case'!$B$3-G1998</f>
        <v>0.153404879317477</v>
      </c>
      <c r="J1998" s="24" t="n">
        <f aca="false">'DCF Base Case'!$B$2*(1+B1998)^1*$I1998-'DCF Base Case'!$B$2*(1+B1998)^0*B1998*'DCF Base Case'!$B$4</f>
        <v>23.8012544872479</v>
      </c>
      <c r="K1998" s="24" t="n">
        <f aca="false">'DCF Base Case'!$B$2*(1+B1998)^2*$I1998-'DCF Base Case'!$B$2*(1+B1998)^1*B1998*'DCF Base Case'!$B$4</f>
        <v>25.8730203408352</v>
      </c>
      <c r="L1998" s="24" t="n">
        <f aca="false">'DCF Base Case'!$B$2*(1+B1998)^3*$I1998-'DCF Base Case'!$B$2*(1+B1998)^2*B1998*'DCF Base Case'!$B$4</f>
        <v>28.1251218046479</v>
      </c>
      <c r="M1998" s="24" t="n">
        <f aca="false">'DCF Base Case'!$B$2*(1+B1998)^4*$I1998-'DCF Base Case'!$B$2*(1+B1998)^3*B1998*'DCF Base Case'!$B$4</f>
        <v>30.5732560832033</v>
      </c>
      <c r="N1998" s="24" t="n">
        <f aca="false">'DCF Base Case'!$B$2*(1+B1998)^5*$I1998-'DCF Base Case'!$B$2*(1+B1998)^4*B1998*'DCF Base Case'!$B$4</f>
        <v>33.2344867347261</v>
      </c>
      <c r="O1998" s="24" t="n">
        <f aca="false">J1998/(1+H1998)^1+K1998/(1+H1998)^2+L1998/(1+H1998)^3+M1998/(1+H1998)^4+N1998/(1+H1998)^5</f>
        <v>116.349950394333</v>
      </c>
      <c r="P1998" s="24" t="n">
        <f aca="false">N1998*(1+F1998)/(H1998-F1998)</f>
        <v>795.983217465414</v>
      </c>
      <c r="Q1998" s="24" t="n">
        <f aca="false">O1998+P1998/(1+H1998)^5</f>
        <v>696.374057715069</v>
      </c>
      <c r="R1998" s="24" t="n">
        <f aca="false">Q1998-'DCF Base Case'!$B$5</f>
        <v>511.374057715069</v>
      </c>
      <c r="S1998" s="32" t="n">
        <f aca="false">R1998/'DCF Base Case'!$B$6</f>
        <v>20.4549623086027</v>
      </c>
    </row>
    <row r="1999" customFormat="false" ht="15" hidden="false" customHeight="true" outlineLevel="0" collapsed="false">
      <c r="A1999" s="6" t="n">
        <v>1998</v>
      </c>
      <c r="B1999" s="30" t="n">
        <v>0.0626825720502203</v>
      </c>
      <c r="C1999" s="30" t="n">
        <v>0.406710922173519</v>
      </c>
      <c r="D1999" s="30" t="n">
        <v>0.0806050037579128</v>
      </c>
      <c r="E1999" s="30" t="n">
        <v>0.272743326714606</v>
      </c>
      <c r="F1999" s="30" t="n">
        <v>0.0204379542422892</v>
      </c>
      <c r="G1999" s="30" t="n">
        <v>0.139801815356188</v>
      </c>
      <c r="H1999" s="31" t="n">
        <f aca="false">MAX(D1999,F1999+0.015)</f>
        <v>0.0806050037579128</v>
      </c>
      <c r="I1999" s="25" t="n">
        <f aca="false">(C1999-'DCF Base Case'!$B$3)*(1-E1999)+'DCF Base Case'!$B$3-G1999</f>
        <v>0.191438049365459</v>
      </c>
      <c r="J1999" s="24" t="n">
        <f aca="false">'DCF Base Case'!$B$2*(1+B1999)^1*$I1999-'DCF Base Case'!$B$2*(1+B1999)^0*B1999*'DCF Base Case'!$B$4</f>
        <v>29.2258232213362</v>
      </c>
      <c r="K1999" s="24" t="n">
        <f aca="false">'DCF Base Case'!$B$2*(1+B1999)^2*$I1999-'DCF Base Case'!$B$2*(1+B1999)^1*B1999*'DCF Base Case'!$B$4</f>
        <v>31.0577729911346</v>
      </c>
      <c r="L1999" s="24" t="n">
        <f aca="false">'DCF Base Case'!$B$2*(1+B1999)^3*$I1999-'DCF Base Case'!$B$2*(1+B1999)^2*B1999*'DCF Base Case'!$B$4</f>
        <v>33.0045540843708</v>
      </c>
      <c r="M1999" s="24" t="n">
        <f aca="false">'DCF Base Case'!$B$2*(1+B1999)^4*$I1999-'DCF Base Case'!$B$2*(1+B1999)^3*B1999*'DCF Base Case'!$B$4</f>
        <v>35.0733644237497</v>
      </c>
      <c r="N1999" s="24" t="n">
        <f aca="false">'DCF Base Case'!$B$2*(1+B1999)^5*$I1999-'DCF Base Case'!$B$2*(1+B1999)^4*B1999*'DCF Base Case'!$B$4</f>
        <v>37.271853116285</v>
      </c>
      <c r="O1999" s="24" t="n">
        <f aca="false">J1999/(1+H1999)^1+K1999/(1+H1999)^2+L1999/(1+H1999)^3+M1999/(1+H1999)^4+N1999/(1+H1999)^5</f>
        <v>130.817071228494</v>
      </c>
      <c r="P1999" s="24" t="n">
        <f aca="false">N1999*(1+F1999)/(H1999-F1999)</f>
        <v>632.133598888289</v>
      </c>
      <c r="Q1999" s="24" t="n">
        <f aca="false">O1999+P1999/(1+H1999)^5</f>
        <v>559.833578932493</v>
      </c>
      <c r="R1999" s="24" t="n">
        <f aca="false">Q1999-'DCF Base Case'!$B$5</f>
        <v>374.833578932493</v>
      </c>
      <c r="S1999" s="32" t="n">
        <f aca="false">R1999/'DCF Base Case'!$B$6</f>
        <v>14.9933431572997</v>
      </c>
    </row>
    <row r="2000" customFormat="false" ht="15" hidden="false" customHeight="true" outlineLevel="0" collapsed="false">
      <c r="A2000" s="6" t="n">
        <v>1999</v>
      </c>
      <c r="B2000" s="30" t="n">
        <v>0.0658940100669397</v>
      </c>
      <c r="C2000" s="30" t="n">
        <v>0.398847175252798</v>
      </c>
      <c r="D2000" s="30" t="n">
        <v>0.0834008684231642</v>
      </c>
      <c r="E2000" s="30" t="n">
        <v>0.256917534535837</v>
      </c>
      <c r="F2000" s="30" t="n">
        <v>0.0221895137026776</v>
      </c>
      <c r="G2000" s="30" t="n">
        <v>0.156776844231547</v>
      </c>
      <c r="H2000" s="31" t="n">
        <f aca="false">MAX(D2000,F2000+0.015)</f>
        <v>0.0834008684231642</v>
      </c>
      <c r="I2000" s="25" t="n">
        <f aca="false">(C2000-'DCF Base Case'!$B$3)*(1-E2000)+'DCF Base Case'!$B$3-G2000</f>
        <v>0.172998777588378</v>
      </c>
      <c r="J2000" s="24" t="n">
        <f aca="false">'DCF Base Case'!$B$2*(1+B2000)^1*$I2000-'DCF Base Case'!$B$2*(1+B2000)^0*B2000*'DCF Base Case'!$B$4</f>
        <v>26.4511233693603</v>
      </c>
      <c r="K2000" s="24" t="n">
        <f aca="false">'DCF Base Case'!$B$2*(1+B2000)^2*$I2000-'DCF Base Case'!$B$2*(1+B2000)^1*B2000*'DCF Base Case'!$B$4</f>
        <v>28.1940939589428</v>
      </c>
      <c r="L2000" s="24" t="n">
        <f aca="false">'DCF Base Case'!$B$2*(1+B2000)^3*$I2000-'DCF Base Case'!$B$2*(1+B2000)^2*B2000*'DCF Base Case'!$B$4</f>
        <v>30.0519158701016</v>
      </c>
      <c r="M2000" s="24" t="n">
        <f aca="false">'DCF Base Case'!$B$2*(1+B2000)^4*$I2000-'DCF Base Case'!$B$2*(1+B2000)^3*B2000*'DCF Base Case'!$B$4</f>
        <v>32.0321571169769</v>
      </c>
      <c r="N2000" s="24" t="n">
        <f aca="false">'DCF Base Case'!$B$2*(1+B2000)^5*$I2000-'DCF Base Case'!$B$2*(1+B2000)^4*B2000*'DCF Base Case'!$B$4</f>
        <v>34.1428844005087</v>
      </c>
      <c r="O2000" s="24" t="n">
        <f aca="false">J2000/(1+H2000)^1+K2000/(1+H2000)^2+L2000/(1+H2000)^3+M2000/(1+H2000)^4+N2000/(1+H2000)^5</f>
        <v>118.192491163231</v>
      </c>
      <c r="P2000" s="24" t="n">
        <f aca="false">N2000*(1+F2000)/(H2000-F2000)</f>
        <v>570.163796588577</v>
      </c>
      <c r="Q2000" s="24" t="n">
        <f aca="false">O2000+P2000/(1+H2000)^5</f>
        <v>500.184027783587</v>
      </c>
      <c r="R2000" s="24" t="n">
        <f aca="false">Q2000-'DCF Base Case'!$B$5</f>
        <v>315.184027783587</v>
      </c>
      <c r="S2000" s="32" t="n">
        <f aca="false">R2000/'DCF Base Case'!$B$6</f>
        <v>12.6073611113435</v>
      </c>
    </row>
    <row r="2001" customFormat="false" ht="15" hidden="false" customHeight="true" outlineLevel="0" collapsed="false">
      <c r="A2001" s="6" t="n">
        <v>2000</v>
      </c>
      <c r="B2001" s="30" t="n">
        <v>0.0810231079337967</v>
      </c>
      <c r="C2001" s="30" t="n">
        <v>0.417269215662169</v>
      </c>
      <c r="D2001" s="30" t="n">
        <v>0.0835820089632575</v>
      </c>
      <c r="E2001" s="30" t="n">
        <v>0.305373698392633</v>
      </c>
      <c r="F2001" s="30" t="n">
        <v>0.0155387418896561</v>
      </c>
      <c r="G2001" s="30" t="n">
        <v>0.138016511725994</v>
      </c>
      <c r="H2001" s="31" t="n">
        <f aca="false">MAX(D2001,F2001+0.015)</f>
        <v>0.0835820089632575</v>
      </c>
      <c r="I2001" s="25" t="n">
        <f aca="false">(C2001-'DCF Base Case'!$B$3)*(1-E2001)+'DCF Base Case'!$B$3-G2001</f>
        <v>0.191528241115068</v>
      </c>
      <c r="J2001" s="24" t="n">
        <f aca="false">'DCF Base Case'!$B$2*(1+B2001)^1*$I2001-'DCF Base Case'!$B$2*(1+B2001)^0*B2001*'DCF Base Case'!$B$4</f>
        <v>29.6692853782471</v>
      </c>
      <c r="K2001" s="24" t="n">
        <f aca="false">'DCF Base Case'!$B$2*(1+B2001)^2*$I2001-'DCF Base Case'!$B$2*(1+B2001)^1*B2001*'DCF Base Case'!$B$4</f>
        <v>32.0731830897674</v>
      </c>
      <c r="L2001" s="24" t="n">
        <f aca="false">'DCF Base Case'!$B$2*(1+B2001)^3*$I2001-'DCF Base Case'!$B$2*(1+B2001)^2*B2001*'DCF Base Case'!$B$4</f>
        <v>34.67185206503</v>
      </c>
      <c r="M2001" s="24" t="n">
        <f aca="false">'DCF Base Case'!$B$2*(1+B2001)^4*$I2001-'DCF Base Case'!$B$2*(1+B2001)^3*B2001*'DCF Base Case'!$B$4</f>
        <v>37.4810732771596</v>
      </c>
      <c r="N2001" s="24" t="n">
        <f aca="false">'DCF Base Case'!$B$2*(1+B2001)^5*$I2001-'DCF Base Case'!$B$2*(1+B2001)^4*B2001*'DCF Base Case'!$B$4</f>
        <v>40.5179063227694</v>
      </c>
      <c r="O2001" s="24" t="n">
        <f aca="false">J2001/(1+H2001)^1+K2001/(1+H2001)^2+L2001/(1+H2001)^3+M2001/(1+H2001)^4+N2001/(1+H2001)^5</f>
        <v>136.258660699414</v>
      </c>
      <c r="P2001" s="24" t="n">
        <f aca="false">N2001*(1+F2001)/(H2001-F2001)</f>
        <v>604.725572135147</v>
      </c>
      <c r="Q2001" s="24" t="n">
        <f aca="false">O2001+P2001/(1+H2001)^5</f>
        <v>541.06695798556</v>
      </c>
      <c r="R2001" s="24" t="n">
        <f aca="false">Q2001-'DCF Base Case'!$B$5</f>
        <v>356.06695798556</v>
      </c>
      <c r="S2001" s="32" t="n">
        <f aca="false">R2001/'DCF Base Case'!$B$6</f>
        <v>14.2426783194224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0" t="s">
        <v>87</v>
      </c>
      <c r="B1" s="10"/>
      <c r="C1" s="10"/>
    </row>
    <row r="3" customFormat="false" ht="15" hidden="false" customHeight="true" outlineLevel="0" collapsed="false">
      <c r="A3" s="6" t="s">
        <v>88</v>
      </c>
      <c r="B3" s="33" t="n">
        <f aca="false">COUNT(Simulation!$S$2:$S$2001)</f>
        <v>2000</v>
      </c>
      <c r="D3" s="16" t="s">
        <v>89</v>
      </c>
      <c r="E3" s="16" t="s">
        <v>90</v>
      </c>
    </row>
    <row r="4" customFormat="false" ht="15" hidden="false" customHeight="true" outlineLevel="0" collapsed="false">
      <c r="A4" s="6"/>
      <c r="D4" s="20" t="n">
        <v>2</v>
      </c>
      <c r="E4" s="6" t="n">
        <f aca="false">COUNTIF(Simulation!$S$2:$S$2001,"&lt;="&amp;$D4)</f>
        <v>6</v>
      </c>
    </row>
    <row r="5" customFormat="false" ht="15" hidden="false" customHeight="true" outlineLevel="0" collapsed="false">
      <c r="A5" s="6" t="s">
        <v>91</v>
      </c>
      <c r="B5" s="32" t="n">
        <f aca="false">AVERAGE(Simulation!$S$2:$S$2001)</f>
        <v>13.4059115177255</v>
      </c>
      <c r="D5" s="20" t="n">
        <v>4</v>
      </c>
      <c r="E5" s="6" t="n">
        <f aca="false">COUNTIFS(Simulation!$S$2:$S$2001,"&gt;"&amp;D4,Simulation!$S$2:$S$2001,"&lt;="&amp;D5)</f>
        <v>28</v>
      </c>
    </row>
    <row r="6" customFormat="false" ht="15" hidden="false" customHeight="true" outlineLevel="0" collapsed="false">
      <c r="A6" s="6" t="s">
        <v>92</v>
      </c>
      <c r="B6" s="32" t="n">
        <f aca="false">MEDIAN(Simulation!$S$2:$S$2001)</f>
        <v>12.4810412872319</v>
      </c>
      <c r="D6" s="20" t="n">
        <v>6</v>
      </c>
      <c r="E6" s="6" t="n">
        <f aca="false">COUNTIFS(Simulation!$S$2:$S$2001,"&gt;"&amp;D5,Simulation!$S$2:$S$2001,"&lt;="&amp;D6)</f>
        <v>106</v>
      </c>
    </row>
    <row r="7" customFormat="false" ht="15" hidden="false" customHeight="true" outlineLevel="0" collapsed="false">
      <c r="A7" s="6" t="s">
        <v>93</v>
      </c>
      <c r="B7" s="32" t="n">
        <f aca="false">STDEV(Simulation!$S$2:$S$2001)</f>
        <v>5.90227501382115</v>
      </c>
      <c r="D7" s="20" t="n">
        <v>8</v>
      </c>
      <c r="E7" s="6" t="n">
        <f aca="false">COUNTIFS(Simulation!$S$2:$S$2001,"&gt;"&amp;D6,Simulation!$S$2:$S$2001,"&lt;="&amp;D7)</f>
        <v>205</v>
      </c>
    </row>
    <row r="8" customFormat="false" ht="15" hidden="false" customHeight="true" outlineLevel="0" collapsed="false">
      <c r="A8" s="6"/>
      <c r="D8" s="20" t="n">
        <v>10</v>
      </c>
      <c r="E8" s="6" t="n">
        <f aca="false">COUNTIFS(Simulation!$S$2:$S$2001,"&gt;"&amp;D7,Simulation!$S$2:$S$2001,"&lt;="&amp;D8)</f>
        <v>260</v>
      </c>
    </row>
    <row r="9" customFormat="false" ht="15" hidden="false" customHeight="true" outlineLevel="0" collapsed="false">
      <c r="A9" s="6" t="s">
        <v>94</v>
      </c>
      <c r="B9" s="32" t="n">
        <f aca="false">PERCENTILE(Simulation!$S$2:$S$2001,0.05)</f>
        <v>5.45342223959943</v>
      </c>
      <c r="D9" s="20" t="n">
        <v>12</v>
      </c>
      <c r="E9" s="6" t="n">
        <f aca="false">COUNTIFS(Simulation!$S$2:$S$2001,"&gt;"&amp;D8,Simulation!$S$2:$S$2001,"&lt;="&amp;D9)</f>
        <v>316</v>
      </c>
    </row>
    <row r="10" customFormat="false" ht="15" hidden="false" customHeight="true" outlineLevel="0" collapsed="false">
      <c r="A10" s="6" t="s">
        <v>95</v>
      </c>
      <c r="B10" s="32" t="n">
        <f aca="false">PERCENTILE(Simulation!$S$2:$S$2001,0.1)</f>
        <v>6.68088860746442</v>
      </c>
      <c r="D10" s="20" t="n">
        <v>14</v>
      </c>
      <c r="E10" s="6" t="n">
        <f aca="false">COUNTIFS(Simulation!$S$2:$S$2001,"&gt;"&amp;D9,Simulation!$S$2:$S$2001,"&lt;="&amp;D10)</f>
        <v>274</v>
      </c>
    </row>
    <row r="11" customFormat="false" ht="15" hidden="false" customHeight="true" outlineLevel="0" collapsed="false">
      <c r="A11" s="6" t="s">
        <v>96</v>
      </c>
      <c r="B11" s="32" t="n">
        <f aca="false">PERCENTILE(Simulation!$S$2:$S$2001,0.25)</f>
        <v>9.23967326578809</v>
      </c>
      <c r="D11" s="20" t="n">
        <v>16</v>
      </c>
      <c r="E11" s="6" t="n">
        <f aca="false">COUNTIFS(Simulation!$S$2:$S$2001,"&gt;"&amp;D10,Simulation!$S$2:$S$2001,"&lt;="&amp;D11)</f>
        <v>238</v>
      </c>
    </row>
    <row r="12" customFormat="false" ht="15" hidden="false" customHeight="true" outlineLevel="0" collapsed="false">
      <c r="A12" s="6" t="s">
        <v>97</v>
      </c>
      <c r="B12" s="32" t="n">
        <f aca="false">PERCENTILE(Simulation!$S$2:$S$2001,0.75)</f>
        <v>16.6196637312551</v>
      </c>
      <c r="D12" s="20" t="n">
        <v>18</v>
      </c>
      <c r="E12" s="6" t="n">
        <f aca="false">COUNTIFS(Simulation!$S$2:$S$2001,"&gt;"&amp;D11,Simulation!$S$2:$S$2001,"&lt;="&amp;D12)</f>
        <v>173</v>
      </c>
    </row>
    <row r="13" customFormat="false" ht="15" hidden="false" customHeight="true" outlineLevel="0" collapsed="false">
      <c r="A13" s="6" t="s">
        <v>98</v>
      </c>
      <c r="B13" s="32" t="n">
        <f aca="false">PERCENTILE(Simulation!$S$2:$S$2001,0.9)</f>
        <v>21.1945675226956</v>
      </c>
      <c r="D13" s="20" t="n">
        <v>20</v>
      </c>
      <c r="E13" s="6" t="n">
        <f aca="false">COUNTIFS(Simulation!$S$2:$S$2001,"&gt;"&amp;D12,Simulation!$S$2:$S$2001,"&lt;="&amp;D13)</f>
        <v>143</v>
      </c>
    </row>
    <row r="14" customFormat="false" ht="15" hidden="false" customHeight="true" outlineLevel="0" collapsed="false">
      <c r="A14" s="6" t="s">
        <v>99</v>
      </c>
      <c r="B14" s="32" t="n">
        <f aca="false">PERCENTILE(Simulation!$S$2:$S$2001,0.95)</f>
        <v>24.0028415894816</v>
      </c>
      <c r="D14" s="20" t="n">
        <v>22</v>
      </c>
      <c r="E14" s="6" t="n">
        <f aca="false">COUNTIFS(Simulation!$S$2:$S$2001,"&gt;"&amp;D13,Simulation!$S$2:$S$2001,"&lt;="&amp;D14)</f>
        <v>84</v>
      </c>
    </row>
    <row r="15" customFormat="false" ht="15" hidden="false" customHeight="true" outlineLevel="0" collapsed="false">
      <c r="A15" s="6"/>
      <c r="D15" s="20" t="n">
        <v>24</v>
      </c>
      <c r="E15" s="6" t="n">
        <f aca="false">COUNTIFS(Simulation!$S$2:$S$2001,"&gt;"&amp;D14,Simulation!$S$2:$S$2001,"&lt;="&amp;D15)</f>
        <v>66</v>
      </c>
    </row>
    <row r="16" customFormat="false" ht="15" hidden="false" customHeight="true" outlineLevel="0" collapsed="false">
      <c r="A16" s="6" t="s">
        <v>9</v>
      </c>
      <c r="B16" s="34" t="n">
        <f aca="false">COUNTIF(Simulation!$S$2:$S$2001,"&gt;11.5")/COUNT(Simulation!$S$2:$S$2001)</f>
        <v>0.5765</v>
      </c>
      <c r="D16" s="20" t="n">
        <v>26</v>
      </c>
      <c r="E16" s="6" t="n">
        <f aca="false">COUNTIFS(Simulation!$S$2:$S$2001,"&gt;"&amp;D15,Simulation!$S$2:$S$2001,"&lt;="&amp;D16)</f>
        <v>39</v>
      </c>
    </row>
    <row r="17" customFormat="false" ht="15" hidden="false" customHeight="true" outlineLevel="0" collapsed="false">
      <c r="A17" s="6" t="s">
        <v>100</v>
      </c>
      <c r="B17" s="8" t="n">
        <f aca="false">COUNTIF(Simulation!$S$2:$S$2001,"&lt;"&amp;'DCF Base Case'!B35)/COUNT(Simulation!$S$2:$S$2001)</f>
        <v>0.646</v>
      </c>
      <c r="D17" s="20" t="n">
        <v>28</v>
      </c>
      <c r="E17" s="6" t="n">
        <f aca="false">COUNTIFS(Simulation!$S$2:$S$2001,"&gt;"&amp;D16,Simulation!$S$2:$S$2001,"&lt;="&amp;D17)</f>
        <v>21</v>
      </c>
    </row>
    <row r="18" customFormat="false" ht="15" hidden="false" customHeight="true" outlineLevel="0" collapsed="false">
      <c r="A18" s="6" t="s">
        <v>101</v>
      </c>
      <c r="B18" s="34" t="n">
        <f aca="false">COUNTIF(Simulation!$S$2:$S$2001,"&lt;8")/COUNT(Simulation!$S$2:$S$2001)</f>
        <v>0.1725</v>
      </c>
      <c r="D18" s="20" t="n">
        <v>30</v>
      </c>
      <c r="E18" s="6" t="n">
        <f aca="false">COUNTIFS(Simulation!$S$2:$S$2001,"&gt;"&amp;D17,Simulation!$S$2:$S$2001,"&lt;="&amp;D18)</f>
        <v>11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</cols>
  <sheetData>
    <row r="1" customFormat="false" ht="15" hidden="false" customHeight="true" outlineLevel="0" collapsed="false">
      <c r="A1" s="10" t="s">
        <v>102</v>
      </c>
      <c r="B1" s="10"/>
      <c r="C1" s="10"/>
    </row>
    <row r="3" customFormat="false" ht="15" hidden="false" customHeight="true" outlineLevel="0" collapsed="false">
      <c r="A3" s="16" t="s">
        <v>103</v>
      </c>
      <c r="B3" s="16" t="s">
        <v>104</v>
      </c>
    </row>
    <row r="4" customFormat="false" ht="15" hidden="false" customHeight="true" outlineLevel="0" collapsed="false">
      <c r="A4" s="6" t="s">
        <v>42</v>
      </c>
      <c r="B4" s="25" t="n">
        <f aca="false">CORREL(Simulation!$B$2:$B$2001,Simulation!$S$2:$S$2001)</f>
        <v>0.416131352228652</v>
      </c>
    </row>
    <row r="5" customFormat="false" ht="15" hidden="false" customHeight="true" outlineLevel="0" collapsed="false">
      <c r="A5" s="6" t="s">
        <v>20</v>
      </c>
      <c r="B5" s="25" t="n">
        <f aca="false">CORREL(Simulation!$C$2:$C$2001,Simulation!$S$2:$S$2001)</f>
        <v>0.422287040239984</v>
      </c>
    </row>
    <row r="6" customFormat="false" ht="15" hidden="false" customHeight="true" outlineLevel="0" collapsed="false">
      <c r="A6" s="6" t="s">
        <v>105</v>
      </c>
      <c r="B6" s="25" t="n">
        <f aca="false">CORREL(Simulation!$D$2:$D$2001,Simulation!$S$2:$S$2001)</f>
        <v>-0.651350273107172</v>
      </c>
    </row>
    <row r="7" customFormat="false" ht="15" hidden="false" customHeight="true" outlineLevel="0" collapsed="false">
      <c r="A7" s="6" t="s">
        <v>23</v>
      </c>
      <c r="B7" s="25" t="n">
        <f aca="false">CORREL(Simulation!$E$2:$E$2001,Simulation!$S$2:$S$2001)</f>
        <v>-0.19190409786381</v>
      </c>
    </row>
    <row r="8" customFormat="false" ht="15" hidden="false" customHeight="true" outlineLevel="0" collapsed="false">
      <c r="A8" s="6" t="s">
        <v>24</v>
      </c>
      <c r="B8" s="25" t="n">
        <f aca="false">CORREL(Simulation!$F$2:$F$2001,Simulation!$S$2:$S$2001)</f>
        <v>0.152846326939598</v>
      </c>
    </row>
    <row r="9" customFormat="false" ht="15" hidden="false" customHeight="true" outlineLevel="0" collapsed="false">
      <c r="A9" s="6" t="s">
        <v>43</v>
      </c>
      <c r="B9" s="25" t="n">
        <f aca="false">CORREL(Simulation!$G$2:$G$2001,Simulation!$S$2:$S$2001)</f>
        <v>-0.472410916854721</v>
      </c>
    </row>
    <row r="12" customFormat="false" ht="15" hidden="false" customHeight="true" outlineLevel="0" collapsed="false">
      <c r="A12" s="9" t="s">
        <v>106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1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</cols>
  <sheetData>
    <row r="1" customFormat="false" ht="15" hidden="false" customHeight="true" outlineLevel="0" collapsed="false">
      <c r="A1" s="10" t="s">
        <v>107</v>
      </c>
      <c r="B1" s="10"/>
      <c r="C1" s="10"/>
      <c r="D1" s="10"/>
      <c r="E1" s="10"/>
      <c r="F1" s="10"/>
    </row>
    <row r="3" customFormat="false" ht="15" hidden="false" customHeight="true" outlineLevel="0" collapsed="false">
      <c r="A3" s="6" t="s">
        <v>108</v>
      </c>
      <c r="B3" s="20" t="n">
        <v>11.5</v>
      </c>
    </row>
    <row r="4" customFormat="false" ht="15" hidden="false" customHeight="true" outlineLevel="0" collapsed="false">
      <c r="A4" s="6" t="s">
        <v>109</v>
      </c>
      <c r="B4" s="18" t="n">
        <v>0.07</v>
      </c>
    </row>
    <row r="5" customFormat="false" ht="15" hidden="false" customHeight="true" outlineLevel="0" collapsed="false">
      <c r="A5" s="6" t="s">
        <v>110</v>
      </c>
      <c r="B5" s="18" t="n">
        <v>0.38</v>
      </c>
    </row>
    <row r="6" customFormat="false" ht="15" hidden="false" customHeight="true" outlineLevel="0" collapsed="false">
      <c r="A6" s="6" t="s">
        <v>111</v>
      </c>
      <c r="B6" s="21" t="n">
        <v>5</v>
      </c>
    </row>
    <row r="7" customFormat="false" ht="15" hidden="false" customHeight="true" outlineLevel="0" collapsed="false">
      <c r="A7" s="6" t="s">
        <v>112</v>
      </c>
      <c r="B7" s="21" t="n">
        <v>60</v>
      </c>
    </row>
    <row r="8" customFormat="false" ht="15" hidden="false" customHeight="true" outlineLevel="0" collapsed="false">
      <c r="A8" s="6" t="s">
        <v>113</v>
      </c>
      <c r="B8" s="35" t="n">
        <f aca="false">B6/B7</f>
        <v>0.0833333333333333</v>
      </c>
    </row>
    <row r="10" customFormat="false" ht="15" hidden="false" customHeight="true" outlineLevel="0" collapsed="false">
      <c r="A10" s="16" t="s">
        <v>114</v>
      </c>
      <c r="B10" s="23" t="n">
        <v>0</v>
      </c>
      <c r="C10" s="23" t="n">
        <v>1</v>
      </c>
      <c r="D10" s="23" t="n">
        <v>2</v>
      </c>
      <c r="E10" s="23" t="n">
        <v>3</v>
      </c>
      <c r="F10" s="23" t="n">
        <v>4</v>
      </c>
      <c r="G10" s="23" t="n">
        <v>5</v>
      </c>
      <c r="H10" s="23" t="n">
        <v>6</v>
      </c>
      <c r="I10" s="23" t="n">
        <v>7</v>
      </c>
      <c r="J10" s="23" t="n">
        <v>8</v>
      </c>
      <c r="K10" s="23" t="n">
        <v>9</v>
      </c>
      <c r="L10" s="23" t="n">
        <v>10</v>
      </c>
      <c r="M10" s="23" t="n">
        <v>11</v>
      </c>
      <c r="N10" s="23" t="n">
        <v>12</v>
      </c>
      <c r="O10" s="23" t="n">
        <v>13</v>
      </c>
      <c r="P10" s="23" t="n">
        <v>14</v>
      </c>
      <c r="Q10" s="23" t="n">
        <v>15</v>
      </c>
      <c r="R10" s="23" t="n">
        <v>16</v>
      </c>
      <c r="S10" s="23" t="n">
        <v>17</v>
      </c>
      <c r="T10" s="23" t="n">
        <v>18</v>
      </c>
      <c r="U10" s="23" t="n">
        <v>19</v>
      </c>
      <c r="V10" s="23" t="n">
        <v>20</v>
      </c>
      <c r="W10" s="23" t="n">
        <v>21</v>
      </c>
      <c r="X10" s="23" t="n">
        <v>22</v>
      </c>
      <c r="Y10" s="23" t="n">
        <v>23</v>
      </c>
      <c r="Z10" s="23" t="n">
        <v>24</v>
      </c>
      <c r="AA10" s="23" t="n">
        <v>25</v>
      </c>
      <c r="AB10" s="23" t="n">
        <v>26</v>
      </c>
      <c r="AC10" s="23" t="n">
        <v>27</v>
      </c>
      <c r="AD10" s="23" t="n">
        <v>28</v>
      </c>
      <c r="AE10" s="23" t="n">
        <v>29</v>
      </c>
      <c r="AF10" s="23" t="n">
        <v>30</v>
      </c>
      <c r="AG10" s="23" t="n">
        <v>31</v>
      </c>
      <c r="AH10" s="23" t="n">
        <v>32</v>
      </c>
      <c r="AI10" s="23" t="n">
        <v>33</v>
      </c>
      <c r="AJ10" s="23" t="n">
        <v>34</v>
      </c>
      <c r="AK10" s="23" t="n">
        <v>35</v>
      </c>
      <c r="AL10" s="23" t="n">
        <v>36</v>
      </c>
      <c r="AM10" s="23" t="n">
        <v>37</v>
      </c>
      <c r="AN10" s="23" t="n">
        <v>38</v>
      </c>
      <c r="AO10" s="23" t="n">
        <v>39</v>
      </c>
      <c r="AP10" s="23" t="n">
        <v>40</v>
      </c>
      <c r="AQ10" s="23" t="n">
        <v>41</v>
      </c>
      <c r="AR10" s="23" t="n">
        <v>42</v>
      </c>
      <c r="AS10" s="23" t="n">
        <v>43</v>
      </c>
      <c r="AT10" s="23" t="n">
        <v>44</v>
      </c>
      <c r="AU10" s="23" t="n">
        <v>45</v>
      </c>
      <c r="AV10" s="23" t="n">
        <v>46</v>
      </c>
      <c r="AW10" s="23" t="n">
        <v>47</v>
      </c>
      <c r="AX10" s="23" t="n">
        <v>48</v>
      </c>
      <c r="AY10" s="23" t="n">
        <v>49</v>
      </c>
      <c r="AZ10" s="23" t="n">
        <v>50</v>
      </c>
      <c r="BA10" s="23" t="n">
        <v>51</v>
      </c>
      <c r="BB10" s="23" t="n">
        <v>52</v>
      </c>
      <c r="BC10" s="23" t="n">
        <v>53</v>
      </c>
      <c r="BD10" s="23" t="n">
        <v>54</v>
      </c>
      <c r="BE10" s="23" t="n">
        <v>55</v>
      </c>
      <c r="BF10" s="23" t="n">
        <v>56</v>
      </c>
      <c r="BG10" s="23" t="n">
        <v>57</v>
      </c>
      <c r="BH10" s="23" t="n">
        <v>58</v>
      </c>
      <c r="BI10" s="23" t="n">
        <v>59</v>
      </c>
      <c r="BJ10" s="23" t="n">
        <v>60</v>
      </c>
    </row>
    <row r="11" customFormat="false" ht="15" hidden="false" customHeight="true" outlineLevel="0" collapsed="false">
      <c r="A11" s="6" t="s">
        <v>115</v>
      </c>
      <c r="B11" s="32" t="n">
        <f aca="false">$B$3</f>
        <v>11.5</v>
      </c>
      <c r="C11" s="32" t="n">
        <f aca="false">B11*EXP(($B$4-0.5*$B$5^2)*$B$8+$B$5*SQRT($B$8)*C67)</f>
        <v>11.4994435313085</v>
      </c>
      <c r="D11" s="32" t="n">
        <f aca="false">C11*EXP(($B$4-0.5*$B$5^2)*$B$8+$B$5*SQRT($B$8)*D67)</f>
        <v>11.8803606048589</v>
      </c>
      <c r="E11" s="32" t="n">
        <f aca="false">D11*EXP(($B$4-0.5*$B$5^2)*$B$8+$B$5*SQRT($B$8)*E67)</f>
        <v>11.5262997236793</v>
      </c>
      <c r="F11" s="32" t="n">
        <f aca="false">E11*EXP(($B$4-0.5*$B$5^2)*$B$8+$B$5*SQRT($B$8)*F67)</f>
        <v>10.4515800745737</v>
      </c>
      <c r="G11" s="32" t="n">
        <f aca="false">F11*EXP(($B$4-0.5*$B$5^2)*$B$8+$B$5*SQRT($B$8)*G67)</f>
        <v>9.94126245268099</v>
      </c>
      <c r="H11" s="32" t="n">
        <f aca="false">G11*EXP(($B$4-0.5*$B$5^2)*$B$8+$B$5*SQRT($B$8)*H67)</f>
        <v>8.91495745975695</v>
      </c>
      <c r="I11" s="32" t="n">
        <f aca="false">H11*EXP(($B$4-0.5*$B$5^2)*$B$8+$B$5*SQRT($B$8)*I67)</f>
        <v>8.97232367370409</v>
      </c>
      <c r="J11" s="32" t="n">
        <f aca="false">I11*EXP(($B$4-0.5*$B$5^2)*$B$8+$B$5*SQRT($B$8)*J67)</f>
        <v>10.3913980038635</v>
      </c>
      <c r="K11" s="32" t="n">
        <f aca="false">J11*EXP(($B$4-0.5*$B$5^2)*$B$8+$B$5*SQRT($B$8)*K67)</f>
        <v>9.84340470689457</v>
      </c>
      <c r="L11" s="32" t="n">
        <f aca="false">K11*EXP(($B$4-0.5*$B$5^2)*$B$8+$B$5*SQRT($B$8)*L67)</f>
        <v>9.19403007100793</v>
      </c>
      <c r="M11" s="32" t="n">
        <f aca="false">L11*EXP(($B$4-0.5*$B$5^2)*$B$8+$B$5*SQRT($B$8)*M67)</f>
        <v>9.69979758996663</v>
      </c>
      <c r="N11" s="32" t="n">
        <f aca="false">M11*EXP(($B$4-0.5*$B$5^2)*$B$8+$B$5*SQRT($B$8)*N67)</f>
        <v>10.0852197291531</v>
      </c>
      <c r="O11" s="32" t="n">
        <f aca="false">N11*EXP(($B$4-0.5*$B$5^2)*$B$8+$B$5*SQRT($B$8)*O67)</f>
        <v>10.2006475657362</v>
      </c>
      <c r="P11" s="32" t="n">
        <f aca="false">O11*EXP(($B$4-0.5*$B$5^2)*$B$8+$B$5*SQRT($B$8)*P67)</f>
        <v>9.20916087879749</v>
      </c>
      <c r="Q11" s="32" t="n">
        <f aca="false">P11*EXP(($B$4-0.5*$B$5^2)*$B$8+$B$5*SQRT($B$8)*Q67)</f>
        <v>9.17797487964241</v>
      </c>
      <c r="R11" s="32" t="n">
        <f aca="false">Q11*EXP(($B$4-0.5*$B$5^2)*$B$8+$B$5*SQRT($B$8)*R67)</f>
        <v>9.90357306863498</v>
      </c>
      <c r="S11" s="32" t="n">
        <f aca="false">R11*EXP(($B$4-0.5*$B$5^2)*$B$8+$B$5*SQRT($B$8)*S67)</f>
        <v>8.54423319167856</v>
      </c>
      <c r="T11" s="32" t="n">
        <f aca="false">S11*EXP(($B$4-0.5*$B$5^2)*$B$8+$B$5*SQRT($B$8)*T67)</f>
        <v>8.12442024175842</v>
      </c>
      <c r="U11" s="32" t="n">
        <f aca="false">T11*EXP(($B$4-0.5*$B$5^2)*$B$8+$B$5*SQRT($B$8)*U67)</f>
        <v>6.59382404350176</v>
      </c>
      <c r="V11" s="32" t="n">
        <f aca="false">U11*EXP(($B$4-0.5*$B$5^2)*$B$8+$B$5*SQRT($B$8)*V67)</f>
        <v>5.72299508149667</v>
      </c>
      <c r="W11" s="32" t="n">
        <f aca="false">V11*EXP(($B$4-0.5*$B$5^2)*$B$8+$B$5*SQRT($B$8)*W67)</f>
        <v>4.67522349911504</v>
      </c>
      <c r="X11" s="32" t="n">
        <f aca="false">W11*EXP(($B$4-0.5*$B$5^2)*$B$8+$B$5*SQRT($B$8)*X67)</f>
        <v>4.5553617659338</v>
      </c>
      <c r="Y11" s="32" t="n">
        <f aca="false">X11*EXP(($B$4-0.5*$B$5^2)*$B$8+$B$5*SQRT($B$8)*Y67)</f>
        <v>3.96334001604827</v>
      </c>
      <c r="Z11" s="32" t="n">
        <f aca="false">Y11*EXP(($B$4-0.5*$B$5^2)*$B$8+$B$5*SQRT($B$8)*Z67)</f>
        <v>4.08229993620849</v>
      </c>
      <c r="AA11" s="32" t="n">
        <f aca="false">Z11*EXP(($B$4-0.5*$B$5^2)*$B$8+$B$5*SQRT($B$8)*AA67)</f>
        <v>4.15234095066406</v>
      </c>
      <c r="AB11" s="32" t="n">
        <f aca="false">AA11*EXP(($B$4-0.5*$B$5^2)*$B$8+$B$5*SQRT($B$8)*AB67)</f>
        <v>4.06731569082866</v>
      </c>
      <c r="AC11" s="32" t="n">
        <f aca="false">AB11*EXP(($B$4-0.5*$B$5^2)*$B$8+$B$5*SQRT($B$8)*AC67)</f>
        <v>3.08551954358742</v>
      </c>
      <c r="AD11" s="32" t="n">
        <f aca="false">AC11*EXP(($B$4-0.5*$B$5^2)*$B$8+$B$5*SQRT($B$8)*AD67)</f>
        <v>2.90793720812615</v>
      </c>
      <c r="AE11" s="32" t="n">
        <f aca="false">AD11*EXP(($B$4-0.5*$B$5^2)*$B$8+$B$5*SQRT($B$8)*AE67)</f>
        <v>2.8919766979963</v>
      </c>
      <c r="AF11" s="32" t="n">
        <f aca="false">AE11*EXP(($B$4-0.5*$B$5^2)*$B$8+$B$5*SQRT($B$8)*AF67)</f>
        <v>2.92761037473954</v>
      </c>
      <c r="AG11" s="32" t="n">
        <f aca="false">AF11*EXP(($B$4-0.5*$B$5^2)*$B$8+$B$5*SQRT($B$8)*AG67)</f>
        <v>2.47478263745553</v>
      </c>
      <c r="AH11" s="32" t="n">
        <f aca="false">AG11*EXP(($B$4-0.5*$B$5^2)*$B$8+$B$5*SQRT($B$8)*AH67)</f>
        <v>2.34799400541069</v>
      </c>
      <c r="AI11" s="32" t="n">
        <f aca="false">AH11*EXP(($B$4-0.5*$B$5^2)*$B$8+$B$5*SQRT($B$8)*AI67)</f>
        <v>2.10862873474851</v>
      </c>
      <c r="AJ11" s="32" t="n">
        <f aca="false">AI11*EXP(($B$4-0.5*$B$5^2)*$B$8+$B$5*SQRT($B$8)*AJ67)</f>
        <v>1.92924330972294</v>
      </c>
      <c r="AK11" s="32" t="n">
        <f aca="false">AJ11*EXP(($B$4-0.5*$B$5^2)*$B$8+$B$5*SQRT($B$8)*AK67)</f>
        <v>2.16695172573834</v>
      </c>
      <c r="AL11" s="32" t="n">
        <f aca="false">AK11*EXP(($B$4-0.5*$B$5^2)*$B$8+$B$5*SQRT($B$8)*AL67)</f>
        <v>1.9828879510125</v>
      </c>
      <c r="AM11" s="32" t="n">
        <f aca="false">AL11*EXP(($B$4-0.5*$B$5^2)*$B$8+$B$5*SQRT($B$8)*AM67)</f>
        <v>1.97546436246785</v>
      </c>
      <c r="AN11" s="32" t="n">
        <f aca="false">AM11*EXP(($B$4-0.5*$B$5^2)*$B$8+$B$5*SQRT($B$8)*AN67)</f>
        <v>2.17631847425984</v>
      </c>
      <c r="AO11" s="32" t="n">
        <f aca="false">AN11*EXP(($B$4-0.5*$B$5^2)*$B$8+$B$5*SQRT($B$8)*AO67)</f>
        <v>2.04098470084446</v>
      </c>
      <c r="AP11" s="32" t="n">
        <f aca="false">AO11*EXP(($B$4-0.5*$B$5^2)*$B$8+$B$5*SQRT($B$8)*AP67)</f>
        <v>2.01575887203279</v>
      </c>
      <c r="AQ11" s="32" t="n">
        <f aca="false">AP11*EXP(($B$4-0.5*$B$5^2)*$B$8+$B$5*SQRT($B$8)*AQ67)</f>
        <v>2.03995946617255</v>
      </c>
      <c r="AR11" s="32" t="n">
        <f aca="false">AQ11*EXP(($B$4-0.5*$B$5^2)*$B$8+$B$5*SQRT($B$8)*AR67)</f>
        <v>2.05390579330921</v>
      </c>
      <c r="AS11" s="32" t="n">
        <f aca="false">AR11*EXP(($B$4-0.5*$B$5^2)*$B$8+$B$5*SQRT($B$8)*AS67)</f>
        <v>1.79530605756164</v>
      </c>
      <c r="AT11" s="32" t="n">
        <f aca="false">AS11*EXP(($B$4-0.5*$B$5^2)*$B$8+$B$5*SQRT($B$8)*AT67)</f>
        <v>1.81003195596954</v>
      </c>
      <c r="AU11" s="32" t="n">
        <f aca="false">AT11*EXP(($B$4-0.5*$B$5^2)*$B$8+$B$5*SQRT($B$8)*AU67)</f>
        <v>2.10059242061887</v>
      </c>
      <c r="AV11" s="32" t="n">
        <f aca="false">AU11*EXP(($B$4-0.5*$B$5^2)*$B$8+$B$5*SQRT($B$8)*AV67)</f>
        <v>1.77237355778057</v>
      </c>
      <c r="AW11" s="32" t="n">
        <f aca="false">AV11*EXP(($B$4-0.5*$B$5^2)*$B$8+$B$5*SQRT($B$8)*AW67)</f>
        <v>1.94722956214745</v>
      </c>
      <c r="AX11" s="32" t="n">
        <f aca="false">AW11*EXP(($B$4-0.5*$B$5^2)*$B$8+$B$5*SQRT($B$8)*AX67)</f>
        <v>1.97253006689713</v>
      </c>
      <c r="AY11" s="32" t="n">
        <f aca="false">AX11*EXP(($B$4-0.5*$B$5^2)*$B$8+$B$5*SQRT($B$8)*AY67)</f>
        <v>1.83816279794928</v>
      </c>
      <c r="AZ11" s="32" t="n">
        <f aca="false">AY11*EXP(($B$4-0.5*$B$5^2)*$B$8+$B$5*SQRT($B$8)*AZ67)</f>
        <v>2.28878716750118</v>
      </c>
      <c r="BA11" s="32" t="n">
        <f aca="false">AZ11*EXP(($B$4-0.5*$B$5^2)*$B$8+$B$5*SQRT($B$8)*BA67)</f>
        <v>2.48794230238601</v>
      </c>
      <c r="BB11" s="32" t="n">
        <f aca="false">BA11*EXP(($B$4-0.5*$B$5^2)*$B$8+$B$5*SQRT($B$8)*BB67)</f>
        <v>2.18085018638269</v>
      </c>
      <c r="BC11" s="32" t="n">
        <f aca="false">BB11*EXP(($B$4-0.5*$B$5^2)*$B$8+$B$5*SQRT($B$8)*BC67)</f>
        <v>2.19834682453072</v>
      </c>
      <c r="BD11" s="32" t="n">
        <f aca="false">BC11*EXP(($B$4-0.5*$B$5^2)*$B$8+$B$5*SQRT($B$8)*BD67)</f>
        <v>2.34147988643678</v>
      </c>
      <c r="BE11" s="32" t="n">
        <f aca="false">BD11*EXP(($B$4-0.5*$B$5^2)*$B$8+$B$5*SQRT($B$8)*BE67)</f>
        <v>2.29306896139097</v>
      </c>
      <c r="BF11" s="32" t="n">
        <f aca="false">BE11*EXP(($B$4-0.5*$B$5^2)*$B$8+$B$5*SQRT($B$8)*BF67)</f>
        <v>2.47099436336522</v>
      </c>
      <c r="BG11" s="32" t="n">
        <f aca="false">BF11*EXP(($B$4-0.5*$B$5^2)*$B$8+$B$5*SQRT($B$8)*BG67)</f>
        <v>2.45258014775009</v>
      </c>
      <c r="BH11" s="32" t="n">
        <f aca="false">BG11*EXP(($B$4-0.5*$B$5^2)*$B$8+$B$5*SQRT($B$8)*BH67)</f>
        <v>2.63834549642036</v>
      </c>
      <c r="BI11" s="32" t="n">
        <f aca="false">BH11*EXP(($B$4-0.5*$B$5^2)*$B$8+$B$5*SQRT($B$8)*BI67)</f>
        <v>3.08875979194275</v>
      </c>
      <c r="BJ11" s="32" t="n">
        <f aca="false">BI11*EXP(($B$4-0.5*$B$5^2)*$B$8+$B$5*SQRT($B$8)*BJ67)</f>
        <v>2.86758008030533</v>
      </c>
    </row>
    <row r="12" customFormat="false" ht="15" hidden="false" customHeight="true" outlineLevel="0" collapsed="false">
      <c r="A12" s="6" t="s">
        <v>116</v>
      </c>
      <c r="B12" s="32" t="n">
        <f aca="false">$B$3</f>
        <v>11.5</v>
      </c>
      <c r="C12" s="32" t="n">
        <f aca="false">B12*EXP(($B$4-0.5*$B$5^2)*$B$8+$B$5*SQRT($B$8)*C68)</f>
        <v>11.7569823541036</v>
      </c>
      <c r="D12" s="32" t="n">
        <f aca="false">C12*EXP(($B$4-0.5*$B$5^2)*$B$8+$B$5*SQRT($B$8)*D68)</f>
        <v>11.1723360847102</v>
      </c>
      <c r="E12" s="32" t="n">
        <f aca="false">D12*EXP(($B$4-0.5*$B$5^2)*$B$8+$B$5*SQRT($B$8)*E68)</f>
        <v>11.3273290159585</v>
      </c>
      <c r="F12" s="32" t="n">
        <f aca="false">E12*EXP(($B$4-0.5*$B$5^2)*$B$8+$B$5*SQRT($B$8)*F68)</f>
        <v>9.94235410652677</v>
      </c>
      <c r="G12" s="32" t="n">
        <f aca="false">F12*EXP(($B$4-0.5*$B$5^2)*$B$8+$B$5*SQRT($B$8)*G68)</f>
        <v>9.32848949143058</v>
      </c>
      <c r="H12" s="32" t="n">
        <f aca="false">G12*EXP(($B$4-0.5*$B$5^2)*$B$8+$B$5*SQRT($B$8)*H68)</f>
        <v>9.12819293390477</v>
      </c>
      <c r="I12" s="32" t="n">
        <f aca="false">H12*EXP(($B$4-0.5*$B$5^2)*$B$8+$B$5*SQRT($B$8)*I68)</f>
        <v>10.0721653414732</v>
      </c>
      <c r="J12" s="32" t="n">
        <f aca="false">I12*EXP(($B$4-0.5*$B$5^2)*$B$8+$B$5*SQRT($B$8)*J68)</f>
        <v>11.4183222912843</v>
      </c>
      <c r="K12" s="32" t="n">
        <f aca="false">J12*EXP(($B$4-0.5*$B$5^2)*$B$8+$B$5*SQRT($B$8)*K68)</f>
        <v>9.87345177508722</v>
      </c>
      <c r="L12" s="32" t="n">
        <f aca="false">K12*EXP(($B$4-0.5*$B$5^2)*$B$8+$B$5*SQRT($B$8)*L68)</f>
        <v>9.04757400427026</v>
      </c>
      <c r="M12" s="32" t="n">
        <f aca="false">L12*EXP(($B$4-0.5*$B$5^2)*$B$8+$B$5*SQRT($B$8)*M68)</f>
        <v>9.71116638372315</v>
      </c>
      <c r="N12" s="32" t="n">
        <f aca="false">M12*EXP(($B$4-0.5*$B$5^2)*$B$8+$B$5*SQRT($B$8)*N68)</f>
        <v>7.80318110793546</v>
      </c>
      <c r="O12" s="32" t="n">
        <f aca="false">N12*EXP(($B$4-0.5*$B$5^2)*$B$8+$B$5*SQRT($B$8)*O68)</f>
        <v>7.41525982022842</v>
      </c>
      <c r="P12" s="32" t="n">
        <f aca="false">O12*EXP(($B$4-0.5*$B$5^2)*$B$8+$B$5*SQRT($B$8)*P68)</f>
        <v>7.33519973216651</v>
      </c>
      <c r="Q12" s="32" t="n">
        <f aca="false">P12*EXP(($B$4-0.5*$B$5^2)*$B$8+$B$5*SQRT($B$8)*Q68)</f>
        <v>8.41816200854195</v>
      </c>
      <c r="R12" s="32" t="n">
        <f aca="false">Q12*EXP(($B$4-0.5*$B$5^2)*$B$8+$B$5*SQRT($B$8)*R68)</f>
        <v>9.07781398030184</v>
      </c>
      <c r="S12" s="32" t="n">
        <f aca="false">R12*EXP(($B$4-0.5*$B$5^2)*$B$8+$B$5*SQRT($B$8)*S68)</f>
        <v>8.75614636545906</v>
      </c>
      <c r="T12" s="32" t="n">
        <f aca="false">S12*EXP(($B$4-0.5*$B$5^2)*$B$8+$B$5*SQRT($B$8)*T68)</f>
        <v>8.40764203040518</v>
      </c>
      <c r="U12" s="32" t="n">
        <f aca="false">T12*EXP(($B$4-0.5*$B$5^2)*$B$8+$B$5*SQRT($B$8)*U68)</f>
        <v>8.17852774306211</v>
      </c>
      <c r="V12" s="32" t="n">
        <f aca="false">U12*EXP(($B$4-0.5*$B$5^2)*$B$8+$B$5*SQRT($B$8)*V68)</f>
        <v>9.66445516751998</v>
      </c>
      <c r="W12" s="32" t="n">
        <f aca="false">V12*EXP(($B$4-0.5*$B$5^2)*$B$8+$B$5*SQRT($B$8)*W68)</f>
        <v>9.21947916275745</v>
      </c>
      <c r="X12" s="32" t="n">
        <f aca="false">W12*EXP(($B$4-0.5*$B$5^2)*$B$8+$B$5*SQRT($B$8)*X68)</f>
        <v>8.91577804716405</v>
      </c>
      <c r="Y12" s="32" t="n">
        <f aca="false">X12*EXP(($B$4-0.5*$B$5^2)*$B$8+$B$5*SQRT($B$8)*Y68)</f>
        <v>9.26567760228211</v>
      </c>
      <c r="Z12" s="32" t="n">
        <f aca="false">Y12*EXP(($B$4-0.5*$B$5^2)*$B$8+$B$5*SQRT($B$8)*Z68)</f>
        <v>9.14205830983782</v>
      </c>
      <c r="AA12" s="32" t="n">
        <f aca="false">Z12*EXP(($B$4-0.5*$B$5^2)*$B$8+$B$5*SQRT($B$8)*AA68)</f>
        <v>8.94469684502855</v>
      </c>
      <c r="AB12" s="32" t="n">
        <f aca="false">AA12*EXP(($B$4-0.5*$B$5^2)*$B$8+$B$5*SQRT($B$8)*AB68)</f>
        <v>7.91427561573453</v>
      </c>
      <c r="AC12" s="32" t="n">
        <f aca="false">AB12*EXP(($B$4-0.5*$B$5^2)*$B$8+$B$5*SQRT($B$8)*AC68)</f>
        <v>7.90283037058573</v>
      </c>
      <c r="AD12" s="32" t="n">
        <f aca="false">AC12*EXP(($B$4-0.5*$B$5^2)*$B$8+$B$5*SQRT($B$8)*AD68)</f>
        <v>7.52610998763096</v>
      </c>
      <c r="AE12" s="32" t="n">
        <f aca="false">AD12*EXP(($B$4-0.5*$B$5^2)*$B$8+$B$5*SQRT($B$8)*AE68)</f>
        <v>8.55157236456607</v>
      </c>
      <c r="AF12" s="32" t="n">
        <f aca="false">AE12*EXP(($B$4-0.5*$B$5^2)*$B$8+$B$5*SQRT($B$8)*AF68)</f>
        <v>9.18501536346994</v>
      </c>
      <c r="AG12" s="32" t="n">
        <f aca="false">AF12*EXP(($B$4-0.5*$B$5^2)*$B$8+$B$5*SQRT($B$8)*AG68)</f>
        <v>9.15904198954709</v>
      </c>
      <c r="AH12" s="32" t="n">
        <f aca="false">AG12*EXP(($B$4-0.5*$B$5^2)*$B$8+$B$5*SQRT($B$8)*AH68)</f>
        <v>9.85399884285768</v>
      </c>
      <c r="AI12" s="32" t="n">
        <f aca="false">AH12*EXP(($B$4-0.5*$B$5^2)*$B$8+$B$5*SQRT($B$8)*AI68)</f>
        <v>9.49164080221516</v>
      </c>
      <c r="AJ12" s="32" t="n">
        <f aca="false">AI12*EXP(($B$4-0.5*$B$5^2)*$B$8+$B$5*SQRT($B$8)*AJ68)</f>
        <v>10.6508829545905</v>
      </c>
      <c r="AK12" s="32" t="n">
        <f aca="false">AJ12*EXP(($B$4-0.5*$B$5^2)*$B$8+$B$5*SQRT($B$8)*AK68)</f>
        <v>10.6426248374307</v>
      </c>
      <c r="AL12" s="32" t="n">
        <f aca="false">AK12*EXP(($B$4-0.5*$B$5^2)*$B$8+$B$5*SQRT($B$8)*AL68)</f>
        <v>11.3438851750978</v>
      </c>
      <c r="AM12" s="32" t="n">
        <f aca="false">AL12*EXP(($B$4-0.5*$B$5^2)*$B$8+$B$5*SQRT($B$8)*AM68)</f>
        <v>9.84426426458865</v>
      </c>
      <c r="AN12" s="32" t="n">
        <f aca="false">AM12*EXP(($B$4-0.5*$B$5^2)*$B$8+$B$5*SQRT($B$8)*AN68)</f>
        <v>10.2239729284967</v>
      </c>
      <c r="AO12" s="32" t="n">
        <f aca="false">AN12*EXP(($B$4-0.5*$B$5^2)*$B$8+$B$5*SQRT($B$8)*AO68)</f>
        <v>8.49401456945543</v>
      </c>
      <c r="AP12" s="32" t="n">
        <f aca="false">AO12*EXP(($B$4-0.5*$B$5^2)*$B$8+$B$5*SQRT($B$8)*AP68)</f>
        <v>6.79311669050323</v>
      </c>
      <c r="AQ12" s="32" t="n">
        <f aca="false">AP12*EXP(($B$4-0.5*$B$5^2)*$B$8+$B$5*SQRT($B$8)*AQ68)</f>
        <v>6.56876902147169</v>
      </c>
      <c r="AR12" s="32" t="n">
        <f aca="false">AQ12*EXP(($B$4-0.5*$B$5^2)*$B$8+$B$5*SQRT($B$8)*AR68)</f>
        <v>5.95019601803854</v>
      </c>
      <c r="AS12" s="32" t="n">
        <f aca="false">AR12*EXP(($B$4-0.5*$B$5^2)*$B$8+$B$5*SQRT($B$8)*AS68)</f>
        <v>6.05713463519854</v>
      </c>
      <c r="AT12" s="32" t="n">
        <f aca="false">AS12*EXP(($B$4-0.5*$B$5^2)*$B$8+$B$5*SQRT($B$8)*AT68)</f>
        <v>7.74692184005776</v>
      </c>
      <c r="AU12" s="32" t="n">
        <f aca="false">AT12*EXP(($B$4-0.5*$B$5^2)*$B$8+$B$5*SQRT($B$8)*AU68)</f>
        <v>7.0701032566099</v>
      </c>
      <c r="AV12" s="32" t="n">
        <f aca="false">AU12*EXP(($B$4-0.5*$B$5^2)*$B$8+$B$5*SQRT($B$8)*AV68)</f>
        <v>6.60117254655058</v>
      </c>
      <c r="AW12" s="32" t="n">
        <f aca="false">AV12*EXP(($B$4-0.5*$B$5^2)*$B$8+$B$5*SQRT($B$8)*AW68)</f>
        <v>6.75036152671144</v>
      </c>
      <c r="AX12" s="32" t="n">
        <f aca="false">AW12*EXP(($B$4-0.5*$B$5^2)*$B$8+$B$5*SQRT($B$8)*AX68)</f>
        <v>7.12417968336171</v>
      </c>
      <c r="AY12" s="32" t="n">
        <f aca="false">AX12*EXP(($B$4-0.5*$B$5^2)*$B$8+$B$5*SQRT($B$8)*AY68)</f>
        <v>6.98636307616957</v>
      </c>
      <c r="AZ12" s="32" t="n">
        <f aca="false">AY12*EXP(($B$4-0.5*$B$5^2)*$B$8+$B$5*SQRT($B$8)*AZ68)</f>
        <v>6.82905932162869</v>
      </c>
      <c r="BA12" s="32" t="n">
        <f aca="false">AZ12*EXP(($B$4-0.5*$B$5^2)*$B$8+$B$5*SQRT($B$8)*BA68)</f>
        <v>7.37474530574325</v>
      </c>
      <c r="BB12" s="32" t="n">
        <f aca="false">BA12*EXP(($B$4-0.5*$B$5^2)*$B$8+$B$5*SQRT($B$8)*BB68)</f>
        <v>7.80613613330278</v>
      </c>
      <c r="BC12" s="32" t="n">
        <f aca="false">BB12*EXP(($B$4-0.5*$B$5^2)*$B$8+$B$5*SQRT($B$8)*BC68)</f>
        <v>6.96805477924359</v>
      </c>
      <c r="BD12" s="32" t="n">
        <f aca="false">BC12*EXP(($B$4-0.5*$B$5^2)*$B$8+$B$5*SQRT($B$8)*BD68)</f>
        <v>6.90652661083343</v>
      </c>
      <c r="BE12" s="32" t="n">
        <f aca="false">BD12*EXP(($B$4-0.5*$B$5^2)*$B$8+$B$5*SQRT($B$8)*BE68)</f>
        <v>6.93204152679454</v>
      </c>
      <c r="BF12" s="32" t="n">
        <f aca="false">BE12*EXP(($B$4-0.5*$B$5^2)*$B$8+$B$5*SQRT($B$8)*BF68)</f>
        <v>6.17369610307445</v>
      </c>
      <c r="BG12" s="32" t="n">
        <f aca="false">BF12*EXP(($B$4-0.5*$B$5^2)*$B$8+$B$5*SQRT($B$8)*BG68)</f>
        <v>6.35103519646957</v>
      </c>
      <c r="BH12" s="32" t="n">
        <f aca="false">BG12*EXP(($B$4-0.5*$B$5^2)*$B$8+$B$5*SQRT($B$8)*BH68)</f>
        <v>5.77951415412077</v>
      </c>
      <c r="BI12" s="32" t="n">
        <f aca="false">BH12*EXP(($B$4-0.5*$B$5^2)*$B$8+$B$5*SQRT($B$8)*BI68)</f>
        <v>6.42867630555838</v>
      </c>
      <c r="BJ12" s="32" t="n">
        <f aca="false">BI12*EXP(($B$4-0.5*$B$5^2)*$B$8+$B$5*SQRT($B$8)*BJ68)</f>
        <v>6.5648449073314</v>
      </c>
    </row>
    <row r="13" customFormat="false" ht="15" hidden="false" customHeight="true" outlineLevel="0" collapsed="false">
      <c r="A13" s="6" t="s">
        <v>117</v>
      </c>
      <c r="B13" s="32" t="n">
        <f aca="false">$B$3</f>
        <v>11.5</v>
      </c>
      <c r="C13" s="32" t="n">
        <f aca="false">B13*EXP(($B$4-0.5*$B$5^2)*$B$8+$B$5*SQRT($B$8)*C69)</f>
        <v>11.6110858157649</v>
      </c>
      <c r="D13" s="32" t="n">
        <f aca="false">C13*EXP(($B$4-0.5*$B$5^2)*$B$8+$B$5*SQRT($B$8)*D69)</f>
        <v>10.8801846223359</v>
      </c>
      <c r="E13" s="32" t="n">
        <f aca="false">D13*EXP(($B$4-0.5*$B$5^2)*$B$8+$B$5*SQRT($B$8)*E69)</f>
        <v>10.7375698046435</v>
      </c>
      <c r="F13" s="32" t="n">
        <f aca="false">E13*EXP(($B$4-0.5*$B$5^2)*$B$8+$B$5*SQRT($B$8)*F69)</f>
        <v>8.62288380243957</v>
      </c>
      <c r="G13" s="32" t="n">
        <f aca="false">F13*EXP(($B$4-0.5*$B$5^2)*$B$8+$B$5*SQRT($B$8)*G69)</f>
        <v>7.61503624319197</v>
      </c>
      <c r="H13" s="32" t="n">
        <f aca="false">G13*EXP(($B$4-0.5*$B$5^2)*$B$8+$B$5*SQRT($B$8)*H69)</f>
        <v>7.92279214326753</v>
      </c>
      <c r="I13" s="32" t="n">
        <f aca="false">H13*EXP(($B$4-0.5*$B$5^2)*$B$8+$B$5*SQRT($B$8)*I69)</f>
        <v>6.2718031079943</v>
      </c>
      <c r="J13" s="32" t="n">
        <f aca="false">I13*EXP(($B$4-0.5*$B$5^2)*$B$8+$B$5*SQRT($B$8)*J69)</f>
        <v>6.8809078073193</v>
      </c>
      <c r="K13" s="32" t="n">
        <f aca="false">J13*EXP(($B$4-0.5*$B$5^2)*$B$8+$B$5*SQRT($B$8)*K69)</f>
        <v>5.68042751899306</v>
      </c>
      <c r="L13" s="32" t="n">
        <f aca="false">K13*EXP(($B$4-0.5*$B$5^2)*$B$8+$B$5*SQRT($B$8)*L69)</f>
        <v>6.17096216274293</v>
      </c>
      <c r="M13" s="32" t="n">
        <f aca="false">L13*EXP(($B$4-0.5*$B$5^2)*$B$8+$B$5*SQRT($B$8)*M69)</f>
        <v>5.62332612491713</v>
      </c>
      <c r="N13" s="32" t="n">
        <f aca="false">M13*EXP(($B$4-0.5*$B$5^2)*$B$8+$B$5*SQRT($B$8)*N69)</f>
        <v>6.12386006948485</v>
      </c>
      <c r="O13" s="32" t="n">
        <f aca="false">N13*EXP(($B$4-0.5*$B$5^2)*$B$8+$B$5*SQRT($B$8)*O69)</f>
        <v>6.21132470053298</v>
      </c>
      <c r="P13" s="32" t="n">
        <f aca="false">O13*EXP(($B$4-0.5*$B$5^2)*$B$8+$B$5*SQRT($B$8)*P69)</f>
        <v>5.24673177939719</v>
      </c>
      <c r="Q13" s="32" t="n">
        <f aca="false">P13*EXP(($B$4-0.5*$B$5^2)*$B$8+$B$5*SQRT($B$8)*Q69)</f>
        <v>6.01616095579707</v>
      </c>
      <c r="R13" s="32" t="n">
        <f aca="false">Q13*EXP(($B$4-0.5*$B$5^2)*$B$8+$B$5*SQRT($B$8)*R69)</f>
        <v>7.04569160601489</v>
      </c>
      <c r="S13" s="32" t="n">
        <f aca="false">R13*EXP(($B$4-0.5*$B$5^2)*$B$8+$B$5*SQRT($B$8)*S69)</f>
        <v>6.99373260413205</v>
      </c>
      <c r="T13" s="32" t="n">
        <f aca="false">S13*EXP(($B$4-0.5*$B$5^2)*$B$8+$B$5*SQRT($B$8)*T69)</f>
        <v>6.78546891907124</v>
      </c>
      <c r="U13" s="32" t="n">
        <f aca="false">T13*EXP(($B$4-0.5*$B$5^2)*$B$8+$B$5*SQRT($B$8)*U69)</f>
        <v>6.66628820413216</v>
      </c>
      <c r="V13" s="32" t="n">
        <f aca="false">U13*EXP(($B$4-0.5*$B$5^2)*$B$8+$B$5*SQRT($B$8)*V69)</f>
        <v>5.98890765409147</v>
      </c>
      <c r="W13" s="32" t="n">
        <f aca="false">V13*EXP(($B$4-0.5*$B$5^2)*$B$8+$B$5*SQRT($B$8)*W69)</f>
        <v>6.75468865466556</v>
      </c>
      <c r="X13" s="32" t="n">
        <f aca="false">W13*EXP(($B$4-0.5*$B$5^2)*$B$8+$B$5*SQRT($B$8)*X69)</f>
        <v>6.36300133061134</v>
      </c>
      <c r="Y13" s="32" t="n">
        <f aca="false">X13*EXP(($B$4-0.5*$B$5^2)*$B$8+$B$5*SQRT($B$8)*Y69)</f>
        <v>6.32621068098614</v>
      </c>
      <c r="Z13" s="32" t="n">
        <f aca="false">Y13*EXP(($B$4-0.5*$B$5^2)*$B$8+$B$5*SQRT($B$8)*Z69)</f>
        <v>5.79790250750498</v>
      </c>
      <c r="AA13" s="32" t="n">
        <f aca="false">Z13*EXP(($B$4-0.5*$B$5^2)*$B$8+$B$5*SQRT($B$8)*AA69)</f>
        <v>5.41208719918483</v>
      </c>
      <c r="AB13" s="32" t="n">
        <f aca="false">AA13*EXP(($B$4-0.5*$B$5^2)*$B$8+$B$5*SQRT($B$8)*AB69)</f>
        <v>4.70341785013515</v>
      </c>
      <c r="AC13" s="32" t="n">
        <f aca="false">AB13*EXP(($B$4-0.5*$B$5^2)*$B$8+$B$5*SQRT($B$8)*AC69)</f>
        <v>5.3978583957233</v>
      </c>
      <c r="AD13" s="32" t="n">
        <f aca="false">AC13*EXP(($B$4-0.5*$B$5^2)*$B$8+$B$5*SQRT($B$8)*AD69)</f>
        <v>5.30641291369195</v>
      </c>
      <c r="AE13" s="32" t="n">
        <f aca="false">AD13*EXP(($B$4-0.5*$B$5^2)*$B$8+$B$5*SQRT($B$8)*AE69)</f>
        <v>5.8984582886219</v>
      </c>
      <c r="AF13" s="32" t="n">
        <f aca="false">AE13*EXP(($B$4-0.5*$B$5^2)*$B$8+$B$5*SQRT($B$8)*AF69)</f>
        <v>5.90600328033235</v>
      </c>
      <c r="AG13" s="32" t="n">
        <f aca="false">AF13*EXP(($B$4-0.5*$B$5^2)*$B$8+$B$5*SQRT($B$8)*AG69)</f>
        <v>5.47182573598569</v>
      </c>
      <c r="AH13" s="32" t="n">
        <f aca="false">AG13*EXP(($B$4-0.5*$B$5^2)*$B$8+$B$5*SQRT($B$8)*AH69)</f>
        <v>5.27824023665802</v>
      </c>
      <c r="AI13" s="32" t="n">
        <f aca="false">AH13*EXP(($B$4-0.5*$B$5^2)*$B$8+$B$5*SQRT($B$8)*AI69)</f>
        <v>4.96272014248316</v>
      </c>
      <c r="AJ13" s="32" t="n">
        <f aca="false">AI13*EXP(($B$4-0.5*$B$5^2)*$B$8+$B$5*SQRT($B$8)*AJ69)</f>
        <v>4.96614437139876</v>
      </c>
      <c r="AK13" s="32" t="n">
        <f aca="false">AJ13*EXP(($B$4-0.5*$B$5^2)*$B$8+$B$5*SQRT($B$8)*AK69)</f>
        <v>4.76498765924257</v>
      </c>
      <c r="AL13" s="32" t="n">
        <f aca="false">AK13*EXP(($B$4-0.5*$B$5^2)*$B$8+$B$5*SQRT($B$8)*AL69)</f>
        <v>4.60992337797735</v>
      </c>
      <c r="AM13" s="32" t="n">
        <f aca="false">AL13*EXP(($B$4-0.5*$B$5^2)*$B$8+$B$5*SQRT($B$8)*AM69)</f>
        <v>3.96221421561801</v>
      </c>
      <c r="AN13" s="32" t="n">
        <f aca="false">AM13*EXP(($B$4-0.5*$B$5^2)*$B$8+$B$5*SQRT($B$8)*AN69)</f>
        <v>3.62593238707507</v>
      </c>
      <c r="AO13" s="32" t="n">
        <f aca="false">AN13*EXP(($B$4-0.5*$B$5^2)*$B$8+$B$5*SQRT($B$8)*AO69)</f>
        <v>4.34650702869393</v>
      </c>
      <c r="AP13" s="32" t="n">
        <f aca="false">AO13*EXP(($B$4-0.5*$B$5^2)*$B$8+$B$5*SQRT($B$8)*AP69)</f>
        <v>4.03722364221571</v>
      </c>
      <c r="AQ13" s="32" t="n">
        <f aca="false">AP13*EXP(($B$4-0.5*$B$5^2)*$B$8+$B$5*SQRT($B$8)*AQ69)</f>
        <v>3.59571713332586</v>
      </c>
      <c r="AR13" s="32" t="n">
        <f aca="false">AQ13*EXP(($B$4-0.5*$B$5^2)*$B$8+$B$5*SQRT($B$8)*AR69)</f>
        <v>3.73057976293083</v>
      </c>
      <c r="AS13" s="32" t="n">
        <f aca="false">AR13*EXP(($B$4-0.5*$B$5^2)*$B$8+$B$5*SQRT($B$8)*AS69)</f>
        <v>4.35251233857149</v>
      </c>
      <c r="AT13" s="32" t="n">
        <f aca="false">AS13*EXP(($B$4-0.5*$B$5^2)*$B$8+$B$5*SQRT($B$8)*AT69)</f>
        <v>3.71013566331539</v>
      </c>
      <c r="AU13" s="32" t="n">
        <f aca="false">AT13*EXP(($B$4-0.5*$B$5^2)*$B$8+$B$5*SQRT($B$8)*AU69)</f>
        <v>3.62556805898727</v>
      </c>
      <c r="AV13" s="32" t="n">
        <f aca="false">AU13*EXP(($B$4-0.5*$B$5^2)*$B$8+$B$5*SQRT($B$8)*AV69)</f>
        <v>3.38208932939664</v>
      </c>
      <c r="AW13" s="32" t="n">
        <f aca="false">AV13*EXP(($B$4-0.5*$B$5^2)*$B$8+$B$5*SQRT($B$8)*AW69)</f>
        <v>2.78746496234803</v>
      </c>
      <c r="AX13" s="32" t="n">
        <f aca="false">AW13*EXP(($B$4-0.5*$B$5^2)*$B$8+$B$5*SQRT($B$8)*AX69)</f>
        <v>3.02094035625734</v>
      </c>
      <c r="AY13" s="32" t="n">
        <f aca="false">AX13*EXP(($B$4-0.5*$B$5^2)*$B$8+$B$5*SQRT($B$8)*AY69)</f>
        <v>3.01262896789303</v>
      </c>
      <c r="AZ13" s="32" t="n">
        <f aca="false">AY13*EXP(($B$4-0.5*$B$5^2)*$B$8+$B$5*SQRT($B$8)*AZ69)</f>
        <v>3.03577485822087</v>
      </c>
      <c r="BA13" s="32" t="n">
        <f aca="false">AZ13*EXP(($B$4-0.5*$B$5^2)*$B$8+$B$5*SQRT($B$8)*BA69)</f>
        <v>2.794791180933</v>
      </c>
      <c r="BB13" s="32" t="n">
        <f aca="false">BA13*EXP(($B$4-0.5*$B$5^2)*$B$8+$B$5*SQRT($B$8)*BB69)</f>
        <v>2.93721634976979</v>
      </c>
      <c r="BC13" s="32" t="n">
        <f aca="false">BB13*EXP(($B$4-0.5*$B$5^2)*$B$8+$B$5*SQRT($B$8)*BC69)</f>
        <v>2.76798583523271</v>
      </c>
      <c r="BD13" s="32" t="n">
        <f aca="false">BC13*EXP(($B$4-0.5*$B$5^2)*$B$8+$B$5*SQRT($B$8)*BD69)</f>
        <v>2.72443372167389</v>
      </c>
      <c r="BE13" s="32" t="n">
        <f aca="false">BD13*EXP(($B$4-0.5*$B$5^2)*$B$8+$B$5*SQRT($B$8)*BE69)</f>
        <v>2.41211722385119</v>
      </c>
      <c r="BF13" s="32" t="n">
        <f aca="false">BE13*EXP(($B$4-0.5*$B$5^2)*$B$8+$B$5*SQRT($B$8)*BF69)</f>
        <v>2.11048813848771</v>
      </c>
      <c r="BG13" s="32" t="n">
        <f aca="false">BF13*EXP(($B$4-0.5*$B$5^2)*$B$8+$B$5*SQRT($B$8)*BG69)</f>
        <v>2.44303024171714</v>
      </c>
      <c r="BH13" s="32" t="n">
        <f aca="false">BG13*EXP(($B$4-0.5*$B$5^2)*$B$8+$B$5*SQRT($B$8)*BH69)</f>
        <v>2.31041739949815</v>
      </c>
      <c r="BI13" s="32" t="n">
        <f aca="false">BH13*EXP(($B$4-0.5*$B$5^2)*$B$8+$B$5*SQRT($B$8)*BI69)</f>
        <v>2.38510034404517</v>
      </c>
      <c r="BJ13" s="32" t="n">
        <f aca="false">BI13*EXP(($B$4-0.5*$B$5^2)*$B$8+$B$5*SQRT($B$8)*BJ69)</f>
        <v>2.37584026080909</v>
      </c>
    </row>
    <row r="14" customFormat="false" ht="15" hidden="false" customHeight="true" outlineLevel="0" collapsed="false">
      <c r="A14" s="6" t="s">
        <v>118</v>
      </c>
      <c r="B14" s="32" t="n">
        <f aca="false">$B$3</f>
        <v>11.5</v>
      </c>
      <c r="C14" s="32" t="n">
        <f aca="false">B14*EXP(($B$4-0.5*$B$5^2)*$B$8+$B$5*SQRT($B$8)*C70)</f>
        <v>10.9547329388781</v>
      </c>
      <c r="D14" s="32" t="n">
        <f aca="false">C14*EXP(($B$4-0.5*$B$5^2)*$B$8+$B$5*SQRT($B$8)*D70)</f>
        <v>10.359113822895</v>
      </c>
      <c r="E14" s="32" t="n">
        <f aca="false">D14*EXP(($B$4-0.5*$B$5^2)*$B$8+$B$5*SQRT($B$8)*E70)</f>
        <v>11.0984032733975</v>
      </c>
      <c r="F14" s="32" t="n">
        <f aca="false">E14*EXP(($B$4-0.5*$B$5^2)*$B$8+$B$5*SQRT($B$8)*F70)</f>
        <v>10.7349425565607</v>
      </c>
      <c r="G14" s="32" t="n">
        <f aca="false">F14*EXP(($B$4-0.5*$B$5^2)*$B$8+$B$5*SQRT($B$8)*G70)</f>
        <v>10.5561423211985</v>
      </c>
      <c r="H14" s="32" t="n">
        <f aca="false">G14*EXP(($B$4-0.5*$B$5^2)*$B$8+$B$5*SQRT($B$8)*H70)</f>
        <v>10.5799658209976</v>
      </c>
      <c r="I14" s="32" t="n">
        <f aca="false">H14*EXP(($B$4-0.5*$B$5^2)*$B$8+$B$5*SQRT($B$8)*I70)</f>
        <v>12.0352250139189</v>
      </c>
      <c r="J14" s="32" t="n">
        <f aca="false">I14*EXP(($B$4-0.5*$B$5^2)*$B$8+$B$5*SQRT($B$8)*J70)</f>
        <v>12.9656576312801</v>
      </c>
      <c r="K14" s="32" t="n">
        <f aca="false">J14*EXP(($B$4-0.5*$B$5^2)*$B$8+$B$5*SQRT($B$8)*K70)</f>
        <v>13.5189274627966</v>
      </c>
      <c r="L14" s="32" t="n">
        <f aca="false">K14*EXP(($B$4-0.5*$B$5^2)*$B$8+$B$5*SQRT($B$8)*L70)</f>
        <v>12.7061428599538</v>
      </c>
      <c r="M14" s="32" t="n">
        <f aca="false">L14*EXP(($B$4-0.5*$B$5^2)*$B$8+$B$5*SQRT($B$8)*M70)</f>
        <v>10.9168234001394</v>
      </c>
      <c r="N14" s="32" t="n">
        <f aca="false">M14*EXP(($B$4-0.5*$B$5^2)*$B$8+$B$5*SQRT($B$8)*N70)</f>
        <v>12.1130314929695</v>
      </c>
      <c r="O14" s="32" t="n">
        <f aca="false">N14*EXP(($B$4-0.5*$B$5^2)*$B$8+$B$5*SQRT($B$8)*O70)</f>
        <v>13.4652789149438</v>
      </c>
      <c r="P14" s="32" t="n">
        <f aca="false">O14*EXP(($B$4-0.5*$B$5^2)*$B$8+$B$5*SQRT($B$8)*P70)</f>
        <v>13.2566044948016</v>
      </c>
      <c r="Q14" s="32" t="n">
        <f aca="false">P14*EXP(($B$4-0.5*$B$5^2)*$B$8+$B$5*SQRT($B$8)*Q70)</f>
        <v>14.0659268290052</v>
      </c>
      <c r="R14" s="32" t="n">
        <f aca="false">Q14*EXP(($B$4-0.5*$B$5^2)*$B$8+$B$5*SQRT($B$8)*R70)</f>
        <v>15.322059853925</v>
      </c>
      <c r="S14" s="32" t="n">
        <f aca="false">R14*EXP(($B$4-0.5*$B$5^2)*$B$8+$B$5*SQRT($B$8)*S70)</f>
        <v>16.7816888903394</v>
      </c>
      <c r="T14" s="32" t="n">
        <f aca="false">S14*EXP(($B$4-0.5*$B$5^2)*$B$8+$B$5*SQRT($B$8)*T70)</f>
        <v>18.5631345584598</v>
      </c>
      <c r="U14" s="32" t="n">
        <f aca="false">T14*EXP(($B$4-0.5*$B$5^2)*$B$8+$B$5*SQRT($B$8)*U70)</f>
        <v>17.6549214939277</v>
      </c>
      <c r="V14" s="32" t="n">
        <f aca="false">U14*EXP(($B$4-0.5*$B$5^2)*$B$8+$B$5*SQRT($B$8)*V70)</f>
        <v>20.8430083409306</v>
      </c>
      <c r="W14" s="32" t="n">
        <f aca="false">V14*EXP(($B$4-0.5*$B$5^2)*$B$8+$B$5*SQRT($B$8)*W70)</f>
        <v>18.1757496380453</v>
      </c>
      <c r="X14" s="32" t="n">
        <f aca="false">W14*EXP(($B$4-0.5*$B$5^2)*$B$8+$B$5*SQRT($B$8)*X70)</f>
        <v>19.9740310908226</v>
      </c>
      <c r="Y14" s="32" t="n">
        <f aca="false">X14*EXP(($B$4-0.5*$B$5^2)*$B$8+$B$5*SQRT($B$8)*Y70)</f>
        <v>21.0822677597157</v>
      </c>
      <c r="Z14" s="32" t="n">
        <f aca="false">Y14*EXP(($B$4-0.5*$B$5^2)*$B$8+$B$5*SQRT($B$8)*Z70)</f>
        <v>23.1983688278643</v>
      </c>
      <c r="AA14" s="32" t="n">
        <f aca="false">Z14*EXP(($B$4-0.5*$B$5^2)*$B$8+$B$5*SQRT($B$8)*AA70)</f>
        <v>28.5032855927653</v>
      </c>
      <c r="AB14" s="32" t="n">
        <f aca="false">AA14*EXP(($B$4-0.5*$B$5^2)*$B$8+$B$5*SQRT($B$8)*AB70)</f>
        <v>33.5378475943614</v>
      </c>
      <c r="AC14" s="32" t="n">
        <f aca="false">AB14*EXP(($B$4-0.5*$B$5^2)*$B$8+$B$5*SQRT($B$8)*AC70)</f>
        <v>29.5732219949454</v>
      </c>
      <c r="AD14" s="32" t="n">
        <f aca="false">AC14*EXP(($B$4-0.5*$B$5^2)*$B$8+$B$5*SQRT($B$8)*AD70)</f>
        <v>24.5679932363717</v>
      </c>
      <c r="AE14" s="32" t="n">
        <f aca="false">AD14*EXP(($B$4-0.5*$B$5^2)*$B$8+$B$5*SQRT($B$8)*AE70)</f>
        <v>26.8662563111669</v>
      </c>
      <c r="AF14" s="32" t="n">
        <f aca="false">AE14*EXP(($B$4-0.5*$B$5^2)*$B$8+$B$5*SQRT($B$8)*AF70)</f>
        <v>24.0309934802399</v>
      </c>
      <c r="AG14" s="32" t="n">
        <f aca="false">AF14*EXP(($B$4-0.5*$B$5^2)*$B$8+$B$5*SQRT($B$8)*AG70)</f>
        <v>23.9939143763226</v>
      </c>
      <c r="AH14" s="32" t="n">
        <f aca="false">AG14*EXP(($B$4-0.5*$B$5^2)*$B$8+$B$5*SQRT($B$8)*AH70)</f>
        <v>26.3042916199637</v>
      </c>
      <c r="AI14" s="32" t="n">
        <f aca="false">AH14*EXP(($B$4-0.5*$B$5^2)*$B$8+$B$5*SQRT($B$8)*AI70)</f>
        <v>21.9601593237817</v>
      </c>
      <c r="AJ14" s="32" t="n">
        <f aca="false">AI14*EXP(($B$4-0.5*$B$5^2)*$B$8+$B$5*SQRT($B$8)*AJ70)</f>
        <v>17.4194772025566</v>
      </c>
      <c r="AK14" s="32" t="n">
        <f aca="false">AJ14*EXP(($B$4-0.5*$B$5^2)*$B$8+$B$5*SQRT($B$8)*AK70)</f>
        <v>17.9187891328614</v>
      </c>
      <c r="AL14" s="32" t="n">
        <f aca="false">AK14*EXP(($B$4-0.5*$B$5^2)*$B$8+$B$5*SQRT($B$8)*AL70)</f>
        <v>18.0029472432621</v>
      </c>
      <c r="AM14" s="32" t="n">
        <f aca="false">AL14*EXP(($B$4-0.5*$B$5^2)*$B$8+$B$5*SQRT($B$8)*AM70)</f>
        <v>17.5207938876678</v>
      </c>
      <c r="AN14" s="32" t="n">
        <f aca="false">AM14*EXP(($B$4-0.5*$B$5^2)*$B$8+$B$5*SQRT($B$8)*AN70)</f>
        <v>17.5917878734898</v>
      </c>
      <c r="AO14" s="32" t="n">
        <f aca="false">AN14*EXP(($B$4-0.5*$B$5^2)*$B$8+$B$5*SQRT($B$8)*AO70)</f>
        <v>16.004233282283</v>
      </c>
      <c r="AP14" s="32" t="n">
        <f aca="false">AO14*EXP(($B$4-0.5*$B$5^2)*$B$8+$B$5*SQRT($B$8)*AP70)</f>
        <v>13.5535000114264</v>
      </c>
      <c r="AQ14" s="32" t="n">
        <f aca="false">AP14*EXP(($B$4-0.5*$B$5^2)*$B$8+$B$5*SQRT($B$8)*AQ70)</f>
        <v>13.3055337708658</v>
      </c>
      <c r="AR14" s="32" t="n">
        <f aca="false">AQ14*EXP(($B$4-0.5*$B$5^2)*$B$8+$B$5*SQRT($B$8)*AR70)</f>
        <v>11.9580368997183</v>
      </c>
      <c r="AS14" s="32" t="n">
        <f aca="false">AR14*EXP(($B$4-0.5*$B$5^2)*$B$8+$B$5*SQRT($B$8)*AS70)</f>
        <v>9.98352295919247</v>
      </c>
      <c r="AT14" s="32" t="n">
        <f aca="false">AS14*EXP(($B$4-0.5*$B$5^2)*$B$8+$B$5*SQRT($B$8)*AT70)</f>
        <v>10.5510371815187</v>
      </c>
      <c r="AU14" s="32" t="n">
        <f aca="false">AT14*EXP(($B$4-0.5*$B$5^2)*$B$8+$B$5*SQRT($B$8)*AU70)</f>
        <v>10.4782912299136</v>
      </c>
      <c r="AV14" s="32" t="n">
        <f aca="false">AU14*EXP(($B$4-0.5*$B$5^2)*$B$8+$B$5*SQRT($B$8)*AV70)</f>
        <v>10.9541355427224</v>
      </c>
      <c r="AW14" s="32" t="n">
        <f aca="false">AV14*EXP(($B$4-0.5*$B$5^2)*$B$8+$B$5*SQRT($B$8)*AW70)</f>
        <v>9.82579905912876</v>
      </c>
      <c r="AX14" s="32" t="n">
        <f aca="false">AW14*EXP(($B$4-0.5*$B$5^2)*$B$8+$B$5*SQRT($B$8)*AX70)</f>
        <v>9.13982620369781</v>
      </c>
      <c r="AY14" s="32" t="n">
        <f aca="false">AX14*EXP(($B$4-0.5*$B$5^2)*$B$8+$B$5*SQRT($B$8)*AY70)</f>
        <v>8.18961151362966</v>
      </c>
      <c r="AZ14" s="32" t="n">
        <f aca="false">AY14*EXP(($B$4-0.5*$B$5^2)*$B$8+$B$5*SQRT($B$8)*AZ70)</f>
        <v>7.42922520675642</v>
      </c>
      <c r="BA14" s="32" t="n">
        <f aca="false">AZ14*EXP(($B$4-0.5*$B$5^2)*$B$8+$B$5*SQRT($B$8)*BA70)</f>
        <v>7.58880257582609</v>
      </c>
      <c r="BB14" s="32" t="n">
        <f aca="false">BA14*EXP(($B$4-0.5*$B$5^2)*$B$8+$B$5*SQRT($B$8)*BB70)</f>
        <v>6.96293351219879</v>
      </c>
      <c r="BC14" s="32" t="n">
        <f aca="false">BB14*EXP(($B$4-0.5*$B$5^2)*$B$8+$B$5*SQRT($B$8)*BC70)</f>
        <v>7.23895441184801</v>
      </c>
      <c r="BD14" s="32" t="n">
        <f aca="false">BC14*EXP(($B$4-0.5*$B$5^2)*$B$8+$B$5*SQRT($B$8)*BD70)</f>
        <v>7.51246392333686</v>
      </c>
      <c r="BE14" s="32" t="n">
        <f aca="false">BD14*EXP(($B$4-0.5*$B$5^2)*$B$8+$B$5*SQRT($B$8)*BE70)</f>
        <v>9.37956456289726</v>
      </c>
      <c r="BF14" s="32" t="n">
        <f aca="false">BE14*EXP(($B$4-0.5*$B$5^2)*$B$8+$B$5*SQRT($B$8)*BF70)</f>
        <v>8.04914481749538</v>
      </c>
      <c r="BG14" s="32" t="n">
        <f aca="false">BF14*EXP(($B$4-0.5*$B$5^2)*$B$8+$B$5*SQRT($B$8)*BG70)</f>
        <v>8.87095402764158</v>
      </c>
      <c r="BH14" s="32" t="n">
        <f aca="false">BG14*EXP(($B$4-0.5*$B$5^2)*$B$8+$B$5*SQRT($B$8)*BH70)</f>
        <v>8.78268784146759</v>
      </c>
      <c r="BI14" s="32" t="n">
        <f aca="false">BH14*EXP(($B$4-0.5*$B$5^2)*$B$8+$B$5*SQRT($B$8)*BI70)</f>
        <v>8.76757403053376</v>
      </c>
      <c r="BJ14" s="32" t="n">
        <f aca="false">BI14*EXP(($B$4-0.5*$B$5^2)*$B$8+$B$5*SQRT($B$8)*BJ70)</f>
        <v>7.47700082617729</v>
      </c>
    </row>
    <row r="15" customFormat="false" ht="15" hidden="false" customHeight="true" outlineLevel="0" collapsed="false">
      <c r="A15" s="6" t="s">
        <v>119</v>
      </c>
      <c r="B15" s="32" t="n">
        <f aca="false">$B$3</f>
        <v>11.5</v>
      </c>
      <c r="C15" s="32" t="n">
        <f aca="false">B15*EXP(($B$4-0.5*$B$5^2)*$B$8+$B$5*SQRT($B$8)*C71)</f>
        <v>10.9318661915583</v>
      </c>
      <c r="D15" s="32" t="n">
        <f aca="false">C15*EXP(($B$4-0.5*$B$5^2)*$B$8+$B$5*SQRT($B$8)*D71)</f>
        <v>11.8582623721058</v>
      </c>
      <c r="E15" s="32" t="n">
        <f aca="false">D15*EXP(($B$4-0.5*$B$5^2)*$B$8+$B$5*SQRT($B$8)*E71)</f>
        <v>11.7493032965444</v>
      </c>
      <c r="F15" s="32" t="n">
        <f aca="false">E15*EXP(($B$4-0.5*$B$5^2)*$B$8+$B$5*SQRT($B$8)*F71)</f>
        <v>11.8520636070798</v>
      </c>
      <c r="G15" s="32" t="n">
        <f aca="false">F15*EXP(($B$4-0.5*$B$5^2)*$B$8+$B$5*SQRT($B$8)*G71)</f>
        <v>11.4779527823046</v>
      </c>
      <c r="H15" s="32" t="n">
        <f aca="false">G15*EXP(($B$4-0.5*$B$5^2)*$B$8+$B$5*SQRT($B$8)*H71)</f>
        <v>13.0253444409174</v>
      </c>
      <c r="I15" s="32" t="n">
        <f aca="false">H15*EXP(($B$4-0.5*$B$5^2)*$B$8+$B$5*SQRT($B$8)*I71)</f>
        <v>12.9923176399432</v>
      </c>
      <c r="J15" s="32" t="n">
        <f aca="false">I15*EXP(($B$4-0.5*$B$5^2)*$B$8+$B$5*SQRT($B$8)*J71)</f>
        <v>10.2041743678077</v>
      </c>
      <c r="K15" s="32" t="n">
        <f aca="false">J15*EXP(($B$4-0.5*$B$5^2)*$B$8+$B$5*SQRT($B$8)*K71)</f>
        <v>9.4564361433632</v>
      </c>
      <c r="L15" s="32" t="n">
        <f aca="false">K15*EXP(($B$4-0.5*$B$5^2)*$B$8+$B$5*SQRT($B$8)*L71)</f>
        <v>7.61821470841581</v>
      </c>
      <c r="M15" s="32" t="n">
        <f aca="false">L15*EXP(($B$4-0.5*$B$5^2)*$B$8+$B$5*SQRT($B$8)*M71)</f>
        <v>5.33179064803915</v>
      </c>
      <c r="N15" s="32" t="n">
        <f aca="false">M15*EXP(($B$4-0.5*$B$5^2)*$B$8+$B$5*SQRT($B$8)*N71)</f>
        <v>5.02965794755</v>
      </c>
      <c r="O15" s="32" t="n">
        <f aca="false">N15*EXP(($B$4-0.5*$B$5^2)*$B$8+$B$5*SQRT($B$8)*O71)</f>
        <v>5.82090391939243</v>
      </c>
      <c r="P15" s="32" t="n">
        <f aca="false">O15*EXP(($B$4-0.5*$B$5^2)*$B$8+$B$5*SQRT($B$8)*P71)</f>
        <v>5.84999683462276</v>
      </c>
      <c r="Q15" s="32" t="n">
        <f aca="false">P15*EXP(($B$4-0.5*$B$5^2)*$B$8+$B$5*SQRT($B$8)*Q71)</f>
        <v>5.14298457032356</v>
      </c>
      <c r="R15" s="32" t="n">
        <f aca="false">Q15*EXP(($B$4-0.5*$B$5^2)*$B$8+$B$5*SQRT($B$8)*R71)</f>
        <v>4.63788620011081</v>
      </c>
      <c r="S15" s="32" t="n">
        <f aca="false">R15*EXP(($B$4-0.5*$B$5^2)*$B$8+$B$5*SQRT($B$8)*S71)</f>
        <v>5.24932628038562</v>
      </c>
      <c r="T15" s="32" t="n">
        <f aca="false">S15*EXP(($B$4-0.5*$B$5^2)*$B$8+$B$5*SQRT($B$8)*T71)</f>
        <v>5.33990308774748</v>
      </c>
      <c r="U15" s="32" t="n">
        <f aca="false">T15*EXP(($B$4-0.5*$B$5^2)*$B$8+$B$5*SQRT($B$8)*U71)</f>
        <v>5.36710964449942</v>
      </c>
      <c r="V15" s="32" t="n">
        <f aca="false">U15*EXP(($B$4-0.5*$B$5^2)*$B$8+$B$5*SQRT($B$8)*V71)</f>
        <v>5.33474782279621</v>
      </c>
      <c r="W15" s="32" t="n">
        <f aca="false">V15*EXP(($B$4-0.5*$B$5^2)*$B$8+$B$5*SQRT($B$8)*W71)</f>
        <v>5.35628510894467</v>
      </c>
      <c r="X15" s="32" t="n">
        <f aca="false">W15*EXP(($B$4-0.5*$B$5^2)*$B$8+$B$5*SQRT($B$8)*X71)</f>
        <v>5.84997592888356</v>
      </c>
      <c r="Y15" s="32" t="n">
        <f aca="false">X15*EXP(($B$4-0.5*$B$5^2)*$B$8+$B$5*SQRT($B$8)*Y71)</f>
        <v>6.21439851042364</v>
      </c>
      <c r="Z15" s="32" t="n">
        <f aca="false">Y15*EXP(($B$4-0.5*$B$5^2)*$B$8+$B$5*SQRT($B$8)*Z71)</f>
        <v>6.36203101467063</v>
      </c>
      <c r="AA15" s="32" t="n">
        <f aca="false">Z15*EXP(($B$4-0.5*$B$5^2)*$B$8+$B$5*SQRT($B$8)*AA71)</f>
        <v>5.67326774070438</v>
      </c>
      <c r="AB15" s="32" t="n">
        <f aca="false">AA15*EXP(($B$4-0.5*$B$5^2)*$B$8+$B$5*SQRT($B$8)*AB71)</f>
        <v>5.99933607104835</v>
      </c>
      <c r="AC15" s="32" t="n">
        <f aca="false">AB15*EXP(($B$4-0.5*$B$5^2)*$B$8+$B$5*SQRT($B$8)*AC71)</f>
        <v>5.56449330550923</v>
      </c>
      <c r="AD15" s="32" t="n">
        <f aca="false">AC15*EXP(($B$4-0.5*$B$5^2)*$B$8+$B$5*SQRT($B$8)*AD71)</f>
        <v>6.27274272472726</v>
      </c>
      <c r="AE15" s="32" t="n">
        <f aca="false">AD15*EXP(($B$4-0.5*$B$5^2)*$B$8+$B$5*SQRT($B$8)*AE71)</f>
        <v>5.45537014011849</v>
      </c>
      <c r="AF15" s="32" t="n">
        <f aca="false">AE15*EXP(($B$4-0.5*$B$5^2)*$B$8+$B$5*SQRT($B$8)*AF71)</f>
        <v>5.37264635437192</v>
      </c>
      <c r="AG15" s="32" t="n">
        <f aca="false">AF15*EXP(($B$4-0.5*$B$5^2)*$B$8+$B$5*SQRT($B$8)*AG71)</f>
        <v>5.36732731861038</v>
      </c>
      <c r="AH15" s="32" t="n">
        <f aca="false">AG15*EXP(($B$4-0.5*$B$5^2)*$B$8+$B$5*SQRT($B$8)*AH71)</f>
        <v>4.6405722893866</v>
      </c>
      <c r="AI15" s="32" t="n">
        <f aca="false">AH15*EXP(($B$4-0.5*$B$5^2)*$B$8+$B$5*SQRT($B$8)*AI71)</f>
        <v>5.60438156444923</v>
      </c>
      <c r="AJ15" s="32" t="n">
        <f aca="false">AI15*EXP(($B$4-0.5*$B$5^2)*$B$8+$B$5*SQRT($B$8)*AJ71)</f>
        <v>6.5769227339738</v>
      </c>
      <c r="AK15" s="32" t="n">
        <f aca="false">AJ15*EXP(($B$4-0.5*$B$5^2)*$B$8+$B$5*SQRT($B$8)*AK71)</f>
        <v>6.24967894224265</v>
      </c>
      <c r="AL15" s="32" t="n">
        <f aca="false">AK15*EXP(($B$4-0.5*$B$5^2)*$B$8+$B$5*SQRT($B$8)*AL71)</f>
        <v>6.80053924765193</v>
      </c>
      <c r="AM15" s="32" t="n">
        <f aca="false">AL15*EXP(($B$4-0.5*$B$5^2)*$B$8+$B$5*SQRT($B$8)*AM71)</f>
        <v>7.08767978820188</v>
      </c>
      <c r="AN15" s="32" t="n">
        <f aca="false">AM15*EXP(($B$4-0.5*$B$5^2)*$B$8+$B$5*SQRT($B$8)*AN71)</f>
        <v>5.32001563892519</v>
      </c>
      <c r="AO15" s="32" t="n">
        <f aca="false">AN15*EXP(($B$4-0.5*$B$5^2)*$B$8+$B$5*SQRT($B$8)*AO71)</f>
        <v>5.46716777687774</v>
      </c>
      <c r="AP15" s="32" t="n">
        <f aca="false">AO15*EXP(($B$4-0.5*$B$5^2)*$B$8+$B$5*SQRT($B$8)*AP71)</f>
        <v>5.4295059315358</v>
      </c>
      <c r="AQ15" s="32" t="n">
        <f aca="false">AP15*EXP(($B$4-0.5*$B$5^2)*$B$8+$B$5*SQRT($B$8)*AQ71)</f>
        <v>5.47829249814736</v>
      </c>
      <c r="AR15" s="32" t="n">
        <f aca="false">AQ15*EXP(($B$4-0.5*$B$5^2)*$B$8+$B$5*SQRT($B$8)*AR71)</f>
        <v>4.86701428744823</v>
      </c>
      <c r="AS15" s="32" t="n">
        <f aca="false">AR15*EXP(($B$4-0.5*$B$5^2)*$B$8+$B$5*SQRT($B$8)*AS71)</f>
        <v>4.72444876693686</v>
      </c>
      <c r="AT15" s="32" t="n">
        <f aca="false">AS15*EXP(($B$4-0.5*$B$5^2)*$B$8+$B$5*SQRT($B$8)*AT71)</f>
        <v>4.63211323478948</v>
      </c>
      <c r="AU15" s="32" t="n">
        <f aca="false">AT15*EXP(($B$4-0.5*$B$5^2)*$B$8+$B$5*SQRT($B$8)*AU71)</f>
        <v>5.27595492229283</v>
      </c>
      <c r="AV15" s="32" t="n">
        <f aca="false">AU15*EXP(($B$4-0.5*$B$5^2)*$B$8+$B$5*SQRT($B$8)*AV71)</f>
        <v>5.47209670413198</v>
      </c>
      <c r="AW15" s="32" t="n">
        <f aca="false">AV15*EXP(($B$4-0.5*$B$5^2)*$B$8+$B$5*SQRT($B$8)*AW71)</f>
        <v>5.46776068647755</v>
      </c>
      <c r="AX15" s="32" t="n">
        <f aca="false">AW15*EXP(($B$4-0.5*$B$5^2)*$B$8+$B$5*SQRT($B$8)*AX71)</f>
        <v>6.46503582741074</v>
      </c>
      <c r="AY15" s="32" t="n">
        <f aca="false">AX15*EXP(($B$4-0.5*$B$5^2)*$B$8+$B$5*SQRT($B$8)*AY71)</f>
        <v>6.08189568512764</v>
      </c>
      <c r="AZ15" s="32" t="n">
        <f aca="false">AY15*EXP(($B$4-0.5*$B$5^2)*$B$8+$B$5*SQRT($B$8)*AZ71)</f>
        <v>5.8264852355368</v>
      </c>
      <c r="BA15" s="32" t="n">
        <f aca="false">AZ15*EXP(($B$4-0.5*$B$5^2)*$B$8+$B$5*SQRT($B$8)*BA71)</f>
        <v>4.77282728081033</v>
      </c>
      <c r="BB15" s="32" t="n">
        <f aca="false">BA15*EXP(($B$4-0.5*$B$5^2)*$B$8+$B$5*SQRT($B$8)*BB71)</f>
        <v>5.66825333812781</v>
      </c>
      <c r="BC15" s="32" t="n">
        <f aca="false">BB15*EXP(($B$4-0.5*$B$5^2)*$B$8+$B$5*SQRT($B$8)*BC71)</f>
        <v>6.29957152170871</v>
      </c>
      <c r="BD15" s="32" t="n">
        <f aca="false">BC15*EXP(($B$4-0.5*$B$5^2)*$B$8+$B$5*SQRT($B$8)*BD71)</f>
        <v>6.96483107642212</v>
      </c>
      <c r="BE15" s="32" t="n">
        <f aca="false">BD15*EXP(($B$4-0.5*$B$5^2)*$B$8+$B$5*SQRT($B$8)*BE71)</f>
        <v>7.4937240210653</v>
      </c>
      <c r="BF15" s="32" t="n">
        <f aca="false">BE15*EXP(($B$4-0.5*$B$5^2)*$B$8+$B$5*SQRT($B$8)*BF71)</f>
        <v>7.5834289078905</v>
      </c>
      <c r="BG15" s="32" t="n">
        <f aca="false">BF15*EXP(($B$4-0.5*$B$5^2)*$B$8+$B$5*SQRT($B$8)*BG71)</f>
        <v>7.76340106688529</v>
      </c>
      <c r="BH15" s="32" t="n">
        <f aca="false">BG15*EXP(($B$4-0.5*$B$5^2)*$B$8+$B$5*SQRT($B$8)*BH71)</f>
        <v>7.55034254810079</v>
      </c>
      <c r="BI15" s="32" t="n">
        <f aca="false">BH15*EXP(($B$4-0.5*$B$5^2)*$B$8+$B$5*SQRT($B$8)*BI71)</f>
        <v>7.3822268551972</v>
      </c>
      <c r="BJ15" s="32" t="n">
        <f aca="false">BI15*EXP(($B$4-0.5*$B$5^2)*$B$8+$B$5*SQRT($B$8)*BJ71)</f>
        <v>7.42497205154891</v>
      </c>
    </row>
    <row r="16" customFormat="false" ht="15" hidden="false" customHeight="true" outlineLevel="0" collapsed="false">
      <c r="A16" s="6" t="s">
        <v>120</v>
      </c>
      <c r="B16" s="32" t="n">
        <f aca="false">$B$3</f>
        <v>11.5</v>
      </c>
      <c r="C16" s="32" t="n">
        <f aca="false">B16*EXP(($B$4-0.5*$B$5^2)*$B$8+$B$5*SQRT($B$8)*C72)</f>
        <v>13.5719638775352</v>
      </c>
      <c r="D16" s="32" t="n">
        <f aca="false">C16*EXP(($B$4-0.5*$B$5^2)*$B$8+$B$5*SQRT($B$8)*D72)</f>
        <v>14.4223617066981</v>
      </c>
      <c r="E16" s="32" t="n">
        <f aca="false">D16*EXP(($B$4-0.5*$B$5^2)*$B$8+$B$5*SQRT($B$8)*E72)</f>
        <v>14.3275418855245</v>
      </c>
      <c r="F16" s="32" t="n">
        <f aca="false">E16*EXP(($B$4-0.5*$B$5^2)*$B$8+$B$5*SQRT($B$8)*F72)</f>
        <v>13.4427919493351</v>
      </c>
      <c r="G16" s="32" t="n">
        <f aca="false">F16*EXP(($B$4-0.5*$B$5^2)*$B$8+$B$5*SQRT($B$8)*G72)</f>
        <v>12.5359757479742</v>
      </c>
      <c r="H16" s="32" t="n">
        <f aca="false">G16*EXP(($B$4-0.5*$B$5^2)*$B$8+$B$5*SQRT($B$8)*H72)</f>
        <v>14.9428130134173</v>
      </c>
      <c r="I16" s="32" t="n">
        <f aca="false">H16*EXP(($B$4-0.5*$B$5^2)*$B$8+$B$5*SQRT($B$8)*I72)</f>
        <v>15.7939817537176</v>
      </c>
      <c r="J16" s="32" t="n">
        <f aca="false">I16*EXP(($B$4-0.5*$B$5^2)*$B$8+$B$5*SQRT($B$8)*J72)</f>
        <v>15.9085340151323</v>
      </c>
      <c r="K16" s="32" t="n">
        <f aca="false">J16*EXP(($B$4-0.5*$B$5^2)*$B$8+$B$5*SQRT($B$8)*K72)</f>
        <v>15.3129275303181</v>
      </c>
      <c r="L16" s="32" t="n">
        <f aca="false">K16*EXP(($B$4-0.5*$B$5^2)*$B$8+$B$5*SQRT($B$8)*L72)</f>
        <v>13.5563455046032</v>
      </c>
      <c r="M16" s="32" t="n">
        <f aca="false">L16*EXP(($B$4-0.5*$B$5^2)*$B$8+$B$5*SQRT($B$8)*M72)</f>
        <v>13.4548135265361</v>
      </c>
      <c r="N16" s="32" t="n">
        <f aca="false">M16*EXP(($B$4-0.5*$B$5^2)*$B$8+$B$5*SQRT($B$8)*N72)</f>
        <v>14.8053835049867</v>
      </c>
      <c r="O16" s="32" t="n">
        <f aca="false">N16*EXP(($B$4-0.5*$B$5^2)*$B$8+$B$5*SQRT($B$8)*O72)</f>
        <v>14.1787951532515</v>
      </c>
      <c r="P16" s="32" t="n">
        <f aca="false">O16*EXP(($B$4-0.5*$B$5^2)*$B$8+$B$5*SQRT($B$8)*P72)</f>
        <v>13.8271837079819</v>
      </c>
      <c r="Q16" s="32" t="n">
        <f aca="false">P16*EXP(($B$4-0.5*$B$5^2)*$B$8+$B$5*SQRT($B$8)*Q72)</f>
        <v>13.4934778856783</v>
      </c>
      <c r="R16" s="32" t="n">
        <f aca="false">Q16*EXP(($B$4-0.5*$B$5^2)*$B$8+$B$5*SQRT($B$8)*R72)</f>
        <v>13.6541736935042</v>
      </c>
      <c r="S16" s="32" t="n">
        <f aca="false">R16*EXP(($B$4-0.5*$B$5^2)*$B$8+$B$5*SQRT($B$8)*S72)</f>
        <v>11.4628813606677</v>
      </c>
      <c r="T16" s="32" t="n">
        <f aca="false">S16*EXP(($B$4-0.5*$B$5^2)*$B$8+$B$5*SQRT($B$8)*T72)</f>
        <v>11.1686236453114</v>
      </c>
      <c r="U16" s="32" t="n">
        <f aca="false">T16*EXP(($B$4-0.5*$B$5^2)*$B$8+$B$5*SQRT($B$8)*U72)</f>
        <v>10.1675452743346</v>
      </c>
      <c r="V16" s="32" t="n">
        <f aca="false">U16*EXP(($B$4-0.5*$B$5^2)*$B$8+$B$5*SQRT($B$8)*V72)</f>
        <v>11.2015639346134</v>
      </c>
      <c r="W16" s="32" t="n">
        <f aca="false">V16*EXP(($B$4-0.5*$B$5^2)*$B$8+$B$5*SQRT($B$8)*W72)</f>
        <v>10.2917031900198</v>
      </c>
      <c r="X16" s="32" t="n">
        <f aca="false">W16*EXP(($B$4-0.5*$B$5^2)*$B$8+$B$5*SQRT($B$8)*X72)</f>
        <v>10.9622193866002</v>
      </c>
      <c r="Y16" s="32" t="n">
        <f aca="false">X16*EXP(($B$4-0.5*$B$5^2)*$B$8+$B$5*SQRT($B$8)*Y72)</f>
        <v>12.9551961849023</v>
      </c>
      <c r="Z16" s="32" t="n">
        <f aca="false">Y16*EXP(($B$4-0.5*$B$5^2)*$B$8+$B$5*SQRT($B$8)*Z72)</f>
        <v>12.5148156670944</v>
      </c>
      <c r="AA16" s="32" t="n">
        <f aca="false">Z16*EXP(($B$4-0.5*$B$5^2)*$B$8+$B$5*SQRT($B$8)*AA72)</f>
        <v>11.713464854706</v>
      </c>
      <c r="AB16" s="32" t="n">
        <f aca="false">AA16*EXP(($B$4-0.5*$B$5^2)*$B$8+$B$5*SQRT($B$8)*AB72)</f>
        <v>11.9598492944647</v>
      </c>
      <c r="AC16" s="32" t="n">
        <f aca="false">AB16*EXP(($B$4-0.5*$B$5^2)*$B$8+$B$5*SQRT($B$8)*AC72)</f>
        <v>11.9549956492334</v>
      </c>
      <c r="AD16" s="32" t="n">
        <f aca="false">AC16*EXP(($B$4-0.5*$B$5^2)*$B$8+$B$5*SQRT($B$8)*AD72)</f>
        <v>10.7184828150828</v>
      </c>
      <c r="AE16" s="32" t="n">
        <f aca="false">AD16*EXP(($B$4-0.5*$B$5^2)*$B$8+$B$5*SQRT($B$8)*AE72)</f>
        <v>11.272290590417</v>
      </c>
      <c r="AF16" s="32" t="n">
        <f aca="false">AE16*EXP(($B$4-0.5*$B$5^2)*$B$8+$B$5*SQRT($B$8)*AF72)</f>
        <v>14.058952488028</v>
      </c>
      <c r="AG16" s="32" t="n">
        <f aca="false">AF16*EXP(($B$4-0.5*$B$5^2)*$B$8+$B$5*SQRT($B$8)*AG72)</f>
        <v>13.6639646724871</v>
      </c>
      <c r="AH16" s="32" t="n">
        <f aca="false">AG16*EXP(($B$4-0.5*$B$5^2)*$B$8+$B$5*SQRT($B$8)*AH72)</f>
        <v>13.3607846710548</v>
      </c>
      <c r="AI16" s="32" t="n">
        <f aca="false">AH16*EXP(($B$4-0.5*$B$5^2)*$B$8+$B$5*SQRT($B$8)*AI72)</f>
        <v>11.9116287250008</v>
      </c>
      <c r="AJ16" s="32" t="n">
        <f aca="false">AI16*EXP(($B$4-0.5*$B$5^2)*$B$8+$B$5*SQRT($B$8)*AJ72)</f>
        <v>12.3336918944128</v>
      </c>
      <c r="AK16" s="32" t="n">
        <f aca="false">AJ16*EXP(($B$4-0.5*$B$5^2)*$B$8+$B$5*SQRT($B$8)*AK72)</f>
        <v>10.7549097531187</v>
      </c>
      <c r="AL16" s="32" t="n">
        <f aca="false">AK16*EXP(($B$4-0.5*$B$5^2)*$B$8+$B$5*SQRT($B$8)*AL72)</f>
        <v>9.52340566230393</v>
      </c>
      <c r="AM16" s="32" t="n">
        <f aca="false">AL16*EXP(($B$4-0.5*$B$5^2)*$B$8+$B$5*SQRT($B$8)*AM72)</f>
        <v>10.9566247735127</v>
      </c>
      <c r="AN16" s="32" t="n">
        <f aca="false">AM16*EXP(($B$4-0.5*$B$5^2)*$B$8+$B$5*SQRT($B$8)*AN72)</f>
        <v>9.91883886251541</v>
      </c>
      <c r="AO16" s="32" t="n">
        <f aca="false">AN16*EXP(($B$4-0.5*$B$5^2)*$B$8+$B$5*SQRT($B$8)*AO72)</f>
        <v>11.1660031263243</v>
      </c>
      <c r="AP16" s="32" t="n">
        <f aca="false">AO16*EXP(($B$4-0.5*$B$5^2)*$B$8+$B$5*SQRT($B$8)*AP72)</f>
        <v>13.1959136443567</v>
      </c>
      <c r="AQ16" s="32" t="n">
        <f aca="false">AP16*EXP(($B$4-0.5*$B$5^2)*$B$8+$B$5*SQRT($B$8)*AQ72)</f>
        <v>13.5742021951797</v>
      </c>
      <c r="AR16" s="32" t="n">
        <f aca="false">AQ16*EXP(($B$4-0.5*$B$5^2)*$B$8+$B$5*SQRT($B$8)*AR72)</f>
        <v>14.4211068795291</v>
      </c>
      <c r="AS16" s="32" t="n">
        <f aca="false">AR16*EXP(($B$4-0.5*$B$5^2)*$B$8+$B$5*SQRT($B$8)*AS72)</f>
        <v>17.8618070884537</v>
      </c>
      <c r="AT16" s="32" t="n">
        <f aca="false">AS16*EXP(($B$4-0.5*$B$5^2)*$B$8+$B$5*SQRT($B$8)*AT72)</f>
        <v>17.4772666968215</v>
      </c>
      <c r="AU16" s="32" t="n">
        <f aca="false">AT16*EXP(($B$4-0.5*$B$5^2)*$B$8+$B$5*SQRT($B$8)*AU72)</f>
        <v>16.3735457181915</v>
      </c>
      <c r="AV16" s="32" t="n">
        <f aca="false">AU16*EXP(($B$4-0.5*$B$5^2)*$B$8+$B$5*SQRT($B$8)*AV72)</f>
        <v>14.112188441143</v>
      </c>
      <c r="AW16" s="32" t="n">
        <f aca="false">AV16*EXP(($B$4-0.5*$B$5^2)*$B$8+$B$5*SQRT($B$8)*AW72)</f>
        <v>14.1743024988089</v>
      </c>
      <c r="AX16" s="32" t="n">
        <f aca="false">AW16*EXP(($B$4-0.5*$B$5^2)*$B$8+$B$5*SQRT($B$8)*AX72)</f>
        <v>16.6682269140581</v>
      </c>
      <c r="AY16" s="32" t="n">
        <f aca="false">AX16*EXP(($B$4-0.5*$B$5^2)*$B$8+$B$5*SQRT($B$8)*AY72)</f>
        <v>18.5150756035342</v>
      </c>
      <c r="AZ16" s="32" t="n">
        <f aca="false">AY16*EXP(($B$4-0.5*$B$5^2)*$B$8+$B$5*SQRT($B$8)*AZ72)</f>
        <v>16.6941407462652</v>
      </c>
      <c r="BA16" s="32" t="n">
        <f aca="false">AZ16*EXP(($B$4-0.5*$B$5^2)*$B$8+$B$5*SQRT($B$8)*BA72)</f>
        <v>15.1961596521695</v>
      </c>
      <c r="BB16" s="32" t="n">
        <f aca="false">BA16*EXP(($B$4-0.5*$B$5^2)*$B$8+$B$5*SQRT($B$8)*BB72)</f>
        <v>14.3759053143237</v>
      </c>
      <c r="BC16" s="32" t="n">
        <f aca="false">BB16*EXP(($B$4-0.5*$B$5^2)*$B$8+$B$5*SQRT($B$8)*BC72)</f>
        <v>14.8415552047875</v>
      </c>
      <c r="BD16" s="32" t="n">
        <f aca="false">BC16*EXP(($B$4-0.5*$B$5^2)*$B$8+$B$5*SQRT($B$8)*BD72)</f>
        <v>14.5083702517342</v>
      </c>
      <c r="BE16" s="32" t="n">
        <f aca="false">BD16*EXP(($B$4-0.5*$B$5^2)*$B$8+$B$5*SQRT($B$8)*BE72)</f>
        <v>14.8510009419946</v>
      </c>
      <c r="BF16" s="32" t="n">
        <f aca="false">BE16*EXP(($B$4-0.5*$B$5^2)*$B$8+$B$5*SQRT($B$8)*BF72)</f>
        <v>15.3395616437792</v>
      </c>
      <c r="BG16" s="32" t="n">
        <f aca="false">BF16*EXP(($B$4-0.5*$B$5^2)*$B$8+$B$5*SQRT($B$8)*BG72)</f>
        <v>14.842244221072</v>
      </c>
      <c r="BH16" s="32" t="n">
        <f aca="false">BG16*EXP(($B$4-0.5*$B$5^2)*$B$8+$B$5*SQRT($B$8)*BH72)</f>
        <v>14.7742703498435</v>
      </c>
      <c r="BI16" s="32" t="n">
        <f aca="false">BH16*EXP(($B$4-0.5*$B$5^2)*$B$8+$B$5*SQRT($B$8)*BI72)</f>
        <v>15.1101441443919</v>
      </c>
      <c r="BJ16" s="32" t="n">
        <f aca="false">BI16*EXP(($B$4-0.5*$B$5^2)*$B$8+$B$5*SQRT($B$8)*BJ72)</f>
        <v>14.9688562947411</v>
      </c>
    </row>
    <row r="17" customFormat="false" ht="15" hidden="false" customHeight="true" outlineLevel="0" collapsed="false">
      <c r="A17" s="6" t="s">
        <v>121</v>
      </c>
      <c r="B17" s="32" t="n">
        <f aca="false">$B$3</f>
        <v>11.5</v>
      </c>
      <c r="C17" s="32" t="n">
        <f aca="false">B17*EXP(($B$4-0.5*$B$5^2)*$B$8+$B$5*SQRT($B$8)*C73)</f>
        <v>12.1508387989688</v>
      </c>
      <c r="D17" s="32" t="n">
        <f aca="false">C17*EXP(($B$4-0.5*$B$5^2)*$B$8+$B$5*SQRT($B$8)*D73)</f>
        <v>14.9161346721396</v>
      </c>
      <c r="E17" s="32" t="n">
        <f aca="false">D17*EXP(($B$4-0.5*$B$5^2)*$B$8+$B$5*SQRT($B$8)*E73)</f>
        <v>15.9139721617264</v>
      </c>
      <c r="F17" s="32" t="n">
        <f aca="false">E17*EXP(($B$4-0.5*$B$5^2)*$B$8+$B$5*SQRT($B$8)*F73)</f>
        <v>16.0087647124702</v>
      </c>
      <c r="G17" s="32" t="n">
        <f aca="false">F17*EXP(($B$4-0.5*$B$5^2)*$B$8+$B$5*SQRT($B$8)*G73)</f>
        <v>13.3030274300629</v>
      </c>
      <c r="H17" s="32" t="n">
        <f aca="false">G17*EXP(($B$4-0.5*$B$5^2)*$B$8+$B$5*SQRT($B$8)*H73)</f>
        <v>13.8788466416</v>
      </c>
      <c r="I17" s="32" t="n">
        <f aca="false">H17*EXP(($B$4-0.5*$B$5^2)*$B$8+$B$5*SQRT($B$8)*I73)</f>
        <v>11.2081211177898</v>
      </c>
      <c r="J17" s="32" t="n">
        <f aca="false">I17*EXP(($B$4-0.5*$B$5^2)*$B$8+$B$5*SQRT($B$8)*J73)</f>
        <v>9.6012097130787</v>
      </c>
      <c r="K17" s="32" t="n">
        <f aca="false">J17*EXP(($B$4-0.5*$B$5^2)*$B$8+$B$5*SQRT($B$8)*K73)</f>
        <v>10.5429432245765</v>
      </c>
      <c r="L17" s="32" t="n">
        <f aca="false">K17*EXP(($B$4-0.5*$B$5^2)*$B$8+$B$5*SQRT($B$8)*L73)</f>
        <v>11.3901046410199</v>
      </c>
      <c r="M17" s="32" t="n">
        <f aca="false">L17*EXP(($B$4-0.5*$B$5^2)*$B$8+$B$5*SQRT($B$8)*M73)</f>
        <v>11.2022409171764</v>
      </c>
      <c r="N17" s="32" t="n">
        <f aca="false">M17*EXP(($B$4-0.5*$B$5^2)*$B$8+$B$5*SQRT($B$8)*N73)</f>
        <v>9.28451711153436</v>
      </c>
      <c r="O17" s="32" t="n">
        <f aca="false">N17*EXP(($B$4-0.5*$B$5^2)*$B$8+$B$5*SQRT($B$8)*O73)</f>
        <v>8.91227198042414</v>
      </c>
      <c r="P17" s="32" t="n">
        <f aca="false">O17*EXP(($B$4-0.5*$B$5^2)*$B$8+$B$5*SQRT($B$8)*P73)</f>
        <v>8.27129109872398</v>
      </c>
      <c r="Q17" s="32" t="n">
        <f aca="false">P17*EXP(($B$4-0.5*$B$5^2)*$B$8+$B$5*SQRT($B$8)*Q73)</f>
        <v>8.86815274010313</v>
      </c>
      <c r="R17" s="32" t="n">
        <f aca="false">Q17*EXP(($B$4-0.5*$B$5^2)*$B$8+$B$5*SQRT($B$8)*R73)</f>
        <v>11.3582963724646</v>
      </c>
      <c r="S17" s="32" t="n">
        <f aca="false">R17*EXP(($B$4-0.5*$B$5^2)*$B$8+$B$5*SQRT($B$8)*S73)</f>
        <v>11.629693685387</v>
      </c>
      <c r="T17" s="32" t="n">
        <f aca="false">S17*EXP(($B$4-0.5*$B$5^2)*$B$8+$B$5*SQRT($B$8)*T73)</f>
        <v>10.674850469971</v>
      </c>
      <c r="U17" s="32" t="n">
        <f aca="false">T17*EXP(($B$4-0.5*$B$5^2)*$B$8+$B$5*SQRT($B$8)*U73)</f>
        <v>9.38677470549087</v>
      </c>
      <c r="V17" s="32" t="n">
        <f aca="false">U17*EXP(($B$4-0.5*$B$5^2)*$B$8+$B$5*SQRT($B$8)*V73)</f>
        <v>9.32748175344677</v>
      </c>
      <c r="W17" s="32" t="n">
        <f aca="false">V17*EXP(($B$4-0.5*$B$5^2)*$B$8+$B$5*SQRT($B$8)*W73)</f>
        <v>9.14665403314704</v>
      </c>
      <c r="X17" s="32" t="n">
        <f aca="false">W17*EXP(($B$4-0.5*$B$5^2)*$B$8+$B$5*SQRT($B$8)*X73)</f>
        <v>8.05978691851968</v>
      </c>
      <c r="Y17" s="32" t="n">
        <f aca="false">X17*EXP(($B$4-0.5*$B$5^2)*$B$8+$B$5*SQRT($B$8)*Y73)</f>
        <v>8.16182302533076</v>
      </c>
      <c r="Z17" s="32" t="n">
        <f aca="false">Y17*EXP(($B$4-0.5*$B$5^2)*$B$8+$B$5*SQRT($B$8)*Z73)</f>
        <v>7.19245799778332</v>
      </c>
      <c r="AA17" s="32" t="n">
        <f aca="false">Z17*EXP(($B$4-0.5*$B$5^2)*$B$8+$B$5*SQRT($B$8)*AA73)</f>
        <v>8.12417330191087</v>
      </c>
      <c r="AB17" s="32" t="n">
        <f aca="false">AA17*EXP(($B$4-0.5*$B$5^2)*$B$8+$B$5*SQRT($B$8)*AB73)</f>
        <v>9.12693332971888</v>
      </c>
      <c r="AC17" s="32" t="n">
        <f aca="false">AB17*EXP(($B$4-0.5*$B$5^2)*$B$8+$B$5*SQRT($B$8)*AC73)</f>
        <v>10.278351508758</v>
      </c>
      <c r="AD17" s="32" t="n">
        <f aca="false">AC17*EXP(($B$4-0.5*$B$5^2)*$B$8+$B$5*SQRT($B$8)*AD73)</f>
        <v>9.75573047194028</v>
      </c>
      <c r="AE17" s="32" t="n">
        <f aca="false">AD17*EXP(($B$4-0.5*$B$5^2)*$B$8+$B$5*SQRT($B$8)*AE73)</f>
        <v>10.3202981591444</v>
      </c>
      <c r="AF17" s="32" t="n">
        <f aca="false">AE17*EXP(($B$4-0.5*$B$5^2)*$B$8+$B$5*SQRT($B$8)*AF73)</f>
        <v>10.1699953055098</v>
      </c>
      <c r="AG17" s="32" t="n">
        <f aca="false">AF17*EXP(($B$4-0.5*$B$5^2)*$B$8+$B$5*SQRT($B$8)*AG73)</f>
        <v>9.74356505681987</v>
      </c>
      <c r="AH17" s="32" t="n">
        <f aca="false">AG17*EXP(($B$4-0.5*$B$5^2)*$B$8+$B$5*SQRT($B$8)*AH73)</f>
        <v>9.38601326538591</v>
      </c>
      <c r="AI17" s="32" t="n">
        <f aca="false">AH17*EXP(($B$4-0.5*$B$5^2)*$B$8+$B$5*SQRT($B$8)*AI73)</f>
        <v>8.1373373077405</v>
      </c>
      <c r="AJ17" s="32" t="n">
        <f aca="false">AI17*EXP(($B$4-0.5*$B$5^2)*$B$8+$B$5*SQRT($B$8)*AJ73)</f>
        <v>6.94410302177043</v>
      </c>
      <c r="AK17" s="32" t="n">
        <f aca="false">AJ17*EXP(($B$4-0.5*$B$5^2)*$B$8+$B$5*SQRT($B$8)*AK73)</f>
        <v>7.57492214217962</v>
      </c>
      <c r="AL17" s="32" t="n">
        <f aca="false">AK17*EXP(($B$4-0.5*$B$5^2)*$B$8+$B$5*SQRT($B$8)*AL73)</f>
        <v>7.416311828729</v>
      </c>
      <c r="AM17" s="32" t="n">
        <f aca="false">AL17*EXP(($B$4-0.5*$B$5^2)*$B$8+$B$5*SQRT($B$8)*AM73)</f>
        <v>7.59309743148581</v>
      </c>
      <c r="AN17" s="32" t="n">
        <f aca="false">AM17*EXP(($B$4-0.5*$B$5^2)*$B$8+$B$5*SQRT($B$8)*AN73)</f>
        <v>8.4734728592177</v>
      </c>
      <c r="AO17" s="32" t="n">
        <f aca="false">AN17*EXP(($B$4-0.5*$B$5^2)*$B$8+$B$5*SQRT($B$8)*AO73)</f>
        <v>7.00509998253483</v>
      </c>
      <c r="AP17" s="32" t="n">
        <f aca="false">AO17*EXP(($B$4-0.5*$B$5^2)*$B$8+$B$5*SQRT($B$8)*AP73)</f>
        <v>6.42655583407613</v>
      </c>
      <c r="AQ17" s="32" t="n">
        <f aca="false">AP17*EXP(($B$4-0.5*$B$5^2)*$B$8+$B$5*SQRT($B$8)*AQ73)</f>
        <v>6.55015719713029</v>
      </c>
      <c r="AR17" s="32" t="n">
        <f aca="false">AQ17*EXP(($B$4-0.5*$B$5^2)*$B$8+$B$5*SQRT($B$8)*AR73)</f>
        <v>6.83678205683953</v>
      </c>
      <c r="AS17" s="32" t="n">
        <f aca="false">AR17*EXP(($B$4-0.5*$B$5^2)*$B$8+$B$5*SQRT($B$8)*AS73)</f>
        <v>6.55855340651967</v>
      </c>
      <c r="AT17" s="32" t="n">
        <f aca="false">AS17*EXP(($B$4-0.5*$B$5^2)*$B$8+$B$5*SQRT($B$8)*AT73)</f>
        <v>7.34106656273255</v>
      </c>
      <c r="AU17" s="32" t="n">
        <f aca="false">AT17*EXP(($B$4-0.5*$B$5^2)*$B$8+$B$5*SQRT($B$8)*AU73)</f>
        <v>7.51108858131586</v>
      </c>
      <c r="AV17" s="32" t="n">
        <f aca="false">AU17*EXP(($B$4-0.5*$B$5^2)*$B$8+$B$5*SQRT($B$8)*AV73)</f>
        <v>6.57380779056942</v>
      </c>
      <c r="AW17" s="32" t="n">
        <f aca="false">AV17*EXP(($B$4-0.5*$B$5^2)*$B$8+$B$5*SQRT($B$8)*AW73)</f>
        <v>5.93465162241045</v>
      </c>
      <c r="AX17" s="32" t="n">
        <f aca="false">AW17*EXP(($B$4-0.5*$B$5^2)*$B$8+$B$5*SQRT($B$8)*AX73)</f>
        <v>6.48169721233434</v>
      </c>
      <c r="AY17" s="32" t="n">
        <f aca="false">AX17*EXP(($B$4-0.5*$B$5^2)*$B$8+$B$5*SQRT($B$8)*AY73)</f>
        <v>6.81877453873226</v>
      </c>
      <c r="AZ17" s="32" t="n">
        <f aca="false">AY17*EXP(($B$4-0.5*$B$5^2)*$B$8+$B$5*SQRT($B$8)*AZ73)</f>
        <v>5.53546718190074</v>
      </c>
      <c r="BA17" s="32" t="n">
        <f aca="false">AZ17*EXP(($B$4-0.5*$B$5^2)*$B$8+$B$5*SQRT($B$8)*BA73)</f>
        <v>6.41623839355671</v>
      </c>
      <c r="BB17" s="32" t="n">
        <f aca="false">BA17*EXP(($B$4-0.5*$B$5^2)*$B$8+$B$5*SQRT($B$8)*BB73)</f>
        <v>6.85001057074014</v>
      </c>
      <c r="BC17" s="32" t="n">
        <f aca="false">BB17*EXP(($B$4-0.5*$B$5^2)*$B$8+$B$5*SQRT($B$8)*BC73)</f>
        <v>7.93613955489255</v>
      </c>
      <c r="BD17" s="32" t="n">
        <f aca="false">BC17*EXP(($B$4-0.5*$B$5^2)*$B$8+$B$5*SQRT($B$8)*BD73)</f>
        <v>7.60763964015375</v>
      </c>
      <c r="BE17" s="32" t="n">
        <f aca="false">BD17*EXP(($B$4-0.5*$B$5^2)*$B$8+$B$5*SQRT($B$8)*BE73)</f>
        <v>7.36347282182013</v>
      </c>
      <c r="BF17" s="32" t="n">
        <f aca="false">BE17*EXP(($B$4-0.5*$B$5^2)*$B$8+$B$5*SQRT($B$8)*BF73)</f>
        <v>6.50635818890181</v>
      </c>
      <c r="BG17" s="32" t="n">
        <f aca="false">BF17*EXP(($B$4-0.5*$B$5^2)*$B$8+$B$5*SQRT($B$8)*BG73)</f>
        <v>8.5924934952143</v>
      </c>
      <c r="BH17" s="32" t="n">
        <f aca="false">BG17*EXP(($B$4-0.5*$B$5^2)*$B$8+$B$5*SQRT($B$8)*BH73)</f>
        <v>8.42715235459524</v>
      </c>
      <c r="BI17" s="32" t="n">
        <f aca="false">BH17*EXP(($B$4-0.5*$B$5^2)*$B$8+$B$5*SQRT($B$8)*BI73)</f>
        <v>10.0284143488565</v>
      </c>
      <c r="BJ17" s="32" t="n">
        <f aca="false">BI17*EXP(($B$4-0.5*$B$5^2)*$B$8+$B$5*SQRT($B$8)*BJ73)</f>
        <v>9.33931973242683</v>
      </c>
    </row>
    <row r="18" customFormat="false" ht="15" hidden="false" customHeight="true" outlineLevel="0" collapsed="false">
      <c r="A18" s="6" t="s">
        <v>122</v>
      </c>
      <c r="B18" s="32" t="n">
        <f aca="false">$B$3</f>
        <v>11.5</v>
      </c>
      <c r="C18" s="32" t="n">
        <f aca="false">B18*EXP(($B$4-0.5*$B$5^2)*$B$8+$B$5*SQRT($B$8)*C74)</f>
        <v>11.70640954042</v>
      </c>
      <c r="D18" s="32" t="n">
        <f aca="false">C18*EXP(($B$4-0.5*$B$5^2)*$B$8+$B$5*SQRT($B$8)*D74)</f>
        <v>9.74360896108824</v>
      </c>
      <c r="E18" s="32" t="n">
        <f aca="false">D18*EXP(($B$4-0.5*$B$5^2)*$B$8+$B$5*SQRT($B$8)*E74)</f>
        <v>9.3411469063166</v>
      </c>
      <c r="F18" s="32" t="n">
        <f aca="false">E18*EXP(($B$4-0.5*$B$5^2)*$B$8+$B$5*SQRT($B$8)*F74)</f>
        <v>10.4036866311999</v>
      </c>
      <c r="G18" s="32" t="n">
        <f aca="false">F18*EXP(($B$4-0.5*$B$5^2)*$B$8+$B$5*SQRT($B$8)*G74)</f>
        <v>9.06721276525359</v>
      </c>
      <c r="H18" s="32" t="n">
        <f aca="false">G18*EXP(($B$4-0.5*$B$5^2)*$B$8+$B$5*SQRT($B$8)*H74)</f>
        <v>10.1970783671979</v>
      </c>
      <c r="I18" s="32" t="n">
        <f aca="false">H18*EXP(($B$4-0.5*$B$5^2)*$B$8+$B$5*SQRT($B$8)*I74)</f>
        <v>10.5794319774045</v>
      </c>
      <c r="J18" s="32" t="n">
        <f aca="false">I18*EXP(($B$4-0.5*$B$5^2)*$B$8+$B$5*SQRT($B$8)*J74)</f>
        <v>9.43296611309593</v>
      </c>
      <c r="K18" s="32" t="n">
        <f aca="false">J18*EXP(($B$4-0.5*$B$5^2)*$B$8+$B$5*SQRT($B$8)*K74)</f>
        <v>8.92631595924024</v>
      </c>
      <c r="L18" s="32" t="n">
        <f aca="false">K18*EXP(($B$4-0.5*$B$5^2)*$B$8+$B$5*SQRT($B$8)*L74)</f>
        <v>8.48637985554469</v>
      </c>
      <c r="M18" s="32" t="n">
        <f aca="false">L18*EXP(($B$4-0.5*$B$5^2)*$B$8+$B$5*SQRT($B$8)*M74)</f>
        <v>8.43885870106569</v>
      </c>
      <c r="N18" s="32" t="n">
        <f aca="false">M18*EXP(($B$4-0.5*$B$5^2)*$B$8+$B$5*SQRT($B$8)*N74)</f>
        <v>7.95539724576375</v>
      </c>
      <c r="O18" s="32" t="n">
        <f aca="false">N18*EXP(($B$4-0.5*$B$5^2)*$B$8+$B$5*SQRT($B$8)*O74)</f>
        <v>7.26389825387519</v>
      </c>
      <c r="P18" s="32" t="n">
        <f aca="false">O18*EXP(($B$4-0.5*$B$5^2)*$B$8+$B$5*SQRT($B$8)*P74)</f>
        <v>7.02391728689508</v>
      </c>
      <c r="Q18" s="32" t="n">
        <f aca="false">P18*EXP(($B$4-0.5*$B$5^2)*$B$8+$B$5*SQRT($B$8)*Q74)</f>
        <v>6.27448546730562</v>
      </c>
      <c r="R18" s="32" t="n">
        <f aca="false">Q18*EXP(($B$4-0.5*$B$5^2)*$B$8+$B$5*SQRT($B$8)*R74)</f>
        <v>5.44583738050439</v>
      </c>
      <c r="S18" s="32" t="n">
        <f aca="false">R18*EXP(($B$4-0.5*$B$5^2)*$B$8+$B$5*SQRT($B$8)*S74)</f>
        <v>5.41614011660079</v>
      </c>
      <c r="T18" s="32" t="n">
        <f aca="false">S18*EXP(($B$4-0.5*$B$5^2)*$B$8+$B$5*SQRT($B$8)*T74)</f>
        <v>5.96583083260694</v>
      </c>
      <c r="U18" s="32" t="n">
        <f aca="false">T18*EXP(($B$4-0.5*$B$5^2)*$B$8+$B$5*SQRT($B$8)*U74)</f>
        <v>5.04348945973917</v>
      </c>
      <c r="V18" s="32" t="n">
        <f aca="false">U18*EXP(($B$4-0.5*$B$5^2)*$B$8+$B$5*SQRT($B$8)*V74)</f>
        <v>5.04450581912235</v>
      </c>
      <c r="W18" s="32" t="n">
        <f aca="false">V18*EXP(($B$4-0.5*$B$5^2)*$B$8+$B$5*SQRT($B$8)*W74)</f>
        <v>4.69650402805814</v>
      </c>
      <c r="X18" s="32" t="n">
        <f aca="false">W18*EXP(($B$4-0.5*$B$5^2)*$B$8+$B$5*SQRT($B$8)*X74)</f>
        <v>4.21835647112529</v>
      </c>
      <c r="Y18" s="32" t="n">
        <f aca="false">X18*EXP(($B$4-0.5*$B$5^2)*$B$8+$B$5*SQRT($B$8)*Y74)</f>
        <v>4.63150293843292</v>
      </c>
      <c r="Z18" s="32" t="n">
        <f aca="false">Y18*EXP(($B$4-0.5*$B$5^2)*$B$8+$B$5*SQRT($B$8)*Z74)</f>
        <v>4.3747818819915</v>
      </c>
      <c r="AA18" s="32" t="n">
        <f aca="false">Z18*EXP(($B$4-0.5*$B$5^2)*$B$8+$B$5*SQRT($B$8)*AA74)</f>
        <v>5.15533374255541</v>
      </c>
      <c r="AB18" s="32" t="n">
        <f aca="false">AA18*EXP(($B$4-0.5*$B$5^2)*$B$8+$B$5*SQRT($B$8)*AB74)</f>
        <v>4.73178653839342</v>
      </c>
      <c r="AC18" s="32" t="n">
        <f aca="false">AB18*EXP(($B$4-0.5*$B$5^2)*$B$8+$B$5*SQRT($B$8)*AC74)</f>
        <v>4.93581317911639</v>
      </c>
      <c r="AD18" s="32" t="n">
        <f aca="false">AC18*EXP(($B$4-0.5*$B$5^2)*$B$8+$B$5*SQRT($B$8)*AD74)</f>
        <v>4.81339156136909</v>
      </c>
      <c r="AE18" s="32" t="n">
        <f aca="false">AD18*EXP(($B$4-0.5*$B$5^2)*$B$8+$B$5*SQRT($B$8)*AE74)</f>
        <v>4.43046709113089</v>
      </c>
      <c r="AF18" s="32" t="n">
        <f aca="false">AE18*EXP(($B$4-0.5*$B$5^2)*$B$8+$B$5*SQRT($B$8)*AF74)</f>
        <v>4.72462224078502</v>
      </c>
      <c r="AG18" s="32" t="n">
        <f aca="false">AF18*EXP(($B$4-0.5*$B$5^2)*$B$8+$B$5*SQRT($B$8)*AG74)</f>
        <v>4.64412612247255</v>
      </c>
      <c r="AH18" s="32" t="n">
        <f aca="false">AG18*EXP(($B$4-0.5*$B$5^2)*$B$8+$B$5*SQRT($B$8)*AH74)</f>
        <v>4.96091405285255</v>
      </c>
      <c r="AI18" s="32" t="n">
        <f aca="false">AH18*EXP(($B$4-0.5*$B$5^2)*$B$8+$B$5*SQRT($B$8)*AI74)</f>
        <v>4.93434017119407</v>
      </c>
      <c r="AJ18" s="32" t="n">
        <f aca="false">AI18*EXP(($B$4-0.5*$B$5^2)*$B$8+$B$5*SQRT($B$8)*AJ74)</f>
        <v>4.37945955854812</v>
      </c>
      <c r="AK18" s="32" t="n">
        <f aca="false">AJ18*EXP(($B$4-0.5*$B$5^2)*$B$8+$B$5*SQRT($B$8)*AK74)</f>
        <v>4.32990391408982</v>
      </c>
      <c r="AL18" s="32" t="n">
        <f aca="false">AK18*EXP(($B$4-0.5*$B$5^2)*$B$8+$B$5*SQRT($B$8)*AL74)</f>
        <v>4.35385352428694</v>
      </c>
      <c r="AM18" s="32" t="n">
        <f aca="false">AL18*EXP(($B$4-0.5*$B$5^2)*$B$8+$B$5*SQRT($B$8)*AM74)</f>
        <v>4.83566214446747</v>
      </c>
      <c r="AN18" s="32" t="n">
        <f aca="false">AM18*EXP(($B$4-0.5*$B$5^2)*$B$8+$B$5*SQRT($B$8)*AN74)</f>
        <v>4.37724770868284</v>
      </c>
      <c r="AO18" s="32" t="n">
        <f aca="false">AN18*EXP(($B$4-0.5*$B$5^2)*$B$8+$B$5*SQRT($B$8)*AO74)</f>
        <v>4.3576044455498</v>
      </c>
      <c r="AP18" s="32" t="n">
        <f aca="false">AO18*EXP(($B$4-0.5*$B$5^2)*$B$8+$B$5*SQRT($B$8)*AP74)</f>
        <v>3.60692271658664</v>
      </c>
      <c r="AQ18" s="32" t="n">
        <f aca="false">AP18*EXP(($B$4-0.5*$B$5^2)*$B$8+$B$5*SQRT($B$8)*AQ74)</f>
        <v>3.8734213421404</v>
      </c>
      <c r="AR18" s="32" t="n">
        <f aca="false">AQ18*EXP(($B$4-0.5*$B$5^2)*$B$8+$B$5*SQRT($B$8)*AR74)</f>
        <v>3.43947862860253</v>
      </c>
      <c r="AS18" s="32" t="n">
        <f aca="false">AR18*EXP(($B$4-0.5*$B$5^2)*$B$8+$B$5*SQRT($B$8)*AS74)</f>
        <v>2.82070020992438</v>
      </c>
      <c r="AT18" s="32" t="n">
        <f aca="false">AS18*EXP(($B$4-0.5*$B$5^2)*$B$8+$B$5*SQRT($B$8)*AT74)</f>
        <v>2.80192292303353</v>
      </c>
      <c r="AU18" s="32" t="n">
        <f aca="false">AT18*EXP(($B$4-0.5*$B$5^2)*$B$8+$B$5*SQRT($B$8)*AU74)</f>
        <v>3.16265679725074</v>
      </c>
      <c r="AV18" s="32" t="n">
        <f aca="false">AU18*EXP(($B$4-0.5*$B$5^2)*$B$8+$B$5*SQRT($B$8)*AV74)</f>
        <v>2.67514217114074</v>
      </c>
      <c r="AW18" s="32" t="n">
        <f aca="false">AV18*EXP(($B$4-0.5*$B$5^2)*$B$8+$B$5*SQRT($B$8)*AW74)</f>
        <v>2.37373684781572</v>
      </c>
      <c r="AX18" s="32" t="n">
        <f aca="false">AW18*EXP(($B$4-0.5*$B$5^2)*$B$8+$B$5*SQRT($B$8)*AX74)</f>
        <v>2.18747392026883</v>
      </c>
      <c r="AY18" s="32" t="n">
        <f aca="false">AX18*EXP(($B$4-0.5*$B$5^2)*$B$8+$B$5*SQRT($B$8)*AY74)</f>
        <v>1.93220569409825</v>
      </c>
      <c r="AZ18" s="32" t="n">
        <f aca="false">AY18*EXP(($B$4-0.5*$B$5^2)*$B$8+$B$5*SQRT($B$8)*AZ74)</f>
        <v>2.01395569284367</v>
      </c>
      <c r="BA18" s="32" t="n">
        <f aca="false">AZ18*EXP(($B$4-0.5*$B$5^2)*$B$8+$B$5*SQRT($B$8)*BA74)</f>
        <v>1.84292141288109</v>
      </c>
      <c r="BB18" s="32" t="n">
        <f aca="false">BA18*EXP(($B$4-0.5*$B$5^2)*$B$8+$B$5*SQRT($B$8)*BB74)</f>
        <v>1.70236936596512</v>
      </c>
      <c r="BC18" s="32" t="n">
        <f aca="false">BB18*EXP(($B$4-0.5*$B$5^2)*$B$8+$B$5*SQRT($B$8)*BC74)</f>
        <v>1.81452601083148</v>
      </c>
      <c r="BD18" s="32" t="n">
        <f aca="false">BC18*EXP(($B$4-0.5*$B$5^2)*$B$8+$B$5*SQRT($B$8)*BD74)</f>
        <v>1.66989975864385</v>
      </c>
      <c r="BE18" s="32" t="n">
        <f aca="false">BD18*EXP(($B$4-0.5*$B$5^2)*$B$8+$B$5*SQRT($B$8)*BE74)</f>
        <v>1.75076835339631</v>
      </c>
      <c r="BF18" s="32" t="n">
        <f aca="false">BE18*EXP(($B$4-0.5*$B$5^2)*$B$8+$B$5*SQRT($B$8)*BF74)</f>
        <v>1.57351790120598</v>
      </c>
      <c r="BG18" s="32" t="n">
        <f aca="false">BF18*EXP(($B$4-0.5*$B$5^2)*$B$8+$B$5*SQRT($B$8)*BG74)</f>
        <v>1.37735234575284</v>
      </c>
      <c r="BH18" s="32" t="n">
        <f aca="false">BG18*EXP(($B$4-0.5*$B$5^2)*$B$8+$B$5*SQRT($B$8)*BH74)</f>
        <v>1.12596143111269</v>
      </c>
      <c r="BI18" s="32" t="n">
        <f aca="false">BH18*EXP(($B$4-0.5*$B$5^2)*$B$8+$B$5*SQRT($B$8)*BI74)</f>
        <v>1.38074259878241</v>
      </c>
      <c r="BJ18" s="32" t="n">
        <f aca="false">BI18*EXP(($B$4-0.5*$B$5^2)*$B$8+$B$5*SQRT($B$8)*BJ74)</f>
        <v>1.33283309708021</v>
      </c>
    </row>
    <row r="19" customFormat="false" ht="15" hidden="false" customHeight="true" outlineLevel="0" collapsed="false">
      <c r="A19" s="6" t="s">
        <v>123</v>
      </c>
      <c r="B19" s="32" t="n">
        <f aca="false">$B$3</f>
        <v>11.5</v>
      </c>
      <c r="C19" s="32" t="n">
        <f aca="false">B19*EXP(($B$4-0.5*$B$5^2)*$B$8+$B$5*SQRT($B$8)*C75)</f>
        <v>11.8097132684905</v>
      </c>
      <c r="D19" s="32" t="n">
        <f aca="false">C19*EXP(($B$4-0.5*$B$5^2)*$B$8+$B$5*SQRT($B$8)*D75)</f>
        <v>11.7673999711772</v>
      </c>
      <c r="E19" s="32" t="n">
        <f aca="false">D19*EXP(($B$4-0.5*$B$5^2)*$B$8+$B$5*SQRT($B$8)*E75)</f>
        <v>11.9735124412001</v>
      </c>
      <c r="F19" s="32" t="n">
        <f aca="false">E19*EXP(($B$4-0.5*$B$5^2)*$B$8+$B$5*SQRT($B$8)*F75)</f>
        <v>12.0367445323912</v>
      </c>
      <c r="G19" s="32" t="n">
        <f aca="false">F19*EXP(($B$4-0.5*$B$5^2)*$B$8+$B$5*SQRT($B$8)*G75)</f>
        <v>14.8367247670162</v>
      </c>
      <c r="H19" s="32" t="n">
        <f aca="false">G19*EXP(($B$4-0.5*$B$5^2)*$B$8+$B$5*SQRT($B$8)*H75)</f>
        <v>13.2362001700033</v>
      </c>
      <c r="I19" s="32" t="n">
        <f aca="false">H19*EXP(($B$4-0.5*$B$5^2)*$B$8+$B$5*SQRT($B$8)*I75)</f>
        <v>11.1554030407419</v>
      </c>
      <c r="J19" s="32" t="n">
        <f aca="false">I19*EXP(($B$4-0.5*$B$5^2)*$B$8+$B$5*SQRT($B$8)*J75)</f>
        <v>9.98148761981144</v>
      </c>
      <c r="K19" s="32" t="n">
        <f aca="false">J19*EXP(($B$4-0.5*$B$5^2)*$B$8+$B$5*SQRT($B$8)*K75)</f>
        <v>8.62043744294137</v>
      </c>
      <c r="L19" s="32" t="n">
        <f aca="false">K19*EXP(($B$4-0.5*$B$5^2)*$B$8+$B$5*SQRT($B$8)*L75)</f>
        <v>9.35481943867816</v>
      </c>
      <c r="M19" s="32" t="n">
        <f aca="false">L19*EXP(($B$4-0.5*$B$5^2)*$B$8+$B$5*SQRT($B$8)*M75)</f>
        <v>10.2338513521814</v>
      </c>
      <c r="N19" s="32" t="n">
        <f aca="false">M19*EXP(($B$4-0.5*$B$5^2)*$B$8+$B$5*SQRT($B$8)*N75)</f>
        <v>9.20792615912702</v>
      </c>
      <c r="O19" s="32" t="n">
        <f aca="false">N19*EXP(($B$4-0.5*$B$5^2)*$B$8+$B$5*SQRT($B$8)*O75)</f>
        <v>7.90389210427471</v>
      </c>
      <c r="P19" s="32" t="n">
        <f aca="false">O19*EXP(($B$4-0.5*$B$5^2)*$B$8+$B$5*SQRT($B$8)*P75)</f>
        <v>7.60078861496756</v>
      </c>
      <c r="Q19" s="32" t="n">
        <f aca="false">P19*EXP(($B$4-0.5*$B$5^2)*$B$8+$B$5*SQRT($B$8)*Q75)</f>
        <v>8.85223673338907</v>
      </c>
      <c r="R19" s="32" t="n">
        <f aca="false">Q19*EXP(($B$4-0.5*$B$5^2)*$B$8+$B$5*SQRT($B$8)*R75)</f>
        <v>6.49602071110614</v>
      </c>
      <c r="S19" s="32" t="n">
        <f aca="false">R19*EXP(($B$4-0.5*$B$5^2)*$B$8+$B$5*SQRT($B$8)*S75)</f>
        <v>6.88107987434697</v>
      </c>
      <c r="T19" s="32" t="n">
        <f aca="false">S19*EXP(($B$4-0.5*$B$5^2)*$B$8+$B$5*SQRT($B$8)*T75)</f>
        <v>6.1140269198718</v>
      </c>
      <c r="U19" s="32" t="n">
        <f aca="false">T19*EXP(($B$4-0.5*$B$5^2)*$B$8+$B$5*SQRT($B$8)*U75)</f>
        <v>6.85190681722602</v>
      </c>
      <c r="V19" s="32" t="n">
        <f aca="false">U19*EXP(($B$4-0.5*$B$5^2)*$B$8+$B$5*SQRT($B$8)*V75)</f>
        <v>6.08665767344914</v>
      </c>
      <c r="W19" s="32" t="n">
        <f aca="false">V19*EXP(($B$4-0.5*$B$5^2)*$B$8+$B$5*SQRT($B$8)*W75)</f>
        <v>5.89796068026246</v>
      </c>
      <c r="X19" s="32" t="n">
        <f aca="false">W19*EXP(($B$4-0.5*$B$5^2)*$B$8+$B$5*SQRT($B$8)*X75)</f>
        <v>4.99875903191447</v>
      </c>
      <c r="Y19" s="32" t="n">
        <f aca="false">X19*EXP(($B$4-0.5*$B$5^2)*$B$8+$B$5*SQRT($B$8)*Y75)</f>
        <v>4.48978375398565</v>
      </c>
      <c r="Z19" s="32" t="n">
        <f aca="false">Y19*EXP(($B$4-0.5*$B$5^2)*$B$8+$B$5*SQRT($B$8)*Z75)</f>
        <v>5.22598335571825</v>
      </c>
      <c r="AA19" s="32" t="n">
        <f aca="false">Z19*EXP(($B$4-0.5*$B$5^2)*$B$8+$B$5*SQRT($B$8)*AA75)</f>
        <v>5.71717213211596</v>
      </c>
      <c r="AB19" s="32" t="n">
        <f aca="false">AA19*EXP(($B$4-0.5*$B$5^2)*$B$8+$B$5*SQRT($B$8)*AB75)</f>
        <v>5.46973055380106</v>
      </c>
      <c r="AC19" s="32" t="n">
        <f aca="false">AB19*EXP(($B$4-0.5*$B$5^2)*$B$8+$B$5*SQRT($B$8)*AC75)</f>
        <v>4.97085130946242</v>
      </c>
      <c r="AD19" s="32" t="n">
        <f aca="false">AC19*EXP(($B$4-0.5*$B$5^2)*$B$8+$B$5*SQRT($B$8)*AD75)</f>
        <v>4.03765335433784</v>
      </c>
      <c r="AE19" s="32" t="n">
        <f aca="false">AD19*EXP(($B$4-0.5*$B$5^2)*$B$8+$B$5*SQRT($B$8)*AE75)</f>
        <v>3.86629836068936</v>
      </c>
      <c r="AF19" s="32" t="n">
        <f aca="false">AE19*EXP(($B$4-0.5*$B$5^2)*$B$8+$B$5*SQRT($B$8)*AF75)</f>
        <v>3.8525075185011</v>
      </c>
      <c r="AG19" s="32" t="n">
        <f aca="false">AF19*EXP(($B$4-0.5*$B$5^2)*$B$8+$B$5*SQRT($B$8)*AG75)</f>
        <v>3.81644909222706</v>
      </c>
      <c r="AH19" s="32" t="n">
        <f aca="false">AG19*EXP(($B$4-0.5*$B$5^2)*$B$8+$B$5*SQRT($B$8)*AH75)</f>
        <v>3.77669182907299</v>
      </c>
      <c r="AI19" s="32" t="n">
        <f aca="false">AH19*EXP(($B$4-0.5*$B$5^2)*$B$8+$B$5*SQRT($B$8)*AI75)</f>
        <v>3.33878333097971</v>
      </c>
      <c r="AJ19" s="32" t="n">
        <f aca="false">AI19*EXP(($B$4-0.5*$B$5^2)*$B$8+$B$5*SQRT($B$8)*AJ75)</f>
        <v>3.31399071905746</v>
      </c>
      <c r="AK19" s="32" t="n">
        <f aca="false">AJ19*EXP(($B$4-0.5*$B$5^2)*$B$8+$B$5*SQRT($B$8)*AK75)</f>
        <v>3.29935649778177</v>
      </c>
      <c r="AL19" s="32" t="n">
        <f aca="false">AK19*EXP(($B$4-0.5*$B$5^2)*$B$8+$B$5*SQRT($B$8)*AL75)</f>
        <v>3.80043038693549</v>
      </c>
      <c r="AM19" s="32" t="n">
        <f aca="false">AL19*EXP(($B$4-0.5*$B$5^2)*$B$8+$B$5*SQRT($B$8)*AM75)</f>
        <v>4.66321539235158</v>
      </c>
      <c r="AN19" s="32" t="n">
        <f aca="false">AM19*EXP(($B$4-0.5*$B$5^2)*$B$8+$B$5*SQRT($B$8)*AN75)</f>
        <v>4.59282200670416</v>
      </c>
      <c r="AO19" s="32" t="n">
        <f aca="false">AN19*EXP(($B$4-0.5*$B$5^2)*$B$8+$B$5*SQRT($B$8)*AO75)</f>
        <v>4.22175195929631</v>
      </c>
      <c r="AP19" s="32" t="n">
        <f aca="false">AO19*EXP(($B$4-0.5*$B$5^2)*$B$8+$B$5*SQRT($B$8)*AP75)</f>
        <v>4.19099656475811</v>
      </c>
      <c r="AQ19" s="32" t="n">
        <f aca="false">AP19*EXP(($B$4-0.5*$B$5^2)*$B$8+$B$5*SQRT($B$8)*AQ75)</f>
        <v>3.92003764722322</v>
      </c>
      <c r="AR19" s="32" t="n">
        <f aca="false">AQ19*EXP(($B$4-0.5*$B$5^2)*$B$8+$B$5*SQRT($B$8)*AR75)</f>
        <v>3.61277254387796</v>
      </c>
      <c r="AS19" s="32" t="n">
        <f aca="false">AR19*EXP(($B$4-0.5*$B$5^2)*$B$8+$B$5*SQRT($B$8)*AS75)</f>
        <v>3.58894555663238</v>
      </c>
      <c r="AT19" s="32" t="n">
        <f aca="false">AS19*EXP(($B$4-0.5*$B$5^2)*$B$8+$B$5*SQRT($B$8)*AT75)</f>
        <v>3.20024769441678</v>
      </c>
      <c r="AU19" s="32" t="n">
        <f aca="false">AT19*EXP(($B$4-0.5*$B$5^2)*$B$8+$B$5*SQRT($B$8)*AU75)</f>
        <v>3.41963116309394</v>
      </c>
      <c r="AV19" s="32" t="n">
        <f aca="false">AU19*EXP(($B$4-0.5*$B$5^2)*$B$8+$B$5*SQRT($B$8)*AV75)</f>
        <v>3.38025174510198</v>
      </c>
      <c r="AW19" s="32" t="n">
        <f aca="false">AV19*EXP(($B$4-0.5*$B$5^2)*$B$8+$B$5*SQRT($B$8)*AW75)</f>
        <v>3.47360133061812</v>
      </c>
      <c r="AX19" s="32" t="n">
        <f aca="false">AW19*EXP(($B$4-0.5*$B$5^2)*$B$8+$B$5*SQRT($B$8)*AX75)</f>
        <v>3.40396414977432</v>
      </c>
      <c r="AY19" s="32" t="n">
        <f aca="false">AX19*EXP(($B$4-0.5*$B$5^2)*$B$8+$B$5*SQRT($B$8)*AY75)</f>
        <v>3.14237863703639</v>
      </c>
      <c r="AZ19" s="32" t="n">
        <f aca="false">AY19*EXP(($B$4-0.5*$B$5^2)*$B$8+$B$5*SQRT($B$8)*AZ75)</f>
        <v>2.83150624806287</v>
      </c>
      <c r="BA19" s="32" t="n">
        <f aca="false">AZ19*EXP(($B$4-0.5*$B$5^2)*$B$8+$B$5*SQRT($B$8)*BA75)</f>
        <v>2.75825193038963</v>
      </c>
      <c r="BB19" s="32" t="n">
        <f aca="false">BA19*EXP(($B$4-0.5*$B$5^2)*$B$8+$B$5*SQRT($B$8)*BB75)</f>
        <v>2.59663576534579</v>
      </c>
      <c r="BC19" s="32" t="n">
        <f aca="false">BB19*EXP(($B$4-0.5*$B$5^2)*$B$8+$B$5*SQRT($B$8)*BC75)</f>
        <v>2.66363440258006</v>
      </c>
      <c r="BD19" s="32" t="n">
        <f aca="false">BC19*EXP(($B$4-0.5*$B$5^2)*$B$8+$B$5*SQRT($B$8)*BD75)</f>
        <v>2.66185176035282</v>
      </c>
      <c r="BE19" s="32" t="n">
        <f aca="false">BD19*EXP(($B$4-0.5*$B$5^2)*$B$8+$B$5*SQRT($B$8)*BE75)</f>
        <v>2.29193937067698</v>
      </c>
      <c r="BF19" s="32" t="n">
        <f aca="false">BE19*EXP(($B$4-0.5*$B$5^2)*$B$8+$B$5*SQRT($B$8)*BF75)</f>
        <v>2.30845388742486</v>
      </c>
      <c r="BG19" s="32" t="n">
        <f aca="false">BF19*EXP(($B$4-0.5*$B$5^2)*$B$8+$B$5*SQRT($B$8)*BG75)</f>
        <v>1.99189709337685</v>
      </c>
      <c r="BH19" s="32" t="n">
        <f aca="false">BG19*EXP(($B$4-0.5*$B$5^2)*$B$8+$B$5*SQRT($B$8)*BH75)</f>
        <v>1.86130656452439</v>
      </c>
      <c r="BI19" s="32" t="n">
        <f aca="false">BH19*EXP(($B$4-0.5*$B$5^2)*$B$8+$B$5*SQRT($B$8)*BI75)</f>
        <v>1.80183535319075</v>
      </c>
      <c r="BJ19" s="32" t="n">
        <f aca="false">BI19*EXP(($B$4-0.5*$B$5^2)*$B$8+$B$5*SQRT($B$8)*BJ75)</f>
        <v>1.43472347669789</v>
      </c>
    </row>
    <row r="20" customFormat="false" ht="15" hidden="false" customHeight="true" outlineLevel="0" collapsed="false">
      <c r="A20" s="6" t="s">
        <v>124</v>
      </c>
      <c r="B20" s="32" t="n">
        <f aca="false">$B$3</f>
        <v>11.5</v>
      </c>
      <c r="C20" s="32" t="n">
        <f aca="false">B20*EXP(($B$4-0.5*$B$5^2)*$B$8+$B$5*SQRT($B$8)*C76)</f>
        <v>11.6138895109738</v>
      </c>
      <c r="D20" s="32" t="n">
        <f aca="false">C20*EXP(($B$4-0.5*$B$5^2)*$B$8+$B$5*SQRT($B$8)*D76)</f>
        <v>11.8056800152514</v>
      </c>
      <c r="E20" s="32" t="n">
        <f aca="false">D20*EXP(($B$4-0.5*$B$5^2)*$B$8+$B$5*SQRT($B$8)*E76)</f>
        <v>11.6006685553268</v>
      </c>
      <c r="F20" s="32" t="n">
        <f aca="false">E20*EXP(($B$4-0.5*$B$5^2)*$B$8+$B$5*SQRT($B$8)*F76)</f>
        <v>11.0710462651298</v>
      </c>
      <c r="G20" s="32" t="n">
        <f aca="false">F20*EXP(($B$4-0.5*$B$5^2)*$B$8+$B$5*SQRT($B$8)*G76)</f>
        <v>10.6245449905382</v>
      </c>
      <c r="H20" s="32" t="n">
        <f aca="false">G20*EXP(($B$4-0.5*$B$5^2)*$B$8+$B$5*SQRT($B$8)*H76)</f>
        <v>9.5435023848045</v>
      </c>
      <c r="I20" s="32" t="n">
        <f aca="false">H20*EXP(($B$4-0.5*$B$5^2)*$B$8+$B$5*SQRT($B$8)*I76)</f>
        <v>9.26359322492676</v>
      </c>
      <c r="J20" s="32" t="n">
        <f aca="false">I20*EXP(($B$4-0.5*$B$5^2)*$B$8+$B$5*SQRT($B$8)*J76)</f>
        <v>8.71712139648326</v>
      </c>
      <c r="K20" s="32" t="n">
        <f aca="false">J20*EXP(($B$4-0.5*$B$5^2)*$B$8+$B$5*SQRT($B$8)*K76)</f>
        <v>8.80362269249918</v>
      </c>
      <c r="L20" s="32" t="n">
        <f aca="false">K20*EXP(($B$4-0.5*$B$5^2)*$B$8+$B$5*SQRT($B$8)*L76)</f>
        <v>7.71287026808339</v>
      </c>
      <c r="M20" s="32" t="n">
        <f aca="false">L20*EXP(($B$4-0.5*$B$5^2)*$B$8+$B$5*SQRT($B$8)*M76)</f>
        <v>7.91334412367217</v>
      </c>
      <c r="N20" s="32" t="n">
        <f aca="false">M20*EXP(($B$4-0.5*$B$5^2)*$B$8+$B$5*SQRT($B$8)*N76)</f>
        <v>8.03717577260954</v>
      </c>
      <c r="O20" s="32" t="n">
        <f aca="false">N20*EXP(($B$4-0.5*$B$5^2)*$B$8+$B$5*SQRT($B$8)*O76)</f>
        <v>7.91188027100477</v>
      </c>
      <c r="P20" s="32" t="n">
        <f aca="false">O20*EXP(($B$4-0.5*$B$5^2)*$B$8+$B$5*SQRT($B$8)*P76)</f>
        <v>7.53834659846574</v>
      </c>
      <c r="Q20" s="32" t="n">
        <f aca="false">P20*EXP(($B$4-0.5*$B$5^2)*$B$8+$B$5*SQRT($B$8)*Q76)</f>
        <v>8.00774598921627</v>
      </c>
      <c r="R20" s="32" t="n">
        <f aca="false">Q20*EXP(($B$4-0.5*$B$5^2)*$B$8+$B$5*SQRT($B$8)*R76)</f>
        <v>6.67003376598369</v>
      </c>
      <c r="S20" s="32" t="n">
        <f aca="false">R20*EXP(($B$4-0.5*$B$5^2)*$B$8+$B$5*SQRT($B$8)*S76)</f>
        <v>7.01430567950196</v>
      </c>
      <c r="T20" s="32" t="n">
        <f aca="false">S20*EXP(($B$4-0.5*$B$5^2)*$B$8+$B$5*SQRT($B$8)*T76)</f>
        <v>7.20250419644008</v>
      </c>
      <c r="U20" s="32" t="n">
        <f aca="false">T20*EXP(($B$4-0.5*$B$5^2)*$B$8+$B$5*SQRT($B$8)*U76)</f>
        <v>7.42855114652744</v>
      </c>
      <c r="V20" s="32" t="n">
        <f aca="false">U20*EXP(($B$4-0.5*$B$5^2)*$B$8+$B$5*SQRT($B$8)*V76)</f>
        <v>7.7461471306413</v>
      </c>
      <c r="W20" s="32" t="n">
        <f aca="false">V20*EXP(($B$4-0.5*$B$5^2)*$B$8+$B$5*SQRT($B$8)*W76)</f>
        <v>7.20885192490997</v>
      </c>
      <c r="X20" s="32" t="n">
        <f aca="false">W20*EXP(($B$4-0.5*$B$5^2)*$B$8+$B$5*SQRT($B$8)*X76)</f>
        <v>7.00528243485292</v>
      </c>
      <c r="Y20" s="32" t="n">
        <f aca="false">X20*EXP(($B$4-0.5*$B$5^2)*$B$8+$B$5*SQRT($B$8)*Y76)</f>
        <v>7.51096735568064</v>
      </c>
      <c r="Z20" s="32" t="n">
        <f aca="false">Y20*EXP(($B$4-0.5*$B$5^2)*$B$8+$B$5*SQRT($B$8)*Z76)</f>
        <v>7.87285347555383</v>
      </c>
      <c r="AA20" s="32" t="n">
        <f aca="false">Z20*EXP(($B$4-0.5*$B$5^2)*$B$8+$B$5*SQRT($B$8)*AA76)</f>
        <v>8.05193888039626</v>
      </c>
      <c r="AB20" s="32" t="n">
        <f aca="false">AA20*EXP(($B$4-0.5*$B$5^2)*$B$8+$B$5*SQRT($B$8)*AB76)</f>
        <v>6.81832523909299</v>
      </c>
      <c r="AC20" s="32" t="n">
        <f aca="false">AB20*EXP(($B$4-0.5*$B$5^2)*$B$8+$B$5*SQRT($B$8)*AC76)</f>
        <v>7.2314162606352</v>
      </c>
      <c r="AD20" s="32" t="n">
        <f aca="false">AC20*EXP(($B$4-0.5*$B$5^2)*$B$8+$B$5*SQRT($B$8)*AD76)</f>
        <v>8.21973939515069</v>
      </c>
      <c r="AE20" s="32" t="n">
        <f aca="false">AD20*EXP(($B$4-0.5*$B$5^2)*$B$8+$B$5*SQRT($B$8)*AE76)</f>
        <v>9.18078444086687</v>
      </c>
      <c r="AF20" s="32" t="n">
        <f aca="false">AE20*EXP(($B$4-0.5*$B$5^2)*$B$8+$B$5*SQRT($B$8)*AF76)</f>
        <v>9.4176438390759</v>
      </c>
      <c r="AG20" s="32" t="n">
        <f aca="false">AF20*EXP(($B$4-0.5*$B$5^2)*$B$8+$B$5*SQRT($B$8)*AG76)</f>
        <v>7.93695444183387</v>
      </c>
      <c r="AH20" s="32" t="n">
        <f aca="false">AG20*EXP(($B$4-0.5*$B$5^2)*$B$8+$B$5*SQRT($B$8)*AH76)</f>
        <v>8.79989871894616</v>
      </c>
      <c r="AI20" s="32" t="n">
        <f aca="false">AH20*EXP(($B$4-0.5*$B$5^2)*$B$8+$B$5*SQRT($B$8)*AI76)</f>
        <v>8.65730569144176</v>
      </c>
      <c r="AJ20" s="32" t="n">
        <f aca="false">AI20*EXP(($B$4-0.5*$B$5^2)*$B$8+$B$5*SQRT($B$8)*AJ76)</f>
        <v>6.55620250333505</v>
      </c>
      <c r="AK20" s="32" t="n">
        <f aca="false">AJ20*EXP(($B$4-0.5*$B$5^2)*$B$8+$B$5*SQRT($B$8)*AK76)</f>
        <v>6.83192560004593</v>
      </c>
      <c r="AL20" s="32" t="n">
        <f aca="false">AK20*EXP(($B$4-0.5*$B$5^2)*$B$8+$B$5*SQRT($B$8)*AL76)</f>
        <v>5.79929950262744</v>
      </c>
      <c r="AM20" s="32" t="n">
        <f aca="false">AL20*EXP(($B$4-0.5*$B$5^2)*$B$8+$B$5*SQRT($B$8)*AM76)</f>
        <v>5.02959136426555</v>
      </c>
      <c r="AN20" s="32" t="n">
        <f aca="false">AM20*EXP(($B$4-0.5*$B$5^2)*$B$8+$B$5*SQRT($B$8)*AN76)</f>
        <v>4.69032842733461</v>
      </c>
      <c r="AO20" s="32" t="n">
        <f aca="false">AN20*EXP(($B$4-0.5*$B$5^2)*$B$8+$B$5*SQRT($B$8)*AO76)</f>
        <v>5.39200950850875</v>
      </c>
      <c r="AP20" s="32" t="n">
        <f aca="false">AO20*EXP(($B$4-0.5*$B$5^2)*$B$8+$B$5*SQRT($B$8)*AP76)</f>
        <v>5.1761127871078</v>
      </c>
      <c r="AQ20" s="32" t="n">
        <f aca="false">AP20*EXP(($B$4-0.5*$B$5^2)*$B$8+$B$5*SQRT($B$8)*AQ76)</f>
        <v>5.33131463824646</v>
      </c>
      <c r="AR20" s="32" t="n">
        <f aca="false">AQ20*EXP(($B$4-0.5*$B$5^2)*$B$8+$B$5*SQRT($B$8)*AR76)</f>
        <v>6.45697266597141</v>
      </c>
      <c r="AS20" s="32" t="n">
        <f aca="false">AR20*EXP(($B$4-0.5*$B$5^2)*$B$8+$B$5*SQRT($B$8)*AS76)</f>
        <v>7.68935430497874</v>
      </c>
      <c r="AT20" s="32" t="n">
        <f aca="false">AS20*EXP(($B$4-0.5*$B$5^2)*$B$8+$B$5*SQRT($B$8)*AT76)</f>
        <v>7.60127478314742</v>
      </c>
      <c r="AU20" s="32" t="n">
        <f aca="false">AT20*EXP(($B$4-0.5*$B$5^2)*$B$8+$B$5*SQRT($B$8)*AU76)</f>
        <v>7.40117381565914</v>
      </c>
      <c r="AV20" s="32" t="n">
        <f aca="false">AU20*EXP(($B$4-0.5*$B$5^2)*$B$8+$B$5*SQRT($B$8)*AV76)</f>
        <v>6.443952654298</v>
      </c>
      <c r="AW20" s="32" t="n">
        <f aca="false">AV20*EXP(($B$4-0.5*$B$5^2)*$B$8+$B$5*SQRT($B$8)*AW76)</f>
        <v>5.97019224690456</v>
      </c>
      <c r="AX20" s="32" t="n">
        <f aca="false">AW20*EXP(($B$4-0.5*$B$5^2)*$B$8+$B$5*SQRT($B$8)*AX76)</f>
        <v>6.25421814590684</v>
      </c>
      <c r="AY20" s="32" t="n">
        <f aca="false">AX20*EXP(($B$4-0.5*$B$5^2)*$B$8+$B$5*SQRT($B$8)*AY76)</f>
        <v>6.53049736058597</v>
      </c>
      <c r="AZ20" s="32" t="n">
        <f aca="false">AY20*EXP(($B$4-0.5*$B$5^2)*$B$8+$B$5*SQRT($B$8)*AZ76)</f>
        <v>6.60873676752132</v>
      </c>
      <c r="BA20" s="32" t="n">
        <f aca="false">AZ20*EXP(($B$4-0.5*$B$5^2)*$B$8+$B$5*SQRT($B$8)*BA76)</f>
        <v>7.36939419375384</v>
      </c>
      <c r="BB20" s="32" t="n">
        <f aca="false">BA20*EXP(($B$4-0.5*$B$5^2)*$B$8+$B$5*SQRT($B$8)*BB76)</f>
        <v>6.76949210909086</v>
      </c>
      <c r="BC20" s="32" t="n">
        <f aca="false">BB20*EXP(($B$4-0.5*$B$5^2)*$B$8+$B$5*SQRT($B$8)*BC76)</f>
        <v>6.7267447155642</v>
      </c>
      <c r="BD20" s="32" t="n">
        <f aca="false">BC20*EXP(($B$4-0.5*$B$5^2)*$B$8+$B$5*SQRT($B$8)*BD76)</f>
        <v>7.28722510593597</v>
      </c>
      <c r="BE20" s="32" t="n">
        <f aca="false">BD20*EXP(($B$4-0.5*$B$5^2)*$B$8+$B$5*SQRT($B$8)*BE76)</f>
        <v>7.76804316386386</v>
      </c>
      <c r="BF20" s="32" t="n">
        <f aca="false">BE20*EXP(($B$4-0.5*$B$5^2)*$B$8+$B$5*SQRT($B$8)*BF76)</f>
        <v>8.73479096295914</v>
      </c>
      <c r="BG20" s="32" t="n">
        <f aca="false">BF20*EXP(($B$4-0.5*$B$5^2)*$B$8+$B$5*SQRT($B$8)*BG76)</f>
        <v>9.12193952190146</v>
      </c>
      <c r="BH20" s="32" t="n">
        <f aca="false">BG20*EXP(($B$4-0.5*$B$5^2)*$B$8+$B$5*SQRT($B$8)*BH76)</f>
        <v>8.81591597812276</v>
      </c>
      <c r="BI20" s="32" t="n">
        <f aca="false">BH20*EXP(($B$4-0.5*$B$5^2)*$B$8+$B$5*SQRT($B$8)*BI76)</f>
        <v>9.1715530155495</v>
      </c>
      <c r="BJ20" s="32" t="n">
        <f aca="false">BI20*EXP(($B$4-0.5*$B$5^2)*$B$8+$B$5*SQRT($B$8)*BJ76)</f>
        <v>8.21483824956251</v>
      </c>
    </row>
    <row r="21" customFormat="false" ht="15" hidden="false" customHeight="true" outlineLevel="0" collapsed="false">
      <c r="A21" s="6" t="s">
        <v>125</v>
      </c>
      <c r="B21" s="32" t="n">
        <f aca="false">$B$3</f>
        <v>11.5</v>
      </c>
      <c r="C21" s="32" t="n">
        <f aca="false">B21*EXP(($B$4-0.5*$B$5^2)*$B$8+$B$5*SQRT($B$8)*C77)</f>
        <v>9.60535415633468</v>
      </c>
      <c r="D21" s="32" t="n">
        <f aca="false">C21*EXP(($B$4-0.5*$B$5^2)*$B$8+$B$5*SQRT($B$8)*D77)</f>
        <v>10.2352231959228</v>
      </c>
      <c r="E21" s="32" t="n">
        <f aca="false">D21*EXP(($B$4-0.5*$B$5^2)*$B$8+$B$5*SQRT($B$8)*E77)</f>
        <v>10.1716352464281</v>
      </c>
      <c r="F21" s="32" t="n">
        <f aca="false">E21*EXP(($B$4-0.5*$B$5^2)*$B$8+$B$5*SQRT($B$8)*F77)</f>
        <v>10.5197151227072</v>
      </c>
      <c r="G21" s="32" t="n">
        <f aca="false">F21*EXP(($B$4-0.5*$B$5^2)*$B$8+$B$5*SQRT($B$8)*G77)</f>
        <v>8.73063124127613</v>
      </c>
      <c r="H21" s="32" t="n">
        <f aca="false">G21*EXP(($B$4-0.5*$B$5^2)*$B$8+$B$5*SQRT($B$8)*H77)</f>
        <v>8.38632658237146</v>
      </c>
      <c r="I21" s="32" t="n">
        <f aca="false">H21*EXP(($B$4-0.5*$B$5^2)*$B$8+$B$5*SQRT($B$8)*I77)</f>
        <v>7.85081228203991</v>
      </c>
      <c r="J21" s="32" t="n">
        <f aca="false">I21*EXP(($B$4-0.5*$B$5^2)*$B$8+$B$5*SQRT($B$8)*J77)</f>
        <v>7.13942742159288</v>
      </c>
      <c r="K21" s="32" t="n">
        <f aca="false">J21*EXP(($B$4-0.5*$B$5^2)*$B$8+$B$5*SQRT($B$8)*K77)</f>
        <v>5.57382692272466</v>
      </c>
      <c r="L21" s="32" t="n">
        <f aca="false">K21*EXP(($B$4-0.5*$B$5^2)*$B$8+$B$5*SQRT($B$8)*L77)</f>
        <v>5.371805535518</v>
      </c>
      <c r="M21" s="32" t="n">
        <f aca="false">L21*EXP(($B$4-0.5*$B$5^2)*$B$8+$B$5*SQRT($B$8)*M77)</f>
        <v>5.92637027763872</v>
      </c>
      <c r="N21" s="32" t="n">
        <f aca="false">M21*EXP(($B$4-0.5*$B$5^2)*$B$8+$B$5*SQRT($B$8)*N77)</f>
        <v>6.17817384533042</v>
      </c>
      <c r="O21" s="32" t="n">
        <f aca="false">N21*EXP(($B$4-0.5*$B$5^2)*$B$8+$B$5*SQRT($B$8)*O77)</f>
        <v>5.78297137715169</v>
      </c>
      <c r="P21" s="32" t="n">
        <f aca="false">O21*EXP(($B$4-0.5*$B$5^2)*$B$8+$B$5*SQRT($B$8)*P77)</f>
        <v>5.77248378690625</v>
      </c>
      <c r="Q21" s="32" t="n">
        <f aca="false">P21*EXP(($B$4-0.5*$B$5^2)*$B$8+$B$5*SQRT($B$8)*Q77)</f>
        <v>6.27101033072535</v>
      </c>
      <c r="R21" s="32" t="n">
        <f aca="false">Q21*EXP(($B$4-0.5*$B$5^2)*$B$8+$B$5*SQRT($B$8)*R77)</f>
        <v>4.63180122699367</v>
      </c>
      <c r="S21" s="32" t="n">
        <f aca="false">R21*EXP(($B$4-0.5*$B$5^2)*$B$8+$B$5*SQRT($B$8)*S77)</f>
        <v>4.56811781475532</v>
      </c>
      <c r="T21" s="32" t="n">
        <f aca="false">S21*EXP(($B$4-0.5*$B$5^2)*$B$8+$B$5*SQRT($B$8)*T77)</f>
        <v>4.84770362158542</v>
      </c>
      <c r="U21" s="32" t="n">
        <f aca="false">T21*EXP(($B$4-0.5*$B$5^2)*$B$8+$B$5*SQRT($B$8)*U77)</f>
        <v>5.22340212158581</v>
      </c>
      <c r="V21" s="32" t="n">
        <f aca="false">U21*EXP(($B$4-0.5*$B$5^2)*$B$8+$B$5*SQRT($B$8)*V77)</f>
        <v>6.29357858796499</v>
      </c>
      <c r="W21" s="32" t="n">
        <f aca="false">V21*EXP(($B$4-0.5*$B$5^2)*$B$8+$B$5*SQRT($B$8)*W77)</f>
        <v>7.12676279153239</v>
      </c>
      <c r="X21" s="32" t="n">
        <f aca="false">W21*EXP(($B$4-0.5*$B$5^2)*$B$8+$B$5*SQRT($B$8)*X77)</f>
        <v>7.37400395788314</v>
      </c>
      <c r="Y21" s="32" t="n">
        <f aca="false">X21*EXP(($B$4-0.5*$B$5^2)*$B$8+$B$5*SQRT($B$8)*Y77)</f>
        <v>7.62096673386733</v>
      </c>
      <c r="Z21" s="32" t="n">
        <f aca="false">Y21*EXP(($B$4-0.5*$B$5^2)*$B$8+$B$5*SQRT($B$8)*Z77)</f>
        <v>8.30655603625979</v>
      </c>
      <c r="AA21" s="32" t="n">
        <f aca="false">Z21*EXP(($B$4-0.5*$B$5^2)*$B$8+$B$5*SQRT($B$8)*AA77)</f>
        <v>7.82794045078954</v>
      </c>
      <c r="AB21" s="32" t="n">
        <f aca="false">AA21*EXP(($B$4-0.5*$B$5^2)*$B$8+$B$5*SQRT($B$8)*AB77)</f>
        <v>7.79207832246513</v>
      </c>
      <c r="AC21" s="32" t="n">
        <f aca="false">AB21*EXP(($B$4-0.5*$B$5^2)*$B$8+$B$5*SQRT($B$8)*AC77)</f>
        <v>8.60493243462859</v>
      </c>
      <c r="AD21" s="32" t="n">
        <f aca="false">AC21*EXP(($B$4-0.5*$B$5^2)*$B$8+$B$5*SQRT($B$8)*AD77)</f>
        <v>10.6640389309304</v>
      </c>
      <c r="AE21" s="32" t="n">
        <f aca="false">AD21*EXP(($B$4-0.5*$B$5^2)*$B$8+$B$5*SQRT($B$8)*AE77)</f>
        <v>10.477423779164</v>
      </c>
      <c r="AF21" s="32" t="n">
        <f aca="false">AE21*EXP(($B$4-0.5*$B$5^2)*$B$8+$B$5*SQRT($B$8)*AF77)</f>
        <v>10.4200319657288</v>
      </c>
      <c r="AG21" s="32" t="n">
        <f aca="false">AF21*EXP(($B$4-0.5*$B$5^2)*$B$8+$B$5*SQRT($B$8)*AG77)</f>
        <v>10.6474386772796</v>
      </c>
      <c r="AH21" s="32" t="n">
        <f aca="false">AG21*EXP(($B$4-0.5*$B$5^2)*$B$8+$B$5*SQRT($B$8)*AH77)</f>
        <v>12.3354945552115</v>
      </c>
      <c r="AI21" s="32" t="n">
        <f aca="false">AH21*EXP(($B$4-0.5*$B$5^2)*$B$8+$B$5*SQRT($B$8)*AI77)</f>
        <v>12.2922900991908</v>
      </c>
      <c r="AJ21" s="32" t="n">
        <f aca="false">AI21*EXP(($B$4-0.5*$B$5^2)*$B$8+$B$5*SQRT($B$8)*AJ77)</f>
        <v>14.4395725323353</v>
      </c>
      <c r="AK21" s="32" t="n">
        <f aca="false">AJ21*EXP(($B$4-0.5*$B$5^2)*$B$8+$B$5*SQRT($B$8)*AK77)</f>
        <v>12.9844207347001</v>
      </c>
      <c r="AL21" s="32" t="n">
        <f aca="false">AK21*EXP(($B$4-0.5*$B$5^2)*$B$8+$B$5*SQRT($B$8)*AL77)</f>
        <v>12.7197939694852</v>
      </c>
      <c r="AM21" s="32" t="n">
        <f aca="false">AL21*EXP(($B$4-0.5*$B$5^2)*$B$8+$B$5*SQRT($B$8)*AM77)</f>
        <v>12.4439927053149</v>
      </c>
      <c r="AN21" s="32" t="n">
        <f aca="false">AM21*EXP(($B$4-0.5*$B$5^2)*$B$8+$B$5*SQRT($B$8)*AN77)</f>
        <v>13.5628118541522</v>
      </c>
      <c r="AO21" s="32" t="n">
        <f aca="false">AN21*EXP(($B$4-0.5*$B$5^2)*$B$8+$B$5*SQRT($B$8)*AO77)</f>
        <v>15.2078197068148</v>
      </c>
      <c r="AP21" s="32" t="n">
        <f aca="false">AO21*EXP(($B$4-0.5*$B$5^2)*$B$8+$B$5*SQRT($B$8)*AP77)</f>
        <v>12.884764622727</v>
      </c>
      <c r="AQ21" s="32" t="n">
        <f aca="false">AP21*EXP(($B$4-0.5*$B$5^2)*$B$8+$B$5*SQRT($B$8)*AQ77)</f>
        <v>11.6519901717863</v>
      </c>
      <c r="AR21" s="32" t="n">
        <f aca="false">AQ21*EXP(($B$4-0.5*$B$5^2)*$B$8+$B$5*SQRT($B$8)*AR77)</f>
        <v>12.0883867312983</v>
      </c>
      <c r="AS21" s="32" t="n">
        <f aca="false">AR21*EXP(($B$4-0.5*$B$5^2)*$B$8+$B$5*SQRT($B$8)*AS77)</f>
        <v>11.2436717908391</v>
      </c>
      <c r="AT21" s="32" t="n">
        <f aca="false">AS21*EXP(($B$4-0.5*$B$5^2)*$B$8+$B$5*SQRT($B$8)*AT77)</f>
        <v>9.51259826486241</v>
      </c>
      <c r="AU21" s="32" t="n">
        <f aca="false">AT21*EXP(($B$4-0.5*$B$5^2)*$B$8+$B$5*SQRT($B$8)*AU77)</f>
        <v>10.6584328021288</v>
      </c>
      <c r="AV21" s="32" t="n">
        <f aca="false">AU21*EXP(($B$4-0.5*$B$5^2)*$B$8+$B$5*SQRT($B$8)*AV77)</f>
        <v>11.2498508694252</v>
      </c>
      <c r="AW21" s="32" t="n">
        <f aca="false">AV21*EXP(($B$4-0.5*$B$5^2)*$B$8+$B$5*SQRT($B$8)*AW77)</f>
        <v>11.8730533692898</v>
      </c>
      <c r="AX21" s="32" t="n">
        <f aca="false">AW21*EXP(($B$4-0.5*$B$5^2)*$B$8+$B$5*SQRT($B$8)*AX77)</f>
        <v>11.2676222014247</v>
      </c>
      <c r="AY21" s="32" t="n">
        <f aca="false">AX21*EXP(($B$4-0.5*$B$5^2)*$B$8+$B$5*SQRT($B$8)*AY77)</f>
        <v>12.6116499654833</v>
      </c>
      <c r="AZ21" s="32" t="n">
        <f aca="false">AY21*EXP(($B$4-0.5*$B$5^2)*$B$8+$B$5*SQRT($B$8)*AZ77)</f>
        <v>12.2817555163434</v>
      </c>
      <c r="BA21" s="32" t="n">
        <f aca="false">AZ21*EXP(($B$4-0.5*$B$5^2)*$B$8+$B$5*SQRT($B$8)*BA77)</f>
        <v>13.8489124357729</v>
      </c>
      <c r="BB21" s="32" t="n">
        <f aca="false">BA21*EXP(($B$4-0.5*$B$5^2)*$B$8+$B$5*SQRT($B$8)*BB77)</f>
        <v>12.5286353061897</v>
      </c>
      <c r="BC21" s="32" t="n">
        <f aca="false">BB21*EXP(($B$4-0.5*$B$5^2)*$B$8+$B$5*SQRT($B$8)*BC77)</f>
        <v>11.4059802673551</v>
      </c>
      <c r="BD21" s="32" t="n">
        <f aca="false">BC21*EXP(($B$4-0.5*$B$5^2)*$B$8+$B$5*SQRT($B$8)*BD77)</f>
        <v>11.6628119941469</v>
      </c>
      <c r="BE21" s="32" t="n">
        <f aca="false">BD21*EXP(($B$4-0.5*$B$5^2)*$B$8+$B$5*SQRT($B$8)*BE77)</f>
        <v>10.7960310394441</v>
      </c>
      <c r="BF21" s="32" t="n">
        <f aca="false">BE21*EXP(($B$4-0.5*$B$5^2)*$B$8+$B$5*SQRT($B$8)*BF77)</f>
        <v>11.6242088035157</v>
      </c>
      <c r="BG21" s="32" t="n">
        <f aca="false">BF21*EXP(($B$4-0.5*$B$5^2)*$B$8+$B$5*SQRT($B$8)*BG77)</f>
        <v>11.958439751325</v>
      </c>
      <c r="BH21" s="32" t="n">
        <f aca="false">BG21*EXP(($B$4-0.5*$B$5^2)*$B$8+$B$5*SQRT($B$8)*BH77)</f>
        <v>10.8049805698049</v>
      </c>
      <c r="BI21" s="32" t="n">
        <f aca="false">BH21*EXP(($B$4-0.5*$B$5^2)*$B$8+$B$5*SQRT($B$8)*BI77)</f>
        <v>10.8896953732844</v>
      </c>
      <c r="BJ21" s="32" t="n">
        <f aca="false">BI21*EXP(($B$4-0.5*$B$5^2)*$B$8+$B$5*SQRT($B$8)*BJ77)</f>
        <v>10.4761335972743</v>
      </c>
    </row>
    <row r="22" customFormat="false" ht="15" hidden="false" customHeight="true" outlineLevel="0" collapsed="false">
      <c r="A22" s="6" t="s">
        <v>126</v>
      </c>
      <c r="B22" s="32" t="n">
        <f aca="false">$B$3</f>
        <v>11.5</v>
      </c>
      <c r="C22" s="32" t="n">
        <f aca="false">B22*EXP(($B$4-0.5*$B$5^2)*$B$8+$B$5*SQRT($B$8)*C78)</f>
        <v>12.7130294033586</v>
      </c>
      <c r="D22" s="32" t="n">
        <f aca="false">C22*EXP(($B$4-0.5*$B$5^2)*$B$8+$B$5*SQRT($B$8)*D78)</f>
        <v>11.8586219154339</v>
      </c>
      <c r="E22" s="32" t="n">
        <f aca="false">D22*EXP(($B$4-0.5*$B$5^2)*$B$8+$B$5*SQRT($B$8)*E78)</f>
        <v>11.2987950078069</v>
      </c>
      <c r="F22" s="32" t="n">
        <f aca="false">E22*EXP(($B$4-0.5*$B$5^2)*$B$8+$B$5*SQRT($B$8)*F78)</f>
        <v>12.9019861078067</v>
      </c>
      <c r="G22" s="32" t="n">
        <f aca="false">F22*EXP(($B$4-0.5*$B$5^2)*$B$8+$B$5*SQRT($B$8)*G78)</f>
        <v>16.4901610367763</v>
      </c>
      <c r="H22" s="32" t="n">
        <f aca="false">G22*EXP(($B$4-0.5*$B$5^2)*$B$8+$B$5*SQRT($B$8)*H78)</f>
        <v>20.5295420641535</v>
      </c>
      <c r="I22" s="32" t="n">
        <f aca="false">H22*EXP(($B$4-0.5*$B$5^2)*$B$8+$B$5*SQRT($B$8)*I78)</f>
        <v>20.6686268216755</v>
      </c>
      <c r="J22" s="32" t="n">
        <f aca="false">I22*EXP(($B$4-0.5*$B$5^2)*$B$8+$B$5*SQRT($B$8)*J78)</f>
        <v>21.1669544102588</v>
      </c>
      <c r="K22" s="32" t="n">
        <f aca="false">J22*EXP(($B$4-0.5*$B$5^2)*$B$8+$B$5*SQRT($B$8)*K78)</f>
        <v>25.0399613967575</v>
      </c>
      <c r="L22" s="32" t="n">
        <f aca="false">K22*EXP(($B$4-0.5*$B$5^2)*$B$8+$B$5*SQRT($B$8)*L78)</f>
        <v>24.6959583859642</v>
      </c>
      <c r="M22" s="32" t="n">
        <f aca="false">L22*EXP(($B$4-0.5*$B$5^2)*$B$8+$B$5*SQRT($B$8)*M78)</f>
        <v>22.1836190472353</v>
      </c>
      <c r="N22" s="32" t="n">
        <f aca="false">M22*EXP(($B$4-0.5*$B$5^2)*$B$8+$B$5*SQRT($B$8)*N78)</f>
        <v>22.4657438251281</v>
      </c>
      <c r="O22" s="32" t="n">
        <f aca="false">N22*EXP(($B$4-0.5*$B$5^2)*$B$8+$B$5*SQRT($B$8)*O78)</f>
        <v>23.6021580972444</v>
      </c>
      <c r="P22" s="32" t="n">
        <f aca="false">O22*EXP(($B$4-0.5*$B$5^2)*$B$8+$B$5*SQRT($B$8)*P78)</f>
        <v>21.546210750756</v>
      </c>
      <c r="Q22" s="32" t="n">
        <f aca="false">P22*EXP(($B$4-0.5*$B$5^2)*$B$8+$B$5*SQRT($B$8)*Q78)</f>
        <v>17.9830698951861</v>
      </c>
      <c r="R22" s="32" t="n">
        <f aca="false">Q22*EXP(($B$4-0.5*$B$5^2)*$B$8+$B$5*SQRT($B$8)*R78)</f>
        <v>15.3581019312957</v>
      </c>
      <c r="S22" s="32" t="n">
        <f aca="false">R22*EXP(($B$4-0.5*$B$5^2)*$B$8+$B$5*SQRT($B$8)*S78)</f>
        <v>16.5180729549805</v>
      </c>
      <c r="T22" s="32" t="n">
        <f aca="false">S22*EXP(($B$4-0.5*$B$5^2)*$B$8+$B$5*SQRT($B$8)*T78)</f>
        <v>15.1967333022874</v>
      </c>
      <c r="U22" s="32" t="n">
        <f aca="false">T22*EXP(($B$4-0.5*$B$5^2)*$B$8+$B$5*SQRT($B$8)*U78)</f>
        <v>14.9601779652836</v>
      </c>
      <c r="V22" s="32" t="n">
        <f aca="false">U22*EXP(($B$4-0.5*$B$5^2)*$B$8+$B$5*SQRT($B$8)*V78)</f>
        <v>15.3102951817239</v>
      </c>
      <c r="W22" s="32" t="n">
        <f aca="false">V22*EXP(($B$4-0.5*$B$5^2)*$B$8+$B$5*SQRT($B$8)*W78)</f>
        <v>16.3832549828037</v>
      </c>
      <c r="X22" s="32" t="n">
        <f aca="false">W22*EXP(($B$4-0.5*$B$5^2)*$B$8+$B$5*SQRT($B$8)*X78)</f>
        <v>15.7893989176155</v>
      </c>
      <c r="Y22" s="32" t="n">
        <f aca="false">X22*EXP(($B$4-0.5*$B$5^2)*$B$8+$B$5*SQRT($B$8)*Y78)</f>
        <v>16.6742034121056</v>
      </c>
      <c r="Z22" s="32" t="n">
        <f aca="false">Y22*EXP(($B$4-0.5*$B$5^2)*$B$8+$B$5*SQRT($B$8)*Z78)</f>
        <v>15.1203715155172</v>
      </c>
      <c r="AA22" s="32" t="n">
        <f aca="false">Z22*EXP(($B$4-0.5*$B$5^2)*$B$8+$B$5*SQRT($B$8)*AA78)</f>
        <v>14.529496537656</v>
      </c>
      <c r="AB22" s="32" t="n">
        <f aca="false">AA22*EXP(($B$4-0.5*$B$5^2)*$B$8+$B$5*SQRT($B$8)*AB78)</f>
        <v>12.9827640685535</v>
      </c>
      <c r="AC22" s="32" t="n">
        <f aca="false">AB22*EXP(($B$4-0.5*$B$5^2)*$B$8+$B$5*SQRT($B$8)*AC78)</f>
        <v>14.6962192066601</v>
      </c>
      <c r="AD22" s="32" t="n">
        <f aca="false">AC22*EXP(($B$4-0.5*$B$5^2)*$B$8+$B$5*SQRT($B$8)*AD78)</f>
        <v>14.6499363952412</v>
      </c>
      <c r="AE22" s="32" t="n">
        <f aca="false">AD22*EXP(($B$4-0.5*$B$5^2)*$B$8+$B$5*SQRT($B$8)*AE78)</f>
        <v>13.506258611534</v>
      </c>
      <c r="AF22" s="32" t="n">
        <f aca="false">AE22*EXP(($B$4-0.5*$B$5^2)*$B$8+$B$5*SQRT($B$8)*AF78)</f>
        <v>12.9917673302724</v>
      </c>
      <c r="AG22" s="32" t="n">
        <f aca="false">AF22*EXP(($B$4-0.5*$B$5^2)*$B$8+$B$5*SQRT($B$8)*AG78)</f>
        <v>12.6772581526291</v>
      </c>
      <c r="AH22" s="32" t="n">
        <f aca="false">AG22*EXP(($B$4-0.5*$B$5^2)*$B$8+$B$5*SQRT($B$8)*AH78)</f>
        <v>13.6873351462131</v>
      </c>
      <c r="AI22" s="32" t="n">
        <f aca="false">AH22*EXP(($B$4-0.5*$B$5^2)*$B$8+$B$5*SQRT($B$8)*AI78)</f>
        <v>11.4874121984554</v>
      </c>
      <c r="AJ22" s="32" t="n">
        <f aca="false">AI22*EXP(($B$4-0.5*$B$5^2)*$B$8+$B$5*SQRT($B$8)*AJ78)</f>
        <v>10.2501322448694</v>
      </c>
      <c r="AK22" s="32" t="n">
        <f aca="false">AJ22*EXP(($B$4-0.5*$B$5^2)*$B$8+$B$5*SQRT($B$8)*AK78)</f>
        <v>9.83188044737678</v>
      </c>
      <c r="AL22" s="32" t="n">
        <f aca="false">AK22*EXP(($B$4-0.5*$B$5^2)*$B$8+$B$5*SQRT($B$8)*AL78)</f>
        <v>12.9776947534566</v>
      </c>
      <c r="AM22" s="32" t="n">
        <f aca="false">AL22*EXP(($B$4-0.5*$B$5^2)*$B$8+$B$5*SQRT($B$8)*AM78)</f>
        <v>14.4094384645458</v>
      </c>
      <c r="AN22" s="32" t="n">
        <f aca="false">AM22*EXP(($B$4-0.5*$B$5^2)*$B$8+$B$5*SQRT($B$8)*AN78)</f>
        <v>14.2317337542045</v>
      </c>
      <c r="AO22" s="32" t="n">
        <f aca="false">AN22*EXP(($B$4-0.5*$B$5^2)*$B$8+$B$5*SQRT($B$8)*AO78)</f>
        <v>15.3850276798404</v>
      </c>
      <c r="AP22" s="32" t="n">
        <f aca="false">AO22*EXP(($B$4-0.5*$B$5^2)*$B$8+$B$5*SQRT($B$8)*AP78)</f>
        <v>19.2768544819421</v>
      </c>
      <c r="AQ22" s="32" t="n">
        <f aca="false">AP22*EXP(($B$4-0.5*$B$5^2)*$B$8+$B$5*SQRT($B$8)*AQ78)</f>
        <v>18.7854172498666</v>
      </c>
      <c r="AR22" s="32" t="n">
        <f aca="false">AQ22*EXP(($B$4-0.5*$B$5^2)*$B$8+$B$5*SQRT($B$8)*AR78)</f>
        <v>18.0420163087874</v>
      </c>
      <c r="AS22" s="32" t="n">
        <f aca="false">AR22*EXP(($B$4-0.5*$B$5^2)*$B$8+$B$5*SQRT($B$8)*AS78)</f>
        <v>20.6036031503236</v>
      </c>
      <c r="AT22" s="32" t="n">
        <f aca="false">AS22*EXP(($B$4-0.5*$B$5^2)*$B$8+$B$5*SQRT($B$8)*AT78)</f>
        <v>21.747351612607</v>
      </c>
      <c r="AU22" s="32" t="n">
        <f aca="false">AT22*EXP(($B$4-0.5*$B$5^2)*$B$8+$B$5*SQRT($B$8)*AU78)</f>
        <v>23.4050446780023</v>
      </c>
      <c r="AV22" s="32" t="n">
        <f aca="false">AU22*EXP(($B$4-0.5*$B$5^2)*$B$8+$B$5*SQRT($B$8)*AV78)</f>
        <v>22.1318557191566</v>
      </c>
      <c r="AW22" s="32" t="n">
        <f aca="false">AV22*EXP(($B$4-0.5*$B$5^2)*$B$8+$B$5*SQRT($B$8)*AW78)</f>
        <v>27.3280355890585</v>
      </c>
      <c r="AX22" s="32" t="n">
        <f aca="false">AW22*EXP(($B$4-0.5*$B$5^2)*$B$8+$B$5*SQRT($B$8)*AX78)</f>
        <v>32.9590539405927</v>
      </c>
      <c r="AY22" s="32" t="n">
        <f aca="false">AX22*EXP(($B$4-0.5*$B$5^2)*$B$8+$B$5*SQRT($B$8)*AY78)</f>
        <v>35.0636572682153</v>
      </c>
      <c r="AZ22" s="32" t="n">
        <f aca="false">AY22*EXP(($B$4-0.5*$B$5^2)*$B$8+$B$5*SQRT($B$8)*AZ78)</f>
        <v>37.7900594489935</v>
      </c>
      <c r="BA22" s="32" t="n">
        <f aca="false">AZ22*EXP(($B$4-0.5*$B$5^2)*$B$8+$B$5*SQRT($B$8)*BA78)</f>
        <v>30.2494871680051</v>
      </c>
      <c r="BB22" s="32" t="n">
        <f aca="false">BA22*EXP(($B$4-0.5*$B$5^2)*$B$8+$B$5*SQRT($B$8)*BB78)</f>
        <v>32.4354014241964</v>
      </c>
      <c r="BC22" s="32" t="n">
        <f aca="false">BB22*EXP(($B$4-0.5*$B$5^2)*$B$8+$B$5*SQRT($B$8)*BC78)</f>
        <v>31.7462334547479</v>
      </c>
      <c r="BD22" s="32" t="n">
        <f aca="false">BC22*EXP(($B$4-0.5*$B$5^2)*$B$8+$B$5*SQRT($B$8)*BD78)</f>
        <v>33.2877250886217</v>
      </c>
      <c r="BE22" s="32" t="n">
        <f aca="false">BD22*EXP(($B$4-0.5*$B$5^2)*$B$8+$B$5*SQRT($B$8)*BE78)</f>
        <v>35.868835390766</v>
      </c>
      <c r="BF22" s="32" t="n">
        <f aca="false">BE22*EXP(($B$4-0.5*$B$5^2)*$B$8+$B$5*SQRT($B$8)*BF78)</f>
        <v>34.5444520635344</v>
      </c>
      <c r="BG22" s="32" t="n">
        <f aca="false">BF22*EXP(($B$4-0.5*$B$5^2)*$B$8+$B$5*SQRT($B$8)*BG78)</f>
        <v>28.6921510762399</v>
      </c>
      <c r="BH22" s="32" t="n">
        <f aca="false">BG22*EXP(($B$4-0.5*$B$5^2)*$B$8+$B$5*SQRT($B$8)*BH78)</f>
        <v>29.8682141016023</v>
      </c>
      <c r="BI22" s="32" t="n">
        <f aca="false">BH22*EXP(($B$4-0.5*$B$5^2)*$B$8+$B$5*SQRT($B$8)*BI78)</f>
        <v>27.5302191168656</v>
      </c>
      <c r="BJ22" s="32" t="n">
        <f aca="false">BI22*EXP(($B$4-0.5*$B$5^2)*$B$8+$B$5*SQRT($B$8)*BJ78)</f>
        <v>26.5460189699934</v>
      </c>
    </row>
    <row r="23" customFormat="false" ht="15" hidden="false" customHeight="true" outlineLevel="0" collapsed="false">
      <c r="A23" s="6" t="s">
        <v>127</v>
      </c>
      <c r="B23" s="32" t="n">
        <f aca="false">$B$3</f>
        <v>11.5</v>
      </c>
      <c r="C23" s="32" t="n">
        <f aca="false">B23*EXP(($B$4-0.5*$B$5^2)*$B$8+$B$5*SQRT($B$8)*C79)</f>
        <v>10.7601668057319</v>
      </c>
      <c r="D23" s="32" t="n">
        <f aca="false">C23*EXP(($B$4-0.5*$B$5^2)*$B$8+$B$5*SQRT($B$8)*D79)</f>
        <v>10.3625485530728</v>
      </c>
      <c r="E23" s="32" t="n">
        <f aca="false">D23*EXP(($B$4-0.5*$B$5^2)*$B$8+$B$5*SQRT($B$8)*E79)</f>
        <v>8.04192424704775</v>
      </c>
      <c r="F23" s="32" t="n">
        <f aca="false">E23*EXP(($B$4-0.5*$B$5^2)*$B$8+$B$5*SQRT($B$8)*F79)</f>
        <v>9.18875044574446</v>
      </c>
      <c r="G23" s="32" t="n">
        <f aca="false">F23*EXP(($B$4-0.5*$B$5^2)*$B$8+$B$5*SQRT($B$8)*G79)</f>
        <v>9.44596643917926</v>
      </c>
      <c r="H23" s="32" t="n">
        <f aca="false">G23*EXP(($B$4-0.5*$B$5^2)*$B$8+$B$5*SQRT($B$8)*H79)</f>
        <v>10.66877393802</v>
      </c>
      <c r="I23" s="32" t="n">
        <f aca="false">H23*EXP(($B$4-0.5*$B$5^2)*$B$8+$B$5*SQRT($B$8)*I79)</f>
        <v>13.2542683280198</v>
      </c>
      <c r="J23" s="32" t="n">
        <f aca="false">I23*EXP(($B$4-0.5*$B$5^2)*$B$8+$B$5*SQRT($B$8)*J79)</f>
        <v>13.2847225270782</v>
      </c>
      <c r="K23" s="32" t="n">
        <f aca="false">J23*EXP(($B$4-0.5*$B$5^2)*$B$8+$B$5*SQRT($B$8)*K79)</f>
        <v>10.8994280845643</v>
      </c>
      <c r="L23" s="32" t="n">
        <f aca="false">K23*EXP(($B$4-0.5*$B$5^2)*$B$8+$B$5*SQRT($B$8)*L79)</f>
        <v>9.87958671696091</v>
      </c>
      <c r="M23" s="32" t="n">
        <f aca="false">L23*EXP(($B$4-0.5*$B$5^2)*$B$8+$B$5*SQRT($B$8)*M79)</f>
        <v>8.65289622123683</v>
      </c>
      <c r="N23" s="32" t="n">
        <f aca="false">M23*EXP(($B$4-0.5*$B$5^2)*$B$8+$B$5*SQRT($B$8)*N79)</f>
        <v>8.1878949451486</v>
      </c>
      <c r="O23" s="32" t="n">
        <f aca="false">N23*EXP(($B$4-0.5*$B$5^2)*$B$8+$B$5*SQRT($B$8)*O79)</f>
        <v>8.25823275563554</v>
      </c>
      <c r="P23" s="32" t="n">
        <f aca="false">O23*EXP(($B$4-0.5*$B$5^2)*$B$8+$B$5*SQRT($B$8)*P79)</f>
        <v>6.62860411472412</v>
      </c>
      <c r="Q23" s="32" t="n">
        <f aca="false">P23*EXP(($B$4-0.5*$B$5^2)*$B$8+$B$5*SQRT($B$8)*Q79)</f>
        <v>6.8811052676044</v>
      </c>
      <c r="R23" s="32" t="n">
        <f aca="false">Q23*EXP(($B$4-0.5*$B$5^2)*$B$8+$B$5*SQRT($B$8)*R79)</f>
        <v>5.82940559675226</v>
      </c>
      <c r="S23" s="32" t="n">
        <f aca="false">R23*EXP(($B$4-0.5*$B$5^2)*$B$8+$B$5*SQRT($B$8)*S79)</f>
        <v>6.02159184009112</v>
      </c>
      <c r="T23" s="32" t="n">
        <f aca="false">S23*EXP(($B$4-0.5*$B$5^2)*$B$8+$B$5*SQRT($B$8)*T79)</f>
        <v>5.94860962208643</v>
      </c>
      <c r="U23" s="32" t="n">
        <f aca="false">T23*EXP(($B$4-0.5*$B$5^2)*$B$8+$B$5*SQRT($B$8)*U79)</f>
        <v>5.74637899641594</v>
      </c>
      <c r="V23" s="32" t="n">
        <f aca="false">U23*EXP(($B$4-0.5*$B$5^2)*$B$8+$B$5*SQRT($B$8)*V79)</f>
        <v>5.69947469619227</v>
      </c>
      <c r="W23" s="32" t="n">
        <f aca="false">V23*EXP(($B$4-0.5*$B$5^2)*$B$8+$B$5*SQRT($B$8)*W79)</f>
        <v>5.37081084242581</v>
      </c>
      <c r="X23" s="32" t="n">
        <f aca="false">W23*EXP(($B$4-0.5*$B$5^2)*$B$8+$B$5*SQRT($B$8)*X79)</f>
        <v>5.02090177305194</v>
      </c>
      <c r="Y23" s="32" t="n">
        <f aca="false">X23*EXP(($B$4-0.5*$B$5^2)*$B$8+$B$5*SQRT($B$8)*Y79)</f>
        <v>4.17382819815429</v>
      </c>
      <c r="Z23" s="32" t="n">
        <f aca="false">Y23*EXP(($B$4-0.5*$B$5^2)*$B$8+$B$5*SQRT($B$8)*Z79)</f>
        <v>4.15952256731499</v>
      </c>
      <c r="AA23" s="32" t="n">
        <f aca="false">Z23*EXP(($B$4-0.5*$B$5^2)*$B$8+$B$5*SQRT($B$8)*AA79)</f>
        <v>5.09197438356254</v>
      </c>
      <c r="AB23" s="32" t="n">
        <f aca="false">AA23*EXP(($B$4-0.5*$B$5^2)*$B$8+$B$5*SQRT($B$8)*AB79)</f>
        <v>6.32642809302985</v>
      </c>
      <c r="AC23" s="32" t="n">
        <f aca="false">AB23*EXP(($B$4-0.5*$B$5^2)*$B$8+$B$5*SQRT($B$8)*AC79)</f>
        <v>7.31225196626111</v>
      </c>
      <c r="AD23" s="32" t="n">
        <f aca="false">AC23*EXP(($B$4-0.5*$B$5^2)*$B$8+$B$5*SQRT($B$8)*AD79)</f>
        <v>7.89944071116976</v>
      </c>
      <c r="AE23" s="32" t="n">
        <f aca="false">AD23*EXP(($B$4-0.5*$B$5^2)*$B$8+$B$5*SQRT($B$8)*AE79)</f>
        <v>7.33312012972762</v>
      </c>
      <c r="AF23" s="32" t="n">
        <f aca="false">AE23*EXP(($B$4-0.5*$B$5^2)*$B$8+$B$5*SQRT($B$8)*AF79)</f>
        <v>8.58900196311691</v>
      </c>
      <c r="AG23" s="32" t="n">
        <f aca="false">AF23*EXP(($B$4-0.5*$B$5^2)*$B$8+$B$5*SQRT($B$8)*AG79)</f>
        <v>8.53471710886695</v>
      </c>
      <c r="AH23" s="32" t="n">
        <f aca="false">AG23*EXP(($B$4-0.5*$B$5^2)*$B$8+$B$5*SQRT($B$8)*AH79)</f>
        <v>8.46892406486275</v>
      </c>
      <c r="AI23" s="32" t="n">
        <f aca="false">AH23*EXP(($B$4-0.5*$B$5^2)*$B$8+$B$5*SQRT($B$8)*AI79)</f>
        <v>8.20114293075641</v>
      </c>
      <c r="AJ23" s="32" t="n">
        <f aca="false">AI23*EXP(($B$4-0.5*$B$5^2)*$B$8+$B$5*SQRT($B$8)*AJ79)</f>
        <v>8.28277532308334</v>
      </c>
      <c r="AK23" s="32" t="n">
        <f aca="false">AJ23*EXP(($B$4-0.5*$B$5^2)*$B$8+$B$5*SQRT($B$8)*AK79)</f>
        <v>7.89518586178022</v>
      </c>
      <c r="AL23" s="32" t="n">
        <f aca="false">AK23*EXP(($B$4-0.5*$B$5^2)*$B$8+$B$5*SQRT($B$8)*AL79)</f>
        <v>7.82152259444674</v>
      </c>
      <c r="AM23" s="32" t="n">
        <f aca="false">AL23*EXP(($B$4-0.5*$B$5^2)*$B$8+$B$5*SQRT($B$8)*AM79)</f>
        <v>6.94289702266632</v>
      </c>
      <c r="AN23" s="32" t="n">
        <f aca="false">AM23*EXP(($B$4-0.5*$B$5^2)*$B$8+$B$5*SQRT($B$8)*AN79)</f>
        <v>6.66284235014029</v>
      </c>
      <c r="AO23" s="32" t="n">
        <f aca="false">AN23*EXP(($B$4-0.5*$B$5^2)*$B$8+$B$5*SQRT($B$8)*AO79)</f>
        <v>8.55513783566038</v>
      </c>
      <c r="AP23" s="32" t="n">
        <f aca="false">AO23*EXP(($B$4-0.5*$B$5^2)*$B$8+$B$5*SQRT($B$8)*AP79)</f>
        <v>8.48851828825962</v>
      </c>
      <c r="AQ23" s="32" t="n">
        <f aca="false">AP23*EXP(($B$4-0.5*$B$5^2)*$B$8+$B$5*SQRT($B$8)*AQ79)</f>
        <v>8.26765477470283</v>
      </c>
      <c r="AR23" s="32" t="n">
        <f aca="false">AQ23*EXP(($B$4-0.5*$B$5^2)*$B$8+$B$5*SQRT($B$8)*AR79)</f>
        <v>8.76325293438978</v>
      </c>
      <c r="AS23" s="32" t="n">
        <f aca="false">AR23*EXP(($B$4-0.5*$B$5^2)*$B$8+$B$5*SQRT($B$8)*AS79)</f>
        <v>9.46936985555383</v>
      </c>
      <c r="AT23" s="32" t="n">
        <f aca="false">AS23*EXP(($B$4-0.5*$B$5^2)*$B$8+$B$5*SQRT($B$8)*AT79)</f>
        <v>8.37878091103738</v>
      </c>
      <c r="AU23" s="32" t="n">
        <f aca="false">AT23*EXP(($B$4-0.5*$B$5^2)*$B$8+$B$5*SQRT($B$8)*AU79)</f>
        <v>8.18902211251601</v>
      </c>
      <c r="AV23" s="32" t="n">
        <f aca="false">AU23*EXP(($B$4-0.5*$B$5^2)*$B$8+$B$5*SQRT($B$8)*AV79)</f>
        <v>9.05523324746722</v>
      </c>
      <c r="AW23" s="32" t="n">
        <f aca="false">AV23*EXP(($B$4-0.5*$B$5^2)*$B$8+$B$5*SQRT($B$8)*AW79)</f>
        <v>9.32556705546216</v>
      </c>
      <c r="AX23" s="32" t="n">
        <f aca="false">AW23*EXP(($B$4-0.5*$B$5^2)*$B$8+$B$5*SQRT($B$8)*AX79)</f>
        <v>9.44942958733586</v>
      </c>
      <c r="AY23" s="32" t="n">
        <f aca="false">AX23*EXP(($B$4-0.5*$B$5^2)*$B$8+$B$5*SQRT($B$8)*AY79)</f>
        <v>11.2036702318131</v>
      </c>
      <c r="AZ23" s="32" t="n">
        <f aca="false">AY23*EXP(($B$4-0.5*$B$5^2)*$B$8+$B$5*SQRT($B$8)*AZ79)</f>
        <v>10.3989907312067</v>
      </c>
      <c r="BA23" s="32" t="n">
        <f aca="false">AZ23*EXP(($B$4-0.5*$B$5^2)*$B$8+$B$5*SQRT($B$8)*BA79)</f>
        <v>10.4918877397543</v>
      </c>
      <c r="BB23" s="32" t="n">
        <f aca="false">BA23*EXP(($B$4-0.5*$B$5^2)*$B$8+$B$5*SQRT($B$8)*BB79)</f>
        <v>9.90827619341972</v>
      </c>
      <c r="BC23" s="32" t="n">
        <f aca="false">BB23*EXP(($B$4-0.5*$B$5^2)*$B$8+$B$5*SQRT($B$8)*BC79)</f>
        <v>11.6658844867254</v>
      </c>
      <c r="BD23" s="32" t="n">
        <f aca="false">BC23*EXP(($B$4-0.5*$B$5^2)*$B$8+$B$5*SQRT($B$8)*BD79)</f>
        <v>9.41564849945001</v>
      </c>
      <c r="BE23" s="32" t="n">
        <f aca="false">BD23*EXP(($B$4-0.5*$B$5^2)*$B$8+$B$5*SQRT($B$8)*BE79)</f>
        <v>8.74670862987574</v>
      </c>
      <c r="BF23" s="32" t="n">
        <f aca="false">BE23*EXP(($B$4-0.5*$B$5^2)*$B$8+$B$5*SQRT($B$8)*BF79)</f>
        <v>8.2519327488569</v>
      </c>
      <c r="BG23" s="32" t="n">
        <f aca="false">BF23*EXP(($B$4-0.5*$B$5^2)*$B$8+$B$5*SQRT($B$8)*BG79)</f>
        <v>8.87334749586111</v>
      </c>
      <c r="BH23" s="32" t="n">
        <f aca="false">BG23*EXP(($B$4-0.5*$B$5^2)*$B$8+$B$5*SQRT($B$8)*BH79)</f>
        <v>9.48180895228756</v>
      </c>
      <c r="BI23" s="32" t="n">
        <f aca="false">BH23*EXP(($B$4-0.5*$B$5^2)*$B$8+$B$5*SQRT($B$8)*BI79)</f>
        <v>11.04789355195</v>
      </c>
      <c r="BJ23" s="32" t="n">
        <f aca="false">BI23*EXP(($B$4-0.5*$B$5^2)*$B$8+$B$5*SQRT($B$8)*BJ79)</f>
        <v>9.29419929168601</v>
      </c>
    </row>
    <row r="24" customFormat="false" ht="15" hidden="false" customHeight="true" outlineLevel="0" collapsed="false">
      <c r="A24" s="6" t="s">
        <v>128</v>
      </c>
      <c r="B24" s="32" t="n">
        <f aca="false">$B$3</f>
        <v>11.5</v>
      </c>
      <c r="C24" s="32" t="n">
        <f aca="false">B24*EXP(($B$4-0.5*$B$5^2)*$B$8+$B$5*SQRT($B$8)*C80)</f>
        <v>12.4845043368124</v>
      </c>
      <c r="D24" s="32" t="n">
        <f aca="false">C24*EXP(($B$4-0.5*$B$5^2)*$B$8+$B$5*SQRT($B$8)*D80)</f>
        <v>12.0870314794739</v>
      </c>
      <c r="E24" s="32" t="n">
        <f aca="false">D24*EXP(($B$4-0.5*$B$5^2)*$B$8+$B$5*SQRT($B$8)*E80)</f>
        <v>11.2338660797777</v>
      </c>
      <c r="F24" s="32" t="n">
        <f aca="false">E24*EXP(($B$4-0.5*$B$5^2)*$B$8+$B$5*SQRT($B$8)*F80)</f>
        <v>11.9166722255284</v>
      </c>
      <c r="G24" s="32" t="n">
        <f aca="false">F24*EXP(($B$4-0.5*$B$5^2)*$B$8+$B$5*SQRT($B$8)*G80)</f>
        <v>10.7705868048855</v>
      </c>
      <c r="H24" s="32" t="n">
        <f aca="false">G24*EXP(($B$4-0.5*$B$5^2)*$B$8+$B$5*SQRT($B$8)*H80)</f>
        <v>8.57460918533089</v>
      </c>
      <c r="I24" s="32" t="n">
        <f aca="false">H24*EXP(($B$4-0.5*$B$5^2)*$B$8+$B$5*SQRT($B$8)*I80)</f>
        <v>8.23184682603506</v>
      </c>
      <c r="J24" s="32" t="n">
        <f aca="false">I24*EXP(($B$4-0.5*$B$5^2)*$B$8+$B$5*SQRT($B$8)*J80)</f>
        <v>6.98333615009282</v>
      </c>
      <c r="K24" s="32" t="n">
        <f aca="false">J24*EXP(($B$4-0.5*$B$5^2)*$B$8+$B$5*SQRT($B$8)*K80)</f>
        <v>6.5023236664579</v>
      </c>
      <c r="L24" s="32" t="n">
        <f aca="false">K24*EXP(($B$4-0.5*$B$5^2)*$B$8+$B$5*SQRT($B$8)*L80)</f>
        <v>6.77158068198498</v>
      </c>
      <c r="M24" s="32" t="n">
        <f aca="false">L24*EXP(($B$4-0.5*$B$5^2)*$B$8+$B$5*SQRT($B$8)*M80)</f>
        <v>7.00606712425673</v>
      </c>
      <c r="N24" s="32" t="n">
        <f aca="false">M24*EXP(($B$4-0.5*$B$5^2)*$B$8+$B$5*SQRT($B$8)*N80)</f>
        <v>8.33672596317329</v>
      </c>
      <c r="O24" s="32" t="n">
        <f aca="false">N24*EXP(($B$4-0.5*$B$5^2)*$B$8+$B$5*SQRT($B$8)*O80)</f>
        <v>8.15462946451193</v>
      </c>
      <c r="P24" s="32" t="n">
        <f aca="false">O24*EXP(($B$4-0.5*$B$5^2)*$B$8+$B$5*SQRT($B$8)*P80)</f>
        <v>6.89089708701939</v>
      </c>
      <c r="Q24" s="32" t="n">
        <f aca="false">P24*EXP(($B$4-0.5*$B$5^2)*$B$8+$B$5*SQRT($B$8)*Q80)</f>
        <v>6.34125518157563</v>
      </c>
      <c r="R24" s="32" t="n">
        <f aca="false">Q24*EXP(($B$4-0.5*$B$5^2)*$B$8+$B$5*SQRT($B$8)*R80)</f>
        <v>5.73186017014863</v>
      </c>
      <c r="S24" s="32" t="n">
        <f aca="false">R24*EXP(($B$4-0.5*$B$5^2)*$B$8+$B$5*SQRT($B$8)*S80)</f>
        <v>5.01415825545083</v>
      </c>
      <c r="T24" s="32" t="n">
        <f aca="false">S24*EXP(($B$4-0.5*$B$5^2)*$B$8+$B$5*SQRT($B$8)*T80)</f>
        <v>5.25847209540529</v>
      </c>
      <c r="U24" s="32" t="n">
        <f aca="false">T24*EXP(($B$4-0.5*$B$5^2)*$B$8+$B$5*SQRT($B$8)*U80)</f>
        <v>4.89824713173165</v>
      </c>
      <c r="V24" s="32" t="n">
        <f aca="false">U24*EXP(($B$4-0.5*$B$5^2)*$B$8+$B$5*SQRT($B$8)*V80)</f>
        <v>3.94237408403963</v>
      </c>
      <c r="W24" s="32" t="n">
        <f aca="false">V24*EXP(($B$4-0.5*$B$5^2)*$B$8+$B$5*SQRT($B$8)*W80)</f>
        <v>4.25480867313457</v>
      </c>
      <c r="X24" s="32" t="n">
        <f aca="false">W24*EXP(($B$4-0.5*$B$5^2)*$B$8+$B$5*SQRT($B$8)*X80)</f>
        <v>4.20234772895968</v>
      </c>
      <c r="Y24" s="32" t="n">
        <f aca="false">X24*EXP(($B$4-0.5*$B$5^2)*$B$8+$B$5*SQRT($B$8)*Y80)</f>
        <v>4.36930447597407</v>
      </c>
      <c r="Z24" s="32" t="n">
        <f aca="false">Y24*EXP(($B$4-0.5*$B$5^2)*$B$8+$B$5*SQRT($B$8)*Z80)</f>
        <v>4.41946122174295</v>
      </c>
      <c r="AA24" s="32" t="n">
        <f aca="false">Z24*EXP(($B$4-0.5*$B$5^2)*$B$8+$B$5*SQRT($B$8)*AA80)</f>
        <v>4.73567752756336</v>
      </c>
      <c r="AB24" s="32" t="n">
        <f aca="false">AA24*EXP(($B$4-0.5*$B$5^2)*$B$8+$B$5*SQRT($B$8)*AB80)</f>
        <v>4.75459727682934</v>
      </c>
      <c r="AC24" s="32" t="n">
        <f aca="false">AB24*EXP(($B$4-0.5*$B$5^2)*$B$8+$B$5*SQRT($B$8)*AC80)</f>
        <v>5.44411829162353</v>
      </c>
      <c r="AD24" s="32" t="n">
        <f aca="false">AC24*EXP(($B$4-0.5*$B$5^2)*$B$8+$B$5*SQRT($B$8)*AD80)</f>
        <v>5.70288180203886</v>
      </c>
      <c r="AE24" s="32" t="n">
        <f aca="false">AD24*EXP(($B$4-0.5*$B$5^2)*$B$8+$B$5*SQRT($B$8)*AE80)</f>
        <v>5.95241344992757</v>
      </c>
      <c r="AF24" s="32" t="n">
        <f aca="false">AE24*EXP(($B$4-0.5*$B$5^2)*$B$8+$B$5*SQRT($B$8)*AF80)</f>
        <v>6.22500604302334</v>
      </c>
      <c r="AG24" s="32" t="n">
        <f aca="false">AF24*EXP(($B$4-0.5*$B$5^2)*$B$8+$B$5*SQRT($B$8)*AG80)</f>
        <v>5.3047515784433</v>
      </c>
      <c r="AH24" s="32" t="n">
        <f aca="false">AG24*EXP(($B$4-0.5*$B$5^2)*$B$8+$B$5*SQRT($B$8)*AH80)</f>
        <v>5.20885277954179</v>
      </c>
      <c r="AI24" s="32" t="n">
        <f aca="false">AH24*EXP(($B$4-0.5*$B$5^2)*$B$8+$B$5*SQRT($B$8)*AI80)</f>
        <v>5.06184062866927</v>
      </c>
      <c r="AJ24" s="32" t="n">
        <f aca="false">AI24*EXP(($B$4-0.5*$B$5^2)*$B$8+$B$5*SQRT($B$8)*AJ80)</f>
        <v>5.17745697335789</v>
      </c>
      <c r="AK24" s="32" t="n">
        <f aca="false">AJ24*EXP(($B$4-0.5*$B$5^2)*$B$8+$B$5*SQRT($B$8)*AK80)</f>
        <v>4.45972277809297</v>
      </c>
      <c r="AL24" s="32" t="n">
        <f aca="false">AK24*EXP(($B$4-0.5*$B$5^2)*$B$8+$B$5*SQRT($B$8)*AL80)</f>
        <v>5.33431259665799</v>
      </c>
      <c r="AM24" s="32" t="n">
        <f aca="false">AL24*EXP(($B$4-0.5*$B$5^2)*$B$8+$B$5*SQRT($B$8)*AM80)</f>
        <v>5.39475816366765</v>
      </c>
      <c r="AN24" s="32" t="n">
        <f aca="false">AM24*EXP(($B$4-0.5*$B$5^2)*$B$8+$B$5*SQRT($B$8)*AN80)</f>
        <v>4.72263582773514</v>
      </c>
      <c r="AO24" s="32" t="n">
        <f aca="false">AN24*EXP(($B$4-0.5*$B$5^2)*$B$8+$B$5*SQRT($B$8)*AO80)</f>
        <v>3.9146453672896</v>
      </c>
      <c r="AP24" s="32" t="n">
        <f aca="false">AO24*EXP(($B$4-0.5*$B$5^2)*$B$8+$B$5*SQRT($B$8)*AP80)</f>
        <v>3.79500285417806</v>
      </c>
      <c r="AQ24" s="32" t="n">
        <f aca="false">AP24*EXP(($B$4-0.5*$B$5^2)*$B$8+$B$5*SQRT($B$8)*AQ80)</f>
        <v>3.75716523457961</v>
      </c>
      <c r="AR24" s="32" t="n">
        <f aca="false">AQ24*EXP(($B$4-0.5*$B$5^2)*$B$8+$B$5*SQRT($B$8)*AR80)</f>
        <v>3.47184880256733</v>
      </c>
      <c r="AS24" s="32" t="n">
        <f aca="false">AR24*EXP(($B$4-0.5*$B$5^2)*$B$8+$B$5*SQRT($B$8)*AS80)</f>
        <v>3.50646526867582</v>
      </c>
      <c r="AT24" s="32" t="n">
        <f aca="false">AS24*EXP(($B$4-0.5*$B$5^2)*$B$8+$B$5*SQRT($B$8)*AT80)</f>
        <v>3.26771309340191</v>
      </c>
      <c r="AU24" s="32" t="n">
        <f aca="false">AT24*EXP(($B$4-0.5*$B$5^2)*$B$8+$B$5*SQRT($B$8)*AU80)</f>
        <v>3.4709282129564</v>
      </c>
      <c r="AV24" s="32" t="n">
        <f aca="false">AU24*EXP(($B$4-0.5*$B$5^2)*$B$8+$B$5*SQRT($B$8)*AV80)</f>
        <v>3.20515029357884</v>
      </c>
      <c r="AW24" s="32" t="n">
        <f aca="false">AV24*EXP(($B$4-0.5*$B$5^2)*$B$8+$B$5*SQRT($B$8)*AW80)</f>
        <v>3.1910573115247</v>
      </c>
      <c r="AX24" s="32" t="n">
        <f aca="false">AW24*EXP(($B$4-0.5*$B$5^2)*$B$8+$B$5*SQRT($B$8)*AX80)</f>
        <v>3.55211874705344</v>
      </c>
      <c r="AY24" s="32" t="n">
        <f aca="false">AX24*EXP(($B$4-0.5*$B$5^2)*$B$8+$B$5*SQRT($B$8)*AY80)</f>
        <v>4.70894612068843</v>
      </c>
      <c r="AZ24" s="32" t="n">
        <f aca="false">AY24*EXP(($B$4-0.5*$B$5^2)*$B$8+$B$5*SQRT($B$8)*AZ80)</f>
        <v>4.21540559363266</v>
      </c>
      <c r="BA24" s="32" t="n">
        <f aca="false">AZ24*EXP(($B$4-0.5*$B$5^2)*$B$8+$B$5*SQRT($B$8)*BA80)</f>
        <v>4.00525632363241</v>
      </c>
      <c r="BB24" s="32" t="n">
        <f aca="false">BA24*EXP(($B$4-0.5*$B$5^2)*$B$8+$B$5*SQRT($B$8)*BB80)</f>
        <v>3.65208108894152</v>
      </c>
      <c r="BC24" s="32" t="n">
        <f aca="false">BB24*EXP(($B$4-0.5*$B$5^2)*$B$8+$B$5*SQRT($B$8)*BC80)</f>
        <v>3.9794831338608</v>
      </c>
      <c r="BD24" s="32" t="n">
        <f aca="false">BC24*EXP(($B$4-0.5*$B$5^2)*$B$8+$B$5*SQRT($B$8)*BD80)</f>
        <v>3.50792985103346</v>
      </c>
      <c r="BE24" s="32" t="n">
        <f aca="false">BD24*EXP(($B$4-0.5*$B$5^2)*$B$8+$B$5*SQRT($B$8)*BE80)</f>
        <v>3.32580066524445</v>
      </c>
      <c r="BF24" s="32" t="n">
        <f aca="false">BE24*EXP(($B$4-0.5*$B$5^2)*$B$8+$B$5*SQRT($B$8)*BF80)</f>
        <v>3.31441107973294</v>
      </c>
      <c r="BG24" s="32" t="n">
        <f aca="false">BF24*EXP(($B$4-0.5*$B$5^2)*$B$8+$B$5*SQRT($B$8)*BG80)</f>
        <v>2.97647275704425</v>
      </c>
      <c r="BH24" s="32" t="n">
        <f aca="false">BG24*EXP(($B$4-0.5*$B$5^2)*$B$8+$B$5*SQRT($B$8)*BH80)</f>
        <v>2.67925929025339</v>
      </c>
      <c r="BI24" s="32" t="n">
        <f aca="false">BH24*EXP(($B$4-0.5*$B$5^2)*$B$8+$B$5*SQRT($B$8)*BI80)</f>
        <v>2.54258898738122</v>
      </c>
      <c r="BJ24" s="32" t="n">
        <f aca="false">BI24*EXP(($B$4-0.5*$B$5^2)*$B$8+$B$5*SQRT($B$8)*BJ80)</f>
        <v>2.01897198730425</v>
      </c>
    </row>
    <row r="25" customFormat="false" ht="15" hidden="false" customHeight="true" outlineLevel="0" collapsed="false">
      <c r="A25" s="6" t="s">
        <v>129</v>
      </c>
      <c r="B25" s="32" t="n">
        <f aca="false">$B$3</f>
        <v>11.5</v>
      </c>
      <c r="C25" s="32" t="n">
        <f aca="false">B25*EXP(($B$4-0.5*$B$5^2)*$B$8+$B$5*SQRT($B$8)*C81)</f>
        <v>9.81193720801229</v>
      </c>
      <c r="D25" s="32" t="n">
        <f aca="false">C25*EXP(($B$4-0.5*$B$5^2)*$B$8+$B$5*SQRT($B$8)*D81)</f>
        <v>9.37557570586109</v>
      </c>
      <c r="E25" s="32" t="n">
        <f aca="false">D25*EXP(($B$4-0.5*$B$5^2)*$B$8+$B$5*SQRT($B$8)*E81)</f>
        <v>9.52752554400405</v>
      </c>
      <c r="F25" s="32" t="n">
        <f aca="false">E25*EXP(($B$4-0.5*$B$5^2)*$B$8+$B$5*SQRT($B$8)*F81)</f>
        <v>9.33363434008471</v>
      </c>
      <c r="G25" s="32" t="n">
        <f aca="false">F25*EXP(($B$4-0.5*$B$5^2)*$B$8+$B$5*SQRT($B$8)*G81)</f>
        <v>7.68171547004639</v>
      </c>
      <c r="H25" s="32" t="n">
        <f aca="false">G25*EXP(($B$4-0.5*$B$5^2)*$B$8+$B$5*SQRT($B$8)*H81)</f>
        <v>7.29933903353709</v>
      </c>
      <c r="I25" s="32" t="n">
        <f aca="false">H25*EXP(($B$4-0.5*$B$5^2)*$B$8+$B$5*SQRT($B$8)*I81)</f>
        <v>7.966030574203</v>
      </c>
      <c r="J25" s="32" t="n">
        <f aca="false">I25*EXP(($B$4-0.5*$B$5^2)*$B$8+$B$5*SQRT($B$8)*J81)</f>
        <v>8.4653344036256</v>
      </c>
      <c r="K25" s="32" t="n">
        <f aca="false">J25*EXP(($B$4-0.5*$B$5^2)*$B$8+$B$5*SQRT($B$8)*K81)</f>
        <v>8.39098417485303</v>
      </c>
      <c r="L25" s="32" t="n">
        <f aca="false">K25*EXP(($B$4-0.5*$B$5^2)*$B$8+$B$5*SQRT($B$8)*L81)</f>
        <v>7.61129302466278</v>
      </c>
      <c r="M25" s="32" t="n">
        <f aca="false">L25*EXP(($B$4-0.5*$B$5^2)*$B$8+$B$5*SQRT($B$8)*M81)</f>
        <v>8.15549549826316</v>
      </c>
      <c r="N25" s="32" t="n">
        <f aca="false">M25*EXP(($B$4-0.5*$B$5^2)*$B$8+$B$5*SQRT($B$8)*N81)</f>
        <v>7.65226856523822</v>
      </c>
      <c r="O25" s="32" t="n">
        <f aca="false">N25*EXP(($B$4-0.5*$B$5^2)*$B$8+$B$5*SQRT($B$8)*O81)</f>
        <v>6.72987316882001</v>
      </c>
      <c r="P25" s="32" t="n">
        <f aca="false">O25*EXP(($B$4-0.5*$B$5^2)*$B$8+$B$5*SQRT($B$8)*P81)</f>
        <v>6.16184287688053</v>
      </c>
      <c r="Q25" s="32" t="n">
        <f aca="false">P25*EXP(($B$4-0.5*$B$5^2)*$B$8+$B$5*SQRT($B$8)*Q81)</f>
        <v>7.2215603980771</v>
      </c>
      <c r="R25" s="32" t="n">
        <f aca="false">Q25*EXP(($B$4-0.5*$B$5^2)*$B$8+$B$5*SQRT($B$8)*R81)</f>
        <v>7.39674995643778</v>
      </c>
      <c r="S25" s="32" t="n">
        <f aca="false">R25*EXP(($B$4-0.5*$B$5^2)*$B$8+$B$5*SQRT($B$8)*S81)</f>
        <v>8.39824519754953</v>
      </c>
      <c r="T25" s="32" t="n">
        <f aca="false">S25*EXP(($B$4-0.5*$B$5^2)*$B$8+$B$5*SQRT($B$8)*T81)</f>
        <v>7.9666008221214</v>
      </c>
      <c r="U25" s="32" t="n">
        <f aca="false">T25*EXP(($B$4-0.5*$B$5^2)*$B$8+$B$5*SQRT($B$8)*U81)</f>
        <v>8.8285105421535</v>
      </c>
      <c r="V25" s="32" t="n">
        <f aca="false">U25*EXP(($B$4-0.5*$B$5^2)*$B$8+$B$5*SQRT($B$8)*V81)</f>
        <v>8.263267301855</v>
      </c>
      <c r="W25" s="32" t="n">
        <f aca="false">V25*EXP(($B$4-0.5*$B$5^2)*$B$8+$B$5*SQRT($B$8)*W81)</f>
        <v>8.12030320240294</v>
      </c>
      <c r="X25" s="32" t="n">
        <f aca="false">W25*EXP(($B$4-0.5*$B$5^2)*$B$8+$B$5*SQRT($B$8)*X81)</f>
        <v>10.6645825467463</v>
      </c>
      <c r="Y25" s="32" t="n">
        <f aca="false">X25*EXP(($B$4-0.5*$B$5^2)*$B$8+$B$5*SQRT($B$8)*Y81)</f>
        <v>11.5987627697643</v>
      </c>
      <c r="Z25" s="32" t="n">
        <f aca="false">Y25*EXP(($B$4-0.5*$B$5^2)*$B$8+$B$5*SQRT($B$8)*Z81)</f>
        <v>10.9763004020637</v>
      </c>
      <c r="AA25" s="32" t="n">
        <f aca="false">Z25*EXP(($B$4-0.5*$B$5^2)*$B$8+$B$5*SQRT($B$8)*AA81)</f>
        <v>10.8726531372613</v>
      </c>
      <c r="AB25" s="32" t="n">
        <f aca="false">AA25*EXP(($B$4-0.5*$B$5^2)*$B$8+$B$5*SQRT($B$8)*AB81)</f>
        <v>11.2667172229681</v>
      </c>
      <c r="AC25" s="32" t="n">
        <f aca="false">AB25*EXP(($B$4-0.5*$B$5^2)*$B$8+$B$5*SQRT($B$8)*AC81)</f>
        <v>12.8642570016814</v>
      </c>
      <c r="AD25" s="32" t="n">
        <f aca="false">AC25*EXP(($B$4-0.5*$B$5^2)*$B$8+$B$5*SQRT($B$8)*AD81)</f>
        <v>12.1899658749651</v>
      </c>
      <c r="AE25" s="32" t="n">
        <f aca="false">AD25*EXP(($B$4-0.5*$B$5^2)*$B$8+$B$5*SQRT($B$8)*AE81)</f>
        <v>10.0685138378046</v>
      </c>
      <c r="AF25" s="32" t="n">
        <f aca="false">AE25*EXP(($B$4-0.5*$B$5^2)*$B$8+$B$5*SQRT($B$8)*AF81)</f>
        <v>9.76255390619531</v>
      </c>
      <c r="AG25" s="32" t="n">
        <f aca="false">AF25*EXP(($B$4-0.5*$B$5^2)*$B$8+$B$5*SQRT($B$8)*AG81)</f>
        <v>9.77725172817625</v>
      </c>
      <c r="AH25" s="32" t="n">
        <f aca="false">AG25*EXP(($B$4-0.5*$B$5^2)*$B$8+$B$5*SQRT($B$8)*AH81)</f>
        <v>9.89362924332856</v>
      </c>
      <c r="AI25" s="32" t="n">
        <f aca="false">AH25*EXP(($B$4-0.5*$B$5^2)*$B$8+$B$5*SQRT($B$8)*AI81)</f>
        <v>11.4288867145095</v>
      </c>
      <c r="AJ25" s="32" t="n">
        <f aca="false">AI25*EXP(($B$4-0.5*$B$5^2)*$B$8+$B$5*SQRT($B$8)*AJ81)</f>
        <v>11.830728060911</v>
      </c>
      <c r="AK25" s="32" t="n">
        <f aca="false">AJ25*EXP(($B$4-0.5*$B$5^2)*$B$8+$B$5*SQRT($B$8)*AK81)</f>
        <v>12.9318217293022</v>
      </c>
      <c r="AL25" s="32" t="n">
        <f aca="false">AK25*EXP(($B$4-0.5*$B$5^2)*$B$8+$B$5*SQRT($B$8)*AL81)</f>
        <v>11.4583573870929</v>
      </c>
      <c r="AM25" s="32" t="n">
        <f aca="false">AL25*EXP(($B$4-0.5*$B$5^2)*$B$8+$B$5*SQRT($B$8)*AM81)</f>
        <v>12.6005672556656</v>
      </c>
      <c r="AN25" s="32" t="n">
        <f aca="false">AM25*EXP(($B$4-0.5*$B$5^2)*$B$8+$B$5*SQRT($B$8)*AN81)</f>
        <v>15.8553437066385</v>
      </c>
      <c r="AO25" s="32" t="n">
        <f aca="false">AN25*EXP(($B$4-0.5*$B$5^2)*$B$8+$B$5*SQRT($B$8)*AO81)</f>
        <v>17.2551169803948</v>
      </c>
      <c r="AP25" s="32" t="n">
        <f aca="false">AO25*EXP(($B$4-0.5*$B$5^2)*$B$8+$B$5*SQRT($B$8)*AP81)</f>
        <v>17.7385385293728</v>
      </c>
      <c r="AQ25" s="32" t="n">
        <f aca="false">AP25*EXP(($B$4-0.5*$B$5^2)*$B$8+$B$5*SQRT($B$8)*AQ81)</f>
        <v>18.0374153403594</v>
      </c>
      <c r="AR25" s="32" t="n">
        <f aca="false">AQ25*EXP(($B$4-0.5*$B$5^2)*$B$8+$B$5*SQRT($B$8)*AR81)</f>
        <v>21.939929406012</v>
      </c>
      <c r="AS25" s="32" t="n">
        <f aca="false">AR25*EXP(($B$4-0.5*$B$5^2)*$B$8+$B$5*SQRT($B$8)*AS81)</f>
        <v>19.8145455731299</v>
      </c>
      <c r="AT25" s="32" t="n">
        <f aca="false">AS25*EXP(($B$4-0.5*$B$5^2)*$B$8+$B$5*SQRT($B$8)*AT81)</f>
        <v>19.5709321935175</v>
      </c>
      <c r="AU25" s="32" t="n">
        <f aca="false">AT25*EXP(($B$4-0.5*$B$5^2)*$B$8+$B$5*SQRT($B$8)*AU81)</f>
        <v>20.5805255395135</v>
      </c>
      <c r="AV25" s="32" t="n">
        <f aca="false">AU25*EXP(($B$4-0.5*$B$5^2)*$B$8+$B$5*SQRT($B$8)*AV81)</f>
        <v>22.3265440945859</v>
      </c>
      <c r="AW25" s="32" t="n">
        <f aca="false">AV25*EXP(($B$4-0.5*$B$5^2)*$B$8+$B$5*SQRT($B$8)*AW81)</f>
        <v>21.2768492602428</v>
      </c>
      <c r="AX25" s="32" t="n">
        <f aca="false">AW25*EXP(($B$4-0.5*$B$5^2)*$B$8+$B$5*SQRT($B$8)*AX81)</f>
        <v>22.002329985762</v>
      </c>
      <c r="AY25" s="32" t="n">
        <f aca="false">AX25*EXP(($B$4-0.5*$B$5^2)*$B$8+$B$5*SQRT($B$8)*AY81)</f>
        <v>21.3377540617188</v>
      </c>
      <c r="AZ25" s="32" t="n">
        <f aca="false">AY25*EXP(($B$4-0.5*$B$5^2)*$B$8+$B$5*SQRT($B$8)*AZ81)</f>
        <v>21.6176460799362</v>
      </c>
      <c r="BA25" s="32" t="n">
        <f aca="false">AZ25*EXP(($B$4-0.5*$B$5^2)*$B$8+$B$5*SQRT($B$8)*BA81)</f>
        <v>21.3027593136499</v>
      </c>
      <c r="BB25" s="32" t="n">
        <f aca="false">BA25*EXP(($B$4-0.5*$B$5^2)*$B$8+$B$5*SQRT($B$8)*BB81)</f>
        <v>18.7918710799198</v>
      </c>
      <c r="BC25" s="32" t="n">
        <f aca="false">BB25*EXP(($B$4-0.5*$B$5^2)*$B$8+$B$5*SQRT($B$8)*BC81)</f>
        <v>18.744960935125</v>
      </c>
      <c r="BD25" s="32" t="n">
        <f aca="false">BC25*EXP(($B$4-0.5*$B$5^2)*$B$8+$B$5*SQRT($B$8)*BD81)</f>
        <v>20.634452487145</v>
      </c>
      <c r="BE25" s="32" t="n">
        <f aca="false">BD25*EXP(($B$4-0.5*$B$5^2)*$B$8+$B$5*SQRT($B$8)*BE81)</f>
        <v>18.5542750761778</v>
      </c>
      <c r="BF25" s="32" t="n">
        <f aca="false">BE25*EXP(($B$4-0.5*$B$5^2)*$B$8+$B$5*SQRT($B$8)*BF81)</f>
        <v>18.066690846523</v>
      </c>
      <c r="BG25" s="32" t="n">
        <f aca="false">BF25*EXP(($B$4-0.5*$B$5^2)*$B$8+$B$5*SQRT($B$8)*BG81)</f>
        <v>19.4298531440281</v>
      </c>
      <c r="BH25" s="32" t="n">
        <f aca="false">BG25*EXP(($B$4-0.5*$B$5^2)*$B$8+$B$5*SQRT($B$8)*BH81)</f>
        <v>17.2751121110467</v>
      </c>
      <c r="BI25" s="32" t="n">
        <f aca="false">BH25*EXP(($B$4-0.5*$B$5^2)*$B$8+$B$5*SQRT($B$8)*BI81)</f>
        <v>17.6214748787818</v>
      </c>
      <c r="BJ25" s="32" t="n">
        <f aca="false">BI25*EXP(($B$4-0.5*$B$5^2)*$B$8+$B$5*SQRT($B$8)*BJ81)</f>
        <v>15.6840206895149</v>
      </c>
    </row>
    <row r="26" customFormat="false" ht="15" hidden="false" customHeight="true" outlineLevel="0" collapsed="false">
      <c r="A26" s="6" t="s">
        <v>130</v>
      </c>
      <c r="B26" s="32" t="n">
        <f aca="false">$B$3</f>
        <v>11.5</v>
      </c>
      <c r="C26" s="32" t="n">
        <f aca="false">B26*EXP(($B$4-0.5*$B$5^2)*$B$8+$B$5*SQRT($B$8)*C82)</f>
        <v>13.0218505081387</v>
      </c>
      <c r="D26" s="32" t="n">
        <f aca="false">C26*EXP(($B$4-0.5*$B$5^2)*$B$8+$B$5*SQRT($B$8)*D82)</f>
        <v>16.7794336751442</v>
      </c>
      <c r="E26" s="32" t="n">
        <f aca="false">D26*EXP(($B$4-0.5*$B$5^2)*$B$8+$B$5*SQRT($B$8)*E82)</f>
        <v>20.9430122664651</v>
      </c>
      <c r="F26" s="32" t="n">
        <f aca="false">E26*EXP(($B$4-0.5*$B$5^2)*$B$8+$B$5*SQRT($B$8)*F82)</f>
        <v>20.441728975497</v>
      </c>
      <c r="G26" s="32" t="n">
        <f aca="false">F26*EXP(($B$4-0.5*$B$5^2)*$B$8+$B$5*SQRT($B$8)*G82)</f>
        <v>22.1667253830875</v>
      </c>
      <c r="H26" s="32" t="n">
        <f aca="false">G26*EXP(($B$4-0.5*$B$5^2)*$B$8+$B$5*SQRT($B$8)*H82)</f>
        <v>22.4587885115401</v>
      </c>
      <c r="I26" s="32" t="n">
        <f aca="false">H26*EXP(($B$4-0.5*$B$5^2)*$B$8+$B$5*SQRT($B$8)*I82)</f>
        <v>22.7075924867874</v>
      </c>
      <c r="J26" s="32" t="n">
        <f aca="false">I26*EXP(($B$4-0.5*$B$5^2)*$B$8+$B$5*SQRT($B$8)*J82)</f>
        <v>26.9046630081105</v>
      </c>
      <c r="K26" s="32" t="n">
        <f aca="false">J26*EXP(($B$4-0.5*$B$5^2)*$B$8+$B$5*SQRT($B$8)*K82)</f>
        <v>23.2756286956925</v>
      </c>
      <c r="L26" s="32" t="n">
        <f aca="false">K26*EXP(($B$4-0.5*$B$5^2)*$B$8+$B$5*SQRT($B$8)*L82)</f>
        <v>26.1274289174561</v>
      </c>
      <c r="M26" s="32" t="n">
        <f aca="false">L26*EXP(($B$4-0.5*$B$5^2)*$B$8+$B$5*SQRT($B$8)*M82)</f>
        <v>25.9826718308677</v>
      </c>
      <c r="N26" s="32" t="n">
        <f aca="false">M26*EXP(($B$4-0.5*$B$5^2)*$B$8+$B$5*SQRT($B$8)*N82)</f>
        <v>30.3185144143445</v>
      </c>
      <c r="O26" s="32" t="n">
        <f aca="false">N26*EXP(($B$4-0.5*$B$5^2)*$B$8+$B$5*SQRT($B$8)*O82)</f>
        <v>30.9419876195798</v>
      </c>
      <c r="P26" s="32" t="n">
        <f aca="false">O26*EXP(($B$4-0.5*$B$5^2)*$B$8+$B$5*SQRT($B$8)*P82)</f>
        <v>28.7357201378562</v>
      </c>
      <c r="Q26" s="32" t="n">
        <f aca="false">P26*EXP(($B$4-0.5*$B$5^2)*$B$8+$B$5*SQRT($B$8)*Q82)</f>
        <v>29.6173092736064</v>
      </c>
      <c r="R26" s="32" t="n">
        <f aca="false">Q26*EXP(($B$4-0.5*$B$5^2)*$B$8+$B$5*SQRT($B$8)*R82)</f>
        <v>32.1016901668395</v>
      </c>
      <c r="S26" s="32" t="n">
        <f aca="false">R26*EXP(($B$4-0.5*$B$5^2)*$B$8+$B$5*SQRT($B$8)*S82)</f>
        <v>32.2219694286377</v>
      </c>
      <c r="T26" s="32" t="n">
        <f aca="false">S26*EXP(($B$4-0.5*$B$5^2)*$B$8+$B$5*SQRT($B$8)*T82)</f>
        <v>33.9877879694554</v>
      </c>
      <c r="U26" s="32" t="n">
        <f aca="false">T26*EXP(($B$4-0.5*$B$5^2)*$B$8+$B$5*SQRT($B$8)*U82)</f>
        <v>32.0915251673866</v>
      </c>
      <c r="V26" s="32" t="n">
        <f aca="false">U26*EXP(($B$4-0.5*$B$5^2)*$B$8+$B$5*SQRT($B$8)*V82)</f>
        <v>25.3893283997768</v>
      </c>
      <c r="W26" s="32" t="n">
        <f aca="false">V26*EXP(($B$4-0.5*$B$5^2)*$B$8+$B$5*SQRT($B$8)*W82)</f>
        <v>28.0187826372181</v>
      </c>
      <c r="X26" s="32" t="n">
        <f aca="false">W26*EXP(($B$4-0.5*$B$5^2)*$B$8+$B$5*SQRT($B$8)*X82)</f>
        <v>30.2467025578177</v>
      </c>
      <c r="Y26" s="32" t="n">
        <f aca="false">X26*EXP(($B$4-0.5*$B$5^2)*$B$8+$B$5*SQRT($B$8)*Y82)</f>
        <v>30.7367343093046</v>
      </c>
      <c r="Z26" s="32" t="n">
        <f aca="false">Y26*EXP(($B$4-0.5*$B$5^2)*$B$8+$B$5*SQRT($B$8)*Z82)</f>
        <v>30.9625858028714</v>
      </c>
      <c r="AA26" s="32" t="n">
        <f aca="false">Z26*EXP(($B$4-0.5*$B$5^2)*$B$8+$B$5*SQRT($B$8)*AA82)</f>
        <v>34.6838549870412</v>
      </c>
      <c r="AB26" s="32" t="n">
        <f aca="false">AA26*EXP(($B$4-0.5*$B$5^2)*$B$8+$B$5*SQRT($B$8)*AB82)</f>
        <v>32.9815376549748</v>
      </c>
      <c r="AC26" s="32" t="n">
        <f aca="false">AB26*EXP(($B$4-0.5*$B$5^2)*$B$8+$B$5*SQRT($B$8)*AC82)</f>
        <v>30.5162783104985</v>
      </c>
      <c r="AD26" s="32" t="n">
        <f aca="false">AC26*EXP(($B$4-0.5*$B$5^2)*$B$8+$B$5*SQRT($B$8)*AD82)</f>
        <v>29.8861048785606</v>
      </c>
      <c r="AE26" s="32" t="n">
        <f aca="false">AD26*EXP(($B$4-0.5*$B$5^2)*$B$8+$B$5*SQRT($B$8)*AE82)</f>
        <v>34.04387656396</v>
      </c>
      <c r="AF26" s="32" t="n">
        <f aca="false">AE26*EXP(($B$4-0.5*$B$5^2)*$B$8+$B$5*SQRT($B$8)*AF82)</f>
        <v>29.2332086282112</v>
      </c>
      <c r="AG26" s="32" t="n">
        <f aca="false">AF26*EXP(($B$4-0.5*$B$5^2)*$B$8+$B$5*SQRT($B$8)*AG82)</f>
        <v>33.3101332086384</v>
      </c>
      <c r="AH26" s="32" t="n">
        <f aca="false">AG26*EXP(($B$4-0.5*$B$5^2)*$B$8+$B$5*SQRT($B$8)*AH82)</f>
        <v>31.0486237742329</v>
      </c>
      <c r="AI26" s="32" t="n">
        <f aca="false">AH26*EXP(($B$4-0.5*$B$5^2)*$B$8+$B$5*SQRT($B$8)*AI82)</f>
        <v>27.5120306051009</v>
      </c>
      <c r="AJ26" s="32" t="n">
        <f aca="false">AI26*EXP(($B$4-0.5*$B$5^2)*$B$8+$B$5*SQRT($B$8)*AJ82)</f>
        <v>31.5844367032322</v>
      </c>
      <c r="AK26" s="32" t="n">
        <f aca="false">AJ26*EXP(($B$4-0.5*$B$5^2)*$B$8+$B$5*SQRT($B$8)*AK82)</f>
        <v>31.2447901569463</v>
      </c>
      <c r="AL26" s="32" t="n">
        <f aca="false">AK26*EXP(($B$4-0.5*$B$5^2)*$B$8+$B$5*SQRT($B$8)*AL82)</f>
        <v>27.0865715012658</v>
      </c>
      <c r="AM26" s="32" t="n">
        <f aca="false">AL26*EXP(($B$4-0.5*$B$5^2)*$B$8+$B$5*SQRT($B$8)*AM82)</f>
        <v>26.0365931098106</v>
      </c>
      <c r="AN26" s="32" t="n">
        <f aca="false">AM26*EXP(($B$4-0.5*$B$5^2)*$B$8+$B$5*SQRT($B$8)*AN82)</f>
        <v>28.8310486078347</v>
      </c>
      <c r="AO26" s="32" t="n">
        <f aca="false">AN26*EXP(($B$4-0.5*$B$5^2)*$B$8+$B$5*SQRT($B$8)*AO82)</f>
        <v>32.8527671532572</v>
      </c>
      <c r="AP26" s="32" t="n">
        <f aca="false">AO26*EXP(($B$4-0.5*$B$5^2)*$B$8+$B$5*SQRT($B$8)*AP82)</f>
        <v>31.3433270660153</v>
      </c>
      <c r="AQ26" s="32" t="n">
        <f aca="false">AP26*EXP(($B$4-0.5*$B$5^2)*$B$8+$B$5*SQRT($B$8)*AQ82)</f>
        <v>32.7659558270216</v>
      </c>
      <c r="AR26" s="32" t="n">
        <f aca="false">AQ26*EXP(($B$4-0.5*$B$5^2)*$B$8+$B$5*SQRT($B$8)*AR82)</f>
        <v>35.4293060553966</v>
      </c>
      <c r="AS26" s="32" t="n">
        <f aca="false">AR26*EXP(($B$4-0.5*$B$5^2)*$B$8+$B$5*SQRT($B$8)*AS82)</f>
        <v>33.0044597362419</v>
      </c>
      <c r="AT26" s="32" t="n">
        <f aca="false">AS26*EXP(($B$4-0.5*$B$5^2)*$B$8+$B$5*SQRT($B$8)*AT82)</f>
        <v>34.3089274392422</v>
      </c>
      <c r="AU26" s="32" t="n">
        <f aca="false">AT26*EXP(($B$4-0.5*$B$5^2)*$B$8+$B$5*SQRT($B$8)*AU82)</f>
        <v>34.1828947302321</v>
      </c>
      <c r="AV26" s="32" t="n">
        <f aca="false">AU26*EXP(($B$4-0.5*$B$5^2)*$B$8+$B$5*SQRT($B$8)*AV82)</f>
        <v>32.2249823905065</v>
      </c>
      <c r="AW26" s="32" t="n">
        <f aca="false">AV26*EXP(($B$4-0.5*$B$5^2)*$B$8+$B$5*SQRT($B$8)*AW82)</f>
        <v>30.525785048256</v>
      </c>
      <c r="AX26" s="32" t="n">
        <f aca="false">AW26*EXP(($B$4-0.5*$B$5^2)*$B$8+$B$5*SQRT($B$8)*AX82)</f>
        <v>30.7454450863678</v>
      </c>
      <c r="AY26" s="32" t="n">
        <f aca="false">AX26*EXP(($B$4-0.5*$B$5^2)*$B$8+$B$5*SQRT($B$8)*AY82)</f>
        <v>30.8406414336005</v>
      </c>
      <c r="AZ26" s="32" t="n">
        <f aca="false">AY26*EXP(($B$4-0.5*$B$5^2)*$B$8+$B$5*SQRT($B$8)*AZ82)</f>
        <v>28.9803413696149</v>
      </c>
      <c r="BA26" s="32" t="n">
        <f aca="false">AZ26*EXP(($B$4-0.5*$B$5^2)*$B$8+$B$5*SQRT($B$8)*BA82)</f>
        <v>27.6523211944348</v>
      </c>
      <c r="BB26" s="32" t="n">
        <f aca="false">BA26*EXP(($B$4-0.5*$B$5^2)*$B$8+$B$5*SQRT($B$8)*BB82)</f>
        <v>31.2386339238562</v>
      </c>
      <c r="BC26" s="32" t="n">
        <f aca="false">BB26*EXP(($B$4-0.5*$B$5^2)*$B$8+$B$5*SQRT($B$8)*BC82)</f>
        <v>31.9741691102934</v>
      </c>
      <c r="BD26" s="32" t="n">
        <f aca="false">BC26*EXP(($B$4-0.5*$B$5^2)*$B$8+$B$5*SQRT($B$8)*BD82)</f>
        <v>35.2278452331554</v>
      </c>
      <c r="BE26" s="32" t="n">
        <f aca="false">BD26*EXP(($B$4-0.5*$B$5^2)*$B$8+$B$5*SQRT($B$8)*BE82)</f>
        <v>40.1848174230423</v>
      </c>
      <c r="BF26" s="32" t="n">
        <f aca="false">BE26*EXP(($B$4-0.5*$B$5^2)*$B$8+$B$5*SQRT($B$8)*BF82)</f>
        <v>42.8583237745967</v>
      </c>
      <c r="BG26" s="32" t="n">
        <f aca="false">BF26*EXP(($B$4-0.5*$B$5^2)*$B$8+$B$5*SQRT($B$8)*BG82)</f>
        <v>54.9720537933545</v>
      </c>
      <c r="BH26" s="32" t="n">
        <f aca="false">BG26*EXP(($B$4-0.5*$B$5^2)*$B$8+$B$5*SQRT($B$8)*BH82)</f>
        <v>50.2046977997012</v>
      </c>
      <c r="BI26" s="32" t="n">
        <f aca="false">BH26*EXP(($B$4-0.5*$B$5^2)*$B$8+$B$5*SQRT($B$8)*BI82)</f>
        <v>54.850155127344</v>
      </c>
      <c r="BJ26" s="32" t="n">
        <f aca="false">BI26*EXP(($B$4-0.5*$B$5^2)*$B$8+$B$5*SQRT($B$8)*BJ82)</f>
        <v>52.9592306745329</v>
      </c>
    </row>
    <row r="27" customFormat="false" ht="15" hidden="false" customHeight="true" outlineLevel="0" collapsed="false">
      <c r="A27" s="6" t="s">
        <v>131</v>
      </c>
      <c r="B27" s="32" t="n">
        <f aca="false">$B$3</f>
        <v>11.5</v>
      </c>
      <c r="C27" s="32" t="n">
        <f aca="false">B27*EXP(($B$4-0.5*$B$5^2)*$B$8+$B$5*SQRT($B$8)*C83)</f>
        <v>14.0938245420306</v>
      </c>
      <c r="D27" s="32" t="n">
        <f aca="false">C27*EXP(($B$4-0.5*$B$5^2)*$B$8+$B$5*SQRT($B$8)*D83)</f>
        <v>16.9808427083034</v>
      </c>
      <c r="E27" s="32" t="n">
        <f aca="false">D27*EXP(($B$4-0.5*$B$5^2)*$B$8+$B$5*SQRT($B$8)*E83)</f>
        <v>13.7018690276582</v>
      </c>
      <c r="F27" s="32" t="n">
        <f aca="false">E27*EXP(($B$4-0.5*$B$5^2)*$B$8+$B$5*SQRT($B$8)*F83)</f>
        <v>12.318074191315</v>
      </c>
      <c r="G27" s="32" t="n">
        <f aca="false">F27*EXP(($B$4-0.5*$B$5^2)*$B$8+$B$5*SQRT($B$8)*G83)</f>
        <v>13.2468148136294</v>
      </c>
      <c r="H27" s="32" t="n">
        <f aca="false">G27*EXP(($B$4-0.5*$B$5^2)*$B$8+$B$5*SQRT($B$8)*H83)</f>
        <v>14.4431392231706</v>
      </c>
      <c r="I27" s="32" t="n">
        <f aca="false">H27*EXP(($B$4-0.5*$B$5^2)*$B$8+$B$5*SQRT($B$8)*I83)</f>
        <v>15.6556946850955</v>
      </c>
      <c r="J27" s="32" t="n">
        <f aca="false">I27*EXP(($B$4-0.5*$B$5^2)*$B$8+$B$5*SQRT($B$8)*J83)</f>
        <v>15.5316163820662</v>
      </c>
      <c r="K27" s="32" t="n">
        <f aca="false">J27*EXP(($B$4-0.5*$B$5^2)*$B$8+$B$5*SQRT($B$8)*K83)</f>
        <v>16.3237248930208</v>
      </c>
      <c r="L27" s="32" t="n">
        <f aca="false">K27*EXP(($B$4-0.5*$B$5^2)*$B$8+$B$5*SQRT($B$8)*L83)</f>
        <v>17.5327477194032</v>
      </c>
      <c r="M27" s="32" t="n">
        <f aca="false">L27*EXP(($B$4-0.5*$B$5^2)*$B$8+$B$5*SQRT($B$8)*M83)</f>
        <v>17.3804304664193</v>
      </c>
      <c r="N27" s="32" t="n">
        <f aca="false">M27*EXP(($B$4-0.5*$B$5^2)*$B$8+$B$5*SQRT($B$8)*N83)</f>
        <v>19.4501160578309</v>
      </c>
      <c r="O27" s="32" t="n">
        <f aca="false">N27*EXP(($B$4-0.5*$B$5^2)*$B$8+$B$5*SQRT($B$8)*O83)</f>
        <v>15.1774480949095</v>
      </c>
      <c r="P27" s="32" t="n">
        <f aca="false">O27*EXP(($B$4-0.5*$B$5^2)*$B$8+$B$5*SQRT($B$8)*P83)</f>
        <v>16.2672238722823</v>
      </c>
      <c r="Q27" s="32" t="n">
        <f aca="false">P27*EXP(($B$4-0.5*$B$5^2)*$B$8+$B$5*SQRT($B$8)*Q83)</f>
        <v>14.5201441849931</v>
      </c>
      <c r="R27" s="32" t="n">
        <f aca="false">Q27*EXP(($B$4-0.5*$B$5^2)*$B$8+$B$5*SQRT($B$8)*R83)</f>
        <v>16.1273607538336</v>
      </c>
      <c r="S27" s="32" t="n">
        <f aca="false">R27*EXP(($B$4-0.5*$B$5^2)*$B$8+$B$5*SQRT($B$8)*S83)</f>
        <v>15.7249406645483</v>
      </c>
      <c r="T27" s="32" t="n">
        <f aca="false">S27*EXP(($B$4-0.5*$B$5^2)*$B$8+$B$5*SQRT($B$8)*T83)</f>
        <v>14.2615598811839</v>
      </c>
      <c r="U27" s="32" t="n">
        <f aca="false">T27*EXP(($B$4-0.5*$B$5^2)*$B$8+$B$5*SQRT($B$8)*U83)</f>
        <v>14.8559467749566</v>
      </c>
      <c r="V27" s="32" t="n">
        <f aca="false">U27*EXP(($B$4-0.5*$B$5^2)*$B$8+$B$5*SQRT($B$8)*V83)</f>
        <v>13.4401536365782</v>
      </c>
      <c r="W27" s="32" t="n">
        <f aca="false">V27*EXP(($B$4-0.5*$B$5^2)*$B$8+$B$5*SQRT($B$8)*W83)</f>
        <v>12.1573745271617</v>
      </c>
      <c r="X27" s="32" t="n">
        <f aca="false">W27*EXP(($B$4-0.5*$B$5^2)*$B$8+$B$5*SQRT($B$8)*X83)</f>
        <v>10.2351290099733</v>
      </c>
      <c r="Y27" s="32" t="n">
        <f aca="false">X27*EXP(($B$4-0.5*$B$5^2)*$B$8+$B$5*SQRT($B$8)*Y83)</f>
        <v>10.2033157591878</v>
      </c>
      <c r="Z27" s="32" t="n">
        <f aca="false">Y27*EXP(($B$4-0.5*$B$5^2)*$B$8+$B$5*SQRT($B$8)*Z83)</f>
        <v>10.7728516730511</v>
      </c>
      <c r="AA27" s="32" t="n">
        <f aca="false">Z27*EXP(($B$4-0.5*$B$5^2)*$B$8+$B$5*SQRT($B$8)*AA83)</f>
        <v>12.0500441580397</v>
      </c>
      <c r="AB27" s="32" t="n">
        <f aca="false">AA27*EXP(($B$4-0.5*$B$5^2)*$B$8+$B$5*SQRT($B$8)*AB83)</f>
        <v>11.8619753283483</v>
      </c>
      <c r="AC27" s="32" t="n">
        <f aca="false">AB27*EXP(($B$4-0.5*$B$5^2)*$B$8+$B$5*SQRT($B$8)*AC83)</f>
        <v>13.3044784306574</v>
      </c>
      <c r="AD27" s="32" t="n">
        <f aca="false">AC27*EXP(($B$4-0.5*$B$5^2)*$B$8+$B$5*SQRT($B$8)*AD83)</f>
        <v>13.3282737723019</v>
      </c>
      <c r="AE27" s="32" t="n">
        <f aca="false">AD27*EXP(($B$4-0.5*$B$5^2)*$B$8+$B$5*SQRT($B$8)*AE83)</f>
        <v>13.1901569838949</v>
      </c>
      <c r="AF27" s="32" t="n">
        <f aca="false">AE27*EXP(($B$4-0.5*$B$5^2)*$B$8+$B$5*SQRT($B$8)*AF83)</f>
        <v>14.0441426034973</v>
      </c>
      <c r="AG27" s="32" t="n">
        <f aca="false">AF27*EXP(($B$4-0.5*$B$5^2)*$B$8+$B$5*SQRT($B$8)*AG83)</f>
        <v>15.7702320619345</v>
      </c>
      <c r="AH27" s="32" t="n">
        <f aca="false">AG27*EXP(($B$4-0.5*$B$5^2)*$B$8+$B$5*SQRT($B$8)*AH83)</f>
        <v>15.1877108000277</v>
      </c>
      <c r="AI27" s="32" t="n">
        <f aca="false">AH27*EXP(($B$4-0.5*$B$5^2)*$B$8+$B$5*SQRT($B$8)*AI83)</f>
        <v>14.7842652772902</v>
      </c>
      <c r="AJ27" s="32" t="n">
        <f aca="false">AI27*EXP(($B$4-0.5*$B$5^2)*$B$8+$B$5*SQRT($B$8)*AJ83)</f>
        <v>14.52305627539</v>
      </c>
      <c r="AK27" s="32" t="n">
        <f aca="false">AJ27*EXP(($B$4-0.5*$B$5^2)*$B$8+$B$5*SQRT($B$8)*AK83)</f>
        <v>14.6528320236051</v>
      </c>
      <c r="AL27" s="32" t="n">
        <f aca="false">AK27*EXP(($B$4-0.5*$B$5^2)*$B$8+$B$5*SQRT($B$8)*AL83)</f>
        <v>13.2722928835352</v>
      </c>
      <c r="AM27" s="32" t="n">
        <f aca="false">AL27*EXP(($B$4-0.5*$B$5^2)*$B$8+$B$5*SQRT($B$8)*AM83)</f>
        <v>14.8539230147044</v>
      </c>
      <c r="AN27" s="32" t="n">
        <f aca="false">AM27*EXP(($B$4-0.5*$B$5^2)*$B$8+$B$5*SQRT($B$8)*AN83)</f>
        <v>14.2130011184606</v>
      </c>
      <c r="AO27" s="32" t="n">
        <f aca="false">AN27*EXP(($B$4-0.5*$B$5^2)*$B$8+$B$5*SQRT($B$8)*AO83)</f>
        <v>14.9498645026077</v>
      </c>
      <c r="AP27" s="32" t="n">
        <f aca="false">AO27*EXP(($B$4-0.5*$B$5^2)*$B$8+$B$5*SQRT($B$8)*AP83)</f>
        <v>13.6531110150471</v>
      </c>
      <c r="AQ27" s="32" t="n">
        <f aca="false">AP27*EXP(($B$4-0.5*$B$5^2)*$B$8+$B$5*SQRT($B$8)*AQ83)</f>
        <v>14.1986037410885</v>
      </c>
      <c r="AR27" s="32" t="n">
        <f aca="false">AQ27*EXP(($B$4-0.5*$B$5^2)*$B$8+$B$5*SQRT($B$8)*AR83)</f>
        <v>14.8190972191775</v>
      </c>
      <c r="AS27" s="32" t="n">
        <f aca="false">AR27*EXP(($B$4-0.5*$B$5^2)*$B$8+$B$5*SQRT($B$8)*AS83)</f>
        <v>14.1481810601063</v>
      </c>
      <c r="AT27" s="32" t="n">
        <f aca="false">AS27*EXP(($B$4-0.5*$B$5^2)*$B$8+$B$5*SQRT($B$8)*AT83)</f>
        <v>17.6562060042925</v>
      </c>
      <c r="AU27" s="32" t="n">
        <f aca="false">AT27*EXP(($B$4-0.5*$B$5^2)*$B$8+$B$5*SQRT($B$8)*AU83)</f>
        <v>18.3862997284782</v>
      </c>
      <c r="AV27" s="32" t="n">
        <f aca="false">AU27*EXP(($B$4-0.5*$B$5^2)*$B$8+$B$5*SQRT($B$8)*AV83)</f>
        <v>22.3392550809075</v>
      </c>
      <c r="AW27" s="32" t="n">
        <f aca="false">AV27*EXP(($B$4-0.5*$B$5^2)*$B$8+$B$5*SQRT($B$8)*AW83)</f>
        <v>24.8132143297346</v>
      </c>
      <c r="AX27" s="32" t="n">
        <f aca="false">AW27*EXP(($B$4-0.5*$B$5^2)*$B$8+$B$5*SQRT($B$8)*AX83)</f>
        <v>23.0702463745373</v>
      </c>
      <c r="AY27" s="32" t="n">
        <f aca="false">AX27*EXP(($B$4-0.5*$B$5^2)*$B$8+$B$5*SQRT($B$8)*AY83)</f>
        <v>22.1189751157477</v>
      </c>
      <c r="AZ27" s="32" t="n">
        <f aca="false">AY27*EXP(($B$4-0.5*$B$5^2)*$B$8+$B$5*SQRT($B$8)*AZ83)</f>
        <v>23.1985877056148</v>
      </c>
      <c r="BA27" s="32" t="n">
        <f aca="false">AZ27*EXP(($B$4-0.5*$B$5^2)*$B$8+$B$5*SQRT($B$8)*BA83)</f>
        <v>23.3505020392859</v>
      </c>
      <c r="BB27" s="32" t="n">
        <f aca="false">BA27*EXP(($B$4-0.5*$B$5^2)*$B$8+$B$5*SQRT($B$8)*BB83)</f>
        <v>23.4732357494943</v>
      </c>
      <c r="BC27" s="32" t="n">
        <f aca="false">BB27*EXP(($B$4-0.5*$B$5^2)*$B$8+$B$5*SQRT($B$8)*BC83)</f>
        <v>22.743555671441</v>
      </c>
      <c r="BD27" s="32" t="n">
        <f aca="false">BC27*EXP(($B$4-0.5*$B$5^2)*$B$8+$B$5*SQRT($B$8)*BD83)</f>
        <v>18.6475521542472</v>
      </c>
      <c r="BE27" s="32" t="n">
        <f aca="false">BD27*EXP(($B$4-0.5*$B$5^2)*$B$8+$B$5*SQRT($B$8)*BE83)</f>
        <v>18.1887335895333</v>
      </c>
      <c r="BF27" s="32" t="n">
        <f aca="false">BE27*EXP(($B$4-0.5*$B$5^2)*$B$8+$B$5*SQRT($B$8)*BF83)</f>
        <v>14.257723514627</v>
      </c>
      <c r="BG27" s="32" t="n">
        <f aca="false">BF27*EXP(($B$4-0.5*$B$5^2)*$B$8+$B$5*SQRT($B$8)*BG83)</f>
        <v>14.84855793713</v>
      </c>
      <c r="BH27" s="32" t="n">
        <f aca="false">BG27*EXP(($B$4-0.5*$B$5^2)*$B$8+$B$5*SQRT($B$8)*BH83)</f>
        <v>13.7092855877927</v>
      </c>
      <c r="BI27" s="32" t="n">
        <f aca="false">BH27*EXP(($B$4-0.5*$B$5^2)*$B$8+$B$5*SQRT($B$8)*BI83)</f>
        <v>12.6722086775873</v>
      </c>
      <c r="BJ27" s="32" t="n">
        <f aca="false">BI27*EXP(($B$4-0.5*$B$5^2)*$B$8+$B$5*SQRT($B$8)*BJ83)</f>
        <v>12.3687248767838</v>
      </c>
    </row>
    <row r="28" customFormat="false" ht="15" hidden="false" customHeight="true" outlineLevel="0" collapsed="false">
      <c r="A28" s="6" t="s">
        <v>132</v>
      </c>
      <c r="B28" s="32" t="n">
        <f aca="false">$B$3</f>
        <v>11.5</v>
      </c>
      <c r="C28" s="32" t="n">
        <f aca="false">B28*EXP(($B$4-0.5*$B$5^2)*$B$8+$B$5*SQRT($B$8)*C84)</f>
        <v>11.8470029267401</v>
      </c>
      <c r="D28" s="32" t="n">
        <f aca="false">C28*EXP(($B$4-0.5*$B$5^2)*$B$8+$B$5*SQRT($B$8)*D84)</f>
        <v>10.1229532637357</v>
      </c>
      <c r="E28" s="32" t="n">
        <f aca="false">D28*EXP(($B$4-0.5*$B$5^2)*$B$8+$B$5*SQRT($B$8)*E84)</f>
        <v>8.35455243933428</v>
      </c>
      <c r="F28" s="32" t="n">
        <f aca="false">E28*EXP(($B$4-0.5*$B$5^2)*$B$8+$B$5*SQRT($B$8)*F84)</f>
        <v>7.43114171574367</v>
      </c>
      <c r="G28" s="32" t="n">
        <f aca="false">F28*EXP(($B$4-0.5*$B$5^2)*$B$8+$B$5*SQRT($B$8)*G84)</f>
        <v>5.93891055770942</v>
      </c>
      <c r="H28" s="32" t="n">
        <f aca="false">G28*EXP(($B$4-0.5*$B$5^2)*$B$8+$B$5*SQRT($B$8)*H84)</f>
        <v>5.3403025450585</v>
      </c>
      <c r="I28" s="32" t="n">
        <f aca="false">H28*EXP(($B$4-0.5*$B$5^2)*$B$8+$B$5*SQRT($B$8)*I84)</f>
        <v>6.35736101272792</v>
      </c>
      <c r="J28" s="32" t="n">
        <f aca="false">I28*EXP(($B$4-0.5*$B$5^2)*$B$8+$B$5*SQRT($B$8)*J84)</f>
        <v>5.66057904512344</v>
      </c>
      <c r="K28" s="32" t="n">
        <f aca="false">J28*EXP(($B$4-0.5*$B$5^2)*$B$8+$B$5*SQRT($B$8)*K84)</f>
        <v>6.07875411404149</v>
      </c>
      <c r="L28" s="32" t="n">
        <f aca="false">K28*EXP(($B$4-0.5*$B$5^2)*$B$8+$B$5*SQRT($B$8)*L84)</f>
        <v>5.22864843000902</v>
      </c>
      <c r="M28" s="32" t="n">
        <f aca="false">L28*EXP(($B$4-0.5*$B$5^2)*$B$8+$B$5*SQRT($B$8)*M84)</f>
        <v>5.40206849080502</v>
      </c>
      <c r="N28" s="32" t="n">
        <f aca="false">M28*EXP(($B$4-0.5*$B$5^2)*$B$8+$B$5*SQRT($B$8)*N84)</f>
        <v>5.21492602995311</v>
      </c>
      <c r="O28" s="32" t="n">
        <f aca="false">N28*EXP(($B$4-0.5*$B$5^2)*$B$8+$B$5*SQRT($B$8)*O84)</f>
        <v>5.17987183992395</v>
      </c>
      <c r="P28" s="32" t="n">
        <f aca="false">O28*EXP(($B$4-0.5*$B$5^2)*$B$8+$B$5*SQRT($B$8)*P84)</f>
        <v>5.51234389373862</v>
      </c>
      <c r="Q28" s="32" t="n">
        <f aca="false">P28*EXP(($B$4-0.5*$B$5^2)*$B$8+$B$5*SQRT($B$8)*Q84)</f>
        <v>6.68228552287754</v>
      </c>
      <c r="R28" s="32" t="n">
        <f aca="false">Q28*EXP(($B$4-0.5*$B$5^2)*$B$8+$B$5*SQRT($B$8)*R84)</f>
        <v>6.82529357572084</v>
      </c>
      <c r="S28" s="32" t="n">
        <f aca="false">R28*EXP(($B$4-0.5*$B$5^2)*$B$8+$B$5*SQRT($B$8)*S84)</f>
        <v>6.91777211879754</v>
      </c>
      <c r="T28" s="32" t="n">
        <f aca="false">S28*EXP(($B$4-0.5*$B$5^2)*$B$8+$B$5*SQRT($B$8)*T84)</f>
        <v>6.21605433826634</v>
      </c>
      <c r="U28" s="32" t="n">
        <f aca="false">T28*EXP(($B$4-0.5*$B$5^2)*$B$8+$B$5*SQRT($B$8)*U84)</f>
        <v>6.62560951369691</v>
      </c>
      <c r="V28" s="32" t="n">
        <f aca="false">U28*EXP(($B$4-0.5*$B$5^2)*$B$8+$B$5*SQRT($B$8)*V84)</f>
        <v>6.44797256495883</v>
      </c>
      <c r="W28" s="32" t="n">
        <f aca="false">V28*EXP(($B$4-0.5*$B$5^2)*$B$8+$B$5*SQRT($B$8)*W84)</f>
        <v>7.06286460187391</v>
      </c>
      <c r="X28" s="32" t="n">
        <f aca="false">W28*EXP(($B$4-0.5*$B$5^2)*$B$8+$B$5*SQRT($B$8)*X84)</f>
        <v>7.02779457206678</v>
      </c>
      <c r="Y28" s="32" t="n">
        <f aca="false">X28*EXP(($B$4-0.5*$B$5^2)*$B$8+$B$5*SQRT($B$8)*Y84)</f>
        <v>8.50501061032948</v>
      </c>
      <c r="Z28" s="32" t="n">
        <f aca="false">Y28*EXP(($B$4-0.5*$B$5^2)*$B$8+$B$5*SQRT($B$8)*Z84)</f>
        <v>6.84113079207406</v>
      </c>
      <c r="AA28" s="32" t="n">
        <f aca="false">Z28*EXP(($B$4-0.5*$B$5^2)*$B$8+$B$5*SQRT($B$8)*AA84)</f>
        <v>6.62091632626422</v>
      </c>
      <c r="AB28" s="32" t="n">
        <f aca="false">AA28*EXP(($B$4-0.5*$B$5^2)*$B$8+$B$5*SQRT($B$8)*AB84)</f>
        <v>7.2917672704921</v>
      </c>
      <c r="AC28" s="32" t="n">
        <f aca="false">AB28*EXP(($B$4-0.5*$B$5^2)*$B$8+$B$5*SQRT($B$8)*AC84)</f>
        <v>7.01529582285709</v>
      </c>
      <c r="AD28" s="32" t="n">
        <f aca="false">AC28*EXP(($B$4-0.5*$B$5^2)*$B$8+$B$5*SQRT($B$8)*AD84)</f>
        <v>6.43023378326771</v>
      </c>
      <c r="AE28" s="32" t="n">
        <f aca="false">AD28*EXP(($B$4-0.5*$B$5^2)*$B$8+$B$5*SQRT($B$8)*AE84)</f>
        <v>6.24425210248254</v>
      </c>
      <c r="AF28" s="32" t="n">
        <f aca="false">AE28*EXP(($B$4-0.5*$B$5^2)*$B$8+$B$5*SQRT($B$8)*AF84)</f>
        <v>5.36611734077978</v>
      </c>
      <c r="AG28" s="32" t="n">
        <f aca="false">AF28*EXP(($B$4-0.5*$B$5^2)*$B$8+$B$5*SQRT($B$8)*AG84)</f>
        <v>5.43560105627314</v>
      </c>
      <c r="AH28" s="32" t="n">
        <f aca="false">AG28*EXP(($B$4-0.5*$B$5^2)*$B$8+$B$5*SQRT($B$8)*AH84)</f>
        <v>7.10285643640119</v>
      </c>
      <c r="AI28" s="32" t="n">
        <f aca="false">AH28*EXP(($B$4-0.5*$B$5^2)*$B$8+$B$5*SQRT($B$8)*AI84)</f>
        <v>8.0519934241319</v>
      </c>
      <c r="AJ28" s="32" t="n">
        <f aca="false">AI28*EXP(($B$4-0.5*$B$5^2)*$B$8+$B$5*SQRT($B$8)*AJ84)</f>
        <v>7.12836491608097</v>
      </c>
      <c r="AK28" s="32" t="n">
        <f aca="false">AJ28*EXP(($B$4-0.5*$B$5^2)*$B$8+$B$5*SQRT($B$8)*AK84)</f>
        <v>6.47595473123585</v>
      </c>
      <c r="AL28" s="32" t="n">
        <f aca="false">AK28*EXP(($B$4-0.5*$B$5^2)*$B$8+$B$5*SQRT($B$8)*AL84)</f>
        <v>6.19359359940311</v>
      </c>
      <c r="AM28" s="32" t="n">
        <f aca="false">AL28*EXP(($B$4-0.5*$B$5^2)*$B$8+$B$5*SQRT($B$8)*AM84)</f>
        <v>6.91375647740827</v>
      </c>
      <c r="AN28" s="32" t="n">
        <f aca="false">AM28*EXP(($B$4-0.5*$B$5^2)*$B$8+$B$5*SQRT($B$8)*AN84)</f>
        <v>6.31681732919631</v>
      </c>
      <c r="AO28" s="32" t="n">
        <f aca="false">AN28*EXP(($B$4-0.5*$B$5^2)*$B$8+$B$5*SQRT($B$8)*AO84)</f>
        <v>5.85511802411026</v>
      </c>
      <c r="AP28" s="32" t="n">
        <f aca="false">AO28*EXP(($B$4-0.5*$B$5^2)*$B$8+$B$5*SQRT($B$8)*AP84)</f>
        <v>6.4506879422339</v>
      </c>
      <c r="AQ28" s="32" t="n">
        <f aca="false">AP28*EXP(($B$4-0.5*$B$5^2)*$B$8+$B$5*SQRT($B$8)*AQ84)</f>
        <v>7.09118777284907</v>
      </c>
      <c r="AR28" s="32" t="n">
        <f aca="false">AQ28*EXP(($B$4-0.5*$B$5^2)*$B$8+$B$5*SQRT($B$8)*AR84)</f>
        <v>6.8050388292289</v>
      </c>
      <c r="AS28" s="32" t="n">
        <f aca="false">AR28*EXP(($B$4-0.5*$B$5^2)*$B$8+$B$5*SQRT($B$8)*AS84)</f>
        <v>6.01866345473342</v>
      </c>
      <c r="AT28" s="32" t="n">
        <f aca="false">AS28*EXP(($B$4-0.5*$B$5^2)*$B$8+$B$5*SQRT($B$8)*AT84)</f>
        <v>5.0767953280089</v>
      </c>
      <c r="AU28" s="32" t="n">
        <f aca="false">AT28*EXP(($B$4-0.5*$B$5^2)*$B$8+$B$5*SQRT($B$8)*AU84)</f>
        <v>4.70121075055817</v>
      </c>
      <c r="AV28" s="32" t="n">
        <f aca="false">AU28*EXP(($B$4-0.5*$B$5^2)*$B$8+$B$5*SQRT($B$8)*AV84)</f>
        <v>3.68015702423221</v>
      </c>
      <c r="AW28" s="32" t="n">
        <f aca="false">AV28*EXP(($B$4-0.5*$B$5^2)*$B$8+$B$5*SQRT($B$8)*AW84)</f>
        <v>3.9949247483859</v>
      </c>
      <c r="AX28" s="32" t="n">
        <f aca="false">AW28*EXP(($B$4-0.5*$B$5^2)*$B$8+$B$5*SQRT($B$8)*AX84)</f>
        <v>3.72746811777387</v>
      </c>
      <c r="AY28" s="32" t="n">
        <f aca="false">AX28*EXP(($B$4-0.5*$B$5^2)*$B$8+$B$5*SQRT($B$8)*AY84)</f>
        <v>3.92883182479822</v>
      </c>
      <c r="AZ28" s="32" t="n">
        <f aca="false">AY28*EXP(($B$4-0.5*$B$5^2)*$B$8+$B$5*SQRT($B$8)*AZ84)</f>
        <v>4.82160856397273</v>
      </c>
      <c r="BA28" s="32" t="n">
        <f aca="false">AZ28*EXP(($B$4-0.5*$B$5^2)*$B$8+$B$5*SQRT($B$8)*BA84)</f>
        <v>5.48270092794095</v>
      </c>
      <c r="BB28" s="32" t="n">
        <f aca="false">BA28*EXP(($B$4-0.5*$B$5^2)*$B$8+$B$5*SQRT($B$8)*BB84)</f>
        <v>4.83141311197525</v>
      </c>
      <c r="BC28" s="32" t="n">
        <f aca="false">BB28*EXP(($B$4-0.5*$B$5^2)*$B$8+$B$5*SQRT($B$8)*BC84)</f>
        <v>5.3138109837129</v>
      </c>
      <c r="BD28" s="32" t="n">
        <f aca="false">BC28*EXP(($B$4-0.5*$B$5^2)*$B$8+$B$5*SQRT($B$8)*BD84)</f>
        <v>6.03236335335845</v>
      </c>
      <c r="BE28" s="32" t="n">
        <f aca="false">BD28*EXP(($B$4-0.5*$B$5^2)*$B$8+$B$5*SQRT($B$8)*BE84)</f>
        <v>5.55713560871197</v>
      </c>
      <c r="BF28" s="32" t="n">
        <f aca="false">BE28*EXP(($B$4-0.5*$B$5^2)*$B$8+$B$5*SQRT($B$8)*BF84)</f>
        <v>5.0044428065685</v>
      </c>
      <c r="BG28" s="32" t="n">
        <f aca="false">BF28*EXP(($B$4-0.5*$B$5^2)*$B$8+$B$5*SQRT($B$8)*BG84)</f>
        <v>4.94367965349407</v>
      </c>
      <c r="BH28" s="32" t="n">
        <f aca="false">BG28*EXP(($B$4-0.5*$B$5^2)*$B$8+$B$5*SQRT($B$8)*BH84)</f>
        <v>4.14646420110528</v>
      </c>
      <c r="BI28" s="32" t="n">
        <f aca="false">BH28*EXP(($B$4-0.5*$B$5^2)*$B$8+$B$5*SQRT($B$8)*BI84)</f>
        <v>4.87152577869483</v>
      </c>
      <c r="BJ28" s="32" t="n">
        <f aca="false">BI28*EXP(($B$4-0.5*$B$5^2)*$B$8+$B$5*SQRT($B$8)*BJ84)</f>
        <v>3.74104036021894</v>
      </c>
    </row>
    <row r="29" customFormat="false" ht="15" hidden="false" customHeight="true" outlineLevel="0" collapsed="false">
      <c r="A29" s="6" t="s">
        <v>133</v>
      </c>
      <c r="B29" s="32" t="n">
        <f aca="false">$B$3</f>
        <v>11.5</v>
      </c>
      <c r="C29" s="32" t="n">
        <f aca="false">B29*EXP(($B$4-0.5*$B$5^2)*$B$8+$B$5*SQRT($B$8)*C85)</f>
        <v>10.1833165185928</v>
      </c>
      <c r="D29" s="32" t="n">
        <f aca="false">C29*EXP(($B$4-0.5*$B$5^2)*$B$8+$B$5*SQRT($B$8)*D85)</f>
        <v>9.88478833465529</v>
      </c>
      <c r="E29" s="32" t="n">
        <f aca="false">D29*EXP(($B$4-0.5*$B$5^2)*$B$8+$B$5*SQRT($B$8)*E85)</f>
        <v>9.63982581571303</v>
      </c>
      <c r="F29" s="32" t="n">
        <f aca="false">E29*EXP(($B$4-0.5*$B$5^2)*$B$8+$B$5*SQRT($B$8)*F85)</f>
        <v>9.81530551963386</v>
      </c>
      <c r="G29" s="32" t="n">
        <f aca="false">F29*EXP(($B$4-0.5*$B$5^2)*$B$8+$B$5*SQRT($B$8)*G85)</f>
        <v>10.1101168773671</v>
      </c>
      <c r="H29" s="32" t="n">
        <f aca="false">G29*EXP(($B$4-0.5*$B$5^2)*$B$8+$B$5*SQRT($B$8)*H85)</f>
        <v>9.87415521139825</v>
      </c>
      <c r="I29" s="32" t="n">
        <f aca="false">H29*EXP(($B$4-0.5*$B$5^2)*$B$8+$B$5*SQRT($B$8)*I85)</f>
        <v>11.1836169355953</v>
      </c>
      <c r="J29" s="32" t="n">
        <f aca="false">I29*EXP(($B$4-0.5*$B$5^2)*$B$8+$B$5*SQRT($B$8)*J85)</f>
        <v>8.84263061310499</v>
      </c>
      <c r="K29" s="32" t="n">
        <f aca="false">J29*EXP(($B$4-0.5*$B$5^2)*$B$8+$B$5*SQRT($B$8)*K85)</f>
        <v>8.8408500639488</v>
      </c>
      <c r="L29" s="32" t="n">
        <f aca="false">K29*EXP(($B$4-0.5*$B$5^2)*$B$8+$B$5*SQRT($B$8)*L85)</f>
        <v>8.17280561381078</v>
      </c>
      <c r="M29" s="32" t="n">
        <f aca="false">L29*EXP(($B$4-0.5*$B$5^2)*$B$8+$B$5*SQRT($B$8)*M85)</f>
        <v>8.29095521755848</v>
      </c>
      <c r="N29" s="32" t="n">
        <f aca="false">M29*EXP(($B$4-0.5*$B$5^2)*$B$8+$B$5*SQRT($B$8)*N85)</f>
        <v>8.49262761143847</v>
      </c>
      <c r="O29" s="32" t="n">
        <f aca="false">N29*EXP(($B$4-0.5*$B$5^2)*$B$8+$B$5*SQRT($B$8)*O85)</f>
        <v>7.68285045265188</v>
      </c>
      <c r="P29" s="32" t="n">
        <f aca="false">O29*EXP(($B$4-0.5*$B$5^2)*$B$8+$B$5*SQRT($B$8)*P85)</f>
        <v>7.15990994424987</v>
      </c>
      <c r="Q29" s="32" t="n">
        <f aca="false">P29*EXP(($B$4-0.5*$B$5^2)*$B$8+$B$5*SQRT($B$8)*Q85)</f>
        <v>7.80885307727826</v>
      </c>
      <c r="R29" s="32" t="n">
        <f aca="false">Q29*EXP(($B$4-0.5*$B$5^2)*$B$8+$B$5*SQRT($B$8)*R85)</f>
        <v>8.11216701653176</v>
      </c>
      <c r="S29" s="32" t="n">
        <f aca="false">R29*EXP(($B$4-0.5*$B$5^2)*$B$8+$B$5*SQRT($B$8)*S85)</f>
        <v>7.52748353989701</v>
      </c>
      <c r="T29" s="32" t="n">
        <f aca="false">S29*EXP(($B$4-0.5*$B$5^2)*$B$8+$B$5*SQRT($B$8)*T85)</f>
        <v>9.41351539246452</v>
      </c>
      <c r="U29" s="32" t="n">
        <f aca="false">T29*EXP(($B$4-0.5*$B$5^2)*$B$8+$B$5*SQRT($B$8)*U85)</f>
        <v>12.1250305331612</v>
      </c>
      <c r="V29" s="32" t="n">
        <f aca="false">U29*EXP(($B$4-0.5*$B$5^2)*$B$8+$B$5*SQRT($B$8)*V85)</f>
        <v>10.3259643248265</v>
      </c>
      <c r="W29" s="32" t="n">
        <f aca="false">V29*EXP(($B$4-0.5*$B$5^2)*$B$8+$B$5*SQRT($B$8)*W85)</f>
        <v>10.6715792684831</v>
      </c>
      <c r="X29" s="32" t="n">
        <f aca="false">W29*EXP(($B$4-0.5*$B$5^2)*$B$8+$B$5*SQRT($B$8)*X85)</f>
        <v>14.0500895247597</v>
      </c>
      <c r="Y29" s="32" t="n">
        <f aca="false">X29*EXP(($B$4-0.5*$B$5^2)*$B$8+$B$5*SQRT($B$8)*Y85)</f>
        <v>15.3089314099378</v>
      </c>
      <c r="Z29" s="32" t="n">
        <f aca="false">Y29*EXP(($B$4-0.5*$B$5^2)*$B$8+$B$5*SQRT($B$8)*Z85)</f>
        <v>15.6818283535474</v>
      </c>
      <c r="AA29" s="32" t="n">
        <f aca="false">Z29*EXP(($B$4-0.5*$B$5^2)*$B$8+$B$5*SQRT($B$8)*AA85)</f>
        <v>15.3251636732125</v>
      </c>
      <c r="AB29" s="32" t="n">
        <f aca="false">AA29*EXP(($B$4-0.5*$B$5^2)*$B$8+$B$5*SQRT($B$8)*AB85)</f>
        <v>14.4391848626403</v>
      </c>
      <c r="AC29" s="32" t="n">
        <f aca="false">AB29*EXP(($B$4-0.5*$B$5^2)*$B$8+$B$5*SQRT($B$8)*AC85)</f>
        <v>14.1038839745073</v>
      </c>
      <c r="AD29" s="32" t="n">
        <f aca="false">AC29*EXP(($B$4-0.5*$B$5^2)*$B$8+$B$5*SQRT($B$8)*AD85)</f>
        <v>13.2746176990446</v>
      </c>
      <c r="AE29" s="32" t="n">
        <f aca="false">AD29*EXP(($B$4-0.5*$B$5^2)*$B$8+$B$5*SQRT($B$8)*AE85)</f>
        <v>14.4022481031097</v>
      </c>
      <c r="AF29" s="32" t="n">
        <f aca="false">AE29*EXP(($B$4-0.5*$B$5^2)*$B$8+$B$5*SQRT($B$8)*AF85)</f>
        <v>13.7842260261353</v>
      </c>
      <c r="AG29" s="32" t="n">
        <f aca="false">AF29*EXP(($B$4-0.5*$B$5^2)*$B$8+$B$5*SQRT($B$8)*AG85)</f>
        <v>13.1306443805416</v>
      </c>
      <c r="AH29" s="32" t="n">
        <f aca="false">AG29*EXP(($B$4-0.5*$B$5^2)*$B$8+$B$5*SQRT($B$8)*AH85)</f>
        <v>11.506275123622</v>
      </c>
      <c r="AI29" s="32" t="n">
        <f aca="false">AH29*EXP(($B$4-0.5*$B$5^2)*$B$8+$B$5*SQRT($B$8)*AI85)</f>
        <v>11.4417549390357</v>
      </c>
      <c r="AJ29" s="32" t="n">
        <f aca="false">AI29*EXP(($B$4-0.5*$B$5^2)*$B$8+$B$5*SQRT($B$8)*AJ85)</f>
        <v>10.3709017987753</v>
      </c>
      <c r="AK29" s="32" t="n">
        <f aca="false">AJ29*EXP(($B$4-0.5*$B$5^2)*$B$8+$B$5*SQRT($B$8)*AK85)</f>
        <v>10.1654323285907</v>
      </c>
      <c r="AL29" s="32" t="n">
        <f aca="false">AK29*EXP(($B$4-0.5*$B$5^2)*$B$8+$B$5*SQRT($B$8)*AL85)</f>
        <v>11.3940719640952</v>
      </c>
      <c r="AM29" s="32" t="n">
        <f aca="false">AL29*EXP(($B$4-0.5*$B$5^2)*$B$8+$B$5*SQRT($B$8)*AM85)</f>
        <v>11.8585672574887</v>
      </c>
      <c r="AN29" s="32" t="n">
        <f aca="false">AM29*EXP(($B$4-0.5*$B$5^2)*$B$8+$B$5*SQRT($B$8)*AN85)</f>
        <v>12.531354610683</v>
      </c>
      <c r="AO29" s="32" t="n">
        <f aca="false">AN29*EXP(($B$4-0.5*$B$5^2)*$B$8+$B$5*SQRT($B$8)*AO85)</f>
        <v>13.0281510645389</v>
      </c>
      <c r="AP29" s="32" t="n">
        <f aca="false">AO29*EXP(($B$4-0.5*$B$5^2)*$B$8+$B$5*SQRT($B$8)*AP85)</f>
        <v>13.1105929148074</v>
      </c>
      <c r="AQ29" s="32" t="n">
        <f aca="false">AP29*EXP(($B$4-0.5*$B$5^2)*$B$8+$B$5*SQRT($B$8)*AQ85)</f>
        <v>12.9263740186942</v>
      </c>
      <c r="AR29" s="32" t="n">
        <f aca="false">AQ29*EXP(($B$4-0.5*$B$5^2)*$B$8+$B$5*SQRT($B$8)*AR85)</f>
        <v>12.4949068360526</v>
      </c>
      <c r="AS29" s="32" t="n">
        <f aca="false">AR29*EXP(($B$4-0.5*$B$5^2)*$B$8+$B$5*SQRT($B$8)*AS85)</f>
        <v>13.5774495146851</v>
      </c>
      <c r="AT29" s="32" t="n">
        <f aca="false">AS29*EXP(($B$4-0.5*$B$5^2)*$B$8+$B$5*SQRT($B$8)*AT85)</f>
        <v>12.0527107312198</v>
      </c>
      <c r="AU29" s="32" t="n">
        <f aca="false">AT29*EXP(($B$4-0.5*$B$5^2)*$B$8+$B$5*SQRT($B$8)*AU85)</f>
        <v>13.9597599552614</v>
      </c>
      <c r="AV29" s="32" t="n">
        <f aca="false">AU29*EXP(($B$4-0.5*$B$5^2)*$B$8+$B$5*SQRT($B$8)*AV85)</f>
        <v>14.0094739941771</v>
      </c>
      <c r="AW29" s="32" t="n">
        <f aca="false">AV29*EXP(($B$4-0.5*$B$5^2)*$B$8+$B$5*SQRT($B$8)*AW85)</f>
        <v>12.9024940591145</v>
      </c>
      <c r="AX29" s="32" t="n">
        <f aca="false">AW29*EXP(($B$4-0.5*$B$5^2)*$B$8+$B$5*SQRT($B$8)*AX85)</f>
        <v>12.2261812857695</v>
      </c>
      <c r="AY29" s="32" t="n">
        <f aca="false">AX29*EXP(($B$4-0.5*$B$5^2)*$B$8+$B$5*SQRT($B$8)*AY85)</f>
        <v>11.3490360849275</v>
      </c>
      <c r="AZ29" s="32" t="n">
        <f aca="false">AY29*EXP(($B$4-0.5*$B$5^2)*$B$8+$B$5*SQRT($B$8)*AZ85)</f>
        <v>11.5481307144386</v>
      </c>
      <c r="BA29" s="32" t="n">
        <f aca="false">AZ29*EXP(($B$4-0.5*$B$5^2)*$B$8+$B$5*SQRT($B$8)*BA85)</f>
        <v>10.6716996110442</v>
      </c>
      <c r="BB29" s="32" t="n">
        <f aca="false">BA29*EXP(($B$4-0.5*$B$5^2)*$B$8+$B$5*SQRT($B$8)*BB85)</f>
        <v>12.0938838941023</v>
      </c>
      <c r="BC29" s="32" t="n">
        <f aca="false">BB29*EXP(($B$4-0.5*$B$5^2)*$B$8+$B$5*SQRT($B$8)*BC85)</f>
        <v>11.0980944948521</v>
      </c>
      <c r="BD29" s="32" t="n">
        <f aca="false">BC29*EXP(($B$4-0.5*$B$5^2)*$B$8+$B$5*SQRT($B$8)*BD85)</f>
        <v>8.64777683787506</v>
      </c>
      <c r="BE29" s="32" t="n">
        <f aca="false">BD29*EXP(($B$4-0.5*$B$5^2)*$B$8+$B$5*SQRT($B$8)*BE85)</f>
        <v>7.97994028275408</v>
      </c>
      <c r="BF29" s="32" t="n">
        <f aca="false">BE29*EXP(($B$4-0.5*$B$5^2)*$B$8+$B$5*SQRT($B$8)*BF85)</f>
        <v>6.40077930348004</v>
      </c>
      <c r="BG29" s="32" t="n">
        <f aca="false">BF29*EXP(($B$4-0.5*$B$5^2)*$B$8+$B$5*SQRT($B$8)*BG85)</f>
        <v>6.37167853009604</v>
      </c>
      <c r="BH29" s="32" t="n">
        <f aca="false">BG29*EXP(($B$4-0.5*$B$5^2)*$B$8+$B$5*SQRT($B$8)*BH85)</f>
        <v>7.15538760676934</v>
      </c>
      <c r="BI29" s="32" t="n">
        <f aca="false">BH29*EXP(($B$4-0.5*$B$5^2)*$B$8+$B$5*SQRT($B$8)*BI85)</f>
        <v>7.68091950435046</v>
      </c>
      <c r="BJ29" s="32" t="n">
        <f aca="false">BI29*EXP(($B$4-0.5*$B$5^2)*$B$8+$B$5*SQRT($B$8)*BJ85)</f>
        <v>6.63147317758896</v>
      </c>
    </row>
    <row r="30" customFormat="false" ht="15" hidden="false" customHeight="true" outlineLevel="0" collapsed="false">
      <c r="A30" s="6" t="s">
        <v>134</v>
      </c>
      <c r="B30" s="32" t="n">
        <f aca="false">$B$3</f>
        <v>11.5</v>
      </c>
      <c r="C30" s="32" t="n">
        <f aca="false">B30*EXP(($B$4-0.5*$B$5^2)*$B$8+$B$5*SQRT($B$8)*C86)</f>
        <v>10.5755731976938</v>
      </c>
      <c r="D30" s="32" t="n">
        <f aca="false">C30*EXP(($B$4-0.5*$B$5^2)*$B$8+$B$5*SQRT($B$8)*D86)</f>
        <v>12.8516673504936</v>
      </c>
      <c r="E30" s="32" t="n">
        <f aca="false">D30*EXP(($B$4-0.5*$B$5^2)*$B$8+$B$5*SQRT($B$8)*E86)</f>
        <v>13.3061964806649</v>
      </c>
      <c r="F30" s="32" t="n">
        <f aca="false">E30*EXP(($B$4-0.5*$B$5^2)*$B$8+$B$5*SQRT($B$8)*F86)</f>
        <v>13.3097693153197</v>
      </c>
      <c r="G30" s="32" t="n">
        <f aca="false">F30*EXP(($B$4-0.5*$B$5^2)*$B$8+$B$5*SQRT($B$8)*G86)</f>
        <v>14.9417810780808</v>
      </c>
      <c r="H30" s="32" t="n">
        <f aca="false">G30*EXP(($B$4-0.5*$B$5^2)*$B$8+$B$5*SQRT($B$8)*H86)</f>
        <v>19.5511732414245</v>
      </c>
      <c r="I30" s="32" t="n">
        <f aca="false">H30*EXP(($B$4-0.5*$B$5^2)*$B$8+$B$5*SQRT($B$8)*I86)</f>
        <v>22.5352687171097</v>
      </c>
      <c r="J30" s="32" t="n">
        <f aca="false">I30*EXP(($B$4-0.5*$B$5^2)*$B$8+$B$5*SQRT($B$8)*J86)</f>
        <v>22.8783630697337</v>
      </c>
      <c r="K30" s="32" t="n">
        <f aca="false">J30*EXP(($B$4-0.5*$B$5^2)*$B$8+$B$5*SQRT($B$8)*K86)</f>
        <v>23.7816994945986</v>
      </c>
      <c r="L30" s="32" t="n">
        <f aca="false">K30*EXP(($B$4-0.5*$B$5^2)*$B$8+$B$5*SQRT($B$8)*L86)</f>
        <v>25.4425901569249</v>
      </c>
      <c r="M30" s="32" t="n">
        <f aca="false">L30*EXP(($B$4-0.5*$B$5^2)*$B$8+$B$5*SQRT($B$8)*M86)</f>
        <v>23.7844094842115</v>
      </c>
      <c r="N30" s="32" t="n">
        <f aca="false">M30*EXP(($B$4-0.5*$B$5^2)*$B$8+$B$5*SQRT($B$8)*N86)</f>
        <v>21.1726254348508</v>
      </c>
      <c r="O30" s="32" t="n">
        <f aca="false">N30*EXP(($B$4-0.5*$B$5^2)*$B$8+$B$5*SQRT($B$8)*O86)</f>
        <v>21.2908892071312</v>
      </c>
      <c r="P30" s="32" t="n">
        <f aca="false">O30*EXP(($B$4-0.5*$B$5^2)*$B$8+$B$5*SQRT($B$8)*P86)</f>
        <v>19.1861776564201</v>
      </c>
      <c r="Q30" s="32" t="n">
        <f aca="false">P30*EXP(($B$4-0.5*$B$5^2)*$B$8+$B$5*SQRT($B$8)*Q86)</f>
        <v>19.0537619033158</v>
      </c>
      <c r="R30" s="32" t="n">
        <f aca="false">Q30*EXP(($B$4-0.5*$B$5^2)*$B$8+$B$5*SQRT($B$8)*R86)</f>
        <v>19.2522048137865</v>
      </c>
      <c r="S30" s="32" t="n">
        <f aca="false">R30*EXP(($B$4-0.5*$B$5^2)*$B$8+$B$5*SQRT($B$8)*S86)</f>
        <v>24.8845213323474</v>
      </c>
      <c r="T30" s="32" t="n">
        <f aca="false">S30*EXP(($B$4-0.5*$B$5^2)*$B$8+$B$5*SQRT($B$8)*T86)</f>
        <v>22.6623599066726</v>
      </c>
      <c r="U30" s="32" t="n">
        <f aca="false">T30*EXP(($B$4-0.5*$B$5^2)*$B$8+$B$5*SQRT($B$8)*U86)</f>
        <v>22.3575089421308</v>
      </c>
      <c r="V30" s="32" t="n">
        <f aca="false">U30*EXP(($B$4-0.5*$B$5^2)*$B$8+$B$5*SQRT($B$8)*V86)</f>
        <v>21.9541336183789</v>
      </c>
      <c r="W30" s="32" t="n">
        <f aca="false">V30*EXP(($B$4-0.5*$B$5^2)*$B$8+$B$5*SQRT($B$8)*W86)</f>
        <v>23.0287529974994</v>
      </c>
      <c r="X30" s="32" t="n">
        <f aca="false">W30*EXP(($B$4-0.5*$B$5^2)*$B$8+$B$5*SQRT($B$8)*X86)</f>
        <v>25.8260140728622</v>
      </c>
      <c r="Y30" s="32" t="n">
        <f aca="false">X30*EXP(($B$4-0.5*$B$5^2)*$B$8+$B$5*SQRT($B$8)*Y86)</f>
        <v>24.4686963226701</v>
      </c>
      <c r="Z30" s="32" t="n">
        <f aca="false">Y30*EXP(($B$4-0.5*$B$5^2)*$B$8+$B$5*SQRT($B$8)*Z86)</f>
        <v>22.3563809440989</v>
      </c>
      <c r="AA30" s="32" t="n">
        <f aca="false">Z30*EXP(($B$4-0.5*$B$5^2)*$B$8+$B$5*SQRT($B$8)*AA86)</f>
        <v>18.6705637357773</v>
      </c>
      <c r="AB30" s="32" t="n">
        <f aca="false">AA30*EXP(($B$4-0.5*$B$5^2)*$B$8+$B$5*SQRT($B$8)*AB86)</f>
        <v>16.8636999447096</v>
      </c>
      <c r="AC30" s="32" t="n">
        <f aca="false">AB30*EXP(($B$4-0.5*$B$5^2)*$B$8+$B$5*SQRT($B$8)*AC86)</f>
        <v>17.8825567709736</v>
      </c>
      <c r="AD30" s="32" t="n">
        <f aca="false">AC30*EXP(($B$4-0.5*$B$5^2)*$B$8+$B$5*SQRT($B$8)*AD86)</f>
        <v>17.9690304474582</v>
      </c>
      <c r="AE30" s="32" t="n">
        <f aca="false">AD30*EXP(($B$4-0.5*$B$5^2)*$B$8+$B$5*SQRT($B$8)*AE86)</f>
        <v>16.0719707069253</v>
      </c>
      <c r="AF30" s="32" t="n">
        <f aca="false">AE30*EXP(($B$4-0.5*$B$5^2)*$B$8+$B$5*SQRT($B$8)*AF86)</f>
        <v>15.4251942825073</v>
      </c>
      <c r="AG30" s="32" t="n">
        <f aca="false">AF30*EXP(($B$4-0.5*$B$5^2)*$B$8+$B$5*SQRT($B$8)*AG86)</f>
        <v>15.4757039263355</v>
      </c>
      <c r="AH30" s="32" t="n">
        <f aca="false">AG30*EXP(($B$4-0.5*$B$5^2)*$B$8+$B$5*SQRT($B$8)*AH86)</f>
        <v>16.3518299373681</v>
      </c>
      <c r="AI30" s="32" t="n">
        <f aca="false">AH30*EXP(($B$4-0.5*$B$5^2)*$B$8+$B$5*SQRT($B$8)*AI86)</f>
        <v>15.3185293848061</v>
      </c>
      <c r="AJ30" s="32" t="n">
        <f aca="false">AI30*EXP(($B$4-0.5*$B$5^2)*$B$8+$B$5*SQRT($B$8)*AJ86)</f>
        <v>14.9006885399513</v>
      </c>
      <c r="AK30" s="32" t="n">
        <f aca="false">AJ30*EXP(($B$4-0.5*$B$5^2)*$B$8+$B$5*SQRT($B$8)*AK86)</f>
        <v>12.2038084438507</v>
      </c>
      <c r="AL30" s="32" t="n">
        <f aca="false">AK30*EXP(($B$4-0.5*$B$5^2)*$B$8+$B$5*SQRT($B$8)*AL86)</f>
        <v>10.7538269403783</v>
      </c>
      <c r="AM30" s="32" t="n">
        <f aca="false">AL30*EXP(($B$4-0.5*$B$5^2)*$B$8+$B$5*SQRT($B$8)*AM86)</f>
        <v>12.8396261369802</v>
      </c>
      <c r="AN30" s="32" t="n">
        <f aca="false">AM30*EXP(($B$4-0.5*$B$5^2)*$B$8+$B$5*SQRT($B$8)*AN86)</f>
        <v>10.0978382090524</v>
      </c>
      <c r="AO30" s="32" t="n">
        <f aca="false">AN30*EXP(($B$4-0.5*$B$5^2)*$B$8+$B$5*SQRT($B$8)*AO86)</f>
        <v>9.72871920478908</v>
      </c>
      <c r="AP30" s="32" t="n">
        <f aca="false">AO30*EXP(($B$4-0.5*$B$5^2)*$B$8+$B$5*SQRT($B$8)*AP86)</f>
        <v>9.96365737329973</v>
      </c>
      <c r="AQ30" s="32" t="n">
        <f aca="false">AP30*EXP(($B$4-0.5*$B$5^2)*$B$8+$B$5*SQRT($B$8)*AQ86)</f>
        <v>9.56103567956048</v>
      </c>
      <c r="AR30" s="32" t="n">
        <f aca="false">AQ30*EXP(($B$4-0.5*$B$5^2)*$B$8+$B$5*SQRT($B$8)*AR86)</f>
        <v>8.74831079251346</v>
      </c>
      <c r="AS30" s="32" t="n">
        <f aca="false">AR30*EXP(($B$4-0.5*$B$5^2)*$B$8+$B$5*SQRT($B$8)*AS86)</f>
        <v>8.68829912057824</v>
      </c>
      <c r="AT30" s="32" t="n">
        <f aca="false">AS30*EXP(($B$4-0.5*$B$5^2)*$B$8+$B$5*SQRT($B$8)*AT86)</f>
        <v>8.68197616041093</v>
      </c>
      <c r="AU30" s="32" t="n">
        <f aca="false">AT30*EXP(($B$4-0.5*$B$5^2)*$B$8+$B$5*SQRT($B$8)*AU86)</f>
        <v>8.60254286530584</v>
      </c>
      <c r="AV30" s="32" t="n">
        <f aca="false">AU30*EXP(($B$4-0.5*$B$5^2)*$B$8+$B$5*SQRT($B$8)*AV86)</f>
        <v>6.99990070880051</v>
      </c>
      <c r="AW30" s="32" t="n">
        <f aca="false">AV30*EXP(($B$4-0.5*$B$5^2)*$B$8+$B$5*SQRT($B$8)*AW86)</f>
        <v>6.88636218995254</v>
      </c>
      <c r="AX30" s="32" t="n">
        <f aca="false">AW30*EXP(($B$4-0.5*$B$5^2)*$B$8+$B$5*SQRT($B$8)*AX86)</f>
        <v>6.26862301223081</v>
      </c>
      <c r="AY30" s="32" t="n">
        <f aca="false">AX30*EXP(($B$4-0.5*$B$5^2)*$B$8+$B$5*SQRT($B$8)*AY86)</f>
        <v>5.9019844718088</v>
      </c>
      <c r="AZ30" s="32" t="n">
        <f aca="false">AY30*EXP(($B$4-0.5*$B$5^2)*$B$8+$B$5*SQRT($B$8)*AZ86)</f>
        <v>6.04966961169712</v>
      </c>
      <c r="BA30" s="32" t="n">
        <f aca="false">AZ30*EXP(($B$4-0.5*$B$5^2)*$B$8+$B$5*SQRT($B$8)*BA86)</f>
        <v>6.48898459571764</v>
      </c>
      <c r="BB30" s="32" t="n">
        <f aca="false">BA30*EXP(($B$4-0.5*$B$5^2)*$B$8+$B$5*SQRT($B$8)*BB86)</f>
        <v>7.15846884119273</v>
      </c>
      <c r="BC30" s="32" t="n">
        <f aca="false">BB30*EXP(($B$4-0.5*$B$5^2)*$B$8+$B$5*SQRT($B$8)*BC86)</f>
        <v>6.77783666772711</v>
      </c>
      <c r="BD30" s="32" t="n">
        <f aca="false">BC30*EXP(($B$4-0.5*$B$5^2)*$B$8+$B$5*SQRT($B$8)*BD86)</f>
        <v>7.49948656352787</v>
      </c>
      <c r="BE30" s="32" t="n">
        <f aca="false">BD30*EXP(($B$4-0.5*$B$5^2)*$B$8+$B$5*SQRT($B$8)*BE86)</f>
        <v>8.52842830021666</v>
      </c>
      <c r="BF30" s="32" t="n">
        <f aca="false">BE30*EXP(($B$4-0.5*$B$5^2)*$B$8+$B$5*SQRT($B$8)*BF86)</f>
        <v>9.65916316774781</v>
      </c>
      <c r="BG30" s="32" t="n">
        <f aca="false">BF30*EXP(($B$4-0.5*$B$5^2)*$B$8+$B$5*SQRT($B$8)*BG86)</f>
        <v>11.2478436229968</v>
      </c>
      <c r="BH30" s="32" t="n">
        <f aca="false">BG30*EXP(($B$4-0.5*$B$5^2)*$B$8+$B$5*SQRT($B$8)*BH86)</f>
        <v>11.0674927497154</v>
      </c>
      <c r="BI30" s="32" t="n">
        <f aca="false">BH30*EXP(($B$4-0.5*$B$5^2)*$B$8+$B$5*SQRT($B$8)*BI86)</f>
        <v>10.8561010061397</v>
      </c>
      <c r="BJ30" s="32" t="n">
        <f aca="false">BI30*EXP(($B$4-0.5*$B$5^2)*$B$8+$B$5*SQRT($B$8)*BJ86)</f>
        <v>11.8822907373088</v>
      </c>
    </row>
    <row r="31" customFormat="false" ht="15" hidden="false" customHeight="true" outlineLevel="0" collapsed="false">
      <c r="A31" s="6" t="s">
        <v>135</v>
      </c>
      <c r="B31" s="32" t="n">
        <f aca="false">$B$3</f>
        <v>11.5</v>
      </c>
      <c r="C31" s="32" t="n">
        <f aca="false">B31*EXP(($B$4-0.5*$B$5^2)*$B$8+$B$5*SQRT($B$8)*C87)</f>
        <v>9.89728718239281</v>
      </c>
      <c r="D31" s="32" t="n">
        <f aca="false">C31*EXP(($B$4-0.5*$B$5^2)*$B$8+$B$5*SQRT($B$8)*D87)</f>
        <v>10.1254393887518</v>
      </c>
      <c r="E31" s="32" t="n">
        <f aca="false">D31*EXP(($B$4-0.5*$B$5^2)*$B$8+$B$5*SQRT($B$8)*E87)</f>
        <v>9.55120365302918</v>
      </c>
      <c r="F31" s="32" t="n">
        <f aca="false">E31*EXP(($B$4-0.5*$B$5^2)*$B$8+$B$5*SQRT($B$8)*F87)</f>
        <v>9.17084071603446</v>
      </c>
      <c r="G31" s="32" t="n">
        <f aca="false">F31*EXP(($B$4-0.5*$B$5^2)*$B$8+$B$5*SQRT($B$8)*G87)</f>
        <v>7.57465269246673</v>
      </c>
      <c r="H31" s="32" t="n">
        <f aca="false">G31*EXP(($B$4-0.5*$B$5^2)*$B$8+$B$5*SQRT($B$8)*H87)</f>
        <v>6.86842298434801</v>
      </c>
      <c r="I31" s="32" t="n">
        <f aca="false">H31*EXP(($B$4-0.5*$B$5^2)*$B$8+$B$5*SQRT($B$8)*I87)</f>
        <v>6.85174306623451</v>
      </c>
      <c r="J31" s="32" t="n">
        <f aca="false">I31*EXP(($B$4-0.5*$B$5^2)*$B$8+$B$5*SQRT($B$8)*J87)</f>
        <v>7.55175508509273</v>
      </c>
      <c r="K31" s="32" t="n">
        <f aca="false">J31*EXP(($B$4-0.5*$B$5^2)*$B$8+$B$5*SQRT($B$8)*K87)</f>
        <v>8.41654294141408</v>
      </c>
      <c r="L31" s="32" t="n">
        <f aca="false">K31*EXP(($B$4-0.5*$B$5^2)*$B$8+$B$5*SQRT($B$8)*L87)</f>
        <v>8.34117668968833</v>
      </c>
      <c r="M31" s="32" t="n">
        <f aca="false">L31*EXP(($B$4-0.5*$B$5^2)*$B$8+$B$5*SQRT($B$8)*M87)</f>
        <v>8.16826629872898</v>
      </c>
      <c r="N31" s="32" t="n">
        <f aca="false">M31*EXP(($B$4-0.5*$B$5^2)*$B$8+$B$5*SQRT($B$8)*N87)</f>
        <v>7.45549025349842</v>
      </c>
      <c r="O31" s="32" t="n">
        <f aca="false">N31*EXP(($B$4-0.5*$B$5^2)*$B$8+$B$5*SQRT($B$8)*O87)</f>
        <v>7.79049572923904</v>
      </c>
      <c r="P31" s="32" t="n">
        <f aca="false">O31*EXP(($B$4-0.5*$B$5^2)*$B$8+$B$5*SQRT($B$8)*P87)</f>
        <v>7.58037528516813</v>
      </c>
      <c r="Q31" s="32" t="n">
        <f aca="false">P31*EXP(($B$4-0.5*$B$5^2)*$B$8+$B$5*SQRT($B$8)*Q87)</f>
        <v>8.09982793896232</v>
      </c>
      <c r="R31" s="32" t="n">
        <f aca="false">Q31*EXP(($B$4-0.5*$B$5^2)*$B$8+$B$5*SQRT($B$8)*R87)</f>
        <v>9.81403483435373</v>
      </c>
      <c r="S31" s="32" t="n">
        <f aca="false">R31*EXP(($B$4-0.5*$B$5^2)*$B$8+$B$5*SQRT($B$8)*S87)</f>
        <v>9.77745018357537</v>
      </c>
      <c r="T31" s="32" t="n">
        <f aca="false">S31*EXP(($B$4-0.5*$B$5^2)*$B$8+$B$5*SQRT($B$8)*T87)</f>
        <v>8.29489924947953</v>
      </c>
      <c r="U31" s="32" t="n">
        <f aca="false">T31*EXP(($B$4-0.5*$B$5^2)*$B$8+$B$5*SQRT($B$8)*U87)</f>
        <v>7.54605658092488</v>
      </c>
      <c r="V31" s="32" t="n">
        <f aca="false">U31*EXP(($B$4-0.5*$B$5^2)*$B$8+$B$5*SQRT($B$8)*V87)</f>
        <v>6.42944384634268</v>
      </c>
      <c r="W31" s="32" t="n">
        <f aca="false">V31*EXP(($B$4-0.5*$B$5^2)*$B$8+$B$5*SQRT($B$8)*W87)</f>
        <v>5.63719106503115</v>
      </c>
      <c r="X31" s="32" t="n">
        <f aca="false">W31*EXP(($B$4-0.5*$B$5^2)*$B$8+$B$5*SQRT($B$8)*X87)</f>
        <v>6.50379769253312</v>
      </c>
      <c r="Y31" s="32" t="n">
        <f aca="false">X31*EXP(($B$4-0.5*$B$5^2)*$B$8+$B$5*SQRT($B$8)*Y87)</f>
        <v>6.66631148913542</v>
      </c>
      <c r="Z31" s="32" t="n">
        <f aca="false">Y31*EXP(($B$4-0.5*$B$5^2)*$B$8+$B$5*SQRT($B$8)*Z87)</f>
        <v>5.64136174896825</v>
      </c>
      <c r="AA31" s="32" t="n">
        <f aca="false">Z31*EXP(($B$4-0.5*$B$5^2)*$B$8+$B$5*SQRT($B$8)*AA87)</f>
        <v>6.05959727872893</v>
      </c>
      <c r="AB31" s="32" t="n">
        <f aca="false">AA31*EXP(($B$4-0.5*$B$5^2)*$B$8+$B$5*SQRT($B$8)*AB87)</f>
        <v>6.95679434563482</v>
      </c>
      <c r="AC31" s="32" t="n">
        <f aca="false">AB31*EXP(($B$4-0.5*$B$5^2)*$B$8+$B$5*SQRT($B$8)*AC87)</f>
        <v>6.68628527493816</v>
      </c>
      <c r="AD31" s="32" t="n">
        <f aca="false">AC31*EXP(($B$4-0.5*$B$5^2)*$B$8+$B$5*SQRT($B$8)*AD87)</f>
        <v>6.20727044592541</v>
      </c>
      <c r="AE31" s="32" t="n">
        <f aca="false">AD31*EXP(($B$4-0.5*$B$5^2)*$B$8+$B$5*SQRT($B$8)*AE87)</f>
        <v>5.98064698016386</v>
      </c>
      <c r="AF31" s="32" t="n">
        <f aca="false">AE31*EXP(($B$4-0.5*$B$5^2)*$B$8+$B$5*SQRT($B$8)*AF87)</f>
        <v>6.1691790382115</v>
      </c>
      <c r="AG31" s="32" t="n">
        <f aca="false">AF31*EXP(($B$4-0.5*$B$5^2)*$B$8+$B$5*SQRT($B$8)*AG87)</f>
        <v>6.61662192868656</v>
      </c>
      <c r="AH31" s="32" t="n">
        <f aca="false">AG31*EXP(($B$4-0.5*$B$5^2)*$B$8+$B$5*SQRT($B$8)*AH87)</f>
        <v>7.5314435770781</v>
      </c>
      <c r="AI31" s="32" t="n">
        <f aca="false">AH31*EXP(($B$4-0.5*$B$5^2)*$B$8+$B$5*SQRT($B$8)*AI87)</f>
        <v>8.60125461200538</v>
      </c>
      <c r="AJ31" s="32" t="n">
        <f aca="false">AI31*EXP(($B$4-0.5*$B$5^2)*$B$8+$B$5*SQRT($B$8)*AJ87)</f>
        <v>9.79389721239616</v>
      </c>
      <c r="AK31" s="32" t="n">
        <f aca="false">AJ31*EXP(($B$4-0.5*$B$5^2)*$B$8+$B$5*SQRT($B$8)*AK87)</f>
        <v>11.3699533964089</v>
      </c>
      <c r="AL31" s="32" t="n">
        <f aca="false">AK31*EXP(($B$4-0.5*$B$5^2)*$B$8+$B$5*SQRT($B$8)*AL87)</f>
        <v>12.2232861720897</v>
      </c>
      <c r="AM31" s="32" t="n">
        <f aca="false">AL31*EXP(($B$4-0.5*$B$5^2)*$B$8+$B$5*SQRT($B$8)*AM87)</f>
        <v>10.3317773676609</v>
      </c>
      <c r="AN31" s="32" t="n">
        <f aca="false">AM31*EXP(($B$4-0.5*$B$5^2)*$B$8+$B$5*SQRT($B$8)*AN87)</f>
        <v>10.1825418397859</v>
      </c>
      <c r="AO31" s="32" t="n">
        <f aca="false">AN31*EXP(($B$4-0.5*$B$5^2)*$B$8+$B$5*SQRT($B$8)*AO87)</f>
        <v>10.5373631232845</v>
      </c>
      <c r="AP31" s="32" t="n">
        <f aca="false">AO31*EXP(($B$4-0.5*$B$5^2)*$B$8+$B$5*SQRT($B$8)*AP87)</f>
        <v>10.1018277265368</v>
      </c>
      <c r="AQ31" s="32" t="n">
        <f aca="false">AP31*EXP(($B$4-0.5*$B$5^2)*$B$8+$B$5*SQRT($B$8)*AQ87)</f>
        <v>11.1617774071195</v>
      </c>
      <c r="AR31" s="32" t="n">
        <f aca="false">AQ31*EXP(($B$4-0.5*$B$5^2)*$B$8+$B$5*SQRT($B$8)*AR87)</f>
        <v>10.7273617073508</v>
      </c>
      <c r="AS31" s="32" t="n">
        <f aca="false">AR31*EXP(($B$4-0.5*$B$5^2)*$B$8+$B$5*SQRT($B$8)*AS87)</f>
        <v>9.68969603653375</v>
      </c>
      <c r="AT31" s="32" t="n">
        <f aca="false">AS31*EXP(($B$4-0.5*$B$5^2)*$B$8+$B$5*SQRT($B$8)*AT87)</f>
        <v>11.3510964451743</v>
      </c>
      <c r="AU31" s="32" t="n">
        <f aca="false">AT31*EXP(($B$4-0.5*$B$5^2)*$B$8+$B$5*SQRT($B$8)*AU87)</f>
        <v>12.2091953476967</v>
      </c>
      <c r="AV31" s="32" t="n">
        <f aca="false">AU31*EXP(($B$4-0.5*$B$5^2)*$B$8+$B$5*SQRT($B$8)*AV87)</f>
        <v>12.5041105653769</v>
      </c>
      <c r="AW31" s="32" t="n">
        <f aca="false">AV31*EXP(($B$4-0.5*$B$5^2)*$B$8+$B$5*SQRT($B$8)*AW87)</f>
        <v>13.8395563410909</v>
      </c>
      <c r="AX31" s="32" t="n">
        <f aca="false">AW31*EXP(($B$4-0.5*$B$5^2)*$B$8+$B$5*SQRT($B$8)*AX87)</f>
        <v>15.547562930135</v>
      </c>
      <c r="AY31" s="32" t="n">
        <f aca="false">AX31*EXP(($B$4-0.5*$B$5^2)*$B$8+$B$5*SQRT($B$8)*AY87)</f>
        <v>16.1372622054806</v>
      </c>
      <c r="AZ31" s="32" t="n">
        <f aca="false">AY31*EXP(($B$4-0.5*$B$5^2)*$B$8+$B$5*SQRT($B$8)*AZ87)</f>
        <v>12.3215616289536</v>
      </c>
      <c r="BA31" s="32" t="n">
        <f aca="false">AZ31*EXP(($B$4-0.5*$B$5^2)*$B$8+$B$5*SQRT($B$8)*BA87)</f>
        <v>11.4393313933587</v>
      </c>
      <c r="BB31" s="32" t="n">
        <f aca="false">BA31*EXP(($B$4-0.5*$B$5^2)*$B$8+$B$5*SQRT($B$8)*BB87)</f>
        <v>10.8785074643699</v>
      </c>
      <c r="BC31" s="32" t="n">
        <f aca="false">BB31*EXP(($B$4-0.5*$B$5^2)*$B$8+$B$5*SQRT($B$8)*BC87)</f>
        <v>9.76341535642028</v>
      </c>
      <c r="BD31" s="32" t="n">
        <f aca="false">BC31*EXP(($B$4-0.5*$B$5^2)*$B$8+$B$5*SQRT($B$8)*BD87)</f>
        <v>9.97670793058039</v>
      </c>
      <c r="BE31" s="32" t="n">
        <f aca="false">BD31*EXP(($B$4-0.5*$B$5^2)*$B$8+$B$5*SQRT($B$8)*BE87)</f>
        <v>11.36854462374</v>
      </c>
      <c r="BF31" s="32" t="n">
        <f aca="false">BE31*EXP(($B$4-0.5*$B$5^2)*$B$8+$B$5*SQRT($B$8)*BF87)</f>
        <v>10.7776494508863</v>
      </c>
      <c r="BG31" s="32" t="n">
        <f aca="false">BF31*EXP(($B$4-0.5*$B$5^2)*$B$8+$B$5*SQRT($B$8)*BG87)</f>
        <v>9.51437612576027</v>
      </c>
      <c r="BH31" s="32" t="n">
        <f aca="false">BG31*EXP(($B$4-0.5*$B$5^2)*$B$8+$B$5*SQRT($B$8)*BH87)</f>
        <v>11.8827648956636</v>
      </c>
      <c r="BI31" s="32" t="n">
        <f aca="false">BH31*EXP(($B$4-0.5*$B$5^2)*$B$8+$B$5*SQRT($B$8)*BI87)</f>
        <v>11.3065764188599</v>
      </c>
      <c r="BJ31" s="32" t="n">
        <f aca="false">BI31*EXP(($B$4-0.5*$B$5^2)*$B$8+$B$5*SQRT($B$8)*BJ87)</f>
        <v>9.87443611761173</v>
      </c>
    </row>
    <row r="32" customFormat="false" ht="15" hidden="false" customHeight="true" outlineLevel="0" collapsed="false">
      <c r="A32" s="6" t="s">
        <v>136</v>
      </c>
      <c r="B32" s="32" t="n">
        <f aca="false">$B$3</f>
        <v>11.5</v>
      </c>
      <c r="C32" s="32" t="n">
        <f aca="false">B32*EXP(($B$4-0.5*$B$5^2)*$B$8+$B$5*SQRT($B$8)*C88)</f>
        <v>11.8016113425806</v>
      </c>
      <c r="D32" s="32" t="n">
        <f aca="false">C32*EXP(($B$4-0.5*$B$5^2)*$B$8+$B$5*SQRT($B$8)*D88)</f>
        <v>12.3635008764458</v>
      </c>
      <c r="E32" s="32" t="n">
        <f aca="false">D32*EXP(($B$4-0.5*$B$5^2)*$B$8+$B$5*SQRT($B$8)*E88)</f>
        <v>11.4412329763653</v>
      </c>
      <c r="F32" s="32" t="n">
        <f aca="false">E32*EXP(($B$4-0.5*$B$5^2)*$B$8+$B$5*SQRT($B$8)*F88)</f>
        <v>12.4752970807027</v>
      </c>
      <c r="G32" s="32" t="n">
        <f aca="false">F32*EXP(($B$4-0.5*$B$5^2)*$B$8+$B$5*SQRT($B$8)*G88)</f>
        <v>11.8237457419535</v>
      </c>
      <c r="H32" s="32" t="n">
        <f aca="false">G32*EXP(($B$4-0.5*$B$5^2)*$B$8+$B$5*SQRT($B$8)*H88)</f>
        <v>10.6833023526871</v>
      </c>
      <c r="I32" s="32" t="n">
        <f aca="false">H32*EXP(($B$4-0.5*$B$5^2)*$B$8+$B$5*SQRT($B$8)*I88)</f>
        <v>10.8926632230528</v>
      </c>
      <c r="J32" s="32" t="n">
        <f aca="false">I32*EXP(($B$4-0.5*$B$5^2)*$B$8+$B$5*SQRT($B$8)*J88)</f>
        <v>11.8515282912089</v>
      </c>
      <c r="K32" s="32" t="n">
        <f aca="false">J32*EXP(($B$4-0.5*$B$5^2)*$B$8+$B$5*SQRT($B$8)*K88)</f>
        <v>11.0534453211053</v>
      </c>
      <c r="L32" s="32" t="n">
        <f aca="false">K32*EXP(($B$4-0.5*$B$5^2)*$B$8+$B$5*SQRT($B$8)*L88)</f>
        <v>11.4595944575665</v>
      </c>
      <c r="M32" s="32" t="n">
        <f aca="false">L32*EXP(($B$4-0.5*$B$5^2)*$B$8+$B$5*SQRT($B$8)*M88)</f>
        <v>11.3405894795981</v>
      </c>
      <c r="N32" s="32" t="n">
        <f aca="false">M32*EXP(($B$4-0.5*$B$5^2)*$B$8+$B$5*SQRT($B$8)*N88)</f>
        <v>15.4565919574306</v>
      </c>
      <c r="O32" s="32" t="n">
        <f aca="false">N32*EXP(($B$4-0.5*$B$5^2)*$B$8+$B$5*SQRT($B$8)*O88)</f>
        <v>14.2980861067793</v>
      </c>
      <c r="P32" s="32" t="n">
        <f aca="false">O32*EXP(($B$4-0.5*$B$5^2)*$B$8+$B$5*SQRT($B$8)*P88)</f>
        <v>16.6395302872013</v>
      </c>
      <c r="Q32" s="32" t="n">
        <f aca="false">P32*EXP(($B$4-0.5*$B$5^2)*$B$8+$B$5*SQRT($B$8)*Q88)</f>
        <v>16.5412236219632</v>
      </c>
      <c r="R32" s="32" t="n">
        <f aca="false">Q32*EXP(($B$4-0.5*$B$5^2)*$B$8+$B$5*SQRT($B$8)*R88)</f>
        <v>16.3098134446152</v>
      </c>
      <c r="S32" s="32" t="n">
        <f aca="false">R32*EXP(($B$4-0.5*$B$5^2)*$B$8+$B$5*SQRT($B$8)*S88)</f>
        <v>17.6502124291672</v>
      </c>
      <c r="T32" s="32" t="n">
        <f aca="false">S32*EXP(($B$4-0.5*$B$5^2)*$B$8+$B$5*SQRT($B$8)*T88)</f>
        <v>19.4652761414915</v>
      </c>
      <c r="U32" s="32" t="n">
        <f aca="false">T32*EXP(($B$4-0.5*$B$5^2)*$B$8+$B$5*SQRT($B$8)*U88)</f>
        <v>22.3636322737821</v>
      </c>
      <c r="V32" s="32" t="n">
        <f aca="false">U32*EXP(($B$4-0.5*$B$5^2)*$B$8+$B$5*SQRT($B$8)*V88)</f>
        <v>23.1803447096046</v>
      </c>
      <c r="W32" s="32" t="n">
        <f aca="false">V32*EXP(($B$4-0.5*$B$5^2)*$B$8+$B$5*SQRT($B$8)*W88)</f>
        <v>21.698865155193</v>
      </c>
      <c r="X32" s="32" t="n">
        <f aca="false">W32*EXP(($B$4-0.5*$B$5^2)*$B$8+$B$5*SQRT($B$8)*X88)</f>
        <v>20.4523687174196</v>
      </c>
      <c r="Y32" s="32" t="n">
        <f aca="false">X32*EXP(($B$4-0.5*$B$5^2)*$B$8+$B$5*SQRT($B$8)*Y88)</f>
        <v>21.6244056807867</v>
      </c>
      <c r="Z32" s="32" t="n">
        <f aca="false">Y32*EXP(($B$4-0.5*$B$5^2)*$B$8+$B$5*SQRT($B$8)*Z88)</f>
        <v>23.0429979911052</v>
      </c>
      <c r="AA32" s="32" t="n">
        <f aca="false">Z32*EXP(($B$4-0.5*$B$5^2)*$B$8+$B$5*SQRT($B$8)*AA88)</f>
        <v>26.8573622249601</v>
      </c>
      <c r="AB32" s="32" t="n">
        <f aca="false">AA32*EXP(($B$4-0.5*$B$5^2)*$B$8+$B$5*SQRT($B$8)*AB88)</f>
        <v>28.1137006803513</v>
      </c>
      <c r="AC32" s="32" t="n">
        <f aca="false">AB32*EXP(($B$4-0.5*$B$5^2)*$B$8+$B$5*SQRT($B$8)*AC88)</f>
        <v>31.5751524121298</v>
      </c>
      <c r="AD32" s="32" t="n">
        <f aca="false">AC32*EXP(($B$4-0.5*$B$5^2)*$B$8+$B$5*SQRT($B$8)*AD88)</f>
        <v>37.2842771357662</v>
      </c>
      <c r="AE32" s="32" t="n">
        <f aca="false">AD32*EXP(($B$4-0.5*$B$5^2)*$B$8+$B$5*SQRT($B$8)*AE88)</f>
        <v>37.9574741330187</v>
      </c>
      <c r="AF32" s="32" t="n">
        <f aca="false">AE32*EXP(($B$4-0.5*$B$5^2)*$B$8+$B$5*SQRT($B$8)*AF88)</f>
        <v>32.2436923273638</v>
      </c>
      <c r="AG32" s="32" t="n">
        <f aca="false">AF32*EXP(($B$4-0.5*$B$5^2)*$B$8+$B$5*SQRT($B$8)*AG88)</f>
        <v>28.3258970069532</v>
      </c>
      <c r="AH32" s="32" t="n">
        <f aca="false">AG32*EXP(($B$4-0.5*$B$5^2)*$B$8+$B$5*SQRT($B$8)*AH88)</f>
        <v>24.1883503217706</v>
      </c>
      <c r="AI32" s="32" t="n">
        <f aca="false">AH32*EXP(($B$4-0.5*$B$5^2)*$B$8+$B$5*SQRT($B$8)*AI88)</f>
        <v>28.797246297351</v>
      </c>
      <c r="AJ32" s="32" t="n">
        <f aca="false">AI32*EXP(($B$4-0.5*$B$5^2)*$B$8+$B$5*SQRT($B$8)*AJ88)</f>
        <v>26.2361605875358</v>
      </c>
      <c r="AK32" s="32" t="n">
        <f aca="false">AJ32*EXP(($B$4-0.5*$B$5^2)*$B$8+$B$5*SQRT($B$8)*AK88)</f>
        <v>30.0266125143756</v>
      </c>
      <c r="AL32" s="32" t="n">
        <f aca="false">AK32*EXP(($B$4-0.5*$B$5^2)*$B$8+$B$5*SQRT($B$8)*AL88)</f>
        <v>32.0133662054353</v>
      </c>
      <c r="AM32" s="32" t="n">
        <f aca="false">AL32*EXP(($B$4-0.5*$B$5^2)*$B$8+$B$5*SQRT($B$8)*AM88)</f>
        <v>38.6338673269699</v>
      </c>
      <c r="AN32" s="32" t="n">
        <f aca="false">AM32*EXP(($B$4-0.5*$B$5^2)*$B$8+$B$5*SQRT($B$8)*AN88)</f>
        <v>43.1197825126499</v>
      </c>
      <c r="AO32" s="32" t="n">
        <f aca="false">AN32*EXP(($B$4-0.5*$B$5^2)*$B$8+$B$5*SQRT($B$8)*AO88)</f>
        <v>42.6304541872493</v>
      </c>
      <c r="AP32" s="32" t="n">
        <f aca="false">AO32*EXP(($B$4-0.5*$B$5^2)*$B$8+$B$5*SQRT($B$8)*AP88)</f>
        <v>41.6975719722444</v>
      </c>
      <c r="AQ32" s="32" t="n">
        <f aca="false">AP32*EXP(($B$4-0.5*$B$5^2)*$B$8+$B$5*SQRT($B$8)*AQ88)</f>
        <v>42.0812457719523</v>
      </c>
      <c r="AR32" s="32" t="n">
        <f aca="false">AQ32*EXP(($B$4-0.5*$B$5^2)*$B$8+$B$5*SQRT($B$8)*AR88)</f>
        <v>42.8902428846032</v>
      </c>
      <c r="AS32" s="32" t="n">
        <f aca="false">AR32*EXP(($B$4-0.5*$B$5^2)*$B$8+$B$5*SQRT($B$8)*AS88)</f>
        <v>40.4570241203019</v>
      </c>
      <c r="AT32" s="32" t="n">
        <f aca="false">AS32*EXP(($B$4-0.5*$B$5^2)*$B$8+$B$5*SQRT($B$8)*AT88)</f>
        <v>40.3050887555875</v>
      </c>
      <c r="AU32" s="32" t="n">
        <f aca="false">AT32*EXP(($B$4-0.5*$B$5^2)*$B$8+$B$5*SQRT($B$8)*AU88)</f>
        <v>48.0783157757198</v>
      </c>
      <c r="AV32" s="32" t="n">
        <f aca="false">AU32*EXP(($B$4-0.5*$B$5^2)*$B$8+$B$5*SQRT($B$8)*AV88)</f>
        <v>39.8821647169219</v>
      </c>
      <c r="AW32" s="32" t="n">
        <f aca="false">AV32*EXP(($B$4-0.5*$B$5^2)*$B$8+$B$5*SQRT($B$8)*AW88)</f>
        <v>41.0216980919504</v>
      </c>
      <c r="AX32" s="32" t="n">
        <f aca="false">AW32*EXP(($B$4-0.5*$B$5^2)*$B$8+$B$5*SQRT($B$8)*AX88)</f>
        <v>37.1301096108969</v>
      </c>
      <c r="AY32" s="32" t="n">
        <f aca="false">AX32*EXP(($B$4-0.5*$B$5^2)*$B$8+$B$5*SQRT($B$8)*AY88)</f>
        <v>37.8928412815589</v>
      </c>
      <c r="AZ32" s="32" t="n">
        <f aca="false">AY32*EXP(($B$4-0.5*$B$5^2)*$B$8+$B$5*SQRT($B$8)*AZ88)</f>
        <v>41.5421327214623</v>
      </c>
      <c r="BA32" s="32" t="n">
        <f aca="false">AZ32*EXP(($B$4-0.5*$B$5^2)*$B$8+$B$5*SQRT($B$8)*BA88)</f>
        <v>41.2728618979611</v>
      </c>
      <c r="BB32" s="32" t="n">
        <f aca="false">BA32*EXP(($B$4-0.5*$B$5^2)*$B$8+$B$5*SQRT($B$8)*BB88)</f>
        <v>44.9169780218397</v>
      </c>
      <c r="BC32" s="32" t="n">
        <f aca="false">BB32*EXP(($B$4-0.5*$B$5^2)*$B$8+$B$5*SQRT($B$8)*BC88)</f>
        <v>37.7215904079711</v>
      </c>
      <c r="BD32" s="32" t="n">
        <f aca="false">BC32*EXP(($B$4-0.5*$B$5^2)*$B$8+$B$5*SQRT($B$8)*BD88)</f>
        <v>42.5841524087549</v>
      </c>
      <c r="BE32" s="32" t="n">
        <f aca="false">BD32*EXP(($B$4-0.5*$B$5^2)*$B$8+$B$5*SQRT($B$8)*BE88)</f>
        <v>39.850607258661</v>
      </c>
      <c r="BF32" s="32" t="n">
        <f aca="false">BE32*EXP(($B$4-0.5*$B$5^2)*$B$8+$B$5*SQRT($B$8)*BF88)</f>
        <v>42.6586611802761</v>
      </c>
      <c r="BG32" s="32" t="n">
        <f aca="false">BF32*EXP(($B$4-0.5*$B$5^2)*$B$8+$B$5*SQRT($B$8)*BG88)</f>
        <v>43.5130512842699</v>
      </c>
      <c r="BH32" s="32" t="n">
        <f aca="false">BG32*EXP(($B$4-0.5*$B$5^2)*$B$8+$B$5*SQRT($B$8)*BH88)</f>
        <v>32.7613784543713</v>
      </c>
      <c r="BI32" s="32" t="n">
        <f aca="false">BH32*EXP(($B$4-0.5*$B$5^2)*$B$8+$B$5*SQRT($B$8)*BI88)</f>
        <v>30.1483252859015</v>
      </c>
      <c r="BJ32" s="32" t="n">
        <f aca="false">BI32*EXP(($B$4-0.5*$B$5^2)*$B$8+$B$5*SQRT($B$8)*BJ88)</f>
        <v>30.8808129121546</v>
      </c>
    </row>
    <row r="33" customFormat="false" ht="15" hidden="false" customHeight="true" outlineLevel="0" collapsed="false">
      <c r="A33" s="6" t="s">
        <v>137</v>
      </c>
      <c r="B33" s="32" t="n">
        <f aca="false">$B$3</f>
        <v>11.5</v>
      </c>
      <c r="C33" s="32" t="n">
        <f aca="false">B33*EXP(($B$4-0.5*$B$5^2)*$B$8+$B$5*SQRT($B$8)*C89)</f>
        <v>13.6348568666553</v>
      </c>
      <c r="D33" s="32" t="n">
        <f aca="false">C33*EXP(($B$4-0.5*$B$5^2)*$B$8+$B$5*SQRT($B$8)*D89)</f>
        <v>14.0687851713344</v>
      </c>
      <c r="E33" s="32" t="n">
        <f aca="false">D33*EXP(($B$4-0.5*$B$5^2)*$B$8+$B$5*SQRT($B$8)*E89)</f>
        <v>14.4695080415311</v>
      </c>
      <c r="F33" s="32" t="n">
        <f aca="false">E33*EXP(($B$4-0.5*$B$5^2)*$B$8+$B$5*SQRT($B$8)*F89)</f>
        <v>12.3900488177842</v>
      </c>
      <c r="G33" s="32" t="n">
        <f aca="false">F33*EXP(($B$4-0.5*$B$5^2)*$B$8+$B$5*SQRT($B$8)*G89)</f>
        <v>14.4935273366422</v>
      </c>
      <c r="H33" s="32" t="n">
        <f aca="false">G33*EXP(($B$4-0.5*$B$5^2)*$B$8+$B$5*SQRT($B$8)*H89)</f>
        <v>17.6678912740782</v>
      </c>
      <c r="I33" s="32" t="n">
        <f aca="false">H33*EXP(($B$4-0.5*$B$5^2)*$B$8+$B$5*SQRT($B$8)*I89)</f>
        <v>17.72011066266</v>
      </c>
      <c r="J33" s="32" t="n">
        <f aca="false">I33*EXP(($B$4-0.5*$B$5^2)*$B$8+$B$5*SQRT($B$8)*J89)</f>
        <v>17.2948758954391</v>
      </c>
      <c r="K33" s="32" t="n">
        <f aca="false">J33*EXP(($B$4-0.5*$B$5^2)*$B$8+$B$5*SQRT($B$8)*K89)</f>
        <v>14.477891523309</v>
      </c>
      <c r="L33" s="32" t="n">
        <f aca="false">K33*EXP(($B$4-0.5*$B$5^2)*$B$8+$B$5*SQRT($B$8)*L89)</f>
        <v>15.9480522169244</v>
      </c>
      <c r="M33" s="32" t="n">
        <f aca="false">L33*EXP(($B$4-0.5*$B$5^2)*$B$8+$B$5*SQRT($B$8)*M89)</f>
        <v>21.4469853557401</v>
      </c>
      <c r="N33" s="32" t="n">
        <f aca="false">M33*EXP(($B$4-0.5*$B$5^2)*$B$8+$B$5*SQRT($B$8)*N89)</f>
        <v>23.1979889191021</v>
      </c>
      <c r="O33" s="32" t="n">
        <f aca="false">N33*EXP(($B$4-0.5*$B$5^2)*$B$8+$B$5*SQRT($B$8)*O89)</f>
        <v>26.6424597581243</v>
      </c>
      <c r="P33" s="32" t="n">
        <f aca="false">O33*EXP(($B$4-0.5*$B$5^2)*$B$8+$B$5*SQRT($B$8)*P89)</f>
        <v>28.2696261649022</v>
      </c>
      <c r="Q33" s="32" t="n">
        <f aca="false">P33*EXP(($B$4-0.5*$B$5^2)*$B$8+$B$5*SQRT($B$8)*Q89)</f>
        <v>25.3696041132206</v>
      </c>
      <c r="R33" s="32" t="n">
        <f aca="false">Q33*EXP(($B$4-0.5*$B$5^2)*$B$8+$B$5*SQRT($B$8)*R89)</f>
        <v>29.3706775166053</v>
      </c>
      <c r="S33" s="32" t="n">
        <f aca="false">R33*EXP(($B$4-0.5*$B$5^2)*$B$8+$B$5*SQRT($B$8)*S89)</f>
        <v>25.6459296606203</v>
      </c>
      <c r="T33" s="32" t="n">
        <f aca="false">S33*EXP(($B$4-0.5*$B$5^2)*$B$8+$B$5*SQRT($B$8)*T89)</f>
        <v>25.0554739445037</v>
      </c>
      <c r="U33" s="32" t="n">
        <f aca="false">T33*EXP(($B$4-0.5*$B$5^2)*$B$8+$B$5*SQRT($B$8)*U89)</f>
        <v>25.8290044964782</v>
      </c>
      <c r="V33" s="32" t="n">
        <f aca="false">U33*EXP(($B$4-0.5*$B$5^2)*$B$8+$B$5*SQRT($B$8)*V89)</f>
        <v>28.4505324930185</v>
      </c>
      <c r="W33" s="32" t="n">
        <f aca="false">V33*EXP(($B$4-0.5*$B$5^2)*$B$8+$B$5*SQRT($B$8)*W89)</f>
        <v>29.7734106960469</v>
      </c>
      <c r="X33" s="32" t="n">
        <f aca="false">W33*EXP(($B$4-0.5*$B$5^2)*$B$8+$B$5*SQRT($B$8)*X89)</f>
        <v>31.0583226885586</v>
      </c>
      <c r="Y33" s="32" t="n">
        <f aca="false">X33*EXP(($B$4-0.5*$B$5^2)*$B$8+$B$5*SQRT($B$8)*Y89)</f>
        <v>28.5641051756001</v>
      </c>
      <c r="Z33" s="32" t="n">
        <f aca="false">Y33*EXP(($B$4-0.5*$B$5^2)*$B$8+$B$5*SQRT($B$8)*Z89)</f>
        <v>24.7921714300065</v>
      </c>
      <c r="AA33" s="32" t="n">
        <f aca="false">Z33*EXP(($B$4-0.5*$B$5^2)*$B$8+$B$5*SQRT($B$8)*AA89)</f>
        <v>24.9553647501383</v>
      </c>
      <c r="AB33" s="32" t="n">
        <f aca="false">AA33*EXP(($B$4-0.5*$B$5^2)*$B$8+$B$5*SQRT($B$8)*AB89)</f>
        <v>23.0807645711517</v>
      </c>
      <c r="AC33" s="32" t="n">
        <f aca="false">AB33*EXP(($B$4-0.5*$B$5^2)*$B$8+$B$5*SQRT($B$8)*AC89)</f>
        <v>19.9924891739856</v>
      </c>
      <c r="AD33" s="32" t="n">
        <f aca="false">AC33*EXP(($B$4-0.5*$B$5^2)*$B$8+$B$5*SQRT($B$8)*AD89)</f>
        <v>17.3970972314956</v>
      </c>
      <c r="AE33" s="32" t="n">
        <f aca="false">AD33*EXP(($B$4-0.5*$B$5^2)*$B$8+$B$5*SQRT($B$8)*AE89)</f>
        <v>16.483413451729</v>
      </c>
      <c r="AF33" s="32" t="n">
        <f aca="false">AE33*EXP(($B$4-0.5*$B$5^2)*$B$8+$B$5*SQRT($B$8)*AF89)</f>
        <v>13.4496056368588</v>
      </c>
      <c r="AG33" s="32" t="n">
        <f aca="false">AF33*EXP(($B$4-0.5*$B$5^2)*$B$8+$B$5*SQRT($B$8)*AG89)</f>
        <v>11.5994047498291</v>
      </c>
      <c r="AH33" s="32" t="n">
        <f aca="false">AG33*EXP(($B$4-0.5*$B$5^2)*$B$8+$B$5*SQRT($B$8)*AH89)</f>
        <v>9.69297665454968</v>
      </c>
      <c r="AI33" s="32" t="n">
        <f aca="false">AH33*EXP(($B$4-0.5*$B$5^2)*$B$8+$B$5*SQRT($B$8)*AI89)</f>
        <v>9.88690810436367</v>
      </c>
      <c r="AJ33" s="32" t="n">
        <f aca="false">AI33*EXP(($B$4-0.5*$B$5^2)*$B$8+$B$5*SQRT($B$8)*AJ89)</f>
        <v>10.3375469064741</v>
      </c>
      <c r="AK33" s="32" t="n">
        <f aca="false">AJ33*EXP(($B$4-0.5*$B$5^2)*$B$8+$B$5*SQRT($B$8)*AK89)</f>
        <v>12.8812878732646</v>
      </c>
      <c r="AL33" s="32" t="n">
        <f aca="false">AK33*EXP(($B$4-0.5*$B$5^2)*$B$8+$B$5*SQRT($B$8)*AL89)</f>
        <v>10.9278930750903</v>
      </c>
      <c r="AM33" s="32" t="n">
        <f aca="false">AL33*EXP(($B$4-0.5*$B$5^2)*$B$8+$B$5*SQRT($B$8)*AM89)</f>
        <v>10.1409911749545</v>
      </c>
      <c r="AN33" s="32" t="n">
        <f aca="false">AM33*EXP(($B$4-0.5*$B$5^2)*$B$8+$B$5*SQRT($B$8)*AN89)</f>
        <v>11.2067102796784</v>
      </c>
      <c r="AO33" s="32" t="n">
        <f aca="false">AN33*EXP(($B$4-0.5*$B$5^2)*$B$8+$B$5*SQRT($B$8)*AO89)</f>
        <v>10.9413595095856</v>
      </c>
      <c r="AP33" s="32" t="n">
        <f aca="false">AO33*EXP(($B$4-0.5*$B$5^2)*$B$8+$B$5*SQRT($B$8)*AP89)</f>
        <v>10.5539075944656</v>
      </c>
      <c r="AQ33" s="32" t="n">
        <f aca="false">AP33*EXP(($B$4-0.5*$B$5^2)*$B$8+$B$5*SQRT($B$8)*AQ89)</f>
        <v>12.7279818862507</v>
      </c>
      <c r="AR33" s="32" t="n">
        <f aca="false">AQ33*EXP(($B$4-0.5*$B$5^2)*$B$8+$B$5*SQRT($B$8)*AR89)</f>
        <v>12.2619079940567</v>
      </c>
      <c r="AS33" s="32" t="n">
        <f aca="false">AR33*EXP(($B$4-0.5*$B$5^2)*$B$8+$B$5*SQRT($B$8)*AS89)</f>
        <v>10.7993249011249</v>
      </c>
      <c r="AT33" s="32" t="n">
        <f aca="false">AS33*EXP(($B$4-0.5*$B$5^2)*$B$8+$B$5*SQRT($B$8)*AT89)</f>
        <v>9.34495399576829</v>
      </c>
      <c r="AU33" s="32" t="n">
        <f aca="false">AT33*EXP(($B$4-0.5*$B$5^2)*$B$8+$B$5*SQRT($B$8)*AU89)</f>
        <v>9.6937145805104</v>
      </c>
      <c r="AV33" s="32" t="n">
        <f aca="false">AU33*EXP(($B$4-0.5*$B$5^2)*$B$8+$B$5*SQRT($B$8)*AV89)</f>
        <v>10.0219562578441</v>
      </c>
      <c r="AW33" s="32" t="n">
        <f aca="false">AV33*EXP(($B$4-0.5*$B$5^2)*$B$8+$B$5*SQRT($B$8)*AW89)</f>
        <v>8.62033510631033</v>
      </c>
      <c r="AX33" s="32" t="n">
        <f aca="false">AW33*EXP(($B$4-0.5*$B$5^2)*$B$8+$B$5*SQRT($B$8)*AX89)</f>
        <v>7.73570059855738</v>
      </c>
      <c r="AY33" s="32" t="n">
        <f aca="false">AX33*EXP(($B$4-0.5*$B$5^2)*$B$8+$B$5*SQRT($B$8)*AY89)</f>
        <v>8.20151467711181</v>
      </c>
      <c r="AZ33" s="32" t="n">
        <f aca="false">AY33*EXP(($B$4-0.5*$B$5^2)*$B$8+$B$5*SQRT($B$8)*AZ89)</f>
        <v>8.73606356017379</v>
      </c>
      <c r="BA33" s="32" t="n">
        <f aca="false">AZ33*EXP(($B$4-0.5*$B$5^2)*$B$8+$B$5*SQRT($B$8)*BA89)</f>
        <v>8.13940528969465</v>
      </c>
      <c r="BB33" s="32" t="n">
        <f aca="false">BA33*EXP(($B$4-0.5*$B$5^2)*$B$8+$B$5*SQRT($B$8)*BB89)</f>
        <v>8.7127611968389</v>
      </c>
      <c r="BC33" s="32" t="n">
        <f aca="false">BB33*EXP(($B$4-0.5*$B$5^2)*$B$8+$B$5*SQRT($B$8)*BC89)</f>
        <v>9.27512325948774</v>
      </c>
      <c r="BD33" s="32" t="n">
        <f aca="false">BC33*EXP(($B$4-0.5*$B$5^2)*$B$8+$B$5*SQRT($B$8)*BD89)</f>
        <v>7.62593277575776</v>
      </c>
      <c r="BE33" s="32" t="n">
        <f aca="false">BD33*EXP(($B$4-0.5*$B$5^2)*$B$8+$B$5*SQRT($B$8)*BE89)</f>
        <v>7.36794619029464</v>
      </c>
      <c r="BF33" s="32" t="n">
        <f aca="false">BE33*EXP(($B$4-0.5*$B$5^2)*$B$8+$B$5*SQRT($B$8)*BF89)</f>
        <v>7.70980972335023</v>
      </c>
      <c r="BG33" s="32" t="n">
        <f aca="false">BF33*EXP(($B$4-0.5*$B$5^2)*$B$8+$B$5*SQRT($B$8)*BG89)</f>
        <v>7.23872978295392</v>
      </c>
      <c r="BH33" s="32" t="n">
        <f aca="false">BG33*EXP(($B$4-0.5*$B$5^2)*$B$8+$B$5*SQRT($B$8)*BH89)</f>
        <v>5.72377735488256</v>
      </c>
      <c r="BI33" s="32" t="n">
        <f aca="false">BH33*EXP(($B$4-0.5*$B$5^2)*$B$8+$B$5*SQRT($B$8)*BI89)</f>
        <v>5.54779134093847</v>
      </c>
      <c r="BJ33" s="32" t="n">
        <f aca="false">BI33*EXP(($B$4-0.5*$B$5^2)*$B$8+$B$5*SQRT($B$8)*BJ89)</f>
        <v>6.02380177703613</v>
      </c>
    </row>
    <row r="34" customFormat="false" ht="15" hidden="false" customHeight="true" outlineLevel="0" collapsed="false">
      <c r="A34" s="6" t="s">
        <v>138</v>
      </c>
      <c r="B34" s="32" t="n">
        <f aca="false">$B$3</f>
        <v>11.5</v>
      </c>
      <c r="C34" s="32" t="n">
        <f aca="false">B34*EXP(($B$4-0.5*$B$5^2)*$B$8+$B$5*SQRT($B$8)*C90)</f>
        <v>13.6744447502524</v>
      </c>
      <c r="D34" s="32" t="n">
        <f aca="false">C34*EXP(($B$4-0.5*$B$5^2)*$B$8+$B$5*SQRT($B$8)*D90)</f>
        <v>10.7512723813791</v>
      </c>
      <c r="E34" s="32" t="n">
        <f aca="false">D34*EXP(($B$4-0.5*$B$5^2)*$B$8+$B$5*SQRT($B$8)*E90)</f>
        <v>14.3179373870282</v>
      </c>
      <c r="F34" s="32" t="n">
        <f aca="false">E34*EXP(($B$4-0.5*$B$5^2)*$B$8+$B$5*SQRT($B$8)*F90)</f>
        <v>12.6503744107188</v>
      </c>
      <c r="G34" s="32" t="n">
        <f aca="false">F34*EXP(($B$4-0.5*$B$5^2)*$B$8+$B$5*SQRT($B$8)*G90)</f>
        <v>14.0479978403844</v>
      </c>
      <c r="H34" s="32" t="n">
        <f aca="false">G34*EXP(($B$4-0.5*$B$5^2)*$B$8+$B$5*SQRT($B$8)*H90)</f>
        <v>16.0817296231813</v>
      </c>
      <c r="I34" s="32" t="n">
        <f aca="false">H34*EXP(($B$4-0.5*$B$5^2)*$B$8+$B$5*SQRT($B$8)*I90)</f>
        <v>17.9095501016608</v>
      </c>
      <c r="J34" s="32" t="n">
        <f aca="false">I34*EXP(($B$4-0.5*$B$5^2)*$B$8+$B$5*SQRT($B$8)*J90)</f>
        <v>18.2025809354227</v>
      </c>
      <c r="K34" s="32" t="n">
        <f aca="false">J34*EXP(($B$4-0.5*$B$5^2)*$B$8+$B$5*SQRT($B$8)*K90)</f>
        <v>16.0222206325361</v>
      </c>
      <c r="L34" s="32" t="n">
        <f aca="false">K34*EXP(($B$4-0.5*$B$5^2)*$B$8+$B$5*SQRT($B$8)*L90)</f>
        <v>17.1590297844899</v>
      </c>
      <c r="M34" s="32" t="n">
        <f aca="false">L34*EXP(($B$4-0.5*$B$5^2)*$B$8+$B$5*SQRT($B$8)*M90)</f>
        <v>15.8613067718963</v>
      </c>
      <c r="N34" s="32" t="n">
        <f aca="false">M34*EXP(($B$4-0.5*$B$5^2)*$B$8+$B$5*SQRT($B$8)*N90)</f>
        <v>12.0247657888479</v>
      </c>
      <c r="O34" s="32" t="n">
        <f aca="false">N34*EXP(($B$4-0.5*$B$5^2)*$B$8+$B$5*SQRT($B$8)*O90)</f>
        <v>16.397115399911</v>
      </c>
      <c r="P34" s="32" t="n">
        <f aca="false">O34*EXP(($B$4-0.5*$B$5^2)*$B$8+$B$5*SQRT($B$8)*P90)</f>
        <v>17.7183078255631</v>
      </c>
      <c r="Q34" s="32" t="n">
        <f aca="false">P34*EXP(($B$4-0.5*$B$5^2)*$B$8+$B$5*SQRT($B$8)*Q90)</f>
        <v>21.6250400064334</v>
      </c>
      <c r="R34" s="32" t="n">
        <f aca="false">Q34*EXP(($B$4-0.5*$B$5^2)*$B$8+$B$5*SQRT($B$8)*R90)</f>
        <v>19.5635216442553</v>
      </c>
      <c r="S34" s="32" t="n">
        <f aca="false">R34*EXP(($B$4-0.5*$B$5^2)*$B$8+$B$5*SQRT($B$8)*S90)</f>
        <v>22.9763024555131</v>
      </c>
      <c r="T34" s="32" t="n">
        <f aca="false">S34*EXP(($B$4-0.5*$B$5^2)*$B$8+$B$5*SQRT($B$8)*T90)</f>
        <v>27.3490881108528</v>
      </c>
      <c r="U34" s="32" t="n">
        <f aca="false">T34*EXP(($B$4-0.5*$B$5^2)*$B$8+$B$5*SQRT($B$8)*U90)</f>
        <v>32.4282051988372</v>
      </c>
      <c r="V34" s="32" t="n">
        <f aca="false">U34*EXP(($B$4-0.5*$B$5^2)*$B$8+$B$5*SQRT($B$8)*V90)</f>
        <v>32.3469255709903</v>
      </c>
      <c r="W34" s="32" t="n">
        <f aca="false">V34*EXP(($B$4-0.5*$B$5^2)*$B$8+$B$5*SQRT($B$8)*W90)</f>
        <v>28.3444064560488</v>
      </c>
      <c r="X34" s="32" t="n">
        <f aca="false">W34*EXP(($B$4-0.5*$B$5^2)*$B$8+$B$5*SQRT($B$8)*X90)</f>
        <v>27.7933218564814</v>
      </c>
      <c r="Y34" s="32" t="n">
        <f aca="false">X34*EXP(($B$4-0.5*$B$5^2)*$B$8+$B$5*SQRT($B$8)*Y90)</f>
        <v>21.82325758423</v>
      </c>
      <c r="Z34" s="32" t="n">
        <f aca="false">Y34*EXP(($B$4-0.5*$B$5^2)*$B$8+$B$5*SQRT($B$8)*Z90)</f>
        <v>18.10318772749</v>
      </c>
      <c r="AA34" s="32" t="n">
        <f aca="false">Z34*EXP(($B$4-0.5*$B$5^2)*$B$8+$B$5*SQRT($B$8)*AA90)</f>
        <v>18.2833365535421</v>
      </c>
      <c r="AB34" s="32" t="n">
        <f aca="false">AA34*EXP(($B$4-0.5*$B$5^2)*$B$8+$B$5*SQRT($B$8)*AB90)</f>
        <v>16.3962680062803</v>
      </c>
      <c r="AC34" s="32" t="n">
        <f aca="false">AB34*EXP(($B$4-0.5*$B$5^2)*$B$8+$B$5*SQRT($B$8)*AC90)</f>
        <v>16.100191432194</v>
      </c>
      <c r="AD34" s="32" t="n">
        <f aca="false">AC34*EXP(($B$4-0.5*$B$5^2)*$B$8+$B$5*SQRT($B$8)*AD90)</f>
        <v>15.905913081031</v>
      </c>
      <c r="AE34" s="32" t="n">
        <f aca="false">AD34*EXP(($B$4-0.5*$B$5^2)*$B$8+$B$5*SQRT($B$8)*AE90)</f>
        <v>19.654409144201</v>
      </c>
      <c r="AF34" s="32" t="n">
        <f aca="false">AE34*EXP(($B$4-0.5*$B$5^2)*$B$8+$B$5*SQRT($B$8)*AF90)</f>
        <v>22.6568791968741</v>
      </c>
      <c r="AG34" s="32" t="n">
        <f aca="false">AF34*EXP(($B$4-0.5*$B$5^2)*$B$8+$B$5*SQRT($B$8)*AG90)</f>
        <v>22.5414947546995</v>
      </c>
      <c r="AH34" s="32" t="n">
        <f aca="false">AG34*EXP(($B$4-0.5*$B$5^2)*$B$8+$B$5*SQRT($B$8)*AH90)</f>
        <v>25.7333186639228</v>
      </c>
      <c r="AI34" s="32" t="n">
        <f aca="false">AH34*EXP(($B$4-0.5*$B$5^2)*$B$8+$B$5*SQRT($B$8)*AI90)</f>
        <v>23.6194711859911</v>
      </c>
      <c r="AJ34" s="32" t="n">
        <f aca="false">AI34*EXP(($B$4-0.5*$B$5^2)*$B$8+$B$5*SQRT($B$8)*AJ90)</f>
        <v>22.7583394430135</v>
      </c>
      <c r="AK34" s="32" t="n">
        <f aca="false">AJ34*EXP(($B$4-0.5*$B$5^2)*$B$8+$B$5*SQRT($B$8)*AK90)</f>
        <v>25.1434338115501</v>
      </c>
      <c r="AL34" s="32" t="n">
        <f aca="false">AK34*EXP(($B$4-0.5*$B$5^2)*$B$8+$B$5*SQRT($B$8)*AL90)</f>
        <v>21.9377207755815</v>
      </c>
      <c r="AM34" s="32" t="n">
        <f aca="false">AL34*EXP(($B$4-0.5*$B$5^2)*$B$8+$B$5*SQRT($B$8)*AM90)</f>
        <v>21.2726244277679</v>
      </c>
      <c r="AN34" s="32" t="n">
        <f aca="false">AM34*EXP(($B$4-0.5*$B$5^2)*$B$8+$B$5*SQRT($B$8)*AN90)</f>
        <v>18.399903852157</v>
      </c>
      <c r="AO34" s="32" t="n">
        <f aca="false">AN34*EXP(($B$4-0.5*$B$5^2)*$B$8+$B$5*SQRT($B$8)*AO90)</f>
        <v>18.635128412439</v>
      </c>
      <c r="AP34" s="32" t="n">
        <f aca="false">AO34*EXP(($B$4-0.5*$B$5^2)*$B$8+$B$5*SQRT($B$8)*AP90)</f>
        <v>22.285727220066</v>
      </c>
      <c r="AQ34" s="32" t="n">
        <f aca="false">AP34*EXP(($B$4-0.5*$B$5^2)*$B$8+$B$5*SQRT($B$8)*AQ90)</f>
        <v>20.517140738941</v>
      </c>
      <c r="AR34" s="32" t="n">
        <f aca="false">AQ34*EXP(($B$4-0.5*$B$5^2)*$B$8+$B$5*SQRT($B$8)*AR90)</f>
        <v>21.0280137895798</v>
      </c>
      <c r="AS34" s="32" t="n">
        <f aca="false">AR34*EXP(($B$4-0.5*$B$5^2)*$B$8+$B$5*SQRT($B$8)*AS90)</f>
        <v>19.0532766140275</v>
      </c>
      <c r="AT34" s="32" t="n">
        <f aca="false">AS34*EXP(($B$4-0.5*$B$5^2)*$B$8+$B$5*SQRT($B$8)*AT90)</f>
        <v>16.7928667787272</v>
      </c>
      <c r="AU34" s="32" t="n">
        <f aca="false">AT34*EXP(($B$4-0.5*$B$5^2)*$B$8+$B$5*SQRT($B$8)*AU90)</f>
        <v>14.6611690325085</v>
      </c>
      <c r="AV34" s="32" t="n">
        <f aca="false">AU34*EXP(($B$4-0.5*$B$5^2)*$B$8+$B$5*SQRT($B$8)*AV90)</f>
        <v>17.1946861111241</v>
      </c>
      <c r="AW34" s="32" t="n">
        <f aca="false">AV34*EXP(($B$4-0.5*$B$5^2)*$B$8+$B$5*SQRT($B$8)*AW90)</f>
        <v>22.2772968000854</v>
      </c>
      <c r="AX34" s="32" t="n">
        <f aca="false">AW34*EXP(($B$4-0.5*$B$5^2)*$B$8+$B$5*SQRT($B$8)*AX90)</f>
        <v>23.485259625028</v>
      </c>
      <c r="AY34" s="32" t="n">
        <f aca="false">AX34*EXP(($B$4-0.5*$B$5^2)*$B$8+$B$5*SQRT($B$8)*AY90)</f>
        <v>21.7065655065357</v>
      </c>
      <c r="AZ34" s="32" t="n">
        <f aca="false">AY34*EXP(($B$4-0.5*$B$5^2)*$B$8+$B$5*SQRT($B$8)*AZ90)</f>
        <v>23.4473063519939</v>
      </c>
      <c r="BA34" s="32" t="n">
        <f aca="false">AZ34*EXP(($B$4-0.5*$B$5^2)*$B$8+$B$5*SQRT($B$8)*BA90)</f>
        <v>22.5988303256244</v>
      </c>
      <c r="BB34" s="32" t="n">
        <f aca="false">BA34*EXP(($B$4-0.5*$B$5^2)*$B$8+$B$5*SQRT($B$8)*BB90)</f>
        <v>24.6709256451376</v>
      </c>
      <c r="BC34" s="32" t="n">
        <f aca="false">BB34*EXP(($B$4-0.5*$B$5^2)*$B$8+$B$5*SQRT($B$8)*BC90)</f>
        <v>25.4664809796748</v>
      </c>
      <c r="BD34" s="32" t="n">
        <f aca="false">BC34*EXP(($B$4-0.5*$B$5^2)*$B$8+$B$5*SQRT($B$8)*BD90)</f>
        <v>26.2551553347705</v>
      </c>
      <c r="BE34" s="32" t="n">
        <f aca="false">BD34*EXP(($B$4-0.5*$B$5^2)*$B$8+$B$5*SQRT($B$8)*BE90)</f>
        <v>28.0585982909724</v>
      </c>
      <c r="BF34" s="32" t="n">
        <f aca="false">BE34*EXP(($B$4-0.5*$B$5^2)*$B$8+$B$5*SQRT($B$8)*BF90)</f>
        <v>26.3256390390575</v>
      </c>
      <c r="BG34" s="32" t="n">
        <f aca="false">BF34*EXP(($B$4-0.5*$B$5^2)*$B$8+$B$5*SQRT($B$8)*BG90)</f>
        <v>25.1787968068263</v>
      </c>
      <c r="BH34" s="32" t="n">
        <f aca="false">BG34*EXP(($B$4-0.5*$B$5^2)*$B$8+$B$5*SQRT($B$8)*BH90)</f>
        <v>20.842709139903</v>
      </c>
      <c r="BI34" s="32" t="n">
        <f aca="false">BH34*EXP(($B$4-0.5*$B$5^2)*$B$8+$B$5*SQRT($B$8)*BI90)</f>
        <v>19.8528846389198</v>
      </c>
      <c r="BJ34" s="32" t="n">
        <f aca="false">BI34*EXP(($B$4-0.5*$B$5^2)*$B$8+$B$5*SQRT($B$8)*BJ90)</f>
        <v>16.9817798271153</v>
      </c>
    </row>
    <row r="35" customFormat="false" ht="15" hidden="false" customHeight="true" outlineLevel="0" collapsed="false">
      <c r="A35" s="6" t="s">
        <v>139</v>
      </c>
      <c r="B35" s="32" t="n">
        <f aca="false">$B$3</f>
        <v>11.5</v>
      </c>
      <c r="C35" s="32" t="n">
        <f aca="false">B35*EXP(($B$4-0.5*$B$5^2)*$B$8+$B$5*SQRT($B$8)*C91)</f>
        <v>11.3168489586868</v>
      </c>
      <c r="D35" s="32" t="n">
        <f aca="false">C35*EXP(($B$4-0.5*$B$5^2)*$B$8+$B$5*SQRT($B$8)*D91)</f>
        <v>10.1864716152961</v>
      </c>
      <c r="E35" s="32" t="n">
        <f aca="false">D35*EXP(($B$4-0.5*$B$5^2)*$B$8+$B$5*SQRT($B$8)*E91)</f>
        <v>10.2983353036329</v>
      </c>
      <c r="F35" s="32" t="n">
        <f aca="false">E35*EXP(($B$4-0.5*$B$5^2)*$B$8+$B$5*SQRT($B$8)*F91)</f>
        <v>10.8213140949237</v>
      </c>
      <c r="G35" s="32" t="n">
        <f aca="false">F35*EXP(($B$4-0.5*$B$5^2)*$B$8+$B$5*SQRT($B$8)*G91)</f>
        <v>9.25859060886261</v>
      </c>
      <c r="H35" s="32" t="n">
        <f aca="false">G35*EXP(($B$4-0.5*$B$5^2)*$B$8+$B$5*SQRT($B$8)*H91)</f>
        <v>8.46681656660029</v>
      </c>
      <c r="I35" s="32" t="n">
        <f aca="false">H35*EXP(($B$4-0.5*$B$5^2)*$B$8+$B$5*SQRT($B$8)*I91)</f>
        <v>7.63309343979039</v>
      </c>
      <c r="J35" s="32" t="n">
        <f aca="false">I35*EXP(($B$4-0.5*$B$5^2)*$B$8+$B$5*SQRT($B$8)*J91)</f>
        <v>8.28293699586003</v>
      </c>
      <c r="K35" s="32" t="n">
        <f aca="false">J35*EXP(($B$4-0.5*$B$5^2)*$B$8+$B$5*SQRT($B$8)*K91)</f>
        <v>9.98612182142136</v>
      </c>
      <c r="L35" s="32" t="n">
        <f aca="false">K35*EXP(($B$4-0.5*$B$5^2)*$B$8+$B$5*SQRT($B$8)*L91)</f>
        <v>10.961877896589</v>
      </c>
      <c r="M35" s="32" t="n">
        <f aca="false">L35*EXP(($B$4-0.5*$B$5^2)*$B$8+$B$5*SQRT($B$8)*M91)</f>
        <v>10.5477252774814</v>
      </c>
      <c r="N35" s="32" t="n">
        <f aca="false">M35*EXP(($B$4-0.5*$B$5^2)*$B$8+$B$5*SQRT($B$8)*N91)</f>
        <v>12.3843433057654</v>
      </c>
      <c r="O35" s="32" t="n">
        <f aca="false">N35*EXP(($B$4-0.5*$B$5^2)*$B$8+$B$5*SQRT($B$8)*O91)</f>
        <v>10.4872193194956</v>
      </c>
      <c r="P35" s="32" t="n">
        <f aca="false">O35*EXP(($B$4-0.5*$B$5^2)*$B$8+$B$5*SQRT($B$8)*P91)</f>
        <v>12.3597890164284</v>
      </c>
      <c r="Q35" s="32" t="n">
        <f aca="false">P35*EXP(($B$4-0.5*$B$5^2)*$B$8+$B$5*SQRT($B$8)*Q91)</f>
        <v>11.4992361731581</v>
      </c>
      <c r="R35" s="32" t="n">
        <f aca="false">Q35*EXP(($B$4-0.5*$B$5^2)*$B$8+$B$5*SQRT($B$8)*R91)</f>
        <v>8.4748987240238</v>
      </c>
      <c r="S35" s="32" t="n">
        <f aca="false">R35*EXP(($B$4-0.5*$B$5^2)*$B$8+$B$5*SQRT($B$8)*S91)</f>
        <v>11.332894419798</v>
      </c>
      <c r="T35" s="32" t="n">
        <f aca="false">S35*EXP(($B$4-0.5*$B$5^2)*$B$8+$B$5*SQRT($B$8)*T91)</f>
        <v>13.4722210178147</v>
      </c>
      <c r="U35" s="32" t="n">
        <f aca="false">T35*EXP(($B$4-0.5*$B$5^2)*$B$8+$B$5*SQRT($B$8)*U91)</f>
        <v>12.0281825692694</v>
      </c>
      <c r="V35" s="32" t="n">
        <f aca="false">U35*EXP(($B$4-0.5*$B$5^2)*$B$8+$B$5*SQRT($B$8)*V91)</f>
        <v>12.2510148213838</v>
      </c>
      <c r="W35" s="32" t="n">
        <f aca="false">V35*EXP(($B$4-0.5*$B$5^2)*$B$8+$B$5*SQRT($B$8)*W91)</f>
        <v>11.9639216586146</v>
      </c>
      <c r="X35" s="32" t="n">
        <f aca="false">W35*EXP(($B$4-0.5*$B$5^2)*$B$8+$B$5*SQRT($B$8)*X91)</f>
        <v>12.0966133971747</v>
      </c>
      <c r="Y35" s="32" t="n">
        <f aca="false">X35*EXP(($B$4-0.5*$B$5^2)*$B$8+$B$5*SQRT($B$8)*Y91)</f>
        <v>10.278257985492</v>
      </c>
      <c r="Z35" s="32" t="n">
        <f aca="false">Y35*EXP(($B$4-0.5*$B$5^2)*$B$8+$B$5*SQRT($B$8)*Z91)</f>
        <v>9.53615072550751</v>
      </c>
      <c r="AA35" s="32" t="n">
        <f aca="false">Z35*EXP(($B$4-0.5*$B$5^2)*$B$8+$B$5*SQRT($B$8)*AA91)</f>
        <v>10.0366191709958</v>
      </c>
      <c r="AB35" s="32" t="n">
        <f aca="false">AA35*EXP(($B$4-0.5*$B$5^2)*$B$8+$B$5*SQRT($B$8)*AB91)</f>
        <v>10.2829377244473</v>
      </c>
      <c r="AC35" s="32" t="n">
        <f aca="false">AB35*EXP(($B$4-0.5*$B$5^2)*$B$8+$B$5*SQRT($B$8)*AC91)</f>
        <v>11.7265439434916</v>
      </c>
      <c r="AD35" s="32" t="n">
        <f aca="false">AC35*EXP(($B$4-0.5*$B$5^2)*$B$8+$B$5*SQRT($B$8)*AD91)</f>
        <v>11.8274130872968</v>
      </c>
      <c r="AE35" s="32" t="n">
        <f aca="false">AD35*EXP(($B$4-0.5*$B$5^2)*$B$8+$B$5*SQRT($B$8)*AE91)</f>
        <v>15.3013056846828</v>
      </c>
      <c r="AF35" s="32" t="n">
        <f aca="false">AE35*EXP(($B$4-0.5*$B$5^2)*$B$8+$B$5*SQRT($B$8)*AF91)</f>
        <v>14.1433075412653</v>
      </c>
      <c r="AG35" s="32" t="n">
        <f aca="false">AF35*EXP(($B$4-0.5*$B$5^2)*$B$8+$B$5*SQRT($B$8)*AG91)</f>
        <v>14.5487645969814</v>
      </c>
      <c r="AH35" s="32" t="n">
        <f aca="false">AG35*EXP(($B$4-0.5*$B$5^2)*$B$8+$B$5*SQRT($B$8)*AH91)</f>
        <v>11.7883208772235</v>
      </c>
      <c r="AI35" s="32" t="n">
        <f aca="false">AH35*EXP(($B$4-0.5*$B$5^2)*$B$8+$B$5*SQRT($B$8)*AI91)</f>
        <v>10.2724090652636</v>
      </c>
      <c r="AJ35" s="32" t="n">
        <f aca="false">AI35*EXP(($B$4-0.5*$B$5^2)*$B$8+$B$5*SQRT($B$8)*AJ91)</f>
        <v>11.8818610080485</v>
      </c>
      <c r="AK35" s="32" t="n">
        <f aca="false">AJ35*EXP(($B$4-0.5*$B$5^2)*$B$8+$B$5*SQRT($B$8)*AK91)</f>
        <v>10.7124584668037</v>
      </c>
      <c r="AL35" s="32" t="n">
        <f aca="false">AK35*EXP(($B$4-0.5*$B$5^2)*$B$8+$B$5*SQRT($B$8)*AL91)</f>
        <v>11.3524923470782</v>
      </c>
      <c r="AM35" s="32" t="n">
        <f aca="false">AL35*EXP(($B$4-0.5*$B$5^2)*$B$8+$B$5*SQRT($B$8)*AM91)</f>
        <v>11.2737602819814</v>
      </c>
      <c r="AN35" s="32" t="n">
        <f aca="false">AM35*EXP(($B$4-0.5*$B$5^2)*$B$8+$B$5*SQRT($B$8)*AN91)</f>
        <v>10.0513924287375</v>
      </c>
      <c r="AO35" s="32" t="n">
        <f aca="false">AN35*EXP(($B$4-0.5*$B$5^2)*$B$8+$B$5*SQRT($B$8)*AO91)</f>
        <v>9.67288003793757</v>
      </c>
      <c r="AP35" s="32" t="n">
        <f aca="false">AO35*EXP(($B$4-0.5*$B$5^2)*$B$8+$B$5*SQRT($B$8)*AP91)</f>
        <v>9.14066470669352</v>
      </c>
      <c r="AQ35" s="32" t="n">
        <f aca="false">AP35*EXP(($B$4-0.5*$B$5^2)*$B$8+$B$5*SQRT($B$8)*AQ91)</f>
        <v>8.66322815771036</v>
      </c>
      <c r="AR35" s="32" t="n">
        <f aca="false">AQ35*EXP(($B$4-0.5*$B$5^2)*$B$8+$B$5*SQRT($B$8)*AR91)</f>
        <v>9.40811211352635</v>
      </c>
      <c r="AS35" s="32" t="n">
        <f aca="false">AR35*EXP(($B$4-0.5*$B$5^2)*$B$8+$B$5*SQRT($B$8)*AS91)</f>
        <v>10.1041771985445</v>
      </c>
      <c r="AT35" s="32" t="n">
        <f aca="false">AS35*EXP(($B$4-0.5*$B$5^2)*$B$8+$B$5*SQRT($B$8)*AT91)</f>
        <v>9.48227229928977</v>
      </c>
      <c r="AU35" s="32" t="n">
        <f aca="false">AT35*EXP(($B$4-0.5*$B$5^2)*$B$8+$B$5*SQRT($B$8)*AU91)</f>
        <v>8.58258027046998</v>
      </c>
      <c r="AV35" s="32" t="n">
        <f aca="false">AU35*EXP(($B$4-0.5*$B$5^2)*$B$8+$B$5*SQRT($B$8)*AV91)</f>
        <v>8.85093141076693</v>
      </c>
      <c r="AW35" s="32" t="n">
        <f aca="false">AV35*EXP(($B$4-0.5*$B$5^2)*$B$8+$B$5*SQRT($B$8)*AW91)</f>
        <v>8.75275071655523</v>
      </c>
      <c r="AX35" s="32" t="n">
        <f aca="false">AW35*EXP(($B$4-0.5*$B$5^2)*$B$8+$B$5*SQRT($B$8)*AX91)</f>
        <v>9.79609390377096</v>
      </c>
      <c r="AY35" s="32" t="n">
        <f aca="false">AX35*EXP(($B$4-0.5*$B$5^2)*$B$8+$B$5*SQRT($B$8)*AY91)</f>
        <v>13.1060890948898</v>
      </c>
      <c r="AZ35" s="32" t="n">
        <f aca="false">AY35*EXP(($B$4-0.5*$B$5^2)*$B$8+$B$5*SQRT($B$8)*AZ91)</f>
        <v>14.3731158762818</v>
      </c>
      <c r="BA35" s="32" t="n">
        <f aca="false">AZ35*EXP(($B$4-0.5*$B$5^2)*$B$8+$B$5*SQRT($B$8)*BA91)</f>
        <v>14.3158366757546</v>
      </c>
      <c r="BB35" s="32" t="n">
        <f aca="false">BA35*EXP(($B$4-0.5*$B$5^2)*$B$8+$B$5*SQRT($B$8)*BB91)</f>
        <v>14.0456174343993</v>
      </c>
      <c r="BC35" s="32" t="n">
        <f aca="false">BB35*EXP(($B$4-0.5*$B$5^2)*$B$8+$B$5*SQRT($B$8)*BC91)</f>
        <v>12.7834414534706</v>
      </c>
      <c r="BD35" s="32" t="n">
        <f aca="false">BC35*EXP(($B$4-0.5*$B$5^2)*$B$8+$B$5*SQRT($B$8)*BD91)</f>
        <v>11.5710754236771</v>
      </c>
      <c r="BE35" s="32" t="n">
        <f aca="false">BD35*EXP(($B$4-0.5*$B$5^2)*$B$8+$B$5*SQRT($B$8)*BE91)</f>
        <v>10.3631260335632</v>
      </c>
      <c r="BF35" s="32" t="n">
        <f aca="false">BE35*EXP(($B$4-0.5*$B$5^2)*$B$8+$B$5*SQRT($B$8)*BF91)</f>
        <v>9.92149577623776</v>
      </c>
      <c r="BG35" s="32" t="n">
        <f aca="false">BF35*EXP(($B$4-0.5*$B$5^2)*$B$8+$B$5*SQRT($B$8)*BG91)</f>
        <v>9.46560022294092</v>
      </c>
      <c r="BH35" s="32" t="n">
        <f aca="false">BG35*EXP(($B$4-0.5*$B$5^2)*$B$8+$B$5*SQRT($B$8)*BH91)</f>
        <v>10.2683418766571</v>
      </c>
      <c r="BI35" s="32" t="n">
        <f aca="false">BH35*EXP(($B$4-0.5*$B$5^2)*$B$8+$B$5*SQRT($B$8)*BI91)</f>
        <v>9.8268006046763</v>
      </c>
      <c r="BJ35" s="32" t="n">
        <f aca="false">BI35*EXP(($B$4-0.5*$B$5^2)*$B$8+$B$5*SQRT($B$8)*BJ91)</f>
        <v>9.61448218199971</v>
      </c>
    </row>
    <row r="36" customFormat="false" ht="15" hidden="false" customHeight="true" outlineLevel="0" collapsed="false">
      <c r="A36" s="6" t="s">
        <v>140</v>
      </c>
      <c r="B36" s="32" t="n">
        <f aca="false">$B$3</f>
        <v>11.5</v>
      </c>
      <c r="C36" s="32" t="n">
        <f aca="false">B36*EXP(($B$4-0.5*$B$5^2)*$B$8+$B$5*SQRT($B$8)*C92)</f>
        <v>10.059558158508</v>
      </c>
      <c r="D36" s="32" t="n">
        <f aca="false">C36*EXP(($B$4-0.5*$B$5^2)*$B$8+$B$5*SQRT($B$8)*D92)</f>
        <v>12.0461388881507</v>
      </c>
      <c r="E36" s="32" t="n">
        <f aca="false">D36*EXP(($B$4-0.5*$B$5^2)*$B$8+$B$5*SQRT($B$8)*E92)</f>
        <v>12.7327257730313</v>
      </c>
      <c r="F36" s="32" t="n">
        <f aca="false">E36*EXP(($B$4-0.5*$B$5^2)*$B$8+$B$5*SQRT($B$8)*F92)</f>
        <v>15.4904761851867</v>
      </c>
      <c r="G36" s="32" t="n">
        <f aca="false">F36*EXP(($B$4-0.5*$B$5^2)*$B$8+$B$5*SQRT($B$8)*G92)</f>
        <v>16.9024348433884</v>
      </c>
      <c r="H36" s="32" t="n">
        <f aca="false">G36*EXP(($B$4-0.5*$B$5^2)*$B$8+$B$5*SQRT($B$8)*H92)</f>
        <v>19.8992546882913</v>
      </c>
      <c r="I36" s="32" t="n">
        <f aca="false">H36*EXP(($B$4-0.5*$B$5^2)*$B$8+$B$5*SQRT($B$8)*I92)</f>
        <v>19.3606125301495</v>
      </c>
      <c r="J36" s="32" t="n">
        <f aca="false">I36*EXP(($B$4-0.5*$B$5^2)*$B$8+$B$5*SQRT($B$8)*J92)</f>
        <v>20.941387295326</v>
      </c>
      <c r="K36" s="32" t="n">
        <f aca="false">J36*EXP(($B$4-0.5*$B$5^2)*$B$8+$B$5*SQRT($B$8)*K92)</f>
        <v>28.1720073765821</v>
      </c>
      <c r="L36" s="32" t="n">
        <f aca="false">K36*EXP(($B$4-0.5*$B$5^2)*$B$8+$B$5*SQRT($B$8)*L92)</f>
        <v>24.629083352786</v>
      </c>
      <c r="M36" s="32" t="n">
        <f aca="false">L36*EXP(($B$4-0.5*$B$5^2)*$B$8+$B$5*SQRT($B$8)*M92)</f>
        <v>28.0160429613949</v>
      </c>
      <c r="N36" s="32" t="n">
        <f aca="false">M36*EXP(($B$4-0.5*$B$5^2)*$B$8+$B$5*SQRT($B$8)*N92)</f>
        <v>33.7456864569174</v>
      </c>
      <c r="O36" s="32" t="n">
        <f aca="false">N36*EXP(($B$4-0.5*$B$5^2)*$B$8+$B$5*SQRT($B$8)*O92)</f>
        <v>35.3347009207883</v>
      </c>
      <c r="P36" s="32" t="n">
        <f aca="false">O36*EXP(($B$4-0.5*$B$5^2)*$B$8+$B$5*SQRT($B$8)*P92)</f>
        <v>38.421736024587</v>
      </c>
      <c r="Q36" s="32" t="n">
        <f aca="false">P36*EXP(($B$4-0.5*$B$5^2)*$B$8+$B$5*SQRT($B$8)*Q92)</f>
        <v>44.203832623416</v>
      </c>
      <c r="R36" s="32" t="n">
        <f aca="false">Q36*EXP(($B$4-0.5*$B$5^2)*$B$8+$B$5*SQRT($B$8)*R92)</f>
        <v>41.0626559855262</v>
      </c>
      <c r="S36" s="32" t="n">
        <f aca="false">R36*EXP(($B$4-0.5*$B$5^2)*$B$8+$B$5*SQRT($B$8)*S92)</f>
        <v>42.9786890186538</v>
      </c>
      <c r="T36" s="32" t="n">
        <f aca="false">S36*EXP(($B$4-0.5*$B$5^2)*$B$8+$B$5*SQRT($B$8)*T92)</f>
        <v>38.982388860099</v>
      </c>
      <c r="U36" s="32" t="n">
        <f aca="false">T36*EXP(($B$4-0.5*$B$5^2)*$B$8+$B$5*SQRT($B$8)*U92)</f>
        <v>36.1291213846059</v>
      </c>
      <c r="V36" s="32" t="n">
        <f aca="false">U36*EXP(($B$4-0.5*$B$5^2)*$B$8+$B$5*SQRT($B$8)*V92)</f>
        <v>33.7046442129646</v>
      </c>
      <c r="W36" s="32" t="n">
        <f aca="false">V36*EXP(($B$4-0.5*$B$5^2)*$B$8+$B$5*SQRT($B$8)*W92)</f>
        <v>33.1620841608893</v>
      </c>
      <c r="X36" s="32" t="n">
        <f aca="false">W36*EXP(($B$4-0.5*$B$5^2)*$B$8+$B$5*SQRT($B$8)*X92)</f>
        <v>33.7052535736419</v>
      </c>
      <c r="Y36" s="32" t="n">
        <f aca="false">X36*EXP(($B$4-0.5*$B$5^2)*$B$8+$B$5*SQRT($B$8)*Y92)</f>
        <v>35.4549730187611</v>
      </c>
      <c r="Z36" s="32" t="n">
        <f aca="false">Y36*EXP(($B$4-0.5*$B$5^2)*$B$8+$B$5*SQRT($B$8)*Z92)</f>
        <v>30.2325909529488</v>
      </c>
      <c r="AA36" s="32" t="n">
        <f aca="false">Z36*EXP(($B$4-0.5*$B$5^2)*$B$8+$B$5*SQRT($B$8)*AA92)</f>
        <v>37.7530947894542</v>
      </c>
      <c r="AB36" s="32" t="n">
        <f aca="false">AA36*EXP(($B$4-0.5*$B$5^2)*$B$8+$B$5*SQRT($B$8)*AB92)</f>
        <v>42.9790662138678</v>
      </c>
      <c r="AC36" s="32" t="n">
        <f aca="false">AB36*EXP(($B$4-0.5*$B$5^2)*$B$8+$B$5*SQRT($B$8)*AC92)</f>
        <v>46.6230989035588</v>
      </c>
      <c r="AD36" s="32" t="n">
        <f aca="false">AC36*EXP(($B$4-0.5*$B$5^2)*$B$8+$B$5*SQRT($B$8)*AD92)</f>
        <v>44.7774941183063</v>
      </c>
      <c r="AE36" s="32" t="n">
        <f aca="false">AD36*EXP(($B$4-0.5*$B$5^2)*$B$8+$B$5*SQRT($B$8)*AE92)</f>
        <v>44.3231134809379</v>
      </c>
      <c r="AF36" s="32" t="n">
        <f aca="false">AE36*EXP(($B$4-0.5*$B$5^2)*$B$8+$B$5*SQRT($B$8)*AF92)</f>
        <v>47.1286444045178</v>
      </c>
      <c r="AG36" s="32" t="n">
        <f aca="false">AF36*EXP(($B$4-0.5*$B$5^2)*$B$8+$B$5*SQRT($B$8)*AG92)</f>
        <v>49.3495258194294</v>
      </c>
      <c r="AH36" s="32" t="n">
        <f aca="false">AG36*EXP(($B$4-0.5*$B$5^2)*$B$8+$B$5*SQRT($B$8)*AH92)</f>
        <v>40.8517724753354</v>
      </c>
      <c r="AI36" s="32" t="n">
        <f aca="false">AH36*EXP(($B$4-0.5*$B$5^2)*$B$8+$B$5*SQRT($B$8)*AI92)</f>
        <v>44.3919076871086</v>
      </c>
      <c r="AJ36" s="32" t="n">
        <f aca="false">AI36*EXP(($B$4-0.5*$B$5^2)*$B$8+$B$5*SQRT($B$8)*AJ92)</f>
        <v>61.6007665596696</v>
      </c>
      <c r="AK36" s="32" t="n">
        <f aca="false">AJ36*EXP(($B$4-0.5*$B$5^2)*$B$8+$B$5*SQRT($B$8)*AK92)</f>
        <v>50.0390451372917</v>
      </c>
      <c r="AL36" s="32" t="n">
        <f aca="false">AK36*EXP(($B$4-0.5*$B$5^2)*$B$8+$B$5*SQRT($B$8)*AL92)</f>
        <v>55.9509485681628</v>
      </c>
      <c r="AM36" s="32" t="n">
        <f aca="false">AL36*EXP(($B$4-0.5*$B$5^2)*$B$8+$B$5*SQRT($B$8)*AM92)</f>
        <v>58.3122631231917</v>
      </c>
      <c r="AN36" s="32" t="n">
        <f aca="false">AM36*EXP(($B$4-0.5*$B$5^2)*$B$8+$B$5*SQRT($B$8)*AN92)</f>
        <v>57.5744059650675</v>
      </c>
      <c r="AO36" s="32" t="n">
        <f aca="false">AN36*EXP(($B$4-0.5*$B$5^2)*$B$8+$B$5*SQRT($B$8)*AO92)</f>
        <v>67.1708631095136</v>
      </c>
      <c r="AP36" s="32" t="n">
        <f aca="false">AO36*EXP(($B$4-0.5*$B$5^2)*$B$8+$B$5*SQRT($B$8)*AP92)</f>
        <v>58.7874799059241</v>
      </c>
      <c r="AQ36" s="32" t="n">
        <f aca="false">AP36*EXP(($B$4-0.5*$B$5^2)*$B$8+$B$5*SQRT($B$8)*AQ92)</f>
        <v>59.8639996272055</v>
      </c>
      <c r="AR36" s="32" t="n">
        <f aca="false">AQ36*EXP(($B$4-0.5*$B$5^2)*$B$8+$B$5*SQRT($B$8)*AR92)</f>
        <v>70.5732535989175</v>
      </c>
      <c r="AS36" s="32" t="n">
        <f aca="false">AR36*EXP(($B$4-0.5*$B$5^2)*$B$8+$B$5*SQRT($B$8)*AS92)</f>
        <v>69.0132407985314</v>
      </c>
      <c r="AT36" s="32" t="n">
        <f aca="false">AS36*EXP(($B$4-0.5*$B$5^2)*$B$8+$B$5*SQRT($B$8)*AT92)</f>
        <v>65.8267555001525</v>
      </c>
      <c r="AU36" s="32" t="n">
        <f aca="false">AT36*EXP(($B$4-0.5*$B$5^2)*$B$8+$B$5*SQRT($B$8)*AU92)</f>
        <v>66.6719773732016</v>
      </c>
      <c r="AV36" s="32" t="n">
        <f aca="false">AU36*EXP(($B$4-0.5*$B$5^2)*$B$8+$B$5*SQRT($B$8)*AV92)</f>
        <v>63.4020956667983</v>
      </c>
      <c r="AW36" s="32" t="n">
        <f aca="false">AV36*EXP(($B$4-0.5*$B$5^2)*$B$8+$B$5*SQRT($B$8)*AW92)</f>
        <v>75.4628069084749</v>
      </c>
      <c r="AX36" s="32" t="n">
        <f aca="false">AW36*EXP(($B$4-0.5*$B$5^2)*$B$8+$B$5*SQRT($B$8)*AX92)</f>
        <v>68.1176318530827</v>
      </c>
      <c r="AY36" s="32" t="n">
        <f aca="false">AX36*EXP(($B$4-0.5*$B$5^2)*$B$8+$B$5*SQRT($B$8)*AY92)</f>
        <v>75.1467617275433</v>
      </c>
      <c r="AZ36" s="32" t="n">
        <f aca="false">AY36*EXP(($B$4-0.5*$B$5^2)*$B$8+$B$5*SQRT($B$8)*AZ92)</f>
        <v>65.2427491522614</v>
      </c>
      <c r="BA36" s="32" t="n">
        <f aca="false">AZ36*EXP(($B$4-0.5*$B$5^2)*$B$8+$B$5*SQRT($B$8)*BA92)</f>
        <v>70.3410745774334</v>
      </c>
      <c r="BB36" s="32" t="n">
        <f aca="false">BA36*EXP(($B$4-0.5*$B$5^2)*$B$8+$B$5*SQRT($B$8)*BB92)</f>
        <v>69.501430873874</v>
      </c>
      <c r="BC36" s="32" t="n">
        <f aca="false">BB36*EXP(($B$4-0.5*$B$5^2)*$B$8+$B$5*SQRT($B$8)*BC92)</f>
        <v>51.9302720253431</v>
      </c>
      <c r="BD36" s="32" t="n">
        <f aca="false">BC36*EXP(($B$4-0.5*$B$5^2)*$B$8+$B$5*SQRT($B$8)*BD92)</f>
        <v>51.8857756359095</v>
      </c>
      <c r="BE36" s="32" t="n">
        <f aca="false">BD36*EXP(($B$4-0.5*$B$5^2)*$B$8+$B$5*SQRT($B$8)*BE92)</f>
        <v>45.9957017992717</v>
      </c>
      <c r="BF36" s="32" t="n">
        <f aca="false">BE36*EXP(($B$4-0.5*$B$5^2)*$B$8+$B$5*SQRT($B$8)*BF92)</f>
        <v>43.7397484010862</v>
      </c>
      <c r="BG36" s="32" t="n">
        <f aca="false">BF36*EXP(($B$4-0.5*$B$5^2)*$B$8+$B$5*SQRT($B$8)*BG92)</f>
        <v>52.0166941040921</v>
      </c>
      <c r="BH36" s="32" t="n">
        <f aca="false">BG36*EXP(($B$4-0.5*$B$5^2)*$B$8+$B$5*SQRT($B$8)*BH92)</f>
        <v>45.850494794162</v>
      </c>
      <c r="BI36" s="32" t="n">
        <f aca="false">BH36*EXP(($B$4-0.5*$B$5^2)*$B$8+$B$5*SQRT($B$8)*BI92)</f>
        <v>40.6760250704344</v>
      </c>
      <c r="BJ36" s="32" t="n">
        <f aca="false">BI36*EXP(($B$4-0.5*$B$5^2)*$B$8+$B$5*SQRT($B$8)*BJ92)</f>
        <v>47.8419688166674</v>
      </c>
    </row>
    <row r="37" customFormat="false" ht="15" hidden="false" customHeight="true" outlineLevel="0" collapsed="false">
      <c r="A37" s="6" t="s">
        <v>141</v>
      </c>
      <c r="B37" s="32" t="n">
        <f aca="false">$B$3</f>
        <v>11.5</v>
      </c>
      <c r="C37" s="32" t="n">
        <f aca="false">B37*EXP(($B$4-0.5*$B$5^2)*$B$8+$B$5*SQRT($B$8)*C93)</f>
        <v>11.6492196288313</v>
      </c>
      <c r="D37" s="32" t="n">
        <f aca="false">C37*EXP(($B$4-0.5*$B$5^2)*$B$8+$B$5*SQRT($B$8)*D93)</f>
        <v>13.8584530633166</v>
      </c>
      <c r="E37" s="32" t="n">
        <f aca="false">D37*EXP(($B$4-0.5*$B$5^2)*$B$8+$B$5*SQRT($B$8)*E93)</f>
        <v>14.3707935956984</v>
      </c>
      <c r="F37" s="32" t="n">
        <f aca="false">E37*EXP(($B$4-0.5*$B$5^2)*$B$8+$B$5*SQRT($B$8)*F93)</f>
        <v>13.0073258408222</v>
      </c>
      <c r="G37" s="32" t="n">
        <f aca="false">F37*EXP(($B$4-0.5*$B$5^2)*$B$8+$B$5*SQRT($B$8)*G93)</f>
        <v>12.9080566900093</v>
      </c>
      <c r="H37" s="32" t="n">
        <f aca="false">G37*EXP(($B$4-0.5*$B$5^2)*$B$8+$B$5*SQRT($B$8)*H93)</f>
        <v>14.8253545713841</v>
      </c>
      <c r="I37" s="32" t="n">
        <f aca="false">H37*EXP(($B$4-0.5*$B$5^2)*$B$8+$B$5*SQRT($B$8)*I93)</f>
        <v>16.4823072014758</v>
      </c>
      <c r="J37" s="32" t="n">
        <f aca="false">I37*EXP(($B$4-0.5*$B$5^2)*$B$8+$B$5*SQRT($B$8)*J93)</f>
        <v>16.4809336000204</v>
      </c>
      <c r="K37" s="32" t="n">
        <f aca="false">J37*EXP(($B$4-0.5*$B$5^2)*$B$8+$B$5*SQRT($B$8)*K93)</f>
        <v>16.5688003146289</v>
      </c>
      <c r="L37" s="32" t="n">
        <f aca="false">K37*EXP(($B$4-0.5*$B$5^2)*$B$8+$B$5*SQRT($B$8)*L93)</f>
        <v>16.3568399461086</v>
      </c>
      <c r="M37" s="32" t="n">
        <f aca="false">L37*EXP(($B$4-0.5*$B$5^2)*$B$8+$B$5*SQRT($B$8)*M93)</f>
        <v>15.3210834653056</v>
      </c>
      <c r="N37" s="32" t="n">
        <f aca="false">M37*EXP(($B$4-0.5*$B$5^2)*$B$8+$B$5*SQRT($B$8)*N93)</f>
        <v>19.0466400417217</v>
      </c>
      <c r="O37" s="32" t="n">
        <f aca="false">N37*EXP(($B$4-0.5*$B$5^2)*$B$8+$B$5*SQRT($B$8)*O93)</f>
        <v>19.0585988358541</v>
      </c>
      <c r="P37" s="32" t="n">
        <f aca="false">O37*EXP(($B$4-0.5*$B$5^2)*$B$8+$B$5*SQRT($B$8)*P93)</f>
        <v>16.7729577072036</v>
      </c>
      <c r="Q37" s="32" t="n">
        <f aca="false">P37*EXP(($B$4-0.5*$B$5^2)*$B$8+$B$5*SQRT($B$8)*Q93)</f>
        <v>15.8915493766225</v>
      </c>
      <c r="R37" s="32" t="n">
        <f aca="false">Q37*EXP(($B$4-0.5*$B$5^2)*$B$8+$B$5*SQRT($B$8)*R93)</f>
        <v>17.2450942531779</v>
      </c>
      <c r="S37" s="32" t="n">
        <f aca="false">R37*EXP(($B$4-0.5*$B$5^2)*$B$8+$B$5*SQRT($B$8)*S93)</f>
        <v>18.535647567259</v>
      </c>
      <c r="T37" s="32" t="n">
        <f aca="false">S37*EXP(($B$4-0.5*$B$5^2)*$B$8+$B$5*SQRT($B$8)*T93)</f>
        <v>18.2478147362223</v>
      </c>
      <c r="U37" s="32" t="n">
        <f aca="false">T37*EXP(($B$4-0.5*$B$5^2)*$B$8+$B$5*SQRT($B$8)*U93)</f>
        <v>16.9195926892808</v>
      </c>
      <c r="V37" s="32" t="n">
        <f aca="false">U37*EXP(($B$4-0.5*$B$5^2)*$B$8+$B$5*SQRT($B$8)*V93)</f>
        <v>16.9621691758437</v>
      </c>
      <c r="W37" s="32" t="n">
        <f aca="false">V37*EXP(($B$4-0.5*$B$5^2)*$B$8+$B$5*SQRT($B$8)*W93)</f>
        <v>14.0419418653316</v>
      </c>
      <c r="X37" s="32" t="n">
        <f aca="false">W37*EXP(($B$4-0.5*$B$5^2)*$B$8+$B$5*SQRT($B$8)*X93)</f>
        <v>12.1222518622962</v>
      </c>
      <c r="Y37" s="32" t="n">
        <f aca="false">X37*EXP(($B$4-0.5*$B$5^2)*$B$8+$B$5*SQRT($B$8)*Y93)</f>
        <v>13.2628133424466</v>
      </c>
      <c r="Z37" s="32" t="n">
        <f aca="false">Y37*EXP(($B$4-0.5*$B$5^2)*$B$8+$B$5*SQRT($B$8)*Z93)</f>
        <v>12.5626202664478</v>
      </c>
      <c r="AA37" s="32" t="n">
        <f aca="false">Z37*EXP(($B$4-0.5*$B$5^2)*$B$8+$B$5*SQRT($B$8)*AA93)</f>
        <v>13.1028358510534</v>
      </c>
      <c r="AB37" s="32" t="n">
        <f aca="false">AA37*EXP(($B$4-0.5*$B$5^2)*$B$8+$B$5*SQRT($B$8)*AB93)</f>
        <v>15.0300334828173</v>
      </c>
      <c r="AC37" s="32" t="n">
        <f aca="false">AB37*EXP(($B$4-0.5*$B$5^2)*$B$8+$B$5*SQRT($B$8)*AC93)</f>
        <v>16.1696300583531</v>
      </c>
      <c r="AD37" s="32" t="n">
        <f aca="false">AC37*EXP(($B$4-0.5*$B$5^2)*$B$8+$B$5*SQRT($B$8)*AD93)</f>
        <v>16.2042879196245</v>
      </c>
      <c r="AE37" s="32" t="n">
        <f aca="false">AD37*EXP(($B$4-0.5*$B$5^2)*$B$8+$B$5*SQRT($B$8)*AE93)</f>
        <v>20.5962006596391</v>
      </c>
      <c r="AF37" s="32" t="n">
        <f aca="false">AE37*EXP(($B$4-0.5*$B$5^2)*$B$8+$B$5*SQRT($B$8)*AF93)</f>
        <v>22.2030538845925</v>
      </c>
      <c r="AG37" s="32" t="n">
        <f aca="false">AF37*EXP(($B$4-0.5*$B$5^2)*$B$8+$B$5*SQRT($B$8)*AG93)</f>
        <v>21.3289747600075</v>
      </c>
      <c r="AH37" s="32" t="n">
        <f aca="false">AG37*EXP(($B$4-0.5*$B$5^2)*$B$8+$B$5*SQRT($B$8)*AH93)</f>
        <v>23.1605723973543</v>
      </c>
      <c r="AI37" s="32" t="n">
        <f aca="false">AH37*EXP(($B$4-0.5*$B$5^2)*$B$8+$B$5*SQRT($B$8)*AI93)</f>
        <v>24.2464180717812</v>
      </c>
      <c r="AJ37" s="32" t="n">
        <f aca="false">AI37*EXP(($B$4-0.5*$B$5^2)*$B$8+$B$5*SQRT($B$8)*AJ93)</f>
        <v>22.0112599546131</v>
      </c>
      <c r="AK37" s="32" t="n">
        <f aca="false">AJ37*EXP(($B$4-0.5*$B$5^2)*$B$8+$B$5*SQRT($B$8)*AK93)</f>
        <v>22.1890675389167</v>
      </c>
      <c r="AL37" s="32" t="n">
        <f aca="false">AK37*EXP(($B$4-0.5*$B$5^2)*$B$8+$B$5*SQRT($B$8)*AL93)</f>
        <v>21.7760162310765</v>
      </c>
      <c r="AM37" s="32" t="n">
        <f aca="false">AL37*EXP(($B$4-0.5*$B$5^2)*$B$8+$B$5*SQRT($B$8)*AM93)</f>
        <v>17.4417810531804</v>
      </c>
      <c r="AN37" s="32" t="n">
        <f aca="false">AM37*EXP(($B$4-0.5*$B$5^2)*$B$8+$B$5*SQRT($B$8)*AN93)</f>
        <v>17.1027852608067</v>
      </c>
      <c r="AO37" s="32" t="n">
        <f aca="false">AN37*EXP(($B$4-0.5*$B$5^2)*$B$8+$B$5*SQRT($B$8)*AO93)</f>
        <v>16.5623199044036</v>
      </c>
      <c r="AP37" s="32" t="n">
        <f aca="false">AO37*EXP(($B$4-0.5*$B$5^2)*$B$8+$B$5*SQRT($B$8)*AP93)</f>
        <v>15.7606025378292</v>
      </c>
      <c r="AQ37" s="32" t="n">
        <f aca="false">AP37*EXP(($B$4-0.5*$B$5^2)*$B$8+$B$5*SQRT($B$8)*AQ93)</f>
        <v>13.0896585665137</v>
      </c>
      <c r="AR37" s="32" t="n">
        <f aca="false">AQ37*EXP(($B$4-0.5*$B$5^2)*$B$8+$B$5*SQRT($B$8)*AR93)</f>
        <v>12.5740895696229</v>
      </c>
      <c r="AS37" s="32" t="n">
        <f aca="false">AR37*EXP(($B$4-0.5*$B$5^2)*$B$8+$B$5*SQRT($B$8)*AS93)</f>
        <v>12.5156408655767</v>
      </c>
      <c r="AT37" s="32" t="n">
        <f aca="false">AS37*EXP(($B$4-0.5*$B$5^2)*$B$8+$B$5*SQRT($B$8)*AT93)</f>
        <v>12.6580263422648</v>
      </c>
      <c r="AU37" s="32" t="n">
        <f aca="false">AT37*EXP(($B$4-0.5*$B$5^2)*$B$8+$B$5*SQRT($B$8)*AU93)</f>
        <v>11.1345496124702</v>
      </c>
      <c r="AV37" s="32" t="n">
        <f aca="false">AU37*EXP(($B$4-0.5*$B$5^2)*$B$8+$B$5*SQRT($B$8)*AV93)</f>
        <v>11.9555683506048</v>
      </c>
      <c r="AW37" s="32" t="n">
        <f aca="false">AV37*EXP(($B$4-0.5*$B$5^2)*$B$8+$B$5*SQRT($B$8)*AW93)</f>
        <v>10.4221064372927</v>
      </c>
      <c r="AX37" s="32" t="n">
        <f aca="false">AW37*EXP(($B$4-0.5*$B$5^2)*$B$8+$B$5*SQRT($B$8)*AX93)</f>
        <v>10.1605350984669</v>
      </c>
      <c r="AY37" s="32" t="n">
        <f aca="false">AX37*EXP(($B$4-0.5*$B$5^2)*$B$8+$B$5*SQRT($B$8)*AY93)</f>
        <v>11.7694019553528</v>
      </c>
      <c r="AZ37" s="32" t="n">
        <f aca="false">AY37*EXP(($B$4-0.5*$B$5^2)*$B$8+$B$5*SQRT($B$8)*AZ93)</f>
        <v>10.883440941519</v>
      </c>
      <c r="BA37" s="32" t="n">
        <f aca="false">AZ37*EXP(($B$4-0.5*$B$5^2)*$B$8+$B$5*SQRT($B$8)*BA93)</f>
        <v>10.2724776666502</v>
      </c>
      <c r="BB37" s="32" t="n">
        <f aca="false">BA37*EXP(($B$4-0.5*$B$5^2)*$B$8+$B$5*SQRT($B$8)*BB93)</f>
        <v>11.5920433148715</v>
      </c>
      <c r="BC37" s="32" t="n">
        <f aca="false">BB37*EXP(($B$4-0.5*$B$5^2)*$B$8+$B$5*SQRT($B$8)*BC93)</f>
        <v>11.0987989440307</v>
      </c>
      <c r="BD37" s="32" t="n">
        <f aca="false">BC37*EXP(($B$4-0.5*$B$5^2)*$B$8+$B$5*SQRT($B$8)*BD93)</f>
        <v>10.7313352875993</v>
      </c>
      <c r="BE37" s="32" t="n">
        <f aca="false">BD37*EXP(($B$4-0.5*$B$5^2)*$B$8+$B$5*SQRT($B$8)*BE93)</f>
        <v>11.0003283627249</v>
      </c>
      <c r="BF37" s="32" t="n">
        <f aca="false">BE37*EXP(($B$4-0.5*$B$5^2)*$B$8+$B$5*SQRT($B$8)*BF93)</f>
        <v>12.3794847500753</v>
      </c>
      <c r="BG37" s="32" t="n">
        <f aca="false">BF37*EXP(($B$4-0.5*$B$5^2)*$B$8+$B$5*SQRT($B$8)*BG93)</f>
        <v>9.6546113512727</v>
      </c>
      <c r="BH37" s="32" t="n">
        <f aca="false">BG37*EXP(($B$4-0.5*$B$5^2)*$B$8+$B$5*SQRT($B$8)*BH93)</f>
        <v>8.7923479163899</v>
      </c>
      <c r="BI37" s="32" t="n">
        <f aca="false">BH37*EXP(($B$4-0.5*$B$5^2)*$B$8+$B$5*SQRT($B$8)*BI93)</f>
        <v>7.84731958794669</v>
      </c>
      <c r="BJ37" s="32" t="n">
        <f aca="false">BI37*EXP(($B$4-0.5*$B$5^2)*$B$8+$B$5*SQRT($B$8)*BJ93)</f>
        <v>6.94305146997582</v>
      </c>
    </row>
    <row r="38" customFormat="false" ht="15" hidden="false" customHeight="true" outlineLevel="0" collapsed="false">
      <c r="A38" s="6" t="s">
        <v>142</v>
      </c>
      <c r="B38" s="32" t="n">
        <f aca="false">$B$3</f>
        <v>11.5</v>
      </c>
      <c r="C38" s="32" t="n">
        <f aca="false">B38*EXP(($B$4-0.5*$B$5^2)*$B$8+$B$5*SQRT($B$8)*C94)</f>
        <v>10.4423941631714</v>
      </c>
      <c r="D38" s="32" t="n">
        <f aca="false">C38*EXP(($B$4-0.5*$B$5^2)*$B$8+$B$5*SQRT($B$8)*D94)</f>
        <v>9.49895384222563</v>
      </c>
      <c r="E38" s="32" t="n">
        <f aca="false">D38*EXP(($B$4-0.5*$B$5^2)*$B$8+$B$5*SQRT($B$8)*E94)</f>
        <v>9.82488322033778</v>
      </c>
      <c r="F38" s="32" t="n">
        <f aca="false">E38*EXP(($B$4-0.5*$B$5^2)*$B$8+$B$5*SQRT($B$8)*F94)</f>
        <v>8.88778334560002</v>
      </c>
      <c r="G38" s="32" t="n">
        <f aca="false">F38*EXP(($B$4-0.5*$B$5^2)*$B$8+$B$5*SQRT($B$8)*G94)</f>
        <v>9.00941827190858</v>
      </c>
      <c r="H38" s="32" t="n">
        <f aca="false">G38*EXP(($B$4-0.5*$B$5^2)*$B$8+$B$5*SQRT($B$8)*H94)</f>
        <v>9.42361327252577</v>
      </c>
      <c r="I38" s="32" t="n">
        <f aca="false">H38*EXP(($B$4-0.5*$B$5^2)*$B$8+$B$5*SQRT($B$8)*I94)</f>
        <v>8.67960831186153</v>
      </c>
      <c r="J38" s="32" t="n">
        <f aca="false">I38*EXP(($B$4-0.5*$B$5^2)*$B$8+$B$5*SQRT($B$8)*J94)</f>
        <v>8.80640082609199</v>
      </c>
      <c r="K38" s="32" t="n">
        <f aca="false">J38*EXP(($B$4-0.5*$B$5^2)*$B$8+$B$5*SQRT($B$8)*K94)</f>
        <v>10.5836838075393</v>
      </c>
      <c r="L38" s="32" t="n">
        <f aca="false">K38*EXP(($B$4-0.5*$B$5^2)*$B$8+$B$5*SQRT($B$8)*L94)</f>
        <v>10.9718839931387</v>
      </c>
      <c r="M38" s="32" t="n">
        <f aca="false">L38*EXP(($B$4-0.5*$B$5^2)*$B$8+$B$5*SQRT($B$8)*M94)</f>
        <v>10.2115872040594</v>
      </c>
      <c r="N38" s="32" t="n">
        <f aca="false">M38*EXP(($B$4-0.5*$B$5^2)*$B$8+$B$5*SQRT($B$8)*N94)</f>
        <v>10.1354852863151</v>
      </c>
      <c r="O38" s="32" t="n">
        <f aca="false">N38*EXP(($B$4-0.5*$B$5^2)*$B$8+$B$5*SQRT($B$8)*O94)</f>
        <v>9.14283325415028</v>
      </c>
      <c r="P38" s="32" t="n">
        <f aca="false">O38*EXP(($B$4-0.5*$B$5^2)*$B$8+$B$5*SQRT($B$8)*P94)</f>
        <v>9.42332383787022</v>
      </c>
      <c r="Q38" s="32" t="n">
        <f aca="false">P38*EXP(($B$4-0.5*$B$5^2)*$B$8+$B$5*SQRT($B$8)*Q94)</f>
        <v>10.3792245544312</v>
      </c>
      <c r="R38" s="32" t="n">
        <f aca="false">Q38*EXP(($B$4-0.5*$B$5^2)*$B$8+$B$5*SQRT($B$8)*R94)</f>
        <v>9.46596975811048</v>
      </c>
      <c r="S38" s="32" t="n">
        <f aca="false">R38*EXP(($B$4-0.5*$B$5^2)*$B$8+$B$5*SQRT($B$8)*S94)</f>
        <v>9.24470543723508</v>
      </c>
      <c r="T38" s="32" t="n">
        <f aca="false">S38*EXP(($B$4-0.5*$B$5^2)*$B$8+$B$5*SQRT($B$8)*T94)</f>
        <v>10.4711633714108</v>
      </c>
      <c r="U38" s="32" t="n">
        <f aca="false">T38*EXP(($B$4-0.5*$B$5^2)*$B$8+$B$5*SQRT($B$8)*U94)</f>
        <v>9.90126643334022</v>
      </c>
      <c r="V38" s="32" t="n">
        <f aca="false">U38*EXP(($B$4-0.5*$B$5^2)*$B$8+$B$5*SQRT($B$8)*V94)</f>
        <v>10.1102758773539</v>
      </c>
      <c r="W38" s="32" t="n">
        <f aca="false">V38*EXP(($B$4-0.5*$B$5^2)*$B$8+$B$5*SQRT($B$8)*W94)</f>
        <v>9.01249588556157</v>
      </c>
      <c r="X38" s="32" t="n">
        <f aca="false">W38*EXP(($B$4-0.5*$B$5^2)*$B$8+$B$5*SQRT($B$8)*X94)</f>
        <v>8.22054245464735</v>
      </c>
      <c r="Y38" s="32" t="n">
        <f aca="false">X38*EXP(($B$4-0.5*$B$5^2)*$B$8+$B$5*SQRT($B$8)*Y94)</f>
        <v>7.76037578604884</v>
      </c>
      <c r="Z38" s="32" t="n">
        <f aca="false">Y38*EXP(($B$4-0.5*$B$5^2)*$B$8+$B$5*SQRT($B$8)*Z94)</f>
        <v>9.85109115753315</v>
      </c>
      <c r="AA38" s="32" t="n">
        <f aca="false">Z38*EXP(($B$4-0.5*$B$5^2)*$B$8+$B$5*SQRT($B$8)*AA94)</f>
        <v>9.41710299289372</v>
      </c>
      <c r="AB38" s="32" t="n">
        <f aca="false">AA38*EXP(($B$4-0.5*$B$5^2)*$B$8+$B$5*SQRT($B$8)*AB94)</f>
        <v>8.88362353872356</v>
      </c>
      <c r="AC38" s="32" t="n">
        <f aca="false">AB38*EXP(($B$4-0.5*$B$5^2)*$B$8+$B$5*SQRT($B$8)*AC94)</f>
        <v>8.34986865583834</v>
      </c>
      <c r="AD38" s="32" t="n">
        <f aca="false">AC38*EXP(($B$4-0.5*$B$5^2)*$B$8+$B$5*SQRT($B$8)*AD94)</f>
        <v>8.19805120799952</v>
      </c>
      <c r="AE38" s="32" t="n">
        <f aca="false">AD38*EXP(($B$4-0.5*$B$5^2)*$B$8+$B$5*SQRT($B$8)*AE94)</f>
        <v>8.80805291410047</v>
      </c>
      <c r="AF38" s="32" t="n">
        <f aca="false">AE38*EXP(($B$4-0.5*$B$5^2)*$B$8+$B$5*SQRT($B$8)*AF94)</f>
        <v>8.99140859615679</v>
      </c>
      <c r="AG38" s="32" t="n">
        <f aca="false">AF38*EXP(($B$4-0.5*$B$5^2)*$B$8+$B$5*SQRT($B$8)*AG94)</f>
        <v>11.2663607419069</v>
      </c>
      <c r="AH38" s="32" t="n">
        <f aca="false">AG38*EXP(($B$4-0.5*$B$5^2)*$B$8+$B$5*SQRT($B$8)*AH94)</f>
        <v>11.5315936277637</v>
      </c>
      <c r="AI38" s="32" t="n">
        <f aca="false">AH38*EXP(($B$4-0.5*$B$5^2)*$B$8+$B$5*SQRT($B$8)*AI94)</f>
        <v>13.5134089825939</v>
      </c>
      <c r="AJ38" s="32" t="n">
        <f aca="false">AI38*EXP(($B$4-0.5*$B$5^2)*$B$8+$B$5*SQRT($B$8)*AJ94)</f>
        <v>13.927333836244</v>
      </c>
      <c r="AK38" s="32" t="n">
        <f aca="false">AJ38*EXP(($B$4-0.5*$B$5^2)*$B$8+$B$5*SQRT($B$8)*AK94)</f>
        <v>14.8812233543945</v>
      </c>
      <c r="AL38" s="32" t="n">
        <f aca="false">AK38*EXP(($B$4-0.5*$B$5^2)*$B$8+$B$5*SQRT($B$8)*AL94)</f>
        <v>12.6994536486529</v>
      </c>
      <c r="AM38" s="32" t="n">
        <f aca="false">AL38*EXP(($B$4-0.5*$B$5^2)*$B$8+$B$5*SQRT($B$8)*AM94)</f>
        <v>12.5213809131016</v>
      </c>
      <c r="AN38" s="32" t="n">
        <f aca="false">AM38*EXP(($B$4-0.5*$B$5^2)*$B$8+$B$5*SQRT($B$8)*AN94)</f>
        <v>12.4247567394073</v>
      </c>
      <c r="AO38" s="32" t="n">
        <f aca="false">AN38*EXP(($B$4-0.5*$B$5^2)*$B$8+$B$5*SQRT($B$8)*AO94)</f>
        <v>12.0957737460706</v>
      </c>
      <c r="AP38" s="32" t="n">
        <f aca="false">AO38*EXP(($B$4-0.5*$B$5^2)*$B$8+$B$5*SQRT($B$8)*AP94)</f>
        <v>9.54969694646618</v>
      </c>
      <c r="AQ38" s="32" t="n">
        <f aca="false">AP38*EXP(($B$4-0.5*$B$5^2)*$B$8+$B$5*SQRT($B$8)*AQ94)</f>
        <v>10.5163117699085</v>
      </c>
      <c r="AR38" s="32" t="n">
        <f aca="false">AQ38*EXP(($B$4-0.5*$B$5^2)*$B$8+$B$5*SQRT($B$8)*AR94)</f>
        <v>10.077197158947</v>
      </c>
      <c r="AS38" s="32" t="n">
        <f aca="false">AR38*EXP(($B$4-0.5*$B$5^2)*$B$8+$B$5*SQRT($B$8)*AS94)</f>
        <v>9.60262902554513</v>
      </c>
      <c r="AT38" s="32" t="n">
        <f aca="false">AS38*EXP(($B$4-0.5*$B$5^2)*$B$8+$B$5*SQRT($B$8)*AT94)</f>
        <v>9.33585305498941</v>
      </c>
      <c r="AU38" s="32" t="n">
        <f aca="false">AT38*EXP(($B$4-0.5*$B$5^2)*$B$8+$B$5*SQRT($B$8)*AU94)</f>
        <v>9.10350333685408</v>
      </c>
      <c r="AV38" s="32" t="n">
        <f aca="false">AU38*EXP(($B$4-0.5*$B$5^2)*$B$8+$B$5*SQRT($B$8)*AV94)</f>
        <v>9.51751019931793</v>
      </c>
      <c r="AW38" s="32" t="n">
        <f aca="false">AV38*EXP(($B$4-0.5*$B$5^2)*$B$8+$B$5*SQRT($B$8)*AW94)</f>
        <v>8.27734357947127</v>
      </c>
      <c r="AX38" s="32" t="n">
        <f aca="false">AW38*EXP(($B$4-0.5*$B$5^2)*$B$8+$B$5*SQRT($B$8)*AX94)</f>
        <v>7.47232844877665</v>
      </c>
      <c r="AY38" s="32" t="n">
        <f aca="false">AX38*EXP(($B$4-0.5*$B$5^2)*$B$8+$B$5*SQRT($B$8)*AY94)</f>
        <v>7.71298131266551</v>
      </c>
      <c r="AZ38" s="32" t="n">
        <f aca="false">AY38*EXP(($B$4-0.5*$B$5^2)*$B$8+$B$5*SQRT($B$8)*AZ94)</f>
        <v>7.83570923498373</v>
      </c>
      <c r="BA38" s="32" t="n">
        <f aca="false">AZ38*EXP(($B$4-0.5*$B$5^2)*$B$8+$B$5*SQRT($B$8)*BA94)</f>
        <v>7.51717442686007</v>
      </c>
      <c r="BB38" s="32" t="n">
        <f aca="false">BA38*EXP(($B$4-0.5*$B$5^2)*$B$8+$B$5*SQRT($B$8)*BB94)</f>
        <v>7.05721700138334</v>
      </c>
      <c r="BC38" s="32" t="n">
        <f aca="false">BB38*EXP(($B$4-0.5*$B$5^2)*$B$8+$B$5*SQRT($B$8)*BC94)</f>
        <v>6.43874687071988</v>
      </c>
      <c r="BD38" s="32" t="n">
        <f aca="false">BC38*EXP(($B$4-0.5*$B$5^2)*$B$8+$B$5*SQRT($B$8)*BD94)</f>
        <v>6.39648897603157</v>
      </c>
      <c r="BE38" s="32" t="n">
        <f aca="false">BD38*EXP(($B$4-0.5*$B$5^2)*$B$8+$B$5*SQRT($B$8)*BE94)</f>
        <v>7.27968934667281</v>
      </c>
      <c r="BF38" s="32" t="n">
        <f aca="false">BE38*EXP(($B$4-0.5*$B$5^2)*$B$8+$B$5*SQRT($B$8)*BF94)</f>
        <v>6.48077652597934</v>
      </c>
      <c r="BG38" s="32" t="n">
        <f aca="false">BF38*EXP(($B$4-0.5*$B$5^2)*$B$8+$B$5*SQRT($B$8)*BG94)</f>
        <v>7.65806805747142</v>
      </c>
      <c r="BH38" s="32" t="n">
        <f aca="false">BG38*EXP(($B$4-0.5*$B$5^2)*$B$8+$B$5*SQRT($B$8)*BH94)</f>
        <v>8.39938310081706</v>
      </c>
      <c r="BI38" s="32" t="n">
        <f aca="false">BH38*EXP(($B$4-0.5*$B$5^2)*$B$8+$B$5*SQRT($B$8)*BI94)</f>
        <v>7.9907639595003</v>
      </c>
      <c r="BJ38" s="32" t="n">
        <f aca="false">BI38*EXP(($B$4-0.5*$B$5^2)*$B$8+$B$5*SQRT($B$8)*BJ94)</f>
        <v>8.70592344261937</v>
      </c>
    </row>
    <row r="39" customFormat="false" ht="15" hidden="false" customHeight="true" outlineLevel="0" collapsed="false">
      <c r="A39" s="6" t="s">
        <v>143</v>
      </c>
      <c r="B39" s="32" t="n">
        <f aca="false">$B$3</f>
        <v>11.5</v>
      </c>
      <c r="C39" s="32" t="n">
        <f aca="false">B39*EXP(($B$4-0.5*$B$5^2)*$B$8+$B$5*SQRT($B$8)*C95)</f>
        <v>9.78997744729739</v>
      </c>
      <c r="D39" s="32" t="n">
        <f aca="false">C39*EXP(($B$4-0.5*$B$5^2)*$B$8+$B$5*SQRT($B$8)*D95)</f>
        <v>8.09484970067975</v>
      </c>
      <c r="E39" s="32" t="n">
        <f aca="false">D39*EXP(($B$4-0.5*$B$5^2)*$B$8+$B$5*SQRT($B$8)*E95)</f>
        <v>7.0255957891148</v>
      </c>
      <c r="F39" s="32" t="n">
        <f aca="false">E39*EXP(($B$4-0.5*$B$5^2)*$B$8+$B$5*SQRT($B$8)*F95)</f>
        <v>6.71557136379832</v>
      </c>
      <c r="G39" s="32" t="n">
        <f aca="false">F39*EXP(($B$4-0.5*$B$5^2)*$B$8+$B$5*SQRT($B$8)*G95)</f>
        <v>6.47889019442395</v>
      </c>
      <c r="H39" s="32" t="n">
        <f aca="false">G39*EXP(($B$4-0.5*$B$5^2)*$B$8+$B$5*SQRT($B$8)*H95)</f>
        <v>6.12180231792051</v>
      </c>
      <c r="I39" s="32" t="n">
        <f aca="false">H39*EXP(($B$4-0.5*$B$5^2)*$B$8+$B$5*SQRT($B$8)*I95)</f>
        <v>6.18779957254841</v>
      </c>
      <c r="J39" s="32" t="n">
        <f aca="false">I39*EXP(($B$4-0.5*$B$5^2)*$B$8+$B$5*SQRT($B$8)*J95)</f>
        <v>4.89481846411514</v>
      </c>
      <c r="K39" s="32" t="n">
        <f aca="false">J39*EXP(($B$4-0.5*$B$5^2)*$B$8+$B$5*SQRT($B$8)*K95)</f>
        <v>5.16720527949475</v>
      </c>
      <c r="L39" s="32" t="n">
        <f aca="false">K39*EXP(($B$4-0.5*$B$5^2)*$B$8+$B$5*SQRT($B$8)*L95)</f>
        <v>4.42139945869499</v>
      </c>
      <c r="M39" s="32" t="n">
        <f aca="false">L39*EXP(($B$4-0.5*$B$5^2)*$B$8+$B$5*SQRT($B$8)*M95)</f>
        <v>4.11146700375094</v>
      </c>
      <c r="N39" s="32" t="n">
        <f aca="false">M39*EXP(($B$4-0.5*$B$5^2)*$B$8+$B$5*SQRT($B$8)*N95)</f>
        <v>3.92869886877818</v>
      </c>
      <c r="O39" s="32" t="n">
        <f aca="false">N39*EXP(($B$4-0.5*$B$5^2)*$B$8+$B$5*SQRT($B$8)*O95)</f>
        <v>3.46008322356588</v>
      </c>
      <c r="P39" s="32" t="n">
        <f aca="false">O39*EXP(($B$4-0.5*$B$5^2)*$B$8+$B$5*SQRT($B$8)*P95)</f>
        <v>2.97640254984693</v>
      </c>
      <c r="Q39" s="32" t="n">
        <f aca="false">P39*EXP(($B$4-0.5*$B$5^2)*$B$8+$B$5*SQRT($B$8)*Q95)</f>
        <v>2.66490484369636</v>
      </c>
      <c r="R39" s="32" t="n">
        <f aca="false">Q39*EXP(($B$4-0.5*$B$5^2)*$B$8+$B$5*SQRT($B$8)*R95)</f>
        <v>2.66093359105368</v>
      </c>
      <c r="S39" s="32" t="n">
        <f aca="false">R39*EXP(($B$4-0.5*$B$5^2)*$B$8+$B$5*SQRT($B$8)*S95)</f>
        <v>2.83832109105332</v>
      </c>
      <c r="T39" s="32" t="n">
        <f aca="false">S39*EXP(($B$4-0.5*$B$5^2)*$B$8+$B$5*SQRT($B$8)*T95)</f>
        <v>3.01899511289326</v>
      </c>
      <c r="U39" s="32" t="n">
        <f aca="false">T39*EXP(($B$4-0.5*$B$5^2)*$B$8+$B$5*SQRT($B$8)*U95)</f>
        <v>2.7064788198474</v>
      </c>
      <c r="V39" s="32" t="n">
        <f aca="false">U39*EXP(($B$4-0.5*$B$5^2)*$B$8+$B$5*SQRT($B$8)*V95)</f>
        <v>2.48092591942603</v>
      </c>
      <c r="W39" s="32" t="n">
        <f aca="false">V39*EXP(($B$4-0.5*$B$5^2)*$B$8+$B$5*SQRT($B$8)*W95)</f>
        <v>2.24220895289324</v>
      </c>
      <c r="X39" s="32" t="n">
        <f aca="false">W39*EXP(($B$4-0.5*$B$5^2)*$B$8+$B$5*SQRT($B$8)*X95)</f>
        <v>2.35518915680044</v>
      </c>
      <c r="Y39" s="32" t="n">
        <f aca="false">X39*EXP(($B$4-0.5*$B$5^2)*$B$8+$B$5*SQRT($B$8)*Y95)</f>
        <v>1.88313839721624</v>
      </c>
      <c r="Z39" s="32" t="n">
        <f aca="false">Y39*EXP(($B$4-0.5*$B$5^2)*$B$8+$B$5*SQRT($B$8)*Z95)</f>
        <v>2.15674029239728</v>
      </c>
      <c r="AA39" s="32" t="n">
        <f aca="false">Z39*EXP(($B$4-0.5*$B$5^2)*$B$8+$B$5*SQRT($B$8)*AA95)</f>
        <v>2.04466344586156</v>
      </c>
      <c r="AB39" s="32" t="n">
        <f aca="false">AA39*EXP(($B$4-0.5*$B$5^2)*$B$8+$B$5*SQRT($B$8)*AB95)</f>
        <v>1.8759212895439</v>
      </c>
      <c r="AC39" s="32" t="n">
        <f aca="false">AB39*EXP(($B$4-0.5*$B$5^2)*$B$8+$B$5*SQRT($B$8)*AC95)</f>
        <v>1.9467347278975</v>
      </c>
      <c r="AD39" s="32" t="n">
        <f aca="false">AC39*EXP(($B$4-0.5*$B$5^2)*$B$8+$B$5*SQRT($B$8)*AD95)</f>
        <v>2.17982562742343</v>
      </c>
      <c r="AE39" s="32" t="n">
        <f aca="false">AD39*EXP(($B$4-0.5*$B$5^2)*$B$8+$B$5*SQRT($B$8)*AE95)</f>
        <v>2.26288773073236</v>
      </c>
      <c r="AF39" s="32" t="n">
        <f aca="false">AE39*EXP(($B$4-0.5*$B$5^2)*$B$8+$B$5*SQRT($B$8)*AF95)</f>
        <v>2.53943307546303</v>
      </c>
      <c r="AG39" s="32" t="n">
        <f aca="false">AF39*EXP(($B$4-0.5*$B$5^2)*$B$8+$B$5*SQRT($B$8)*AG95)</f>
        <v>2.5766657623077</v>
      </c>
      <c r="AH39" s="32" t="n">
        <f aca="false">AG39*EXP(($B$4-0.5*$B$5^2)*$B$8+$B$5*SQRT($B$8)*AH95)</f>
        <v>2.94821529880594</v>
      </c>
      <c r="AI39" s="32" t="n">
        <f aca="false">AH39*EXP(($B$4-0.5*$B$5^2)*$B$8+$B$5*SQRT($B$8)*AI95)</f>
        <v>3.37908996577384</v>
      </c>
      <c r="AJ39" s="32" t="n">
        <f aca="false">AI39*EXP(($B$4-0.5*$B$5^2)*$B$8+$B$5*SQRT($B$8)*AJ95)</f>
        <v>3.34180345854633</v>
      </c>
      <c r="AK39" s="32" t="n">
        <f aca="false">AJ39*EXP(($B$4-0.5*$B$5^2)*$B$8+$B$5*SQRT($B$8)*AK95)</f>
        <v>3.91260427736923</v>
      </c>
      <c r="AL39" s="32" t="n">
        <f aca="false">AK39*EXP(($B$4-0.5*$B$5^2)*$B$8+$B$5*SQRT($B$8)*AL95)</f>
        <v>3.98322022310144</v>
      </c>
      <c r="AM39" s="32" t="n">
        <f aca="false">AL39*EXP(($B$4-0.5*$B$5^2)*$B$8+$B$5*SQRT($B$8)*AM95)</f>
        <v>4.02063217079416</v>
      </c>
      <c r="AN39" s="32" t="n">
        <f aca="false">AM39*EXP(($B$4-0.5*$B$5^2)*$B$8+$B$5*SQRT($B$8)*AN95)</f>
        <v>3.63341628024129</v>
      </c>
      <c r="AO39" s="32" t="n">
        <f aca="false">AN39*EXP(($B$4-0.5*$B$5^2)*$B$8+$B$5*SQRT($B$8)*AO95)</f>
        <v>3.51947498227376</v>
      </c>
      <c r="AP39" s="32" t="n">
        <f aca="false">AO39*EXP(($B$4-0.5*$B$5^2)*$B$8+$B$5*SQRT($B$8)*AP95)</f>
        <v>3.83215243129396</v>
      </c>
      <c r="AQ39" s="32" t="n">
        <f aca="false">AP39*EXP(($B$4-0.5*$B$5^2)*$B$8+$B$5*SQRT($B$8)*AQ95)</f>
        <v>3.31762931339777</v>
      </c>
      <c r="AR39" s="32" t="n">
        <f aca="false">AQ39*EXP(($B$4-0.5*$B$5^2)*$B$8+$B$5*SQRT($B$8)*AR95)</f>
        <v>3.5620230134396</v>
      </c>
      <c r="AS39" s="32" t="n">
        <f aca="false">AR39*EXP(($B$4-0.5*$B$5^2)*$B$8+$B$5*SQRT($B$8)*AS95)</f>
        <v>3.70020150826956</v>
      </c>
      <c r="AT39" s="32" t="n">
        <f aca="false">AS39*EXP(($B$4-0.5*$B$5^2)*$B$8+$B$5*SQRT($B$8)*AT95)</f>
        <v>3.81389690685259</v>
      </c>
      <c r="AU39" s="32" t="n">
        <f aca="false">AT39*EXP(($B$4-0.5*$B$5^2)*$B$8+$B$5*SQRT($B$8)*AU95)</f>
        <v>2.99344099252081</v>
      </c>
      <c r="AV39" s="32" t="n">
        <f aca="false">AU39*EXP(($B$4-0.5*$B$5^2)*$B$8+$B$5*SQRT($B$8)*AV95)</f>
        <v>2.95918778514778</v>
      </c>
      <c r="AW39" s="32" t="n">
        <f aca="false">AV39*EXP(($B$4-0.5*$B$5^2)*$B$8+$B$5*SQRT($B$8)*AW95)</f>
        <v>3.17670147845748</v>
      </c>
      <c r="AX39" s="32" t="n">
        <f aca="false">AW39*EXP(($B$4-0.5*$B$5^2)*$B$8+$B$5*SQRT($B$8)*AX95)</f>
        <v>2.92111831264149</v>
      </c>
      <c r="AY39" s="32" t="n">
        <f aca="false">AX39*EXP(($B$4-0.5*$B$5^2)*$B$8+$B$5*SQRT($B$8)*AY95)</f>
        <v>2.94965887138027</v>
      </c>
      <c r="AZ39" s="32" t="n">
        <f aca="false">AY39*EXP(($B$4-0.5*$B$5^2)*$B$8+$B$5*SQRT($B$8)*AZ95)</f>
        <v>2.27195287162815</v>
      </c>
      <c r="BA39" s="32" t="n">
        <f aca="false">AZ39*EXP(($B$4-0.5*$B$5^2)*$B$8+$B$5*SQRT($B$8)*BA95)</f>
        <v>2.44514866493636</v>
      </c>
      <c r="BB39" s="32" t="n">
        <f aca="false">BA39*EXP(($B$4-0.5*$B$5^2)*$B$8+$B$5*SQRT($B$8)*BB95)</f>
        <v>2.27335336972987</v>
      </c>
      <c r="BC39" s="32" t="n">
        <f aca="false">BB39*EXP(($B$4-0.5*$B$5^2)*$B$8+$B$5*SQRT($B$8)*BC95)</f>
        <v>2.50091712710904</v>
      </c>
      <c r="BD39" s="32" t="n">
        <f aca="false">BC39*EXP(($B$4-0.5*$B$5^2)*$B$8+$B$5*SQRT($B$8)*BD95)</f>
        <v>2.04281116873468</v>
      </c>
      <c r="BE39" s="32" t="n">
        <f aca="false">BD39*EXP(($B$4-0.5*$B$5^2)*$B$8+$B$5*SQRT($B$8)*BE95)</f>
        <v>2.20357908388627</v>
      </c>
      <c r="BF39" s="32" t="n">
        <f aca="false">BE39*EXP(($B$4-0.5*$B$5^2)*$B$8+$B$5*SQRT($B$8)*BF95)</f>
        <v>2.14664925149833</v>
      </c>
      <c r="BG39" s="32" t="n">
        <f aca="false">BF39*EXP(($B$4-0.5*$B$5^2)*$B$8+$B$5*SQRT($B$8)*BG95)</f>
        <v>2.34507212117209</v>
      </c>
      <c r="BH39" s="32" t="n">
        <f aca="false">BG39*EXP(($B$4-0.5*$B$5^2)*$B$8+$B$5*SQRT($B$8)*BH95)</f>
        <v>2.11824020583725</v>
      </c>
      <c r="BI39" s="32" t="n">
        <f aca="false">BH39*EXP(($B$4-0.5*$B$5^2)*$B$8+$B$5*SQRT($B$8)*BI95)</f>
        <v>1.97893677152628</v>
      </c>
      <c r="BJ39" s="32" t="n">
        <f aca="false">BI39*EXP(($B$4-0.5*$B$5^2)*$B$8+$B$5*SQRT($B$8)*BJ95)</f>
        <v>2.53037006225152</v>
      </c>
    </row>
    <row r="40" customFormat="false" ht="15" hidden="false" customHeight="true" outlineLevel="0" collapsed="false">
      <c r="A40" s="6" t="s">
        <v>144</v>
      </c>
      <c r="B40" s="32" t="n">
        <f aca="false">$B$3</f>
        <v>11.5</v>
      </c>
      <c r="C40" s="32" t="n">
        <f aca="false">B40*EXP(($B$4-0.5*$B$5^2)*$B$8+$B$5*SQRT($B$8)*C96)</f>
        <v>10.497328681573</v>
      </c>
      <c r="D40" s="32" t="n">
        <f aca="false">C40*EXP(($B$4-0.5*$B$5^2)*$B$8+$B$5*SQRT($B$8)*D96)</f>
        <v>9.71322860878337</v>
      </c>
      <c r="E40" s="32" t="n">
        <f aca="false">D40*EXP(($B$4-0.5*$B$5^2)*$B$8+$B$5*SQRT($B$8)*E96)</f>
        <v>9.42122668639775</v>
      </c>
      <c r="F40" s="32" t="n">
        <f aca="false">E40*EXP(($B$4-0.5*$B$5^2)*$B$8+$B$5*SQRT($B$8)*F96)</f>
        <v>8.42000820480404</v>
      </c>
      <c r="G40" s="32" t="n">
        <f aca="false">F40*EXP(($B$4-0.5*$B$5^2)*$B$8+$B$5*SQRT($B$8)*G96)</f>
        <v>9.59283507163481</v>
      </c>
      <c r="H40" s="32" t="n">
        <f aca="false">G40*EXP(($B$4-0.5*$B$5^2)*$B$8+$B$5*SQRT($B$8)*H96)</f>
        <v>11.5890553802238</v>
      </c>
      <c r="I40" s="32" t="n">
        <f aca="false">H40*EXP(($B$4-0.5*$B$5^2)*$B$8+$B$5*SQRT($B$8)*I96)</f>
        <v>10.7256686788735</v>
      </c>
      <c r="J40" s="32" t="n">
        <f aca="false">I40*EXP(($B$4-0.5*$B$5^2)*$B$8+$B$5*SQRT($B$8)*J96)</f>
        <v>8.87392055193221</v>
      </c>
      <c r="K40" s="32" t="n">
        <f aca="false">J40*EXP(($B$4-0.5*$B$5^2)*$B$8+$B$5*SQRT($B$8)*K96)</f>
        <v>10.0894995531893</v>
      </c>
      <c r="L40" s="32" t="n">
        <f aca="false">K40*EXP(($B$4-0.5*$B$5^2)*$B$8+$B$5*SQRT($B$8)*L96)</f>
        <v>11.3918537652825</v>
      </c>
      <c r="M40" s="32" t="n">
        <f aca="false">L40*EXP(($B$4-0.5*$B$5^2)*$B$8+$B$5*SQRT($B$8)*M96)</f>
        <v>12.4640482994643</v>
      </c>
      <c r="N40" s="32" t="n">
        <f aca="false">M40*EXP(($B$4-0.5*$B$5^2)*$B$8+$B$5*SQRT($B$8)*N96)</f>
        <v>14.1473927145863</v>
      </c>
      <c r="O40" s="32" t="n">
        <f aca="false">N40*EXP(($B$4-0.5*$B$5^2)*$B$8+$B$5*SQRT($B$8)*O96)</f>
        <v>12.8607814593561</v>
      </c>
      <c r="P40" s="32" t="n">
        <f aca="false">O40*EXP(($B$4-0.5*$B$5^2)*$B$8+$B$5*SQRT($B$8)*P96)</f>
        <v>12.6229385086674</v>
      </c>
      <c r="Q40" s="32" t="n">
        <f aca="false">P40*EXP(($B$4-0.5*$B$5^2)*$B$8+$B$5*SQRT($B$8)*Q96)</f>
        <v>10.8427894478877</v>
      </c>
      <c r="R40" s="32" t="n">
        <f aca="false">Q40*EXP(($B$4-0.5*$B$5^2)*$B$8+$B$5*SQRT($B$8)*R96)</f>
        <v>9.2789592186576</v>
      </c>
      <c r="S40" s="32" t="n">
        <f aca="false">R40*EXP(($B$4-0.5*$B$5^2)*$B$8+$B$5*SQRT($B$8)*S96)</f>
        <v>10.3314173795733</v>
      </c>
      <c r="T40" s="32" t="n">
        <f aca="false">S40*EXP(($B$4-0.5*$B$5^2)*$B$8+$B$5*SQRT($B$8)*T96)</f>
        <v>9.59555128114494</v>
      </c>
      <c r="U40" s="32" t="n">
        <f aca="false">T40*EXP(($B$4-0.5*$B$5^2)*$B$8+$B$5*SQRT($B$8)*U96)</f>
        <v>12.3194263124599</v>
      </c>
      <c r="V40" s="32" t="n">
        <f aca="false">U40*EXP(($B$4-0.5*$B$5^2)*$B$8+$B$5*SQRT($B$8)*V96)</f>
        <v>12.4178053795106</v>
      </c>
      <c r="W40" s="32" t="n">
        <f aca="false">V40*EXP(($B$4-0.5*$B$5^2)*$B$8+$B$5*SQRT($B$8)*W96)</f>
        <v>11.5732411221561</v>
      </c>
      <c r="X40" s="32" t="n">
        <f aca="false">W40*EXP(($B$4-0.5*$B$5^2)*$B$8+$B$5*SQRT($B$8)*X96)</f>
        <v>12.6295278855054</v>
      </c>
      <c r="Y40" s="32" t="n">
        <f aca="false">X40*EXP(($B$4-0.5*$B$5^2)*$B$8+$B$5*SQRT($B$8)*Y96)</f>
        <v>15.3858228347395</v>
      </c>
      <c r="Z40" s="32" t="n">
        <f aca="false">Y40*EXP(($B$4-0.5*$B$5^2)*$B$8+$B$5*SQRT($B$8)*Z96)</f>
        <v>16.2255968313055</v>
      </c>
      <c r="AA40" s="32" t="n">
        <f aca="false">Z40*EXP(($B$4-0.5*$B$5^2)*$B$8+$B$5*SQRT($B$8)*AA96)</f>
        <v>14.1950041995542</v>
      </c>
      <c r="AB40" s="32" t="n">
        <f aca="false">AA40*EXP(($B$4-0.5*$B$5^2)*$B$8+$B$5*SQRT($B$8)*AB96)</f>
        <v>14.7819150910847</v>
      </c>
      <c r="AC40" s="32" t="n">
        <f aca="false">AB40*EXP(($B$4-0.5*$B$5^2)*$B$8+$B$5*SQRT($B$8)*AC96)</f>
        <v>17.1864195344418</v>
      </c>
      <c r="AD40" s="32" t="n">
        <f aca="false">AC40*EXP(($B$4-0.5*$B$5^2)*$B$8+$B$5*SQRT($B$8)*AD96)</f>
        <v>16.2782416123995</v>
      </c>
      <c r="AE40" s="32" t="n">
        <f aca="false">AD40*EXP(($B$4-0.5*$B$5^2)*$B$8+$B$5*SQRT($B$8)*AE96)</f>
        <v>14.951029461866</v>
      </c>
      <c r="AF40" s="32" t="n">
        <f aca="false">AE40*EXP(($B$4-0.5*$B$5^2)*$B$8+$B$5*SQRT($B$8)*AF96)</f>
        <v>16.711509184122</v>
      </c>
      <c r="AG40" s="32" t="n">
        <f aca="false">AF40*EXP(($B$4-0.5*$B$5^2)*$B$8+$B$5*SQRT($B$8)*AG96)</f>
        <v>16.9669663844158</v>
      </c>
      <c r="AH40" s="32" t="n">
        <f aca="false">AG40*EXP(($B$4-0.5*$B$5^2)*$B$8+$B$5*SQRT($B$8)*AH96)</f>
        <v>15.0313782626342</v>
      </c>
      <c r="AI40" s="32" t="n">
        <f aca="false">AH40*EXP(($B$4-0.5*$B$5^2)*$B$8+$B$5*SQRT($B$8)*AI96)</f>
        <v>14.4154374068635</v>
      </c>
      <c r="AJ40" s="32" t="n">
        <f aca="false">AI40*EXP(($B$4-0.5*$B$5^2)*$B$8+$B$5*SQRT($B$8)*AJ96)</f>
        <v>13.2662441095452</v>
      </c>
      <c r="AK40" s="32" t="n">
        <f aca="false">AJ40*EXP(($B$4-0.5*$B$5^2)*$B$8+$B$5*SQRT($B$8)*AK96)</f>
        <v>13.7019627567897</v>
      </c>
      <c r="AL40" s="32" t="n">
        <f aca="false">AK40*EXP(($B$4-0.5*$B$5^2)*$B$8+$B$5*SQRT($B$8)*AL96)</f>
        <v>13.8652785497414</v>
      </c>
      <c r="AM40" s="32" t="n">
        <f aca="false">AL40*EXP(($B$4-0.5*$B$5^2)*$B$8+$B$5*SQRT($B$8)*AM96)</f>
        <v>15.7274014849286</v>
      </c>
      <c r="AN40" s="32" t="n">
        <f aca="false">AM40*EXP(($B$4-0.5*$B$5^2)*$B$8+$B$5*SQRT($B$8)*AN96)</f>
        <v>16.9975460359435</v>
      </c>
      <c r="AO40" s="32" t="n">
        <f aca="false">AN40*EXP(($B$4-0.5*$B$5^2)*$B$8+$B$5*SQRT($B$8)*AO96)</f>
        <v>14.3159079459546</v>
      </c>
      <c r="AP40" s="32" t="n">
        <f aca="false">AO40*EXP(($B$4-0.5*$B$5^2)*$B$8+$B$5*SQRT($B$8)*AP96)</f>
        <v>14.9667861156333</v>
      </c>
      <c r="AQ40" s="32" t="n">
        <f aca="false">AP40*EXP(($B$4-0.5*$B$5^2)*$B$8+$B$5*SQRT($B$8)*AQ96)</f>
        <v>16.5112263730548</v>
      </c>
      <c r="AR40" s="32" t="n">
        <f aca="false">AQ40*EXP(($B$4-0.5*$B$5^2)*$B$8+$B$5*SQRT($B$8)*AR96)</f>
        <v>17.3547385745777</v>
      </c>
      <c r="AS40" s="32" t="n">
        <f aca="false">AR40*EXP(($B$4-0.5*$B$5^2)*$B$8+$B$5*SQRT($B$8)*AS96)</f>
        <v>19.4272407700415</v>
      </c>
      <c r="AT40" s="32" t="n">
        <f aca="false">AS40*EXP(($B$4-0.5*$B$5^2)*$B$8+$B$5*SQRT($B$8)*AT96)</f>
        <v>18.2872886744049</v>
      </c>
      <c r="AU40" s="32" t="n">
        <f aca="false">AT40*EXP(($B$4-0.5*$B$5^2)*$B$8+$B$5*SQRT($B$8)*AU96)</f>
        <v>16.4729543380302</v>
      </c>
      <c r="AV40" s="32" t="n">
        <f aca="false">AU40*EXP(($B$4-0.5*$B$5^2)*$B$8+$B$5*SQRT($B$8)*AV96)</f>
        <v>18.2389979428456</v>
      </c>
      <c r="AW40" s="32" t="n">
        <f aca="false">AV40*EXP(($B$4-0.5*$B$5^2)*$B$8+$B$5*SQRT($B$8)*AW96)</f>
        <v>16.2241506441258</v>
      </c>
      <c r="AX40" s="32" t="n">
        <f aca="false">AW40*EXP(($B$4-0.5*$B$5^2)*$B$8+$B$5*SQRT($B$8)*AX96)</f>
        <v>12.7997259415555</v>
      </c>
      <c r="AY40" s="32" t="n">
        <f aca="false">AX40*EXP(($B$4-0.5*$B$5^2)*$B$8+$B$5*SQRT($B$8)*AY96)</f>
        <v>14.3207895239418</v>
      </c>
      <c r="AZ40" s="32" t="n">
        <f aca="false">AY40*EXP(($B$4-0.5*$B$5^2)*$B$8+$B$5*SQRT($B$8)*AZ96)</f>
        <v>13.2247274957397</v>
      </c>
      <c r="BA40" s="32" t="n">
        <f aca="false">AZ40*EXP(($B$4-0.5*$B$5^2)*$B$8+$B$5*SQRT($B$8)*BA96)</f>
        <v>12.7857418525501</v>
      </c>
      <c r="BB40" s="32" t="n">
        <f aca="false">BA40*EXP(($B$4-0.5*$B$5^2)*$B$8+$B$5*SQRT($B$8)*BB96)</f>
        <v>10.9659364949714</v>
      </c>
      <c r="BC40" s="32" t="n">
        <f aca="false">BB40*EXP(($B$4-0.5*$B$5^2)*$B$8+$B$5*SQRT($B$8)*BC96)</f>
        <v>9.48019274493313</v>
      </c>
      <c r="BD40" s="32" t="n">
        <f aca="false">BC40*EXP(($B$4-0.5*$B$5^2)*$B$8+$B$5*SQRT($B$8)*BD96)</f>
        <v>8.34904789167402</v>
      </c>
      <c r="BE40" s="32" t="n">
        <f aca="false">BD40*EXP(($B$4-0.5*$B$5^2)*$B$8+$B$5*SQRT($B$8)*BE96)</f>
        <v>8.02371979488039</v>
      </c>
      <c r="BF40" s="32" t="n">
        <f aca="false">BE40*EXP(($B$4-0.5*$B$5^2)*$B$8+$B$5*SQRT($B$8)*BF96)</f>
        <v>8.35455098406573</v>
      </c>
      <c r="BG40" s="32" t="n">
        <f aca="false">BF40*EXP(($B$4-0.5*$B$5^2)*$B$8+$B$5*SQRT($B$8)*BG96)</f>
        <v>6.49193813076763</v>
      </c>
      <c r="BH40" s="32" t="n">
        <f aca="false">BG40*EXP(($B$4-0.5*$B$5^2)*$B$8+$B$5*SQRT($B$8)*BH96)</f>
        <v>7.04901992423289</v>
      </c>
      <c r="BI40" s="32" t="n">
        <f aca="false">BH40*EXP(($B$4-0.5*$B$5^2)*$B$8+$B$5*SQRT($B$8)*BI96)</f>
        <v>6.19067504003957</v>
      </c>
      <c r="BJ40" s="32" t="n">
        <f aca="false">BI40*EXP(($B$4-0.5*$B$5^2)*$B$8+$B$5*SQRT($B$8)*BJ96)</f>
        <v>5.5062845118466</v>
      </c>
    </row>
    <row r="41" customFormat="false" ht="15" hidden="false" customHeight="true" outlineLevel="0" collapsed="false">
      <c r="A41" s="6" t="s">
        <v>145</v>
      </c>
      <c r="B41" s="32" t="n">
        <f aca="false">$B$3</f>
        <v>11.5</v>
      </c>
      <c r="C41" s="32" t="n">
        <f aca="false">B41*EXP(($B$4-0.5*$B$5^2)*$B$8+$B$5*SQRT($B$8)*C97)</f>
        <v>12.3854463305245</v>
      </c>
      <c r="D41" s="32" t="n">
        <f aca="false">C41*EXP(($B$4-0.5*$B$5^2)*$B$8+$B$5*SQRT($B$8)*D97)</f>
        <v>12.282207641832</v>
      </c>
      <c r="E41" s="32" t="n">
        <f aca="false">D41*EXP(($B$4-0.5*$B$5^2)*$B$8+$B$5*SQRT($B$8)*E97)</f>
        <v>10.3752883780653</v>
      </c>
      <c r="F41" s="32" t="n">
        <f aca="false">E41*EXP(($B$4-0.5*$B$5^2)*$B$8+$B$5*SQRT($B$8)*F97)</f>
        <v>12.6998347800128</v>
      </c>
      <c r="G41" s="32" t="n">
        <f aca="false">F41*EXP(($B$4-0.5*$B$5^2)*$B$8+$B$5*SQRT($B$8)*G97)</f>
        <v>11.5536156202494</v>
      </c>
      <c r="H41" s="32" t="n">
        <f aca="false">G41*EXP(($B$4-0.5*$B$5^2)*$B$8+$B$5*SQRT($B$8)*H97)</f>
        <v>11.8691761759527</v>
      </c>
      <c r="I41" s="32" t="n">
        <f aca="false">H41*EXP(($B$4-0.5*$B$5^2)*$B$8+$B$5*SQRT($B$8)*I97)</f>
        <v>12.1300852486548</v>
      </c>
      <c r="J41" s="32" t="n">
        <f aca="false">I41*EXP(($B$4-0.5*$B$5^2)*$B$8+$B$5*SQRT($B$8)*J97)</f>
        <v>14.1586131164015</v>
      </c>
      <c r="K41" s="32" t="n">
        <f aca="false">J41*EXP(($B$4-0.5*$B$5^2)*$B$8+$B$5*SQRT($B$8)*K97)</f>
        <v>13.4658184329821</v>
      </c>
      <c r="L41" s="32" t="n">
        <f aca="false">K41*EXP(($B$4-0.5*$B$5^2)*$B$8+$B$5*SQRT($B$8)*L97)</f>
        <v>15.0376211073078</v>
      </c>
      <c r="M41" s="32" t="n">
        <f aca="false">L41*EXP(($B$4-0.5*$B$5^2)*$B$8+$B$5*SQRT($B$8)*M97)</f>
        <v>13.8597517132124</v>
      </c>
      <c r="N41" s="32" t="n">
        <f aca="false">M41*EXP(($B$4-0.5*$B$5^2)*$B$8+$B$5*SQRT($B$8)*N97)</f>
        <v>15.6723719234658</v>
      </c>
      <c r="O41" s="32" t="n">
        <f aca="false">N41*EXP(($B$4-0.5*$B$5^2)*$B$8+$B$5*SQRT($B$8)*O97)</f>
        <v>14.4113961990759</v>
      </c>
      <c r="P41" s="32" t="n">
        <f aca="false">O41*EXP(($B$4-0.5*$B$5^2)*$B$8+$B$5*SQRT($B$8)*P97)</f>
        <v>13.8474745639852</v>
      </c>
      <c r="Q41" s="32" t="n">
        <f aca="false">P41*EXP(($B$4-0.5*$B$5^2)*$B$8+$B$5*SQRT($B$8)*Q97)</f>
        <v>17.0457436303578</v>
      </c>
      <c r="R41" s="32" t="n">
        <f aca="false">Q41*EXP(($B$4-0.5*$B$5^2)*$B$8+$B$5*SQRT($B$8)*R97)</f>
        <v>17.6456248159937</v>
      </c>
      <c r="S41" s="32" t="n">
        <f aca="false">R41*EXP(($B$4-0.5*$B$5^2)*$B$8+$B$5*SQRT($B$8)*S97)</f>
        <v>17.8560915676194</v>
      </c>
      <c r="T41" s="32" t="n">
        <f aca="false">S41*EXP(($B$4-0.5*$B$5^2)*$B$8+$B$5*SQRT($B$8)*T97)</f>
        <v>22.8307075901475</v>
      </c>
      <c r="U41" s="32" t="n">
        <f aca="false">T41*EXP(($B$4-0.5*$B$5^2)*$B$8+$B$5*SQRT($B$8)*U97)</f>
        <v>23.74952906584</v>
      </c>
      <c r="V41" s="32" t="n">
        <f aca="false">U41*EXP(($B$4-0.5*$B$5^2)*$B$8+$B$5*SQRT($B$8)*V97)</f>
        <v>21.7117137754575</v>
      </c>
      <c r="W41" s="32" t="n">
        <f aca="false">V41*EXP(($B$4-0.5*$B$5^2)*$B$8+$B$5*SQRT($B$8)*W97)</f>
        <v>23.5294950972693</v>
      </c>
      <c r="X41" s="32" t="n">
        <f aca="false">W41*EXP(($B$4-0.5*$B$5^2)*$B$8+$B$5*SQRT($B$8)*X97)</f>
        <v>20.665075266852</v>
      </c>
      <c r="Y41" s="32" t="n">
        <f aca="false">X41*EXP(($B$4-0.5*$B$5^2)*$B$8+$B$5*SQRT($B$8)*Y97)</f>
        <v>23.3835828788573</v>
      </c>
      <c r="Z41" s="32" t="n">
        <f aca="false">Y41*EXP(($B$4-0.5*$B$5^2)*$B$8+$B$5*SQRT($B$8)*Z97)</f>
        <v>26.686090041936</v>
      </c>
      <c r="AA41" s="32" t="n">
        <f aca="false">Z41*EXP(($B$4-0.5*$B$5^2)*$B$8+$B$5*SQRT($B$8)*AA97)</f>
        <v>25.0558536349449</v>
      </c>
      <c r="AB41" s="32" t="n">
        <f aca="false">AA41*EXP(($B$4-0.5*$B$5^2)*$B$8+$B$5*SQRT($B$8)*AB97)</f>
        <v>23.3838468307931</v>
      </c>
      <c r="AC41" s="32" t="n">
        <f aca="false">AB41*EXP(($B$4-0.5*$B$5^2)*$B$8+$B$5*SQRT($B$8)*AC97)</f>
        <v>23.8366438247885</v>
      </c>
      <c r="AD41" s="32" t="n">
        <f aca="false">AC41*EXP(($B$4-0.5*$B$5^2)*$B$8+$B$5*SQRT($B$8)*AD97)</f>
        <v>23.8693089919371</v>
      </c>
      <c r="AE41" s="32" t="n">
        <f aca="false">AD41*EXP(($B$4-0.5*$B$5^2)*$B$8+$B$5*SQRT($B$8)*AE97)</f>
        <v>21.4379174606853</v>
      </c>
      <c r="AF41" s="32" t="n">
        <f aca="false">AE41*EXP(($B$4-0.5*$B$5^2)*$B$8+$B$5*SQRT($B$8)*AF97)</f>
        <v>22.8121923328148</v>
      </c>
      <c r="AG41" s="32" t="n">
        <f aca="false">AF41*EXP(($B$4-0.5*$B$5^2)*$B$8+$B$5*SQRT($B$8)*AG97)</f>
        <v>18.231030036825</v>
      </c>
      <c r="AH41" s="32" t="n">
        <f aca="false">AG41*EXP(($B$4-0.5*$B$5^2)*$B$8+$B$5*SQRT($B$8)*AH97)</f>
        <v>17.3824063670269</v>
      </c>
      <c r="AI41" s="32" t="n">
        <f aca="false">AH41*EXP(($B$4-0.5*$B$5^2)*$B$8+$B$5*SQRT($B$8)*AI97)</f>
        <v>16.6259429263645</v>
      </c>
      <c r="AJ41" s="32" t="n">
        <f aca="false">AI41*EXP(($B$4-0.5*$B$5^2)*$B$8+$B$5*SQRT($B$8)*AJ97)</f>
        <v>16.1319968286971</v>
      </c>
      <c r="AK41" s="32" t="n">
        <f aca="false">AJ41*EXP(($B$4-0.5*$B$5^2)*$B$8+$B$5*SQRT($B$8)*AK97)</f>
        <v>16.6818741535197</v>
      </c>
      <c r="AL41" s="32" t="n">
        <f aca="false">AK41*EXP(($B$4-0.5*$B$5^2)*$B$8+$B$5*SQRT($B$8)*AL97)</f>
        <v>14.5767762099161</v>
      </c>
      <c r="AM41" s="32" t="n">
        <f aca="false">AL41*EXP(($B$4-0.5*$B$5^2)*$B$8+$B$5*SQRT($B$8)*AM97)</f>
        <v>15.546014962846</v>
      </c>
      <c r="AN41" s="32" t="n">
        <f aca="false">AM41*EXP(($B$4-0.5*$B$5^2)*$B$8+$B$5*SQRT($B$8)*AN97)</f>
        <v>15.2390121073766</v>
      </c>
      <c r="AO41" s="32" t="n">
        <f aca="false">AN41*EXP(($B$4-0.5*$B$5^2)*$B$8+$B$5*SQRT($B$8)*AO97)</f>
        <v>14.1873245338636</v>
      </c>
      <c r="AP41" s="32" t="n">
        <f aca="false">AO41*EXP(($B$4-0.5*$B$5^2)*$B$8+$B$5*SQRT($B$8)*AP97)</f>
        <v>12.209684901592</v>
      </c>
      <c r="AQ41" s="32" t="n">
        <f aca="false">AP41*EXP(($B$4-0.5*$B$5^2)*$B$8+$B$5*SQRT($B$8)*AQ97)</f>
        <v>10.7216294082755</v>
      </c>
      <c r="AR41" s="32" t="n">
        <f aca="false">AQ41*EXP(($B$4-0.5*$B$5^2)*$B$8+$B$5*SQRT($B$8)*AR97)</f>
        <v>11.1518588005762</v>
      </c>
      <c r="AS41" s="32" t="n">
        <f aca="false">AR41*EXP(($B$4-0.5*$B$5^2)*$B$8+$B$5*SQRT($B$8)*AS97)</f>
        <v>10.0311167435341</v>
      </c>
      <c r="AT41" s="32" t="n">
        <f aca="false">AS41*EXP(($B$4-0.5*$B$5^2)*$B$8+$B$5*SQRT($B$8)*AT97)</f>
        <v>10.1001571033915</v>
      </c>
      <c r="AU41" s="32" t="n">
        <f aca="false">AT41*EXP(($B$4-0.5*$B$5^2)*$B$8+$B$5*SQRT($B$8)*AU97)</f>
        <v>11.3459801875481</v>
      </c>
      <c r="AV41" s="32" t="n">
        <f aca="false">AU41*EXP(($B$4-0.5*$B$5^2)*$B$8+$B$5*SQRT($B$8)*AV97)</f>
        <v>12.7045158986834</v>
      </c>
      <c r="AW41" s="32" t="n">
        <f aca="false">AV41*EXP(($B$4-0.5*$B$5^2)*$B$8+$B$5*SQRT($B$8)*AW97)</f>
        <v>15.0735920894125</v>
      </c>
      <c r="AX41" s="32" t="n">
        <f aca="false">AW41*EXP(($B$4-0.5*$B$5^2)*$B$8+$B$5*SQRT($B$8)*AX97)</f>
        <v>14.5888662978846</v>
      </c>
      <c r="AY41" s="32" t="n">
        <f aca="false">AX41*EXP(($B$4-0.5*$B$5^2)*$B$8+$B$5*SQRT($B$8)*AY97)</f>
        <v>12.9492544035505</v>
      </c>
      <c r="AZ41" s="32" t="n">
        <f aca="false">AY41*EXP(($B$4-0.5*$B$5^2)*$B$8+$B$5*SQRT($B$8)*AZ97)</f>
        <v>14.4805013066804</v>
      </c>
      <c r="BA41" s="32" t="n">
        <f aca="false">AZ41*EXP(($B$4-0.5*$B$5^2)*$B$8+$B$5*SQRT($B$8)*BA97)</f>
        <v>14.9779953635123</v>
      </c>
      <c r="BB41" s="32" t="n">
        <f aca="false">BA41*EXP(($B$4-0.5*$B$5^2)*$B$8+$B$5*SQRT($B$8)*BB97)</f>
        <v>16.9402479303779</v>
      </c>
      <c r="BC41" s="32" t="n">
        <f aca="false">BB41*EXP(($B$4-0.5*$B$5^2)*$B$8+$B$5*SQRT($B$8)*BC97)</f>
        <v>16.9576965488208</v>
      </c>
      <c r="BD41" s="32" t="n">
        <f aca="false">BC41*EXP(($B$4-0.5*$B$5^2)*$B$8+$B$5*SQRT($B$8)*BD97)</f>
        <v>19.3307427340366</v>
      </c>
      <c r="BE41" s="32" t="n">
        <f aca="false">BD41*EXP(($B$4-0.5*$B$5^2)*$B$8+$B$5*SQRT($B$8)*BE97)</f>
        <v>21.2075905830434</v>
      </c>
      <c r="BF41" s="32" t="n">
        <f aca="false">BE41*EXP(($B$4-0.5*$B$5^2)*$B$8+$B$5*SQRT($B$8)*BF97)</f>
        <v>22.9373074884427</v>
      </c>
      <c r="BG41" s="32" t="n">
        <f aca="false">BF41*EXP(($B$4-0.5*$B$5^2)*$B$8+$B$5*SQRT($B$8)*BG97)</f>
        <v>24.2354423749893</v>
      </c>
      <c r="BH41" s="32" t="n">
        <f aca="false">BG41*EXP(($B$4-0.5*$B$5^2)*$B$8+$B$5*SQRT($B$8)*BH97)</f>
        <v>25.3115040880852</v>
      </c>
      <c r="BI41" s="32" t="n">
        <f aca="false">BH41*EXP(($B$4-0.5*$B$5^2)*$B$8+$B$5*SQRT($B$8)*BI97)</f>
        <v>25.96212877037</v>
      </c>
      <c r="BJ41" s="32" t="n">
        <f aca="false">BI41*EXP(($B$4-0.5*$B$5^2)*$B$8+$B$5*SQRT($B$8)*BJ97)</f>
        <v>26.6086590880302</v>
      </c>
    </row>
    <row r="42" customFormat="false" ht="15" hidden="false" customHeight="true" outlineLevel="0" collapsed="false">
      <c r="A42" s="6" t="s">
        <v>146</v>
      </c>
      <c r="B42" s="32" t="n">
        <f aca="false">$B$3</f>
        <v>11.5</v>
      </c>
      <c r="C42" s="32" t="n">
        <f aca="false">B42*EXP(($B$4-0.5*$B$5^2)*$B$8+$B$5*SQRT($B$8)*C98)</f>
        <v>12.8171566168083</v>
      </c>
      <c r="D42" s="32" t="n">
        <f aca="false">C42*EXP(($B$4-0.5*$B$5^2)*$B$8+$B$5*SQRT($B$8)*D98)</f>
        <v>12.1149338770615</v>
      </c>
      <c r="E42" s="32" t="n">
        <f aca="false">D42*EXP(($B$4-0.5*$B$5^2)*$B$8+$B$5*SQRT($B$8)*E98)</f>
        <v>14.6531339822181</v>
      </c>
      <c r="F42" s="32" t="n">
        <f aca="false">E42*EXP(($B$4-0.5*$B$5^2)*$B$8+$B$5*SQRT($B$8)*F98)</f>
        <v>14.4806961453946</v>
      </c>
      <c r="G42" s="32" t="n">
        <f aca="false">F42*EXP(($B$4-0.5*$B$5^2)*$B$8+$B$5*SQRT($B$8)*G98)</f>
        <v>16.1307301415046</v>
      </c>
      <c r="H42" s="32" t="n">
        <f aca="false">G42*EXP(($B$4-0.5*$B$5^2)*$B$8+$B$5*SQRT($B$8)*H98)</f>
        <v>15.9689095184035</v>
      </c>
      <c r="I42" s="32" t="n">
        <f aca="false">H42*EXP(($B$4-0.5*$B$5^2)*$B$8+$B$5*SQRT($B$8)*I98)</f>
        <v>15.5397605228047</v>
      </c>
      <c r="J42" s="32" t="n">
        <f aca="false">I42*EXP(($B$4-0.5*$B$5^2)*$B$8+$B$5*SQRT($B$8)*J98)</f>
        <v>19.4169905280544</v>
      </c>
      <c r="K42" s="32" t="n">
        <f aca="false">J42*EXP(($B$4-0.5*$B$5^2)*$B$8+$B$5*SQRT($B$8)*K98)</f>
        <v>18.76570672616</v>
      </c>
      <c r="L42" s="32" t="n">
        <f aca="false">K42*EXP(($B$4-0.5*$B$5^2)*$B$8+$B$5*SQRT($B$8)*L98)</f>
        <v>16.3093976813938</v>
      </c>
      <c r="M42" s="32" t="n">
        <f aca="false">L42*EXP(($B$4-0.5*$B$5^2)*$B$8+$B$5*SQRT($B$8)*M98)</f>
        <v>15.0778352789221</v>
      </c>
      <c r="N42" s="32" t="n">
        <f aca="false">M42*EXP(($B$4-0.5*$B$5^2)*$B$8+$B$5*SQRT($B$8)*N98)</f>
        <v>14.5594993572375</v>
      </c>
      <c r="O42" s="32" t="n">
        <f aca="false">N42*EXP(($B$4-0.5*$B$5^2)*$B$8+$B$5*SQRT($B$8)*O98)</f>
        <v>18.4391742607512</v>
      </c>
      <c r="P42" s="32" t="n">
        <f aca="false">O42*EXP(($B$4-0.5*$B$5^2)*$B$8+$B$5*SQRT($B$8)*P98)</f>
        <v>18.8587032214305</v>
      </c>
      <c r="Q42" s="32" t="n">
        <f aca="false">P42*EXP(($B$4-0.5*$B$5^2)*$B$8+$B$5*SQRT($B$8)*Q98)</f>
        <v>20.891158258625</v>
      </c>
      <c r="R42" s="32" t="n">
        <f aca="false">Q42*EXP(($B$4-0.5*$B$5^2)*$B$8+$B$5*SQRT($B$8)*R98)</f>
        <v>18.7139760189335</v>
      </c>
      <c r="S42" s="32" t="n">
        <f aca="false">R42*EXP(($B$4-0.5*$B$5^2)*$B$8+$B$5*SQRT($B$8)*S98)</f>
        <v>19.4484466935509</v>
      </c>
      <c r="T42" s="32" t="n">
        <f aca="false">S42*EXP(($B$4-0.5*$B$5^2)*$B$8+$B$5*SQRT($B$8)*T98)</f>
        <v>20.9312389787762</v>
      </c>
      <c r="U42" s="32" t="n">
        <f aca="false">T42*EXP(($B$4-0.5*$B$5^2)*$B$8+$B$5*SQRT($B$8)*U98)</f>
        <v>25.5003368313344</v>
      </c>
      <c r="V42" s="32" t="n">
        <f aca="false">U42*EXP(($B$4-0.5*$B$5^2)*$B$8+$B$5*SQRT($B$8)*V98)</f>
        <v>23.6208515210842</v>
      </c>
      <c r="W42" s="32" t="n">
        <f aca="false">V42*EXP(($B$4-0.5*$B$5^2)*$B$8+$B$5*SQRT($B$8)*W98)</f>
        <v>25.2328632046687</v>
      </c>
      <c r="X42" s="32" t="n">
        <f aca="false">W42*EXP(($B$4-0.5*$B$5^2)*$B$8+$B$5*SQRT($B$8)*X98)</f>
        <v>26.0796761182646</v>
      </c>
      <c r="Y42" s="32" t="n">
        <f aca="false">X42*EXP(($B$4-0.5*$B$5^2)*$B$8+$B$5*SQRT($B$8)*Y98)</f>
        <v>23.3102785986268</v>
      </c>
      <c r="Z42" s="32" t="n">
        <f aca="false">Y42*EXP(($B$4-0.5*$B$5^2)*$B$8+$B$5*SQRT($B$8)*Z98)</f>
        <v>23.2563168962591</v>
      </c>
      <c r="AA42" s="32" t="n">
        <f aca="false">Z42*EXP(($B$4-0.5*$B$5^2)*$B$8+$B$5*SQRT($B$8)*AA98)</f>
        <v>22.5896348783176</v>
      </c>
      <c r="AB42" s="32" t="n">
        <f aca="false">AA42*EXP(($B$4-0.5*$B$5^2)*$B$8+$B$5*SQRT($B$8)*AB98)</f>
        <v>17.500391754616</v>
      </c>
      <c r="AC42" s="32" t="n">
        <f aca="false">AB42*EXP(($B$4-0.5*$B$5^2)*$B$8+$B$5*SQRT($B$8)*AC98)</f>
        <v>18.6848282596396</v>
      </c>
      <c r="AD42" s="32" t="n">
        <f aca="false">AC42*EXP(($B$4-0.5*$B$5^2)*$B$8+$B$5*SQRT($B$8)*AD98)</f>
        <v>19.8219791106622</v>
      </c>
      <c r="AE42" s="32" t="n">
        <f aca="false">AD42*EXP(($B$4-0.5*$B$5^2)*$B$8+$B$5*SQRT($B$8)*AE98)</f>
        <v>18.8867083305273</v>
      </c>
      <c r="AF42" s="32" t="n">
        <f aca="false">AE42*EXP(($B$4-0.5*$B$5^2)*$B$8+$B$5*SQRT($B$8)*AF98)</f>
        <v>16.3044723841335</v>
      </c>
      <c r="AG42" s="32" t="n">
        <f aca="false">AF42*EXP(($B$4-0.5*$B$5^2)*$B$8+$B$5*SQRT($B$8)*AG98)</f>
        <v>19.1747429841845</v>
      </c>
      <c r="AH42" s="32" t="n">
        <f aca="false">AG42*EXP(($B$4-0.5*$B$5^2)*$B$8+$B$5*SQRT($B$8)*AH98)</f>
        <v>19.7388705206894</v>
      </c>
      <c r="AI42" s="32" t="n">
        <f aca="false">AH42*EXP(($B$4-0.5*$B$5^2)*$B$8+$B$5*SQRT($B$8)*AI98)</f>
        <v>22.0637305050205</v>
      </c>
      <c r="AJ42" s="32" t="n">
        <f aca="false">AI42*EXP(($B$4-0.5*$B$5^2)*$B$8+$B$5*SQRT($B$8)*AJ98)</f>
        <v>25.7506330302819</v>
      </c>
      <c r="AK42" s="32" t="n">
        <f aca="false">AJ42*EXP(($B$4-0.5*$B$5^2)*$B$8+$B$5*SQRT($B$8)*AK98)</f>
        <v>24.3159909928501</v>
      </c>
      <c r="AL42" s="32" t="n">
        <f aca="false">AK42*EXP(($B$4-0.5*$B$5^2)*$B$8+$B$5*SQRT($B$8)*AL98)</f>
        <v>26.5768734210314</v>
      </c>
      <c r="AM42" s="32" t="n">
        <f aca="false">AL42*EXP(($B$4-0.5*$B$5^2)*$B$8+$B$5*SQRT($B$8)*AM98)</f>
        <v>25.8783023091234</v>
      </c>
      <c r="AN42" s="32" t="n">
        <f aca="false">AM42*EXP(($B$4-0.5*$B$5^2)*$B$8+$B$5*SQRT($B$8)*AN98)</f>
        <v>25.6966379770652</v>
      </c>
      <c r="AO42" s="32" t="n">
        <f aca="false">AN42*EXP(($B$4-0.5*$B$5^2)*$B$8+$B$5*SQRT($B$8)*AO98)</f>
        <v>25.4517650474963</v>
      </c>
      <c r="AP42" s="32" t="n">
        <f aca="false">AO42*EXP(($B$4-0.5*$B$5^2)*$B$8+$B$5*SQRT($B$8)*AP98)</f>
        <v>25.4434178386907</v>
      </c>
      <c r="AQ42" s="32" t="n">
        <f aca="false">AP42*EXP(($B$4-0.5*$B$5^2)*$B$8+$B$5*SQRT($B$8)*AQ98)</f>
        <v>28.7452155324776</v>
      </c>
      <c r="AR42" s="32" t="n">
        <f aca="false">AQ42*EXP(($B$4-0.5*$B$5^2)*$B$8+$B$5*SQRT($B$8)*AR98)</f>
        <v>29.132997221006</v>
      </c>
      <c r="AS42" s="32" t="n">
        <f aca="false">AR42*EXP(($B$4-0.5*$B$5^2)*$B$8+$B$5*SQRT($B$8)*AS98)</f>
        <v>28.6405679140466</v>
      </c>
      <c r="AT42" s="32" t="n">
        <f aca="false">AS42*EXP(($B$4-0.5*$B$5^2)*$B$8+$B$5*SQRT($B$8)*AT98)</f>
        <v>27.7797033133106</v>
      </c>
      <c r="AU42" s="32" t="n">
        <f aca="false">AT42*EXP(($B$4-0.5*$B$5^2)*$B$8+$B$5*SQRT($B$8)*AU98)</f>
        <v>28.8342324809687</v>
      </c>
      <c r="AV42" s="32" t="n">
        <f aca="false">AU42*EXP(($B$4-0.5*$B$5^2)*$B$8+$B$5*SQRT($B$8)*AV98)</f>
        <v>26.1334482365571</v>
      </c>
      <c r="AW42" s="32" t="n">
        <f aca="false">AV42*EXP(($B$4-0.5*$B$5^2)*$B$8+$B$5*SQRT($B$8)*AW98)</f>
        <v>24.7269268549578</v>
      </c>
      <c r="AX42" s="32" t="n">
        <f aca="false">AW42*EXP(($B$4-0.5*$B$5^2)*$B$8+$B$5*SQRT($B$8)*AX98)</f>
        <v>24.5810168711979</v>
      </c>
      <c r="AY42" s="32" t="n">
        <f aca="false">AX42*EXP(($B$4-0.5*$B$5^2)*$B$8+$B$5*SQRT($B$8)*AY98)</f>
        <v>23.0973878602147</v>
      </c>
      <c r="AZ42" s="32" t="n">
        <f aca="false">AY42*EXP(($B$4-0.5*$B$5^2)*$B$8+$B$5*SQRT($B$8)*AZ98)</f>
        <v>22.7949671551735</v>
      </c>
      <c r="BA42" s="32" t="n">
        <f aca="false">AZ42*EXP(($B$4-0.5*$B$5^2)*$B$8+$B$5*SQRT($B$8)*BA98)</f>
        <v>21.3138335441013</v>
      </c>
      <c r="BB42" s="32" t="n">
        <f aca="false">BA42*EXP(($B$4-0.5*$B$5^2)*$B$8+$B$5*SQRT($B$8)*BB98)</f>
        <v>26.5492167879046</v>
      </c>
      <c r="BC42" s="32" t="n">
        <f aca="false">BB42*EXP(($B$4-0.5*$B$5^2)*$B$8+$B$5*SQRT($B$8)*BC98)</f>
        <v>30.7106743825891</v>
      </c>
      <c r="BD42" s="32" t="n">
        <f aca="false">BC42*EXP(($B$4-0.5*$B$5^2)*$B$8+$B$5*SQRT($B$8)*BD98)</f>
        <v>32.2586157000877</v>
      </c>
      <c r="BE42" s="32" t="n">
        <f aca="false">BD42*EXP(($B$4-0.5*$B$5^2)*$B$8+$B$5*SQRT($B$8)*BE98)</f>
        <v>32.0635561007395</v>
      </c>
      <c r="BF42" s="32" t="n">
        <f aca="false">BE42*EXP(($B$4-0.5*$B$5^2)*$B$8+$B$5*SQRT($B$8)*BF98)</f>
        <v>40.7663098326234</v>
      </c>
      <c r="BG42" s="32" t="n">
        <f aca="false">BF42*EXP(($B$4-0.5*$B$5^2)*$B$8+$B$5*SQRT($B$8)*BG98)</f>
        <v>42.2286747936521</v>
      </c>
      <c r="BH42" s="32" t="n">
        <f aca="false">BG42*EXP(($B$4-0.5*$B$5^2)*$B$8+$B$5*SQRT($B$8)*BH98)</f>
        <v>41.8206192642059</v>
      </c>
      <c r="BI42" s="32" t="n">
        <f aca="false">BH42*EXP(($B$4-0.5*$B$5^2)*$B$8+$B$5*SQRT($B$8)*BI98)</f>
        <v>43.2266881825139</v>
      </c>
      <c r="BJ42" s="32" t="n">
        <f aca="false">BI42*EXP(($B$4-0.5*$B$5^2)*$B$8+$B$5*SQRT($B$8)*BJ98)</f>
        <v>44.6938392510944</v>
      </c>
    </row>
    <row r="43" customFormat="false" ht="15" hidden="false" customHeight="true" outlineLevel="0" collapsed="false">
      <c r="A43" s="6" t="s">
        <v>147</v>
      </c>
      <c r="B43" s="32" t="n">
        <f aca="false">$B$3</f>
        <v>11.5</v>
      </c>
      <c r="C43" s="32" t="n">
        <f aca="false">B43*EXP(($B$4-0.5*$B$5^2)*$B$8+$B$5*SQRT($B$8)*C99)</f>
        <v>13.4216716847324</v>
      </c>
      <c r="D43" s="32" t="n">
        <f aca="false">C43*EXP(($B$4-0.5*$B$5^2)*$B$8+$B$5*SQRT($B$8)*D99)</f>
        <v>13.3913234802711</v>
      </c>
      <c r="E43" s="32" t="n">
        <f aca="false">D43*EXP(($B$4-0.5*$B$5^2)*$B$8+$B$5*SQRT($B$8)*E99)</f>
        <v>16.8560957232043</v>
      </c>
      <c r="F43" s="32" t="n">
        <f aca="false">E43*EXP(($B$4-0.5*$B$5^2)*$B$8+$B$5*SQRT($B$8)*F99)</f>
        <v>15.2987990487666</v>
      </c>
      <c r="G43" s="32" t="n">
        <f aca="false">F43*EXP(($B$4-0.5*$B$5^2)*$B$8+$B$5*SQRT($B$8)*G99)</f>
        <v>16.506032391196</v>
      </c>
      <c r="H43" s="32" t="n">
        <f aca="false">G43*EXP(($B$4-0.5*$B$5^2)*$B$8+$B$5*SQRT($B$8)*H99)</f>
        <v>14.7854802937354</v>
      </c>
      <c r="I43" s="32" t="n">
        <f aca="false">H43*EXP(($B$4-0.5*$B$5^2)*$B$8+$B$5*SQRT($B$8)*I99)</f>
        <v>18.0436173472362</v>
      </c>
      <c r="J43" s="32" t="n">
        <f aca="false">I43*EXP(($B$4-0.5*$B$5^2)*$B$8+$B$5*SQRT($B$8)*J99)</f>
        <v>17.3978527035803</v>
      </c>
      <c r="K43" s="32" t="n">
        <f aca="false">J43*EXP(($B$4-0.5*$B$5^2)*$B$8+$B$5*SQRT($B$8)*K99)</f>
        <v>17.2839840456716</v>
      </c>
      <c r="L43" s="32" t="n">
        <f aca="false">K43*EXP(($B$4-0.5*$B$5^2)*$B$8+$B$5*SQRT($B$8)*L99)</f>
        <v>19.1247357520328</v>
      </c>
      <c r="M43" s="32" t="n">
        <f aca="false">L43*EXP(($B$4-0.5*$B$5^2)*$B$8+$B$5*SQRT($B$8)*M99)</f>
        <v>21.9442637533792</v>
      </c>
      <c r="N43" s="32" t="n">
        <f aca="false">M43*EXP(($B$4-0.5*$B$5^2)*$B$8+$B$5*SQRT($B$8)*N99)</f>
        <v>19.4209695187312</v>
      </c>
      <c r="O43" s="32" t="n">
        <f aca="false">N43*EXP(($B$4-0.5*$B$5^2)*$B$8+$B$5*SQRT($B$8)*O99)</f>
        <v>18.6939063006092</v>
      </c>
      <c r="P43" s="32" t="n">
        <f aca="false">O43*EXP(($B$4-0.5*$B$5^2)*$B$8+$B$5*SQRT($B$8)*P99)</f>
        <v>16.0385628253049</v>
      </c>
      <c r="Q43" s="32" t="n">
        <f aca="false">P43*EXP(($B$4-0.5*$B$5^2)*$B$8+$B$5*SQRT($B$8)*Q99)</f>
        <v>16.2789777564707</v>
      </c>
      <c r="R43" s="32" t="n">
        <f aca="false">Q43*EXP(($B$4-0.5*$B$5^2)*$B$8+$B$5*SQRT($B$8)*R99)</f>
        <v>16.096003581276</v>
      </c>
      <c r="S43" s="32" t="n">
        <f aca="false">R43*EXP(($B$4-0.5*$B$5^2)*$B$8+$B$5*SQRT($B$8)*S99)</f>
        <v>15.4887015242527</v>
      </c>
      <c r="T43" s="32" t="n">
        <f aca="false">S43*EXP(($B$4-0.5*$B$5^2)*$B$8+$B$5*SQRT($B$8)*T99)</f>
        <v>14.3657146789659</v>
      </c>
      <c r="U43" s="32" t="n">
        <f aca="false">T43*EXP(($B$4-0.5*$B$5^2)*$B$8+$B$5*SQRT($B$8)*U99)</f>
        <v>13.7677444987091</v>
      </c>
      <c r="V43" s="32" t="n">
        <f aca="false">U43*EXP(($B$4-0.5*$B$5^2)*$B$8+$B$5*SQRT($B$8)*V99)</f>
        <v>12.6830717764678</v>
      </c>
      <c r="W43" s="32" t="n">
        <f aca="false">V43*EXP(($B$4-0.5*$B$5^2)*$B$8+$B$5*SQRT($B$8)*W99)</f>
        <v>13.4383173456362</v>
      </c>
      <c r="X43" s="32" t="n">
        <f aca="false">W43*EXP(($B$4-0.5*$B$5^2)*$B$8+$B$5*SQRT($B$8)*X99)</f>
        <v>15.86667960983</v>
      </c>
      <c r="Y43" s="32" t="n">
        <f aca="false">X43*EXP(($B$4-0.5*$B$5^2)*$B$8+$B$5*SQRT($B$8)*Y99)</f>
        <v>12.8358774913498</v>
      </c>
      <c r="Z43" s="32" t="n">
        <f aca="false">Y43*EXP(($B$4-0.5*$B$5^2)*$B$8+$B$5*SQRT($B$8)*Z99)</f>
        <v>12.6713001966336</v>
      </c>
      <c r="AA43" s="32" t="n">
        <f aca="false">Z43*EXP(($B$4-0.5*$B$5^2)*$B$8+$B$5*SQRT($B$8)*AA99)</f>
        <v>12.1009537816661</v>
      </c>
      <c r="AB43" s="32" t="n">
        <f aca="false">AA43*EXP(($B$4-0.5*$B$5^2)*$B$8+$B$5*SQRT($B$8)*AB99)</f>
        <v>12.7701712098238</v>
      </c>
      <c r="AC43" s="32" t="n">
        <f aca="false">AB43*EXP(($B$4-0.5*$B$5^2)*$B$8+$B$5*SQRT($B$8)*AC99)</f>
        <v>11.5020258935974</v>
      </c>
      <c r="AD43" s="32" t="n">
        <f aca="false">AC43*EXP(($B$4-0.5*$B$5^2)*$B$8+$B$5*SQRT($B$8)*AD99)</f>
        <v>11.3166641798696</v>
      </c>
      <c r="AE43" s="32" t="n">
        <f aca="false">AD43*EXP(($B$4-0.5*$B$5^2)*$B$8+$B$5*SQRT($B$8)*AE99)</f>
        <v>10.0951320785516</v>
      </c>
      <c r="AF43" s="32" t="n">
        <f aca="false">AE43*EXP(($B$4-0.5*$B$5^2)*$B$8+$B$5*SQRT($B$8)*AF99)</f>
        <v>10.8949061305058</v>
      </c>
      <c r="AG43" s="32" t="n">
        <f aca="false">AF43*EXP(($B$4-0.5*$B$5^2)*$B$8+$B$5*SQRT($B$8)*AG99)</f>
        <v>11.0121818804961</v>
      </c>
      <c r="AH43" s="32" t="n">
        <f aca="false">AG43*EXP(($B$4-0.5*$B$5^2)*$B$8+$B$5*SQRT($B$8)*AH99)</f>
        <v>10.8168550185013</v>
      </c>
      <c r="AI43" s="32" t="n">
        <f aca="false">AH43*EXP(($B$4-0.5*$B$5^2)*$B$8+$B$5*SQRT($B$8)*AI99)</f>
        <v>11.263085105041</v>
      </c>
      <c r="AJ43" s="32" t="n">
        <f aca="false">AI43*EXP(($B$4-0.5*$B$5^2)*$B$8+$B$5*SQRT($B$8)*AJ99)</f>
        <v>10.9606202429816</v>
      </c>
      <c r="AK43" s="32" t="n">
        <f aca="false">AJ43*EXP(($B$4-0.5*$B$5^2)*$B$8+$B$5*SQRT($B$8)*AK99)</f>
        <v>9.2412460935226</v>
      </c>
      <c r="AL43" s="32" t="n">
        <f aca="false">AK43*EXP(($B$4-0.5*$B$5^2)*$B$8+$B$5*SQRT($B$8)*AL99)</f>
        <v>9.86351872108576</v>
      </c>
      <c r="AM43" s="32" t="n">
        <f aca="false">AL43*EXP(($B$4-0.5*$B$5^2)*$B$8+$B$5*SQRT($B$8)*AM99)</f>
        <v>10.1785430638553</v>
      </c>
      <c r="AN43" s="32" t="n">
        <f aca="false">AM43*EXP(($B$4-0.5*$B$5^2)*$B$8+$B$5*SQRT($B$8)*AN99)</f>
        <v>10.0061164313924</v>
      </c>
      <c r="AO43" s="32" t="n">
        <f aca="false">AN43*EXP(($B$4-0.5*$B$5^2)*$B$8+$B$5*SQRT($B$8)*AO99)</f>
        <v>11.1457257527383</v>
      </c>
      <c r="AP43" s="32" t="n">
        <f aca="false">AO43*EXP(($B$4-0.5*$B$5^2)*$B$8+$B$5*SQRT($B$8)*AP99)</f>
        <v>12.737335832102</v>
      </c>
      <c r="AQ43" s="32" t="n">
        <f aca="false">AP43*EXP(($B$4-0.5*$B$5^2)*$B$8+$B$5*SQRT($B$8)*AQ99)</f>
        <v>11.2969698935174</v>
      </c>
      <c r="AR43" s="32" t="n">
        <f aca="false">AQ43*EXP(($B$4-0.5*$B$5^2)*$B$8+$B$5*SQRT($B$8)*AR99)</f>
        <v>10.3674371834251</v>
      </c>
      <c r="AS43" s="32" t="n">
        <f aca="false">AR43*EXP(($B$4-0.5*$B$5^2)*$B$8+$B$5*SQRT($B$8)*AS99)</f>
        <v>12.2830266158837</v>
      </c>
      <c r="AT43" s="32" t="n">
        <f aca="false">AS43*EXP(($B$4-0.5*$B$5^2)*$B$8+$B$5*SQRT($B$8)*AT99)</f>
        <v>14.3489702846156</v>
      </c>
      <c r="AU43" s="32" t="n">
        <f aca="false">AT43*EXP(($B$4-0.5*$B$5^2)*$B$8+$B$5*SQRT($B$8)*AU99)</f>
        <v>13.2301149877918</v>
      </c>
      <c r="AV43" s="32" t="n">
        <f aca="false">AU43*EXP(($B$4-0.5*$B$5^2)*$B$8+$B$5*SQRT($B$8)*AV99)</f>
        <v>11.6207525836913</v>
      </c>
      <c r="AW43" s="32" t="n">
        <f aca="false">AV43*EXP(($B$4-0.5*$B$5^2)*$B$8+$B$5*SQRT($B$8)*AW99)</f>
        <v>10.8337928908776</v>
      </c>
      <c r="AX43" s="32" t="n">
        <f aca="false">AW43*EXP(($B$4-0.5*$B$5^2)*$B$8+$B$5*SQRT($B$8)*AX99)</f>
        <v>10.2558188299289</v>
      </c>
      <c r="AY43" s="32" t="n">
        <f aca="false">AX43*EXP(($B$4-0.5*$B$5^2)*$B$8+$B$5*SQRT($B$8)*AY99)</f>
        <v>8.61836458496725</v>
      </c>
      <c r="AZ43" s="32" t="n">
        <f aca="false">AY43*EXP(($B$4-0.5*$B$5^2)*$B$8+$B$5*SQRT($B$8)*AZ99)</f>
        <v>8.64629538621772</v>
      </c>
      <c r="BA43" s="32" t="n">
        <f aca="false">AZ43*EXP(($B$4-0.5*$B$5^2)*$B$8+$B$5*SQRT($B$8)*BA99)</f>
        <v>7.51211015428408</v>
      </c>
      <c r="BB43" s="32" t="n">
        <f aca="false">BA43*EXP(($B$4-0.5*$B$5^2)*$B$8+$B$5*SQRT($B$8)*BB99)</f>
        <v>6.5768604886386</v>
      </c>
      <c r="BC43" s="32" t="n">
        <f aca="false">BB43*EXP(($B$4-0.5*$B$5^2)*$B$8+$B$5*SQRT($B$8)*BC99)</f>
        <v>7.27081132067152</v>
      </c>
      <c r="BD43" s="32" t="n">
        <f aca="false">BC43*EXP(($B$4-0.5*$B$5^2)*$B$8+$B$5*SQRT($B$8)*BD99)</f>
        <v>6.744592300459</v>
      </c>
      <c r="BE43" s="32" t="n">
        <f aca="false">BD43*EXP(($B$4-0.5*$B$5^2)*$B$8+$B$5*SQRT($B$8)*BE99)</f>
        <v>6.69069374527711</v>
      </c>
      <c r="BF43" s="32" t="n">
        <f aca="false">BE43*EXP(($B$4-0.5*$B$5^2)*$B$8+$B$5*SQRT($B$8)*BF99)</f>
        <v>7.16740693819147</v>
      </c>
      <c r="BG43" s="32" t="n">
        <f aca="false">BF43*EXP(($B$4-0.5*$B$5^2)*$B$8+$B$5*SQRT($B$8)*BG99)</f>
        <v>7.83474616349598</v>
      </c>
      <c r="BH43" s="32" t="n">
        <f aca="false">BG43*EXP(($B$4-0.5*$B$5^2)*$B$8+$B$5*SQRT($B$8)*BH99)</f>
        <v>7.54900071134262</v>
      </c>
      <c r="BI43" s="32" t="n">
        <f aca="false">BH43*EXP(($B$4-0.5*$B$5^2)*$B$8+$B$5*SQRT($B$8)*BI99)</f>
        <v>7.58423234209234</v>
      </c>
      <c r="BJ43" s="32" t="n">
        <f aca="false">BI43*EXP(($B$4-0.5*$B$5^2)*$B$8+$B$5*SQRT($B$8)*BJ99)</f>
        <v>6.92642548183661</v>
      </c>
    </row>
    <row r="44" customFormat="false" ht="15" hidden="false" customHeight="true" outlineLevel="0" collapsed="false">
      <c r="A44" s="6" t="s">
        <v>148</v>
      </c>
      <c r="B44" s="32" t="n">
        <f aca="false">$B$3</f>
        <v>11.5</v>
      </c>
      <c r="C44" s="32" t="n">
        <f aca="false">B44*EXP(($B$4-0.5*$B$5^2)*$B$8+$B$5*SQRT($B$8)*C100)</f>
        <v>13.9272204133578</v>
      </c>
      <c r="D44" s="32" t="n">
        <f aca="false">C44*EXP(($B$4-0.5*$B$5^2)*$B$8+$B$5*SQRT($B$8)*D100)</f>
        <v>14.9537057948411</v>
      </c>
      <c r="E44" s="32" t="n">
        <f aca="false">D44*EXP(($B$4-0.5*$B$5^2)*$B$8+$B$5*SQRT($B$8)*E100)</f>
        <v>13.2467761857828</v>
      </c>
      <c r="F44" s="32" t="n">
        <f aca="false">E44*EXP(($B$4-0.5*$B$5^2)*$B$8+$B$5*SQRT($B$8)*F100)</f>
        <v>13.2502448028697</v>
      </c>
      <c r="G44" s="32" t="n">
        <f aca="false">F44*EXP(($B$4-0.5*$B$5^2)*$B$8+$B$5*SQRT($B$8)*G100)</f>
        <v>14.3264410411799</v>
      </c>
      <c r="H44" s="32" t="n">
        <f aca="false">G44*EXP(($B$4-0.5*$B$5^2)*$B$8+$B$5*SQRT($B$8)*H100)</f>
        <v>15.0972596929697</v>
      </c>
      <c r="I44" s="32" t="n">
        <f aca="false">H44*EXP(($B$4-0.5*$B$5^2)*$B$8+$B$5*SQRT($B$8)*I100)</f>
        <v>18.4485092938353</v>
      </c>
      <c r="J44" s="32" t="n">
        <f aca="false">I44*EXP(($B$4-0.5*$B$5^2)*$B$8+$B$5*SQRT($B$8)*J100)</f>
        <v>21.4417275845683</v>
      </c>
      <c r="K44" s="32" t="n">
        <f aca="false">J44*EXP(($B$4-0.5*$B$5^2)*$B$8+$B$5*SQRT($B$8)*K100)</f>
        <v>20.2063218603331</v>
      </c>
      <c r="L44" s="32" t="n">
        <f aca="false">K44*EXP(($B$4-0.5*$B$5^2)*$B$8+$B$5*SQRT($B$8)*L100)</f>
        <v>20.0059432550751</v>
      </c>
      <c r="M44" s="32" t="n">
        <f aca="false">L44*EXP(($B$4-0.5*$B$5^2)*$B$8+$B$5*SQRT($B$8)*M100)</f>
        <v>17.3790487844394</v>
      </c>
      <c r="N44" s="32" t="n">
        <f aca="false">M44*EXP(($B$4-0.5*$B$5^2)*$B$8+$B$5*SQRT($B$8)*N100)</f>
        <v>17.8579035552321</v>
      </c>
      <c r="O44" s="32" t="n">
        <f aca="false">N44*EXP(($B$4-0.5*$B$5^2)*$B$8+$B$5*SQRT($B$8)*O100)</f>
        <v>18.1528821179538</v>
      </c>
      <c r="P44" s="32" t="n">
        <f aca="false">O44*EXP(($B$4-0.5*$B$5^2)*$B$8+$B$5*SQRT($B$8)*P100)</f>
        <v>24.4152699763791</v>
      </c>
      <c r="Q44" s="32" t="n">
        <f aca="false">P44*EXP(($B$4-0.5*$B$5^2)*$B$8+$B$5*SQRT($B$8)*Q100)</f>
        <v>24.6734822631734</v>
      </c>
      <c r="R44" s="32" t="n">
        <f aca="false">Q44*EXP(($B$4-0.5*$B$5^2)*$B$8+$B$5*SQRT($B$8)*R100)</f>
        <v>19.6077162339351</v>
      </c>
      <c r="S44" s="32" t="n">
        <f aca="false">R44*EXP(($B$4-0.5*$B$5^2)*$B$8+$B$5*SQRT($B$8)*S100)</f>
        <v>18.2107899201574</v>
      </c>
      <c r="T44" s="32" t="n">
        <f aca="false">S44*EXP(($B$4-0.5*$B$5^2)*$B$8+$B$5*SQRT($B$8)*T100)</f>
        <v>18.4332345126023</v>
      </c>
      <c r="U44" s="32" t="n">
        <f aca="false">T44*EXP(($B$4-0.5*$B$5^2)*$B$8+$B$5*SQRT($B$8)*U100)</f>
        <v>16.0577464780709</v>
      </c>
      <c r="V44" s="32" t="n">
        <f aca="false">U44*EXP(($B$4-0.5*$B$5^2)*$B$8+$B$5*SQRT($B$8)*V100)</f>
        <v>14.5979098038763</v>
      </c>
      <c r="W44" s="32" t="n">
        <f aca="false">V44*EXP(($B$4-0.5*$B$5^2)*$B$8+$B$5*SQRT($B$8)*W100)</f>
        <v>14.0214182265439</v>
      </c>
      <c r="X44" s="32" t="n">
        <f aca="false">W44*EXP(($B$4-0.5*$B$5^2)*$B$8+$B$5*SQRT($B$8)*X100)</f>
        <v>14.5544713834596</v>
      </c>
      <c r="Y44" s="32" t="n">
        <f aca="false">X44*EXP(($B$4-0.5*$B$5^2)*$B$8+$B$5*SQRT($B$8)*Y100)</f>
        <v>14.2902498531214</v>
      </c>
      <c r="Z44" s="32" t="n">
        <f aca="false">Y44*EXP(($B$4-0.5*$B$5^2)*$B$8+$B$5*SQRT($B$8)*Z100)</f>
        <v>12.9597500683523</v>
      </c>
      <c r="AA44" s="32" t="n">
        <f aca="false">Z44*EXP(($B$4-0.5*$B$5^2)*$B$8+$B$5*SQRT($B$8)*AA100)</f>
        <v>14.1267616435326</v>
      </c>
      <c r="AB44" s="32" t="n">
        <f aca="false">AA44*EXP(($B$4-0.5*$B$5^2)*$B$8+$B$5*SQRT($B$8)*AB100)</f>
        <v>13.3123381675373</v>
      </c>
      <c r="AC44" s="32" t="n">
        <f aca="false">AB44*EXP(($B$4-0.5*$B$5^2)*$B$8+$B$5*SQRT($B$8)*AC100)</f>
        <v>12.6004873975473</v>
      </c>
      <c r="AD44" s="32" t="n">
        <f aca="false">AC44*EXP(($B$4-0.5*$B$5^2)*$B$8+$B$5*SQRT($B$8)*AD100)</f>
        <v>10.8287988007228</v>
      </c>
      <c r="AE44" s="32" t="n">
        <f aca="false">AD44*EXP(($B$4-0.5*$B$5^2)*$B$8+$B$5*SQRT($B$8)*AE100)</f>
        <v>9.9324044772729</v>
      </c>
      <c r="AF44" s="32" t="n">
        <f aca="false">AE44*EXP(($B$4-0.5*$B$5^2)*$B$8+$B$5*SQRT($B$8)*AF100)</f>
        <v>10.6665892291902</v>
      </c>
      <c r="AG44" s="32" t="n">
        <f aca="false">AF44*EXP(($B$4-0.5*$B$5^2)*$B$8+$B$5*SQRT($B$8)*AG100)</f>
        <v>8.93058434728634</v>
      </c>
      <c r="AH44" s="32" t="n">
        <f aca="false">AG44*EXP(($B$4-0.5*$B$5^2)*$B$8+$B$5*SQRT($B$8)*AH100)</f>
        <v>8.8595058241559</v>
      </c>
      <c r="AI44" s="32" t="n">
        <f aca="false">AH44*EXP(($B$4-0.5*$B$5^2)*$B$8+$B$5*SQRT($B$8)*AI100)</f>
        <v>9.58346879300806</v>
      </c>
      <c r="AJ44" s="32" t="n">
        <f aca="false">AI44*EXP(($B$4-0.5*$B$5^2)*$B$8+$B$5*SQRT($B$8)*AJ100)</f>
        <v>9.19342694729943</v>
      </c>
      <c r="AK44" s="32" t="n">
        <f aca="false">AJ44*EXP(($B$4-0.5*$B$5^2)*$B$8+$B$5*SQRT($B$8)*AK100)</f>
        <v>9.43673098279569</v>
      </c>
      <c r="AL44" s="32" t="n">
        <f aca="false">AK44*EXP(($B$4-0.5*$B$5^2)*$B$8+$B$5*SQRT($B$8)*AL100)</f>
        <v>8.34713061819322</v>
      </c>
      <c r="AM44" s="32" t="n">
        <f aca="false">AL44*EXP(($B$4-0.5*$B$5^2)*$B$8+$B$5*SQRT($B$8)*AM100)</f>
        <v>9.63562796211199</v>
      </c>
      <c r="AN44" s="32" t="n">
        <f aca="false">AM44*EXP(($B$4-0.5*$B$5^2)*$B$8+$B$5*SQRT($B$8)*AN100)</f>
        <v>10.8706398801565</v>
      </c>
      <c r="AO44" s="32" t="n">
        <f aca="false">AN44*EXP(($B$4-0.5*$B$5^2)*$B$8+$B$5*SQRT($B$8)*AO100)</f>
        <v>11.1530797430953</v>
      </c>
      <c r="AP44" s="32" t="n">
        <f aca="false">AO44*EXP(($B$4-0.5*$B$5^2)*$B$8+$B$5*SQRT($B$8)*AP100)</f>
        <v>9.19818552127283</v>
      </c>
      <c r="AQ44" s="32" t="n">
        <f aca="false">AP44*EXP(($B$4-0.5*$B$5^2)*$B$8+$B$5*SQRT($B$8)*AQ100)</f>
        <v>8.19959238794472</v>
      </c>
      <c r="AR44" s="32" t="n">
        <f aca="false">AQ44*EXP(($B$4-0.5*$B$5^2)*$B$8+$B$5*SQRT($B$8)*AR100)</f>
        <v>9.12522054326809</v>
      </c>
      <c r="AS44" s="32" t="n">
        <f aca="false">AR44*EXP(($B$4-0.5*$B$5^2)*$B$8+$B$5*SQRT($B$8)*AS100)</f>
        <v>11.0097606400595</v>
      </c>
      <c r="AT44" s="32" t="n">
        <f aca="false">AS44*EXP(($B$4-0.5*$B$5^2)*$B$8+$B$5*SQRT($B$8)*AT100)</f>
        <v>11.3717995580809</v>
      </c>
      <c r="AU44" s="32" t="n">
        <f aca="false">AT44*EXP(($B$4-0.5*$B$5^2)*$B$8+$B$5*SQRT($B$8)*AU100)</f>
        <v>13.0368481321687</v>
      </c>
      <c r="AV44" s="32" t="n">
        <f aca="false">AU44*EXP(($B$4-0.5*$B$5^2)*$B$8+$B$5*SQRT($B$8)*AV100)</f>
        <v>12.1937938746563</v>
      </c>
      <c r="AW44" s="32" t="n">
        <f aca="false">AV44*EXP(($B$4-0.5*$B$5^2)*$B$8+$B$5*SQRT($B$8)*AW100)</f>
        <v>11.9408903309357</v>
      </c>
      <c r="AX44" s="32" t="n">
        <f aca="false">AW44*EXP(($B$4-0.5*$B$5^2)*$B$8+$B$5*SQRT($B$8)*AX100)</f>
        <v>11.9402047969786</v>
      </c>
      <c r="AY44" s="32" t="n">
        <f aca="false">AX44*EXP(($B$4-0.5*$B$5^2)*$B$8+$B$5*SQRT($B$8)*AY100)</f>
        <v>12.5051452716291</v>
      </c>
      <c r="AZ44" s="32" t="n">
        <f aca="false">AY44*EXP(($B$4-0.5*$B$5^2)*$B$8+$B$5*SQRT($B$8)*AZ100)</f>
        <v>10.57245155921</v>
      </c>
      <c r="BA44" s="32" t="n">
        <f aca="false">AZ44*EXP(($B$4-0.5*$B$5^2)*$B$8+$B$5*SQRT($B$8)*BA100)</f>
        <v>11.719525343789</v>
      </c>
      <c r="BB44" s="32" t="n">
        <f aca="false">BA44*EXP(($B$4-0.5*$B$5^2)*$B$8+$B$5*SQRT($B$8)*BB100)</f>
        <v>13.5468189501187</v>
      </c>
      <c r="BC44" s="32" t="n">
        <f aca="false">BB44*EXP(($B$4-0.5*$B$5^2)*$B$8+$B$5*SQRT($B$8)*BC100)</f>
        <v>11.9407406686909</v>
      </c>
      <c r="BD44" s="32" t="n">
        <f aca="false">BC44*EXP(($B$4-0.5*$B$5^2)*$B$8+$B$5*SQRT($B$8)*BD100)</f>
        <v>10.2892197167241</v>
      </c>
      <c r="BE44" s="32" t="n">
        <f aca="false">BD44*EXP(($B$4-0.5*$B$5^2)*$B$8+$B$5*SQRT($B$8)*BE100)</f>
        <v>10.6906402952806</v>
      </c>
      <c r="BF44" s="32" t="n">
        <f aca="false">BE44*EXP(($B$4-0.5*$B$5^2)*$B$8+$B$5*SQRT($B$8)*BF100)</f>
        <v>9.94837804265326</v>
      </c>
      <c r="BG44" s="32" t="n">
        <f aca="false">BF44*EXP(($B$4-0.5*$B$5^2)*$B$8+$B$5*SQRT($B$8)*BG100)</f>
        <v>7.66875555791432</v>
      </c>
      <c r="BH44" s="32" t="n">
        <f aca="false">BG44*EXP(($B$4-0.5*$B$5^2)*$B$8+$B$5*SQRT($B$8)*BH100)</f>
        <v>8.37850790138806</v>
      </c>
      <c r="BI44" s="32" t="n">
        <f aca="false">BH44*EXP(($B$4-0.5*$B$5^2)*$B$8+$B$5*SQRT($B$8)*BI100)</f>
        <v>8.5211787438742</v>
      </c>
      <c r="BJ44" s="32" t="n">
        <f aca="false">BI44*EXP(($B$4-0.5*$B$5^2)*$B$8+$B$5*SQRT($B$8)*BJ100)</f>
        <v>8.08560092666167</v>
      </c>
    </row>
    <row r="45" customFormat="false" ht="15" hidden="false" customHeight="true" outlineLevel="0" collapsed="false">
      <c r="A45" s="6" t="s">
        <v>149</v>
      </c>
      <c r="B45" s="32" t="n">
        <f aca="false">$B$3</f>
        <v>11.5</v>
      </c>
      <c r="C45" s="32" t="n">
        <f aca="false">B45*EXP(($B$4-0.5*$B$5^2)*$B$8+$B$5*SQRT($B$8)*C101)</f>
        <v>14.4978628946108</v>
      </c>
      <c r="D45" s="32" t="n">
        <f aca="false">C45*EXP(($B$4-0.5*$B$5^2)*$B$8+$B$5*SQRT($B$8)*D101)</f>
        <v>14.7177645359096</v>
      </c>
      <c r="E45" s="32" t="n">
        <f aca="false">D45*EXP(($B$4-0.5*$B$5^2)*$B$8+$B$5*SQRT($B$8)*E101)</f>
        <v>13.547787143176</v>
      </c>
      <c r="F45" s="32" t="n">
        <f aca="false">E45*EXP(($B$4-0.5*$B$5^2)*$B$8+$B$5*SQRT($B$8)*F101)</f>
        <v>13.6964393160964</v>
      </c>
      <c r="G45" s="32" t="n">
        <f aca="false">F45*EXP(($B$4-0.5*$B$5^2)*$B$8+$B$5*SQRT($B$8)*G101)</f>
        <v>12.217392486876</v>
      </c>
      <c r="H45" s="32" t="n">
        <f aca="false">G45*EXP(($B$4-0.5*$B$5^2)*$B$8+$B$5*SQRT($B$8)*H101)</f>
        <v>11.2359741743419</v>
      </c>
      <c r="I45" s="32" t="n">
        <f aca="false">H45*EXP(($B$4-0.5*$B$5^2)*$B$8+$B$5*SQRT($B$8)*I101)</f>
        <v>11.7202714403009</v>
      </c>
      <c r="J45" s="32" t="n">
        <f aca="false">I45*EXP(($B$4-0.5*$B$5^2)*$B$8+$B$5*SQRT($B$8)*J101)</f>
        <v>11.0269577482914</v>
      </c>
      <c r="K45" s="32" t="n">
        <f aca="false">J45*EXP(($B$4-0.5*$B$5^2)*$B$8+$B$5*SQRT($B$8)*K101)</f>
        <v>10.4928003938727</v>
      </c>
      <c r="L45" s="32" t="n">
        <f aca="false">K45*EXP(($B$4-0.5*$B$5^2)*$B$8+$B$5*SQRT($B$8)*L101)</f>
        <v>12.598572415224</v>
      </c>
      <c r="M45" s="32" t="n">
        <f aca="false">L45*EXP(($B$4-0.5*$B$5^2)*$B$8+$B$5*SQRT($B$8)*M101)</f>
        <v>13.8419063193059</v>
      </c>
      <c r="N45" s="32" t="n">
        <f aca="false">M45*EXP(($B$4-0.5*$B$5^2)*$B$8+$B$5*SQRT($B$8)*N101)</f>
        <v>15.1134423678211</v>
      </c>
      <c r="O45" s="32" t="n">
        <f aca="false">N45*EXP(($B$4-0.5*$B$5^2)*$B$8+$B$5*SQRT($B$8)*O101)</f>
        <v>16.0131555444362</v>
      </c>
      <c r="P45" s="32" t="n">
        <f aca="false">O45*EXP(($B$4-0.5*$B$5^2)*$B$8+$B$5*SQRT($B$8)*P101)</f>
        <v>16.8835962417834</v>
      </c>
      <c r="Q45" s="32" t="n">
        <f aca="false">P45*EXP(($B$4-0.5*$B$5^2)*$B$8+$B$5*SQRT($B$8)*Q101)</f>
        <v>19.8051404066533</v>
      </c>
      <c r="R45" s="32" t="n">
        <f aca="false">Q45*EXP(($B$4-0.5*$B$5^2)*$B$8+$B$5*SQRT($B$8)*R101)</f>
        <v>19.7590983243553</v>
      </c>
      <c r="S45" s="32" t="n">
        <f aca="false">R45*EXP(($B$4-0.5*$B$5^2)*$B$8+$B$5*SQRT($B$8)*S101)</f>
        <v>24.2150472395341</v>
      </c>
      <c r="T45" s="32" t="n">
        <f aca="false">S45*EXP(($B$4-0.5*$B$5^2)*$B$8+$B$5*SQRT($B$8)*T101)</f>
        <v>21.8112395283619</v>
      </c>
      <c r="U45" s="32" t="n">
        <f aca="false">T45*EXP(($B$4-0.5*$B$5^2)*$B$8+$B$5*SQRT($B$8)*U101)</f>
        <v>21.2056005470901</v>
      </c>
      <c r="V45" s="32" t="n">
        <f aca="false">U45*EXP(($B$4-0.5*$B$5^2)*$B$8+$B$5*SQRT($B$8)*V101)</f>
        <v>18.2261016624747</v>
      </c>
      <c r="W45" s="32" t="n">
        <f aca="false">V45*EXP(($B$4-0.5*$B$5^2)*$B$8+$B$5*SQRT($B$8)*W101)</f>
        <v>17.5483631186522</v>
      </c>
      <c r="X45" s="32" t="n">
        <f aca="false">W45*EXP(($B$4-0.5*$B$5^2)*$B$8+$B$5*SQRT($B$8)*X101)</f>
        <v>18.571881498786</v>
      </c>
      <c r="Y45" s="32" t="n">
        <f aca="false">X45*EXP(($B$4-0.5*$B$5^2)*$B$8+$B$5*SQRT($B$8)*Y101)</f>
        <v>21.7728141618137</v>
      </c>
      <c r="Z45" s="32" t="n">
        <f aca="false">Y45*EXP(($B$4-0.5*$B$5^2)*$B$8+$B$5*SQRT($B$8)*Z101)</f>
        <v>20.2410770760126</v>
      </c>
      <c r="AA45" s="32" t="n">
        <f aca="false">Z45*EXP(($B$4-0.5*$B$5^2)*$B$8+$B$5*SQRT($B$8)*AA101)</f>
        <v>20.2491457473674</v>
      </c>
      <c r="AB45" s="32" t="n">
        <f aca="false">AA45*EXP(($B$4-0.5*$B$5^2)*$B$8+$B$5*SQRT($B$8)*AB101)</f>
        <v>19.4631927772223</v>
      </c>
      <c r="AC45" s="32" t="n">
        <f aca="false">AB45*EXP(($B$4-0.5*$B$5^2)*$B$8+$B$5*SQRT($B$8)*AC101)</f>
        <v>17.945150880451</v>
      </c>
      <c r="AD45" s="32" t="n">
        <f aca="false">AC45*EXP(($B$4-0.5*$B$5^2)*$B$8+$B$5*SQRT($B$8)*AD101)</f>
        <v>15.7472504449995</v>
      </c>
      <c r="AE45" s="32" t="n">
        <f aca="false">AD45*EXP(($B$4-0.5*$B$5^2)*$B$8+$B$5*SQRT($B$8)*AE101)</f>
        <v>15.849481112406</v>
      </c>
      <c r="AF45" s="32" t="n">
        <f aca="false">AE45*EXP(($B$4-0.5*$B$5^2)*$B$8+$B$5*SQRT($B$8)*AF101)</f>
        <v>13.1044500652278</v>
      </c>
      <c r="AG45" s="32" t="n">
        <f aca="false">AF45*EXP(($B$4-0.5*$B$5^2)*$B$8+$B$5*SQRT($B$8)*AG101)</f>
        <v>13.2618930858501</v>
      </c>
      <c r="AH45" s="32" t="n">
        <f aca="false">AG45*EXP(($B$4-0.5*$B$5^2)*$B$8+$B$5*SQRT($B$8)*AH101)</f>
        <v>13.2899719611496</v>
      </c>
      <c r="AI45" s="32" t="n">
        <f aca="false">AH45*EXP(($B$4-0.5*$B$5^2)*$B$8+$B$5*SQRT($B$8)*AI101)</f>
        <v>12.3625716206577</v>
      </c>
      <c r="AJ45" s="32" t="n">
        <f aca="false">AI45*EXP(($B$4-0.5*$B$5^2)*$B$8+$B$5*SQRT($B$8)*AJ101)</f>
        <v>11.0629039156669</v>
      </c>
      <c r="AK45" s="32" t="n">
        <f aca="false">AJ45*EXP(($B$4-0.5*$B$5^2)*$B$8+$B$5*SQRT($B$8)*AK101)</f>
        <v>9.50255256878056</v>
      </c>
      <c r="AL45" s="32" t="n">
        <f aca="false">AK45*EXP(($B$4-0.5*$B$5^2)*$B$8+$B$5*SQRT($B$8)*AL101)</f>
        <v>11.6657289441879</v>
      </c>
      <c r="AM45" s="32" t="n">
        <f aca="false">AL45*EXP(($B$4-0.5*$B$5^2)*$B$8+$B$5*SQRT($B$8)*AM101)</f>
        <v>10.0669960247644</v>
      </c>
      <c r="AN45" s="32" t="n">
        <f aca="false">AM45*EXP(($B$4-0.5*$B$5^2)*$B$8+$B$5*SQRT($B$8)*AN101)</f>
        <v>11.9407103093544</v>
      </c>
      <c r="AO45" s="32" t="n">
        <f aca="false">AN45*EXP(($B$4-0.5*$B$5^2)*$B$8+$B$5*SQRT($B$8)*AO101)</f>
        <v>12.7509562275854</v>
      </c>
      <c r="AP45" s="32" t="n">
        <f aca="false">AO45*EXP(($B$4-0.5*$B$5^2)*$B$8+$B$5*SQRT($B$8)*AP101)</f>
        <v>12.2495731187574</v>
      </c>
      <c r="AQ45" s="32" t="n">
        <f aca="false">AP45*EXP(($B$4-0.5*$B$5^2)*$B$8+$B$5*SQRT($B$8)*AQ101)</f>
        <v>10.7874175840856</v>
      </c>
      <c r="AR45" s="32" t="n">
        <f aca="false">AQ45*EXP(($B$4-0.5*$B$5^2)*$B$8+$B$5*SQRT($B$8)*AR101)</f>
        <v>12.0921323764654</v>
      </c>
      <c r="AS45" s="32" t="n">
        <f aca="false">AR45*EXP(($B$4-0.5*$B$5^2)*$B$8+$B$5*SQRT($B$8)*AS101)</f>
        <v>14.6158778525256</v>
      </c>
      <c r="AT45" s="32" t="n">
        <f aca="false">AS45*EXP(($B$4-0.5*$B$5^2)*$B$8+$B$5*SQRT($B$8)*AT101)</f>
        <v>13.1900910843698</v>
      </c>
      <c r="AU45" s="32" t="n">
        <f aca="false">AT45*EXP(($B$4-0.5*$B$5^2)*$B$8+$B$5*SQRT($B$8)*AU101)</f>
        <v>12.7625004682217</v>
      </c>
      <c r="AV45" s="32" t="n">
        <f aca="false">AU45*EXP(($B$4-0.5*$B$5^2)*$B$8+$B$5*SQRT($B$8)*AV101)</f>
        <v>14.3204328344601</v>
      </c>
      <c r="AW45" s="32" t="n">
        <f aca="false">AV45*EXP(($B$4-0.5*$B$5^2)*$B$8+$B$5*SQRT($B$8)*AW101)</f>
        <v>14.8550270543233</v>
      </c>
      <c r="AX45" s="32" t="n">
        <f aca="false">AW45*EXP(($B$4-0.5*$B$5^2)*$B$8+$B$5*SQRT($B$8)*AX101)</f>
        <v>18.4958025309776</v>
      </c>
      <c r="AY45" s="32" t="n">
        <f aca="false">AX45*EXP(($B$4-0.5*$B$5^2)*$B$8+$B$5*SQRT($B$8)*AY101)</f>
        <v>17.3712684519135</v>
      </c>
      <c r="AZ45" s="32" t="n">
        <f aca="false">AY45*EXP(($B$4-0.5*$B$5^2)*$B$8+$B$5*SQRT($B$8)*AZ101)</f>
        <v>18.4326167534454</v>
      </c>
      <c r="BA45" s="32" t="n">
        <f aca="false">AZ45*EXP(($B$4-0.5*$B$5^2)*$B$8+$B$5*SQRT($B$8)*BA101)</f>
        <v>16.066171744047</v>
      </c>
      <c r="BB45" s="32" t="n">
        <f aca="false">BA45*EXP(($B$4-0.5*$B$5^2)*$B$8+$B$5*SQRT($B$8)*BB101)</f>
        <v>20.2153999695923</v>
      </c>
      <c r="BC45" s="32" t="n">
        <f aca="false">BB45*EXP(($B$4-0.5*$B$5^2)*$B$8+$B$5*SQRT($B$8)*BC101)</f>
        <v>18.6555835450593</v>
      </c>
      <c r="BD45" s="32" t="n">
        <f aca="false">BC45*EXP(($B$4-0.5*$B$5^2)*$B$8+$B$5*SQRT($B$8)*BD101)</f>
        <v>14.6399747760715</v>
      </c>
      <c r="BE45" s="32" t="n">
        <f aca="false">BD45*EXP(($B$4-0.5*$B$5^2)*$B$8+$B$5*SQRT($B$8)*BE101)</f>
        <v>14.4367432722055</v>
      </c>
      <c r="BF45" s="32" t="n">
        <f aca="false">BE45*EXP(($B$4-0.5*$B$5^2)*$B$8+$B$5*SQRT($B$8)*BF101)</f>
        <v>14.2150062000925</v>
      </c>
      <c r="BG45" s="32" t="n">
        <f aca="false">BF45*EXP(($B$4-0.5*$B$5^2)*$B$8+$B$5*SQRT($B$8)*BG101)</f>
        <v>17.5358338572007</v>
      </c>
      <c r="BH45" s="32" t="n">
        <f aca="false">BG45*EXP(($B$4-0.5*$B$5^2)*$B$8+$B$5*SQRT($B$8)*BH101)</f>
        <v>16.8929395485685</v>
      </c>
      <c r="BI45" s="32" t="n">
        <f aca="false">BH45*EXP(($B$4-0.5*$B$5^2)*$B$8+$B$5*SQRT($B$8)*BI101)</f>
        <v>16.8664332396803</v>
      </c>
      <c r="BJ45" s="32" t="n">
        <f aca="false">BI45*EXP(($B$4-0.5*$B$5^2)*$B$8+$B$5*SQRT($B$8)*BJ101)</f>
        <v>17.9976341332588</v>
      </c>
    </row>
    <row r="46" customFormat="false" ht="15" hidden="false" customHeight="true" outlineLevel="0" collapsed="false">
      <c r="A46" s="6" t="s">
        <v>150</v>
      </c>
      <c r="B46" s="32" t="n">
        <f aca="false">$B$3</f>
        <v>11.5</v>
      </c>
      <c r="C46" s="32" t="n">
        <f aca="false">B46*EXP(($B$4-0.5*$B$5^2)*$B$8+$B$5*SQRT($B$8)*C102)</f>
        <v>13.683245458246</v>
      </c>
      <c r="D46" s="32" t="n">
        <f aca="false">C46*EXP(($B$4-0.5*$B$5^2)*$B$8+$B$5*SQRT($B$8)*D102)</f>
        <v>13.5861748586951</v>
      </c>
      <c r="E46" s="32" t="n">
        <f aca="false">D46*EXP(($B$4-0.5*$B$5^2)*$B$8+$B$5*SQRT($B$8)*E102)</f>
        <v>15.224356212035</v>
      </c>
      <c r="F46" s="32" t="n">
        <f aca="false">E46*EXP(($B$4-0.5*$B$5^2)*$B$8+$B$5*SQRT($B$8)*F102)</f>
        <v>16.1116930851256</v>
      </c>
      <c r="G46" s="32" t="n">
        <f aca="false">F46*EXP(($B$4-0.5*$B$5^2)*$B$8+$B$5*SQRT($B$8)*G102)</f>
        <v>15.5936839780873</v>
      </c>
      <c r="H46" s="32" t="n">
        <f aca="false">G46*EXP(($B$4-0.5*$B$5^2)*$B$8+$B$5*SQRT($B$8)*H102)</f>
        <v>15.7240294509571</v>
      </c>
      <c r="I46" s="32" t="n">
        <f aca="false">H46*EXP(($B$4-0.5*$B$5^2)*$B$8+$B$5*SQRT($B$8)*I102)</f>
        <v>15.7706745266907</v>
      </c>
      <c r="J46" s="32" t="n">
        <f aca="false">I46*EXP(($B$4-0.5*$B$5^2)*$B$8+$B$5*SQRT($B$8)*J102)</f>
        <v>14.2603662188221</v>
      </c>
      <c r="K46" s="32" t="n">
        <f aca="false">J46*EXP(($B$4-0.5*$B$5^2)*$B$8+$B$5*SQRT($B$8)*K102)</f>
        <v>16.2881419579384</v>
      </c>
      <c r="L46" s="32" t="n">
        <f aca="false">K46*EXP(($B$4-0.5*$B$5^2)*$B$8+$B$5*SQRT($B$8)*L102)</f>
        <v>13.9887895102059</v>
      </c>
      <c r="M46" s="32" t="n">
        <f aca="false">L46*EXP(($B$4-0.5*$B$5^2)*$B$8+$B$5*SQRT($B$8)*M102)</f>
        <v>15.9036098468873</v>
      </c>
      <c r="N46" s="32" t="n">
        <f aca="false">M46*EXP(($B$4-0.5*$B$5^2)*$B$8+$B$5*SQRT($B$8)*N102)</f>
        <v>17.6557108733173</v>
      </c>
      <c r="O46" s="32" t="n">
        <f aca="false">N46*EXP(($B$4-0.5*$B$5^2)*$B$8+$B$5*SQRT($B$8)*O102)</f>
        <v>17.4732087141986</v>
      </c>
      <c r="P46" s="32" t="n">
        <f aca="false">O46*EXP(($B$4-0.5*$B$5^2)*$B$8+$B$5*SQRT($B$8)*P102)</f>
        <v>16.0630055950571</v>
      </c>
      <c r="Q46" s="32" t="n">
        <f aca="false">P46*EXP(($B$4-0.5*$B$5^2)*$B$8+$B$5*SQRT($B$8)*Q102)</f>
        <v>15.6660735618605</v>
      </c>
      <c r="R46" s="32" t="n">
        <f aca="false">Q46*EXP(($B$4-0.5*$B$5^2)*$B$8+$B$5*SQRT($B$8)*R102)</f>
        <v>16.4969558622685</v>
      </c>
      <c r="S46" s="32" t="n">
        <f aca="false">R46*EXP(($B$4-0.5*$B$5^2)*$B$8+$B$5*SQRT($B$8)*S102)</f>
        <v>17.8946804202822</v>
      </c>
      <c r="T46" s="32" t="n">
        <f aca="false">S46*EXP(($B$4-0.5*$B$5^2)*$B$8+$B$5*SQRT($B$8)*T102)</f>
        <v>18.4634697686952</v>
      </c>
      <c r="U46" s="32" t="n">
        <f aca="false">T46*EXP(($B$4-0.5*$B$5^2)*$B$8+$B$5*SQRT($B$8)*U102)</f>
        <v>20.5825735557596</v>
      </c>
      <c r="V46" s="32" t="n">
        <f aca="false">U46*EXP(($B$4-0.5*$B$5^2)*$B$8+$B$5*SQRT($B$8)*V102)</f>
        <v>19.3581358895081</v>
      </c>
      <c r="W46" s="32" t="n">
        <f aca="false">V46*EXP(($B$4-0.5*$B$5^2)*$B$8+$B$5*SQRT($B$8)*W102)</f>
        <v>19.8590868673077</v>
      </c>
      <c r="X46" s="32" t="n">
        <f aca="false">W46*EXP(($B$4-0.5*$B$5^2)*$B$8+$B$5*SQRT($B$8)*X102)</f>
        <v>16.7171680662985</v>
      </c>
      <c r="Y46" s="32" t="n">
        <f aca="false">X46*EXP(($B$4-0.5*$B$5^2)*$B$8+$B$5*SQRT($B$8)*Y102)</f>
        <v>18.1745106151005</v>
      </c>
      <c r="Z46" s="32" t="n">
        <f aca="false">Y46*EXP(($B$4-0.5*$B$5^2)*$B$8+$B$5*SQRT($B$8)*Z102)</f>
        <v>18.4790871807679</v>
      </c>
      <c r="AA46" s="32" t="n">
        <f aca="false">Z46*EXP(($B$4-0.5*$B$5^2)*$B$8+$B$5*SQRT($B$8)*AA102)</f>
        <v>17.6523564202745</v>
      </c>
      <c r="AB46" s="32" t="n">
        <f aca="false">AA46*EXP(($B$4-0.5*$B$5^2)*$B$8+$B$5*SQRT($B$8)*AB102)</f>
        <v>20.0474737179384</v>
      </c>
      <c r="AC46" s="32" t="n">
        <f aca="false">AB46*EXP(($B$4-0.5*$B$5^2)*$B$8+$B$5*SQRT($B$8)*AC102)</f>
        <v>21.6234386039508</v>
      </c>
      <c r="AD46" s="32" t="n">
        <f aca="false">AC46*EXP(($B$4-0.5*$B$5^2)*$B$8+$B$5*SQRT($B$8)*AD102)</f>
        <v>15.8734162910005</v>
      </c>
      <c r="AE46" s="32" t="n">
        <f aca="false">AD46*EXP(($B$4-0.5*$B$5^2)*$B$8+$B$5*SQRT($B$8)*AE102)</f>
        <v>15.9400928777647</v>
      </c>
      <c r="AF46" s="32" t="n">
        <f aca="false">AE46*EXP(($B$4-0.5*$B$5^2)*$B$8+$B$5*SQRT($B$8)*AF102)</f>
        <v>13.5860434980582</v>
      </c>
      <c r="AG46" s="32" t="n">
        <f aca="false">AF46*EXP(($B$4-0.5*$B$5^2)*$B$8+$B$5*SQRT($B$8)*AG102)</f>
        <v>15.2696718414172</v>
      </c>
      <c r="AH46" s="32" t="n">
        <f aca="false">AG46*EXP(($B$4-0.5*$B$5^2)*$B$8+$B$5*SQRT($B$8)*AH102)</f>
        <v>20.0600087529446</v>
      </c>
      <c r="AI46" s="32" t="n">
        <f aca="false">AH46*EXP(($B$4-0.5*$B$5^2)*$B$8+$B$5*SQRT($B$8)*AI102)</f>
        <v>18.9473399142987</v>
      </c>
      <c r="AJ46" s="32" t="n">
        <f aca="false">AI46*EXP(($B$4-0.5*$B$5^2)*$B$8+$B$5*SQRT($B$8)*AJ102)</f>
        <v>19.0994834511216</v>
      </c>
      <c r="AK46" s="32" t="n">
        <f aca="false">AJ46*EXP(($B$4-0.5*$B$5^2)*$B$8+$B$5*SQRT($B$8)*AK102)</f>
        <v>18.5773006381244</v>
      </c>
      <c r="AL46" s="32" t="n">
        <f aca="false">AK46*EXP(($B$4-0.5*$B$5^2)*$B$8+$B$5*SQRT($B$8)*AL102)</f>
        <v>19.3026056545151</v>
      </c>
      <c r="AM46" s="32" t="n">
        <f aca="false">AL46*EXP(($B$4-0.5*$B$5^2)*$B$8+$B$5*SQRT($B$8)*AM102)</f>
        <v>20.7130008917812</v>
      </c>
      <c r="AN46" s="32" t="n">
        <f aca="false">AM46*EXP(($B$4-0.5*$B$5^2)*$B$8+$B$5*SQRT($B$8)*AN102)</f>
        <v>23.8498747962818</v>
      </c>
      <c r="AO46" s="32" t="n">
        <f aca="false">AN46*EXP(($B$4-0.5*$B$5^2)*$B$8+$B$5*SQRT($B$8)*AO102)</f>
        <v>21.3976032786939</v>
      </c>
      <c r="AP46" s="32" t="n">
        <f aca="false">AO46*EXP(($B$4-0.5*$B$5^2)*$B$8+$B$5*SQRT($B$8)*AP102)</f>
        <v>25.4190401298547</v>
      </c>
      <c r="AQ46" s="32" t="n">
        <f aca="false">AP46*EXP(($B$4-0.5*$B$5^2)*$B$8+$B$5*SQRT($B$8)*AQ102)</f>
        <v>22.9457174115341</v>
      </c>
      <c r="AR46" s="32" t="n">
        <f aca="false">AQ46*EXP(($B$4-0.5*$B$5^2)*$B$8+$B$5*SQRT($B$8)*AR102)</f>
        <v>23.649539783587</v>
      </c>
      <c r="AS46" s="32" t="n">
        <f aca="false">AR46*EXP(($B$4-0.5*$B$5^2)*$B$8+$B$5*SQRT($B$8)*AS102)</f>
        <v>26.8496338381064</v>
      </c>
      <c r="AT46" s="32" t="n">
        <f aca="false">AS46*EXP(($B$4-0.5*$B$5^2)*$B$8+$B$5*SQRT($B$8)*AT102)</f>
        <v>29.0292601526332</v>
      </c>
      <c r="AU46" s="32" t="n">
        <f aca="false">AT46*EXP(($B$4-0.5*$B$5^2)*$B$8+$B$5*SQRT($B$8)*AU102)</f>
        <v>26.1843662525004</v>
      </c>
      <c r="AV46" s="32" t="n">
        <f aca="false">AU46*EXP(($B$4-0.5*$B$5^2)*$B$8+$B$5*SQRT($B$8)*AV102)</f>
        <v>24.2394286766753</v>
      </c>
      <c r="AW46" s="32" t="n">
        <f aca="false">AV46*EXP(($B$4-0.5*$B$5^2)*$B$8+$B$5*SQRT($B$8)*AW102)</f>
        <v>23.0365285206345</v>
      </c>
      <c r="AX46" s="32" t="n">
        <f aca="false">AW46*EXP(($B$4-0.5*$B$5^2)*$B$8+$B$5*SQRT($B$8)*AX102)</f>
        <v>22.9033852152995</v>
      </c>
      <c r="AY46" s="32" t="n">
        <f aca="false">AX46*EXP(($B$4-0.5*$B$5^2)*$B$8+$B$5*SQRT($B$8)*AY102)</f>
        <v>25.9693814614097</v>
      </c>
      <c r="AZ46" s="32" t="n">
        <f aca="false">AY46*EXP(($B$4-0.5*$B$5^2)*$B$8+$B$5*SQRT($B$8)*AZ102)</f>
        <v>22.5340526273923</v>
      </c>
      <c r="BA46" s="32" t="n">
        <f aca="false">AZ46*EXP(($B$4-0.5*$B$5^2)*$B$8+$B$5*SQRT($B$8)*BA102)</f>
        <v>23.7133890476493</v>
      </c>
      <c r="BB46" s="32" t="n">
        <f aca="false">BA46*EXP(($B$4-0.5*$B$5^2)*$B$8+$B$5*SQRT($B$8)*BB102)</f>
        <v>25.3497372758793</v>
      </c>
      <c r="BC46" s="32" t="n">
        <f aca="false">BB46*EXP(($B$4-0.5*$B$5^2)*$B$8+$B$5*SQRT($B$8)*BC102)</f>
        <v>26.9457983587243</v>
      </c>
      <c r="BD46" s="32" t="n">
        <f aca="false">BC46*EXP(($B$4-0.5*$B$5^2)*$B$8+$B$5*SQRT($B$8)*BD102)</f>
        <v>28.3547976030783</v>
      </c>
      <c r="BE46" s="32" t="n">
        <f aca="false">BD46*EXP(($B$4-0.5*$B$5^2)*$B$8+$B$5*SQRT($B$8)*BE102)</f>
        <v>33.4873304440226</v>
      </c>
      <c r="BF46" s="32" t="n">
        <f aca="false">BE46*EXP(($B$4-0.5*$B$5^2)*$B$8+$B$5*SQRT($B$8)*BF102)</f>
        <v>35.3216019895733</v>
      </c>
      <c r="BG46" s="32" t="n">
        <f aca="false">BF46*EXP(($B$4-0.5*$B$5^2)*$B$8+$B$5*SQRT($B$8)*BG102)</f>
        <v>38.795989249113</v>
      </c>
      <c r="BH46" s="32" t="n">
        <f aca="false">BG46*EXP(($B$4-0.5*$B$5^2)*$B$8+$B$5*SQRT($B$8)*BH102)</f>
        <v>41.262440124288</v>
      </c>
      <c r="BI46" s="32" t="n">
        <f aca="false">BH46*EXP(($B$4-0.5*$B$5^2)*$B$8+$B$5*SQRT($B$8)*BI102)</f>
        <v>50.2227246389171</v>
      </c>
      <c r="BJ46" s="32" t="n">
        <f aca="false">BI46*EXP(($B$4-0.5*$B$5^2)*$B$8+$B$5*SQRT($B$8)*BJ102)</f>
        <v>40.7673797299643</v>
      </c>
    </row>
    <row r="47" customFormat="false" ht="15" hidden="false" customHeight="true" outlineLevel="0" collapsed="false">
      <c r="A47" s="6" t="s">
        <v>151</v>
      </c>
      <c r="B47" s="32" t="n">
        <f aca="false">$B$3</f>
        <v>11.5</v>
      </c>
      <c r="C47" s="32" t="n">
        <f aca="false">B47*EXP(($B$4-0.5*$B$5^2)*$B$8+$B$5*SQRT($B$8)*C103)</f>
        <v>13.2342291559824</v>
      </c>
      <c r="D47" s="32" t="n">
        <f aca="false">C47*EXP(($B$4-0.5*$B$5^2)*$B$8+$B$5*SQRT($B$8)*D103)</f>
        <v>12.8582944053998</v>
      </c>
      <c r="E47" s="32" t="n">
        <f aca="false">D47*EXP(($B$4-0.5*$B$5^2)*$B$8+$B$5*SQRT($B$8)*E103)</f>
        <v>12.4660889947212</v>
      </c>
      <c r="F47" s="32" t="n">
        <f aca="false">E47*EXP(($B$4-0.5*$B$5^2)*$B$8+$B$5*SQRT($B$8)*F103)</f>
        <v>11.2063489572733</v>
      </c>
      <c r="G47" s="32" t="n">
        <f aca="false">F47*EXP(($B$4-0.5*$B$5^2)*$B$8+$B$5*SQRT($B$8)*G103)</f>
        <v>9.12764488206537</v>
      </c>
      <c r="H47" s="32" t="n">
        <f aca="false">G47*EXP(($B$4-0.5*$B$5^2)*$B$8+$B$5*SQRT($B$8)*H103)</f>
        <v>8.75155874288972</v>
      </c>
      <c r="I47" s="32" t="n">
        <f aca="false">H47*EXP(($B$4-0.5*$B$5^2)*$B$8+$B$5*SQRT($B$8)*I103)</f>
        <v>8.11451787432934</v>
      </c>
      <c r="J47" s="32" t="n">
        <f aca="false">I47*EXP(($B$4-0.5*$B$5^2)*$B$8+$B$5*SQRT($B$8)*J103)</f>
        <v>8.56497005372047</v>
      </c>
      <c r="K47" s="32" t="n">
        <f aca="false">J47*EXP(($B$4-0.5*$B$5^2)*$B$8+$B$5*SQRT($B$8)*K103)</f>
        <v>7.286295000319</v>
      </c>
      <c r="L47" s="32" t="n">
        <f aca="false">K47*EXP(($B$4-0.5*$B$5^2)*$B$8+$B$5*SQRT($B$8)*L103)</f>
        <v>8.5237371854374</v>
      </c>
      <c r="M47" s="32" t="n">
        <f aca="false">L47*EXP(($B$4-0.5*$B$5^2)*$B$8+$B$5*SQRT($B$8)*M103)</f>
        <v>8.78022253382358</v>
      </c>
      <c r="N47" s="32" t="n">
        <f aca="false">M47*EXP(($B$4-0.5*$B$5^2)*$B$8+$B$5*SQRT($B$8)*N103)</f>
        <v>8.54310349975766</v>
      </c>
      <c r="O47" s="32" t="n">
        <f aca="false">N47*EXP(($B$4-0.5*$B$5^2)*$B$8+$B$5*SQRT($B$8)*O103)</f>
        <v>7.90203025854692</v>
      </c>
      <c r="P47" s="32" t="n">
        <f aca="false">O47*EXP(($B$4-0.5*$B$5^2)*$B$8+$B$5*SQRT($B$8)*P103)</f>
        <v>7.24696303116758</v>
      </c>
      <c r="Q47" s="32" t="n">
        <f aca="false">P47*EXP(($B$4-0.5*$B$5^2)*$B$8+$B$5*SQRT($B$8)*Q103)</f>
        <v>6.40086086238308</v>
      </c>
      <c r="R47" s="32" t="n">
        <f aca="false">Q47*EXP(($B$4-0.5*$B$5^2)*$B$8+$B$5*SQRT($B$8)*R103)</f>
        <v>6.028719682887</v>
      </c>
      <c r="S47" s="32" t="n">
        <f aca="false">R47*EXP(($B$4-0.5*$B$5^2)*$B$8+$B$5*SQRT($B$8)*S103)</f>
        <v>6.03161643273327</v>
      </c>
      <c r="T47" s="32" t="n">
        <f aca="false">S47*EXP(($B$4-0.5*$B$5^2)*$B$8+$B$5*SQRT($B$8)*T103)</f>
        <v>5.9143141983429</v>
      </c>
      <c r="U47" s="32" t="n">
        <f aca="false">T47*EXP(($B$4-0.5*$B$5^2)*$B$8+$B$5*SQRT($B$8)*U103)</f>
        <v>5.06334723342836</v>
      </c>
      <c r="V47" s="32" t="n">
        <f aca="false">U47*EXP(($B$4-0.5*$B$5^2)*$B$8+$B$5*SQRT($B$8)*V103)</f>
        <v>4.91692826237273</v>
      </c>
      <c r="W47" s="32" t="n">
        <f aca="false">V47*EXP(($B$4-0.5*$B$5^2)*$B$8+$B$5*SQRT($B$8)*W103)</f>
        <v>4.45720362695671</v>
      </c>
      <c r="X47" s="32" t="n">
        <f aca="false">W47*EXP(($B$4-0.5*$B$5^2)*$B$8+$B$5*SQRT($B$8)*X103)</f>
        <v>4.53523440801263</v>
      </c>
      <c r="Y47" s="32" t="n">
        <f aca="false">X47*EXP(($B$4-0.5*$B$5^2)*$B$8+$B$5*SQRT($B$8)*Y103)</f>
        <v>5.56356626572357</v>
      </c>
      <c r="Z47" s="32" t="n">
        <f aca="false">Y47*EXP(($B$4-0.5*$B$5^2)*$B$8+$B$5*SQRT($B$8)*Z103)</f>
        <v>5.95730869553742</v>
      </c>
      <c r="AA47" s="32" t="n">
        <f aca="false">Z47*EXP(($B$4-0.5*$B$5^2)*$B$8+$B$5*SQRT($B$8)*AA103)</f>
        <v>5.75510511632476</v>
      </c>
      <c r="AB47" s="32" t="n">
        <f aca="false">AA47*EXP(($B$4-0.5*$B$5^2)*$B$8+$B$5*SQRT($B$8)*AB103)</f>
        <v>4.81463334446626</v>
      </c>
      <c r="AC47" s="32" t="n">
        <f aca="false">AB47*EXP(($B$4-0.5*$B$5^2)*$B$8+$B$5*SQRT($B$8)*AC103)</f>
        <v>4.12178442693082</v>
      </c>
      <c r="AD47" s="32" t="n">
        <f aca="false">AC47*EXP(($B$4-0.5*$B$5^2)*$B$8+$B$5*SQRT($B$8)*AD103)</f>
        <v>3.42490973989661</v>
      </c>
      <c r="AE47" s="32" t="n">
        <f aca="false">AD47*EXP(($B$4-0.5*$B$5^2)*$B$8+$B$5*SQRT($B$8)*AE103)</f>
        <v>3.70813116796612</v>
      </c>
      <c r="AF47" s="32" t="n">
        <f aca="false">AE47*EXP(($B$4-0.5*$B$5^2)*$B$8+$B$5*SQRT($B$8)*AF103)</f>
        <v>3.40900076981411</v>
      </c>
      <c r="AG47" s="32" t="n">
        <f aca="false">AF47*EXP(($B$4-0.5*$B$5^2)*$B$8+$B$5*SQRT($B$8)*AG103)</f>
        <v>3.43186181859272</v>
      </c>
      <c r="AH47" s="32" t="n">
        <f aca="false">AG47*EXP(($B$4-0.5*$B$5^2)*$B$8+$B$5*SQRT($B$8)*AH103)</f>
        <v>3.2049188628386</v>
      </c>
      <c r="AI47" s="32" t="n">
        <f aca="false">AH47*EXP(($B$4-0.5*$B$5^2)*$B$8+$B$5*SQRT($B$8)*AI103)</f>
        <v>3.23654818546262</v>
      </c>
      <c r="AJ47" s="32" t="n">
        <f aca="false">AI47*EXP(($B$4-0.5*$B$5^2)*$B$8+$B$5*SQRT($B$8)*AJ103)</f>
        <v>3.77380282810887</v>
      </c>
      <c r="AK47" s="32" t="n">
        <f aca="false">AJ47*EXP(($B$4-0.5*$B$5^2)*$B$8+$B$5*SQRT($B$8)*AK103)</f>
        <v>3.50000242365932</v>
      </c>
      <c r="AL47" s="32" t="n">
        <f aca="false">AK47*EXP(($B$4-0.5*$B$5^2)*$B$8+$B$5*SQRT($B$8)*AL103)</f>
        <v>3.37089639921907</v>
      </c>
      <c r="AM47" s="32" t="n">
        <f aca="false">AL47*EXP(($B$4-0.5*$B$5^2)*$B$8+$B$5*SQRT($B$8)*AM103)</f>
        <v>3.0849708963291</v>
      </c>
      <c r="AN47" s="32" t="n">
        <f aca="false">AM47*EXP(($B$4-0.5*$B$5^2)*$B$8+$B$5*SQRT($B$8)*AN103)</f>
        <v>3.39497616607968</v>
      </c>
      <c r="AO47" s="32" t="n">
        <f aca="false">AN47*EXP(($B$4-0.5*$B$5^2)*$B$8+$B$5*SQRT($B$8)*AO103)</f>
        <v>3.03313206109294</v>
      </c>
      <c r="AP47" s="32" t="n">
        <f aca="false">AO47*EXP(($B$4-0.5*$B$5^2)*$B$8+$B$5*SQRT($B$8)*AP103)</f>
        <v>2.67815488429543</v>
      </c>
      <c r="AQ47" s="32" t="n">
        <f aca="false">AP47*EXP(($B$4-0.5*$B$5^2)*$B$8+$B$5*SQRT($B$8)*AQ103)</f>
        <v>2.29957174229454</v>
      </c>
      <c r="AR47" s="32" t="n">
        <f aca="false">AQ47*EXP(($B$4-0.5*$B$5^2)*$B$8+$B$5*SQRT($B$8)*AR103)</f>
        <v>1.97000264694326</v>
      </c>
      <c r="AS47" s="32" t="n">
        <f aca="false">AR47*EXP(($B$4-0.5*$B$5^2)*$B$8+$B$5*SQRT($B$8)*AS103)</f>
        <v>2.07405792377283</v>
      </c>
      <c r="AT47" s="32" t="n">
        <f aca="false">AS47*EXP(($B$4-0.5*$B$5^2)*$B$8+$B$5*SQRT($B$8)*AT103)</f>
        <v>2.74875438673896</v>
      </c>
      <c r="AU47" s="32" t="n">
        <f aca="false">AT47*EXP(($B$4-0.5*$B$5^2)*$B$8+$B$5*SQRT($B$8)*AU103)</f>
        <v>2.46397321839212</v>
      </c>
      <c r="AV47" s="32" t="n">
        <f aca="false">AU47*EXP(($B$4-0.5*$B$5^2)*$B$8+$B$5*SQRT($B$8)*AV103)</f>
        <v>2.7345670901104</v>
      </c>
      <c r="AW47" s="32" t="n">
        <f aca="false">AV47*EXP(($B$4-0.5*$B$5^2)*$B$8+$B$5*SQRT($B$8)*AW103)</f>
        <v>2.81042405524697</v>
      </c>
      <c r="AX47" s="32" t="n">
        <f aca="false">AW47*EXP(($B$4-0.5*$B$5^2)*$B$8+$B$5*SQRT($B$8)*AX103)</f>
        <v>2.48995334452937</v>
      </c>
      <c r="AY47" s="32" t="n">
        <f aca="false">AX47*EXP(($B$4-0.5*$B$5^2)*$B$8+$B$5*SQRT($B$8)*AY103)</f>
        <v>2.41506850579088</v>
      </c>
      <c r="AZ47" s="32" t="n">
        <f aca="false">AY47*EXP(($B$4-0.5*$B$5^2)*$B$8+$B$5*SQRT($B$8)*AZ103)</f>
        <v>2.35371319503154</v>
      </c>
      <c r="BA47" s="32" t="n">
        <f aca="false">AZ47*EXP(($B$4-0.5*$B$5^2)*$B$8+$B$5*SQRT($B$8)*BA103)</f>
        <v>2.18156654076674</v>
      </c>
      <c r="BB47" s="32" t="n">
        <f aca="false">BA47*EXP(($B$4-0.5*$B$5^2)*$B$8+$B$5*SQRT($B$8)*BB103)</f>
        <v>2.69565386848633</v>
      </c>
      <c r="BC47" s="32" t="n">
        <f aca="false">BB47*EXP(($B$4-0.5*$B$5^2)*$B$8+$B$5*SQRT($B$8)*BC103)</f>
        <v>2.18663233094866</v>
      </c>
      <c r="BD47" s="32" t="n">
        <f aca="false">BC47*EXP(($B$4-0.5*$B$5^2)*$B$8+$B$5*SQRT($B$8)*BD103)</f>
        <v>2.27954910569322</v>
      </c>
      <c r="BE47" s="32" t="n">
        <f aca="false">BD47*EXP(($B$4-0.5*$B$5^2)*$B$8+$B$5*SQRT($B$8)*BE103)</f>
        <v>2.3635421895837</v>
      </c>
      <c r="BF47" s="32" t="n">
        <f aca="false">BE47*EXP(($B$4-0.5*$B$5^2)*$B$8+$B$5*SQRT($B$8)*BF103)</f>
        <v>2.2175349371949</v>
      </c>
      <c r="BG47" s="32" t="n">
        <f aca="false">BF47*EXP(($B$4-0.5*$B$5^2)*$B$8+$B$5*SQRT($B$8)*BG103)</f>
        <v>2.25378901307567</v>
      </c>
      <c r="BH47" s="32" t="n">
        <f aca="false">BG47*EXP(($B$4-0.5*$B$5^2)*$B$8+$B$5*SQRT($B$8)*BH103)</f>
        <v>2.48109429460687</v>
      </c>
      <c r="BI47" s="32" t="n">
        <f aca="false">BH47*EXP(($B$4-0.5*$B$5^2)*$B$8+$B$5*SQRT($B$8)*BI103)</f>
        <v>2.52255151426083</v>
      </c>
      <c r="BJ47" s="32" t="n">
        <f aca="false">BI47*EXP(($B$4-0.5*$B$5^2)*$B$8+$B$5*SQRT($B$8)*BJ103)</f>
        <v>2.64023178380346</v>
      </c>
    </row>
    <row r="48" customFormat="false" ht="15" hidden="false" customHeight="true" outlineLevel="0" collapsed="false">
      <c r="A48" s="6" t="s">
        <v>152</v>
      </c>
      <c r="B48" s="32" t="n">
        <f aca="false">$B$3</f>
        <v>11.5</v>
      </c>
      <c r="C48" s="32" t="n">
        <f aca="false">B48*EXP(($B$4-0.5*$B$5^2)*$B$8+$B$5*SQRT($B$8)*C104)</f>
        <v>12.405919669088</v>
      </c>
      <c r="D48" s="32" t="n">
        <f aca="false">C48*EXP(($B$4-0.5*$B$5^2)*$B$8+$B$5*SQRT($B$8)*D104)</f>
        <v>9.92523877428259</v>
      </c>
      <c r="E48" s="32" t="n">
        <f aca="false">D48*EXP(($B$4-0.5*$B$5^2)*$B$8+$B$5*SQRT($B$8)*E104)</f>
        <v>11.6705728496431</v>
      </c>
      <c r="F48" s="32" t="n">
        <f aca="false">E48*EXP(($B$4-0.5*$B$5^2)*$B$8+$B$5*SQRT($B$8)*F104)</f>
        <v>14.9813978344454</v>
      </c>
      <c r="G48" s="32" t="n">
        <f aca="false">F48*EXP(($B$4-0.5*$B$5^2)*$B$8+$B$5*SQRT($B$8)*G104)</f>
        <v>16.6800899325699</v>
      </c>
      <c r="H48" s="32" t="n">
        <f aca="false">G48*EXP(($B$4-0.5*$B$5^2)*$B$8+$B$5*SQRT($B$8)*H104)</f>
        <v>18.6384745684615</v>
      </c>
      <c r="I48" s="32" t="n">
        <f aca="false">H48*EXP(($B$4-0.5*$B$5^2)*$B$8+$B$5*SQRT($B$8)*I104)</f>
        <v>15.9676499849062</v>
      </c>
      <c r="J48" s="32" t="n">
        <f aca="false">I48*EXP(($B$4-0.5*$B$5^2)*$B$8+$B$5*SQRT($B$8)*J104)</f>
        <v>15.7586635802839</v>
      </c>
      <c r="K48" s="32" t="n">
        <f aca="false">J48*EXP(($B$4-0.5*$B$5^2)*$B$8+$B$5*SQRT($B$8)*K104)</f>
        <v>14.4129706921797</v>
      </c>
      <c r="L48" s="32" t="n">
        <f aca="false">K48*EXP(($B$4-0.5*$B$5^2)*$B$8+$B$5*SQRT($B$8)*L104)</f>
        <v>13.5113763763881</v>
      </c>
      <c r="M48" s="32" t="n">
        <f aca="false">L48*EXP(($B$4-0.5*$B$5^2)*$B$8+$B$5*SQRT($B$8)*M104)</f>
        <v>15.0207008375218</v>
      </c>
      <c r="N48" s="32" t="n">
        <f aca="false">M48*EXP(($B$4-0.5*$B$5^2)*$B$8+$B$5*SQRT($B$8)*N104)</f>
        <v>13.7503028636503</v>
      </c>
      <c r="O48" s="32" t="n">
        <f aca="false">N48*EXP(($B$4-0.5*$B$5^2)*$B$8+$B$5*SQRT($B$8)*O104)</f>
        <v>13.5529719296217</v>
      </c>
      <c r="P48" s="32" t="n">
        <f aca="false">O48*EXP(($B$4-0.5*$B$5^2)*$B$8+$B$5*SQRT($B$8)*P104)</f>
        <v>10.9907916316976</v>
      </c>
      <c r="Q48" s="32" t="n">
        <f aca="false">P48*EXP(($B$4-0.5*$B$5^2)*$B$8+$B$5*SQRT($B$8)*Q104)</f>
        <v>10.7994479846277</v>
      </c>
      <c r="R48" s="32" t="n">
        <f aca="false">Q48*EXP(($B$4-0.5*$B$5^2)*$B$8+$B$5*SQRT($B$8)*R104)</f>
        <v>10.9046163187663</v>
      </c>
      <c r="S48" s="32" t="n">
        <f aca="false">R48*EXP(($B$4-0.5*$B$5^2)*$B$8+$B$5*SQRT($B$8)*S104)</f>
        <v>10.0914630778443</v>
      </c>
      <c r="T48" s="32" t="n">
        <f aca="false">S48*EXP(($B$4-0.5*$B$5^2)*$B$8+$B$5*SQRT($B$8)*T104)</f>
        <v>9.32349346874148</v>
      </c>
      <c r="U48" s="32" t="n">
        <f aca="false">T48*EXP(($B$4-0.5*$B$5^2)*$B$8+$B$5*SQRT($B$8)*U104)</f>
        <v>11.4648765125047</v>
      </c>
      <c r="V48" s="32" t="n">
        <f aca="false">U48*EXP(($B$4-0.5*$B$5^2)*$B$8+$B$5*SQRT($B$8)*V104)</f>
        <v>10.0382222932643</v>
      </c>
      <c r="W48" s="32" t="n">
        <f aca="false">V48*EXP(($B$4-0.5*$B$5^2)*$B$8+$B$5*SQRT($B$8)*W104)</f>
        <v>8.94386333882428</v>
      </c>
      <c r="X48" s="32" t="n">
        <f aca="false">W48*EXP(($B$4-0.5*$B$5^2)*$B$8+$B$5*SQRT($B$8)*X104)</f>
        <v>8.18283480970657</v>
      </c>
      <c r="Y48" s="32" t="n">
        <f aca="false">X48*EXP(($B$4-0.5*$B$5^2)*$B$8+$B$5*SQRT($B$8)*Y104)</f>
        <v>9.33118133086582</v>
      </c>
      <c r="Z48" s="32" t="n">
        <f aca="false">Y48*EXP(($B$4-0.5*$B$5^2)*$B$8+$B$5*SQRT($B$8)*Z104)</f>
        <v>11.7483199579996</v>
      </c>
      <c r="AA48" s="32" t="n">
        <f aca="false">Z48*EXP(($B$4-0.5*$B$5^2)*$B$8+$B$5*SQRT($B$8)*AA104)</f>
        <v>12.1820731851956</v>
      </c>
      <c r="AB48" s="32" t="n">
        <f aca="false">AA48*EXP(($B$4-0.5*$B$5^2)*$B$8+$B$5*SQRT($B$8)*AB104)</f>
        <v>11.2581781845654</v>
      </c>
      <c r="AC48" s="32" t="n">
        <f aca="false">AB48*EXP(($B$4-0.5*$B$5^2)*$B$8+$B$5*SQRT($B$8)*AC104)</f>
        <v>10.7401678357738</v>
      </c>
      <c r="AD48" s="32" t="n">
        <f aca="false">AC48*EXP(($B$4-0.5*$B$5^2)*$B$8+$B$5*SQRT($B$8)*AD104)</f>
        <v>12.068679451645</v>
      </c>
      <c r="AE48" s="32" t="n">
        <f aca="false">AD48*EXP(($B$4-0.5*$B$5^2)*$B$8+$B$5*SQRT($B$8)*AE104)</f>
        <v>10.9188350489629</v>
      </c>
      <c r="AF48" s="32" t="n">
        <f aca="false">AE48*EXP(($B$4-0.5*$B$5^2)*$B$8+$B$5*SQRT($B$8)*AF104)</f>
        <v>12.8031237587012</v>
      </c>
      <c r="AG48" s="32" t="n">
        <f aca="false">AF48*EXP(($B$4-0.5*$B$5^2)*$B$8+$B$5*SQRT($B$8)*AG104)</f>
        <v>14.9528152434055</v>
      </c>
      <c r="AH48" s="32" t="n">
        <f aca="false">AG48*EXP(($B$4-0.5*$B$5^2)*$B$8+$B$5*SQRT($B$8)*AH104)</f>
        <v>15.0656578111995</v>
      </c>
      <c r="AI48" s="32" t="n">
        <f aca="false">AH48*EXP(($B$4-0.5*$B$5^2)*$B$8+$B$5*SQRT($B$8)*AI104)</f>
        <v>16.1692733170848</v>
      </c>
      <c r="AJ48" s="32" t="n">
        <f aca="false">AI48*EXP(($B$4-0.5*$B$5^2)*$B$8+$B$5*SQRT($B$8)*AJ104)</f>
        <v>17.5521060184922</v>
      </c>
      <c r="AK48" s="32" t="n">
        <f aca="false">AJ48*EXP(($B$4-0.5*$B$5^2)*$B$8+$B$5*SQRT($B$8)*AK104)</f>
        <v>20.811008467173</v>
      </c>
      <c r="AL48" s="32" t="n">
        <f aca="false">AK48*EXP(($B$4-0.5*$B$5^2)*$B$8+$B$5*SQRT($B$8)*AL104)</f>
        <v>18.5405112648852</v>
      </c>
      <c r="AM48" s="32" t="n">
        <f aca="false">AL48*EXP(($B$4-0.5*$B$5^2)*$B$8+$B$5*SQRT($B$8)*AM104)</f>
        <v>21.1016002554916</v>
      </c>
      <c r="AN48" s="32" t="n">
        <f aca="false">AM48*EXP(($B$4-0.5*$B$5^2)*$B$8+$B$5*SQRT($B$8)*AN104)</f>
        <v>20.2469533036446</v>
      </c>
      <c r="AO48" s="32" t="n">
        <f aca="false">AN48*EXP(($B$4-0.5*$B$5^2)*$B$8+$B$5*SQRT($B$8)*AO104)</f>
        <v>18.6081612758594</v>
      </c>
      <c r="AP48" s="32" t="n">
        <f aca="false">AO48*EXP(($B$4-0.5*$B$5^2)*$B$8+$B$5*SQRT($B$8)*AP104)</f>
        <v>18.8154763463328</v>
      </c>
      <c r="AQ48" s="32" t="n">
        <f aca="false">AP48*EXP(($B$4-0.5*$B$5^2)*$B$8+$B$5*SQRT($B$8)*AQ104)</f>
        <v>18.3748628066457</v>
      </c>
      <c r="AR48" s="32" t="n">
        <f aca="false">AQ48*EXP(($B$4-0.5*$B$5^2)*$B$8+$B$5*SQRT($B$8)*AR104)</f>
        <v>16.4854087489927</v>
      </c>
      <c r="AS48" s="32" t="n">
        <f aca="false">AR48*EXP(($B$4-0.5*$B$5^2)*$B$8+$B$5*SQRT($B$8)*AS104)</f>
        <v>13.8331889212074</v>
      </c>
      <c r="AT48" s="32" t="n">
        <f aca="false">AS48*EXP(($B$4-0.5*$B$5^2)*$B$8+$B$5*SQRT($B$8)*AT104)</f>
        <v>12.472706843719</v>
      </c>
      <c r="AU48" s="32" t="n">
        <f aca="false">AT48*EXP(($B$4-0.5*$B$5^2)*$B$8+$B$5*SQRT($B$8)*AU104)</f>
        <v>14.6242052527889</v>
      </c>
      <c r="AV48" s="32" t="n">
        <f aca="false">AU48*EXP(($B$4-0.5*$B$5^2)*$B$8+$B$5*SQRT($B$8)*AV104)</f>
        <v>18.1338765678499</v>
      </c>
      <c r="AW48" s="32" t="n">
        <f aca="false">AV48*EXP(($B$4-0.5*$B$5^2)*$B$8+$B$5*SQRT($B$8)*AW104)</f>
        <v>19.4707632737268</v>
      </c>
      <c r="AX48" s="32" t="n">
        <f aca="false">AW48*EXP(($B$4-0.5*$B$5^2)*$B$8+$B$5*SQRT($B$8)*AX104)</f>
        <v>22.1718312649793</v>
      </c>
      <c r="AY48" s="32" t="n">
        <f aca="false">AX48*EXP(($B$4-0.5*$B$5^2)*$B$8+$B$5*SQRT($B$8)*AY104)</f>
        <v>20.945932904316</v>
      </c>
      <c r="AZ48" s="32" t="n">
        <f aca="false">AY48*EXP(($B$4-0.5*$B$5^2)*$B$8+$B$5*SQRT($B$8)*AZ104)</f>
        <v>20.7656024219169</v>
      </c>
      <c r="BA48" s="32" t="n">
        <f aca="false">AZ48*EXP(($B$4-0.5*$B$5^2)*$B$8+$B$5*SQRT($B$8)*BA104)</f>
        <v>21.4158835922947</v>
      </c>
      <c r="BB48" s="32" t="n">
        <f aca="false">BA48*EXP(($B$4-0.5*$B$5^2)*$B$8+$B$5*SQRT($B$8)*BB104)</f>
        <v>19.0170472211157</v>
      </c>
      <c r="BC48" s="32" t="n">
        <f aca="false">BB48*EXP(($B$4-0.5*$B$5^2)*$B$8+$B$5*SQRT($B$8)*BC104)</f>
        <v>17.0569714831665</v>
      </c>
      <c r="BD48" s="32" t="n">
        <f aca="false">BC48*EXP(($B$4-0.5*$B$5^2)*$B$8+$B$5*SQRT($B$8)*BD104)</f>
        <v>17.2366113219569</v>
      </c>
      <c r="BE48" s="32" t="n">
        <f aca="false">BD48*EXP(($B$4-0.5*$B$5^2)*$B$8+$B$5*SQRT($B$8)*BE104)</f>
        <v>16.6384472615519</v>
      </c>
      <c r="BF48" s="32" t="n">
        <f aca="false">BE48*EXP(($B$4-0.5*$B$5^2)*$B$8+$B$5*SQRT($B$8)*BF104)</f>
        <v>14.8035093874296</v>
      </c>
      <c r="BG48" s="32" t="n">
        <f aca="false">BF48*EXP(($B$4-0.5*$B$5^2)*$B$8+$B$5*SQRT($B$8)*BG104)</f>
        <v>15.4418627475133</v>
      </c>
      <c r="BH48" s="32" t="n">
        <f aca="false">BG48*EXP(($B$4-0.5*$B$5^2)*$B$8+$B$5*SQRT($B$8)*BH104)</f>
        <v>14.9995172463099</v>
      </c>
      <c r="BI48" s="32" t="n">
        <f aca="false">BH48*EXP(($B$4-0.5*$B$5^2)*$B$8+$B$5*SQRT($B$8)*BI104)</f>
        <v>16.7747317149162</v>
      </c>
      <c r="BJ48" s="32" t="n">
        <f aca="false">BI48*EXP(($B$4-0.5*$B$5^2)*$B$8+$B$5*SQRT($B$8)*BJ104)</f>
        <v>16.7621271833258</v>
      </c>
    </row>
    <row r="49" customFormat="false" ht="15" hidden="false" customHeight="true" outlineLevel="0" collapsed="false">
      <c r="A49" s="6" t="s">
        <v>153</v>
      </c>
      <c r="B49" s="32" t="n">
        <f aca="false">$B$3</f>
        <v>11.5</v>
      </c>
      <c r="C49" s="32" t="n">
        <f aca="false">B49*EXP(($B$4-0.5*$B$5^2)*$B$8+$B$5*SQRT($B$8)*C105)</f>
        <v>11.1252924926804</v>
      </c>
      <c r="D49" s="32" t="n">
        <f aca="false">C49*EXP(($B$4-0.5*$B$5^2)*$B$8+$B$5*SQRT($B$8)*D105)</f>
        <v>11.2801336441297</v>
      </c>
      <c r="E49" s="32" t="n">
        <f aca="false">D49*EXP(($B$4-0.5*$B$5^2)*$B$8+$B$5*SQRT($B$8)*E105)</f>
        <v>11.0672884264865</v>
      </c>
      <c r="F49" s="32" t="n">
        <f aca="false">E49*EXP(($B$4-0.5*$B$5^2)*$B$8+$B$5*SQRT($B$8)*F105)</f>
        <v>10.2833706242359</v>
      </c>
      <c r="G49" s="32" t="n">
        <f aca="false">F49*EXP(($B$4-0.5*$B$5^2)*$B$8+$B$5*SQRT($B$8)*G105)</f>
        <v>9.83799134251744</v>
      </c>
      <c r="H49" s="32" t="n">
        <f aca="false">G49*EXP(($B$4-0.5*$B$5^2)*$B$8+$B$5*SQRT($B$8)*H105)</f>
        <v>10.6789755783817</v>
      </c>
      <c r="I49" s="32" t="n">
        <f aca="false">H49*EXP(($B$4-0.5*$B$5^2)*$B$8+$B$5*SQRT($B$8)*I105)</f>
        <v>11.4617365367224</v>
      </c>
      <c r="J49" s="32" t="n">
        <f aca="false">I49*EXP(($B$4-0.5*$B$5^2)*$B$8+$B$5*SQRT($B$8)*J105)</f>
        <v>13.19615700744</v>
      </c>
      <c r="K49" s="32" t="n">
        <f aca="false">J49*EXP(($B$4-0.5*$B$5^2)*$B$8+$B$5*SQRT($B$8)*K105)</f>
        <v>10.9575281396743</v>
      </c>
      <c r="L49" s="32" t="n">
        <f aca="false">K49*EXP(($B$4-0.5*$B$5^2)*$B$8+$B$5*SQRT($B$8)*L105)</f>
        <v>10.4931503459059</v>
      </c>
      <c r="M49" s="32" t="n">
        <f aca="false">L49*EXP(($B$4-0.5*$B$5^2)*$B$8+$B$5*SQRT($B$8)*M105)</f>
        <v>10.0247985417789</v>
      </c>
      <c r="N49" s="32" t="n">
        <f aca="false">M49*EXP(($B$4-0.5*$B$5^2)*$B$8+$B$5*SQRT($B$8)*N105)</f>
        <v>10.2136125702129</v>
      </c>
      <c r="O49" s="32" t="n">
        <f aca="false">N49*EXP(($B$4-0.5*$B$5^2)*$B$8+$B$5*SQRT($B$8)*O105)</f>
        <v>9.71759316611541</v>
      </c>
      <c r="P49" s="32" t="n">
        <f aca="false">O49*EXP(($B$4-0.5*$B$5^2)*$B$8+$B$5*SQRT($B$8)*P105)</f>
        <v>9.18397604997466</v>
      </c>
      <c r="Q49" s="32" t="n">
        <f aca="false">P49*EXP(($B$4-0.5*$B$5^2)*$B$8+$B$5*SQRT($B$8)*Q105)</f>
        <v>10.0058162326179</v>
      </c>
      <c r="R49" s="32" t="n">
        <f aca="false">Q49*EXP(($B$4-0.5*$B$5^2)*$B$8+$B$5*SQRT($B$8)*R105)</f>
        <v>10.2013371014851</v>
      </c>
      <c r="S49" s="32" t="n">
        <f aca="false">R49*EXP(($B$4-0.5*$B$5^2)*$B$8+$B$5*SQRT($B$8)*S105)</f>
        <v>8.97451914786619</v>
      </c>
      <c r="T49" s="32" t="n">
        <f aca="false">S49*EXP(($B$4-0.5*$B$5^2)*$B$8+$B$5*SQRT($B$8)*T105)</f>
        <v>10.3874335565482</v>
      </c>
      <c r="U49" s="32" t="n">
        <f aca="false">T49*EXP(($B$4-0.5*$B$5^2)*$B$8+$B$5*SQRT($B$8)*U105)</f>
        <v>11.5854927753097</v>
      </c>
      <c r="V49" s="32" t="n">
        <f aca="false">U49*EXP(($B$4-0.5*$B$5^2)*$B$8+$B$5*SQRT($B$8)*V105)</f>
        <v>10.8765485857283</v>
      </c>
      <c r="W49" s="32" t="n">
        <f aca="false">V49*EXP(($B$4-0.5*$B$5^2)*$B$8+$B$5*SQRT($B$8)*W105)</f>
        <v>11.9128092265175</v>
      </c>
      <c r="X49" s="32" t="n">
        <f aca="false">W49*EXP(($B$4-0.5*$B$5^2)*$B$8+$B$5*SQRT($B$8)*X105)</f>
        <v>10.9878050007658</v>
      </c>
      <c r="Y49" s="32" t="n">
        <f aca="false">X49*EXP(($B$4-0.5*$B$5^2)*$B$8+$B$5*SQRT($B$8)*Y105)</f>
        <v>12.4296894517034</v>
      </c>
      <c r="Z49" s="32" t="n">
        <f aca="false">Y49*EXP(($B$4-0.5*$B$5^2)*$B$8+$B$5*SQRT($B$8)*Z105)</f>
        <v>12.1339735820622</v>
      </c>
      <c r="AA49" s="32" t="n">
        <f aca="false">Z49*EXP(($B$4-0.5*$B$5^2)*$B$8+$B$5*SQRT($B$8)*AA105)</f>
        <v>11.109014291851</v>
      </c>
      <c r="AB49" s="32" t="n">
        <f aca="false">AA49*EXP(($B$4-0.5*$B$5^2)*$B$8+$B$5*SQRT($B$8)*AB105)</f>
        <v>10.6615656383002</v>
      </c>
      <c r="AC49" s="32" t="n">
        <f aca="false">AB49*EXP(($B$4-0.5*$B$5^2)*$B$8+$B$5*SQRT($B$8)*AC105)</f>
        <v>9.80069199187678</v>
      </c>
      <c r="AD49" s="32" t="n">
        <f aca="false">AC49*EXP(($B$4-0.5*$B$5^2)*$B$8+$B$5*SQRT($B$8)*AD105)</f>
        <v>10.0076191671555</v>
      </c>
      <c r="AE49" s="32" t="n">
        <f aca="false">AD49*EXP(($B$4-0.5*$B$5^2)*$B$8+$B$5*SQRT($B$8)*AE105)</f>
        <v>10.1998378845642</v>
      </c>
      <c r="AF49" s="32" t="n">
        <f aca="false">AE49*EXP(($B$4-0.5*$B$5^2)*$B$8+$B$5*SQRT($B$8)*AF105)</f>
        <v>10.2380989705777</v>
      </c>
      <c r="AG49" s="32" t="n">
        <f aca="false">AF49*EXP(($B$4-0.5*$B$5^2)*$B$8+$B$5*SQRT($B$8)*AG105)</f>
        <v>9.62990948926065</v>
      </c>
      <c r="AH49" s="32" t="n">
        <f aca="false">AG49*EXP(($B$4-0.5*$B$5^2)*$B$8+$B$5*SQRT($B$8)*AH105)</f>
        <v>6.44356813916403</v>
      </c>
      <c r="AI49" s="32" t="n">
        <f aca="false">AH49*EXP(($B$4-0.5*$B$5^2)*$B$8+$B$5*SQRT($B$8)*AI105)</f>
        <v>6.50832976671666</v>
      </c>
      <c r="AJ49" s="32" t="n">
        <f aca="false">AI49*EXP(($B$4-0.5*$B$5^2)*$B$8+$B$5*SQRT($B$8)*AJ105)</f>
        <v>5.28508738803923</v>
      </c>
      <c r="AK49" s="32" t="n">
        <f aca="false">AJ49*EXP(($B$4-0.5*$B$5^2)*$B$8+$B$5*SQRT($B$8)*AK105)</f>
        <v>5.42757499872143</v>
      </c>
      <c r="AL49" s="32" t="n">
        <f aca="false">AK49*EXP(($B$4-0.5*$B$5^2)*$B$8+$B$5*SQRT($B$8)*AL105)</f>
        <v>6.14324608580562</v>
      </c>
      <c r="AM49" s="32" t="n">
        <f aca="false">AL49*EXP(($B$4-0.5*$B$5^2)*$B$8+$B$5*SQRT($B$8)*AM105)</f>
        <v>6.32945577885517</v>
      </c>
      <c r="AN49" s="32" t="n">
        <f aca="false">AM49*EXP(($B$4-0.5*$B$5^2)*$B$8+$B$5*SQRT($B$8)*AN105)</f>
        <v>6.06364480872889</v>
      </c>
      <c r="AO49" s="32" t="n">
        <f aca="false">AN49*EXP(($B$4-0.5*$B$5^2)*$B$8+$B$5*SQRT($B$8)*AO105)</f>
        <v>5.94408012177147</v>
      </c>
      <c r="AP49" s="32" t="n">
        <f aca="false">AO49*EXP(($B$4-0.5*$B$5^2)*$B$8+$B$5*SQRT($B$8)*AP105)</f>
        <v>5.85687357837926</v>
      </c>
      <c r="AQ49" s="32" t="n">
        <f aca="false">AP49*EXP(($B$4-0.5*$B$5^2)*$B$8+$B$5*SQRT($B$8)*AQ105)</f>
        <v>5.51340663795746</v>
      </c>
      <c r="AR49" s="32" t="n">
        <f aca="false">AQ49*EXP(($B$4-0.5*$B$5^2)*$B$8+$B$5*SQRT($B$8)*AR105)</f>
        <v>5.17044971043704</v>
      </c>
      <c r="AS49" s="32" t="n">
        <f aca="false">AR49*EXP(($B$4-0.5*$B$5^2)*$B$8+$B$5*SQRT($B$8)*AS105)</f>
        <v>4.67125669513277</v>
      </c>
      <c r="AT49" s="32" t="n">
        <f aca="false">AS49*EXP(($B$4-0.5*$B$5^2)*$B$8+$B$5*SQRT($B$8)*AT105)</f>
        <v>5.32057884245659</v>
      </c>
      <c r="AU49" s="32" t="n">
        <f aca="false">AT49*EXP(($B$4-0.5*$B$5^2)*$B$8+$B$5*SQRT($B$8)*AU105)</f>
        <v>5.31053523988972</v>
      </c>
      <c r="AV49" s="32" t="n">
        <f aca="false">AU49*EXP(($B$4-0.5*$B$5^2)*$B$8+$B$5*SQRT($B$8)*AV105)</f>
        <v>5.89679491983582</v>
      </c>
      <c r="AW49" s="32" t="n">
        <f aca="false">AV49*EXP(($B$4-0.5*$B$5^2)*$B$8+$B$5*SQRT($B$8)*AW105)</f>
        <v>5.73619385582528</v>
      </c>
      <c r="AX49" s="32" t="n">
        <f aca="false">AW49*EXP(($B$4-0.5*$B$5^2)*$B$8+$B$5*SQRT($B$8)*AX105)</f>
        <v>5.78072506750742</v>
      </c>
      <c r="AY49" s="32" t="n">
        <f aca="false">AX49*EXP(($B$4-0.5*$B$5^2)*$B$8+$B$5*SQRT($B$8)*AY105)</f>
        <v>5.67264441984636</v>
      </c>
      <c r="AZ49" s="32" t="n">
        <f aca="false">AY49*EXP(($B$4-0.5*$B$5^2)*$B$8+$B$5*SQRT($B$8)*AZ105)</f>
        <v>5.96699578791881</v>
      </c>
      <c r="BA49" s="32" t="n">
        <f aca="false">AZ49*EXP(($B$4-0.5*$B$5^2)*$B$8+$B$5*SQRT($B$8)*BA105)</f>
        <v>6.53217084258504</v>
      </c>
      <c r="BB49" s="32" t="n">
        <f aca="false">BA49*EXP(($B$4-0.5*$B$5^2)*$B$8+$B$5*SQRT($B$8)*BB105)</f>
        <v>6.70498155901032</v>
      </c>
      <c r="BC49" s="32" t="n">
        <f aca="false">BB49*EXP(($B$4-0.5*$B$5^2)*$B$8+$B$5*SQRT($B$8)*BC105)</f>
        <v>6.2261123902947</v>
      </c>
      <c r="BD49" s="32" t="n">
        <f aca="false">BC49*EXP(($B$4-0.5*$B$5^2)*$B$8+$B$5*SQRT($B$8)*BD105)</f>
        <v>5.71452137835046</v>
      </c>
      <c r="BE49" s="32" t="n">
        <f aca="false">BD49*EXP(($B$4-0.5*$B$5^2)*$B$8+$B$5*SQRT($B$8)*BE105)</f>
        <v>6.85400050996931</v>
      </c>
      <c r="BF49" s="32" t="n">
        <f aca="false">BE49*EXP(($B$4-0.5*$B$5^2)*$B$8+$B$5*SQRT($B$8)*BF105)</f>
        <v>6.64543396695811</v>
      </c>
      <c r="BG49" s="32" t="n">
        <f aca="false">BF49*EXP(($B$4-0.5*$B$5^2)*$B$8+$B$5*SQRT($B$8)*BG105)</f>
        <v>6.43539847416107</v>
      </c>
      <c r="BH49" s="32" t="n">
        <f aca="false">BG49*EXP(($B$4-0.5*$B$5^2)*$B$8+$B$5*SQRT($B$8)*BH105)</f>
        <v>7.5559602491569</v>
      </c>
      <c r="BI49" s="32" t="n">
        <f aca="false">BH49*EXP(($B$4-0.5*$B$5^2)*$B$8+$B$5*SQRT($B$8)*BI105)</f>
        <v>8.5120939699983</v>
      </c>
      <c r="BJ49" s="32" t="n">
        <f aca="false">BI49*EXP(($B$4-0.5*$B$5^2)*$B$8+$B$5*SQRT($B$8)*BJ105)</f>
        <v>9.02379357673303</v>
      </c>
    </row>
    <row r="50" customFormat="false" ht="15" hidden="false" customHeight="true" outlineLevel="0" collapsed="false">
      <c r="A50" s="6" t="s">
        <v>154</v>
      </c>
      <c r="B50" s="32" t="n">
        <f aca="false">$B$3</f>
        <v>11.5</v>
      </c>
      <c r="C50" s="32" t="n">
        <f aca="false">B50*EXP(($B$4-0.5*$B$5^2)*$B$8+$B$5*SQRT($B$8)*C106)</f>
        <v>11.0050172182472</v>
      </c>
      <c r="D50" s="32" t="n">
        <f aca="false">C50*EXP(($B$4-0.5*$B$5^2)*$B$8+$B$5*SQRT($B$8)*D106)</f>
        <v>14.2435704191232</v>
      </c>
      <c r="E50" s="32" t="n">
        <f aca="false">D50*EXP(($B$4-0.5*$B$5^2)*$B$8+$B$5*SQRT($B$8)*E106)</f>
        <v>14.8682808541051</v>
      </c>
      <c r="F50" s="32" t="n">
        <f aca="false">E50*EXP(($B$4-0.5*$B$5^2)*$B$8+$B$5*SQRT($B$8)*F106)</f>
        <v>15.7848280594214</v>
      </c>
      <c r="G50" s="32" t="n">
        <f aca="false">F50*EXP(($B$4-0.5*$B$5^2)*$B$8+$B$5*SQRT($B$8)*G106)</f>
        <v>15.4884741399021</v>
      </c>
      <c r="H50" s="32" t="n">
        <f aca="false">G50*EXP(($B$4-0.5*$B$5^2)*$B$8+$B$5*SQRT($B$8)*H106)</f>
        <v>13.2602145031935</v>
      </c>
      <c r="I50" s="32" t="n">
        <f aca="false">H50*EXP(($B$4-0.5*$B$5^2)*$B$8+$B$5*SQRT($B$8)*I106)</f>
        <v>11.4520188458325</v>
      </c>
      <c r="J50" s="32" t="n">
        <f aca="false">I50*EXP(($B$4-0.5*$B$5^2)*$B$8+$B$5*SQRT($B$8)*J106)</f>
        <v>11.9726730078079</v>
      </c>
      <c r="K50" s="32" t="n">
        <f aca="false">J50*EXP(($B$4-0.5*$B$5^2)*$B$8+$B$5*SQRT($B$8)*K106)</f>
        <v>12.496215111173</v>
      </c>
      <c r="L50" s="32" t="n">
        <f aca="false">K50*EXP(($B$4-0.5*$B$5^2)*$B$8+$B$5*SQRT($B$8)*L106)</f>
        <v>12.1692890323098</v>
      </c>
      <c r="M50" s="32" t="n">
        <f aca="false">L50*EXP(($B$4-0.5*$B$5^2)*$B$8+$B$5*SQRT($B$8)*M106)</f>
        <v>10.6995585238335</v>
      </c>
      <c r="N50" s="32" t="n">
        <f aca="false">M50*EXP(($B$4-0.5*$B$5^2)*$B$8+$B$5*SQRT($B$8)*N106)</f>
        <v>9.13281756707445</v>
      </c>
      <c r="O50" s="32" t="n">
        <f aca="false">N50*EXP(($B$4-0.5*$B$5^2)*$B$8+$B$5*SQRT($B$8)*O106)</f>
        <v>8.80858515647421</v>
      </c>
      <c r="P50" s="32" t="n">
        <f aca="false">O50*EXP(($B$4-0.5*$B$5^2)*$B$8+$B$5*SQRT($B$8)*P106)</f>
        <v>7.50681508821956</v>
      </c>
      <c r="Q50" s="32" t="n">
        <f aca="false">P50*EXP(($B$4-0.5*$B$5^2)*$B$8+$B$5*SQRT($B$8)*Q106)</f>
        <v>8.28325382440967</v>
      </c>
      <c r="R50" s="32" t="n">
        <f aca="false">Q50*EXP(($B$4-0.5*$B$5^2)*$B$8+$B$5*SQRT($B$8)*R106)</f>
        <v>9.39799043606102</v>
      </c>
      <c r="S50" s="32" t="n">
        <f aca="false">R50*EXP(($B$4-0.5*$B$5^2)*$B$8+$B$5*SQRT($B$8)*S106)</f>
        <v>12.8154034307456</v>
      </c>
      <c r="T50" s="32" t="n">
        <f aca="false">S50*EXP(($B$4-0.5*$B$5^2)*$B$8+$B$5*SQRT($B$8)*T106)</f>
        <v>14.1090001517819</v>
      </c>
      <c r="U50" s="32" t="n">
        <f aca="false">T50*EXP(($B$4-0.5*$B$5^2)*$B$8+$B$5*SQRT($B$8)*U106)</f>
        <v>13.2182177684146</v>
      </c>
      <c r="V50" s="32" t="n">
        <f aca="false">U50*EXP(($B$4-0.5*$B$5^2)*$B$8+$B$5*SQRT($B$8)*V106)</f>
        <v>12.0106533608086</v>
      </c>
      <c r="W50" s="32" t="n">
        <f aca="false">V50*EXP(($B$4-0.5*$B$5^2)*$B$8+$B$5*SQRT($B$8)*W106)</f>
        <v>8.2232707865374</v>
      </c>
      <c r="X50" s="32" t="n">
        <f aca="false">W50*EXP(($B$4-0.5*$B$5^2)*$B$8+$B$5*SQRT($B$8)*X106)</f>
        <v>7.70236493168023</v>
      </c>
      <c r="Y50" s="32" t="n">
        <f aca="false">X50*EXP(($B$4-0.5*$B$5^2)*$B$8+$B$5*SQRT($B$8)*Y106)</f>
        <v>7.552892922208</v>
      </c>
      <c r="Z50" s="32" t="n">
        <f aca="false">Y50*EXP(($B$4-0.5*$B$5^2)*$B$8+$B$5*SQRT($B$8)*Z106)</f>
        <v>8.39731862274562</v>
      </c>
      <c r="AA50" s="32" t="n">
        <f aca="false">Z50*EXP(($B$4-0.5*$B$5^2)*$B$8+$B$5*SQRT($B$8)*AA106)</f>
        <v>8.97838064927273</v>
      </c>
      <c r="AB50" s="32" t="n">
        <f aca="false">AA50*EXP(($B$4-0.5*$B$5^2)*$B$8+$B$5*SQRT($B$8)*AB106)</f>
        <v>9.57519730880554</v>
      </c>
      <c r="AC50" s="32" t="n">
        <f aca="false">AB50*EXP(($B$4-0.5*$B$5^2)*$B$8+$B$5*SQRT($B$8)*AC106)</f>
        <v>9.80043742110606</v>
      </c>
      <c r="AD50" s="32" t="n">
        <f aca="false">AC50*EXP(($B$4-0.5*$B$5^2)*$B$8+$B$5*SQRT($B$8)*AD106)</f>
        <v>10.5354234086196</v>
      </c>
      <c r="AE50" s="32" t="n">
        <f aca="false">AD50*EXP(($B$4-0.5*$B$5^2)*$B$8+$B$5*SQRT($B$8)*AE106)</f>
        <v>12.3463025721253</v>
      </c>
      <c r="AF50" s="32" t="n">
        <f aca="false">AE50*EXP(($B$4-0.5*$B$5^2)*$B$8+$B$5*SQRT($B$8)*AF106)</f>
        <v>10.9831246921926</v>
      </c>
      <c r="AG50" s="32" t="n">
        <f aca="false">AF50*EXP(($B$4-0.5*$B$5^2)*$B$8+$B$5*SQRT($B$8)*AG106)</f>
        <v>10.4438403827346</v>
      </c>
      <c r="AH50" s="32" t="n">
        <f aca="false">AG50*EXP(($B$4-0.5*$B$5^2)*$B$8+$B$5*SQRT($B$8)*AH106)</f>
        <v>8.96664794854598</v>
      </c>
      <c r="AI50" s="32" t="n">
        <f aca="false">AH50*EXP(($B$4-0.5*$B$5^2)*$B$8+$B$5*SQRT($B$8)*AI106)</f>
        <v>10.706917528348</v>
      </c>
      <c r="AJ50" s="32" t="n">
        <f aca="false">AI50*EXP(($B$4-0.5*$B$5^2)*$B$8+$B$5*SQRT($B$8)*AJ106)</f>
        <v>12.3415148137759</v>
      </c>
      <c r="AK50" s="32" t="n">
        <f aca="false">AJ50*EXP(($B$4-0.5*$B$5^2)*$B$8+$B$5*SQRT($B$8)*AK106)</f>
        <v>13.4007196697083</v>
      </c>
      <c r="AL50" s="32" t="n">
        <f aca="false">AK50*EXP(($B$4-0.5*$B$5^2)*$B$8+$B$5*SQRT($B$8)*AL106)</f>
        <v>11.7475901011832</v>
      </c>
      <c r="AM50" s="32" t="n">
        <f aca="false">AL50*EXP(($B$4-0.5*$B$5^2)*$B$8+$B$5*SQRT($B$8)*AM106)</f>
        <v>11.9703916332294</v>
      </c>
      <c r="AN50" s="32" t="n">
        <f aca="false">AM50*EXP(($B$4-0.5*$B$5^2)*$B$8+$B$5*SQRT($B$8)*AN106)</f>
        <v>11.6640769803658</v>
      </c>
      <c r="AO50" s="32" t="n">
        <f aca="false">AN50*EXP(($B$4-0.5*$B$5^2)*$B$8+$B$5*SQRT($B$8)*AO106)</f>
        <v>11.7657984944317</v>
      </c>
      <c r="AP50" s="32" t="n">
        <f aca="false">AO50*EXP(($B$4-0.5*$B$5^2)*$B$8+$B$5*SQRT($B$8)*AP106)</f>
        <v>11.5233757574958</v>
      </c>
      <c r="AQ50" s="32" t="n">
        <f aca="false">AP50*EXP(($B$4-0.5*$B$5^2)*$B$8+$B$5*SQRT($B$8)*AQ106)</f>
        <v>12.1975040549587</v>
      </c>
      <c r="AR50" s="32" t="n">
        <f aca="false">AQ50*EXP(($B$4-0.5*$B$5^2)*$B$8+$B$5*SQRT($B$8)*AR106)</f>
        <v>11.6783352810499</v>
      </c>
      <c r="AS50" s="32" t="n">
        <f aca="false">AR50*EXP(($B$4-0.5*$B$5^2)*$B$8+$B$5*SQRT($B$8)*AS106)</f>
        <v>12.8237066995382</v>
      </c>
      <c r="AT50" s="32" t="n">
        <f aca="false">AS50*EXP(($B$4-0.5*$B$5^2)*$B$8+$B$5*SQRT($B$8)*AT106)</f>
        <v>13.1654028678525</v>
      </c>
      <c r="AU50" s="32" t="n">
        <f aca="false">AT50*EXP(($B$4-0.5*$B$5^2)*$B$8+$B$5*SQRT($B$8)*AU106)</f>
        <v>12.74653685206</v>
      </c>
      <c r="AV50" s="32" t="n">
        <f aca="false">AU50*EXP(($B$4-0.5*$B$5^2)*$B$8+$B$5*SQRT($B$8)*AV106)</f>
        <v>12.588785190184</v>
      </c>
      <c r="AW50" s="32" t="n">
        <f aca="false">AV50*EXP(($B$4-0.5*$B$5^2)*$B$8+$B$5*SQRT($B$8)*AW106)</f>
        <v>11.9926276747472</v>
      </c>
      <c r="AX50" s="32" t="n">
        <f aca="false">AW50*EXP(($B$4-0.5*$B$5^2)*$B$8+$B$5*SQRT($B$8)*AX106)</f>
        <v>13.1101801649179</v>
      </c>
      <c r="AY50" s="32" t="n">
        <f aca="false">AX50*EXP(($B$4-0.5*$B$5^2)*$B$8+$B$5*SQRT($B$8)*AY106)</f>
        <v>12.7231986073792</v>
      </c>
      <c r="AZ50" s="32" t="n">
        <f aca="false">AY50*EXP(($B$4-0.5*$B$5^2)*$B$8+$B$5*SQRT($B$8)*AZ106)</f>
        <v>13.1390947152073</v>
      </c>
      <c r="BA50" s="32" t="n">
        <f aca="false">AZ50*EXP(($B$4-0.5*$B$5^2)*$B$8+$B$5*SQRT($B$8)*BA106)</f>
        <v>12.5832095764982</v>
      </c>
      <c r="BB50" s="32" t="n">
        <f aca="false">BA50*EXP(($B$4-0.5*$B$5^2)*$B$8+$B$5*SQRT($B$8)*BB106)</f>
        <v>10.6895803166422</v>
      </c>
      <c r="BC50" s="32" t="n">
        <f aca="false">BB50*EXP(($B$4-0.5*$B$5^2)*$B$8+$B$5*SQRT($B$8)*BC106)</f>
        <v>11.8045217797946</v>
      </c>
      <c r="BD50" s="32" t="n">
        <f aca="false">BC50*EXP(($B$4-0.5*$B$5^2)*$B$8+$B$5*SQRT($B$8)*BD106)</f>
        <v>10.5089418265126</v>
      </c>
      <c r="BE50" s="32" t="n">
        <f aca="false">BD50*EXP(($B$4-0.5*$B$5^2)*$B$8+$B$5*SQRT($B$8)*BE106)</f>
        <v>11.3197023680626</v>
      </c>
      <c r="BF50" s="32" t="n">
        <f aca="false">BE50*EXP(($B$4-0.5*$B$5^2)*$B$8+$B$5*SQRT($B$8)*BF106)</f>
        <v>11.8514563289968</v>
      </c>
      <c r="BG50" s="32" t="n">
        <f aca="false">BF50*EXP(($B$4-0.5*$B$5^2)*$B$8+$B$5*SQRT($B$8)*BG106)</f>
        <v>9.88092634121154</v>
      </c>
      <c r="BH50" s="32" t="n">
        <f aca="false">BG50*EXP(($B$4-0.5*$B$5^2)*$B$8+$B$5*SQRT($B$8)*BH106)</f>
        <v>8.90661824664145</v>
      </c>
      <c r="BI50" s="32" t="n">
        <f aca="false">BH50*EXP(($B$4-0.5*$B$5^2)*$B$8+$B$5*SQRT($B$8)*BI106)</f>
        <v>8.41668649669915</v>
      </c>
      <c r="BJ50" s="32" t="n">
        <f aca="false">BI50*EXP(($B$4-0.5*$B$5^2)*$B$8+$B$5*SQRT($B$8)*BJ106)</f>
        <v>7.69063189438833</v>
      </c>
    </row>
    <row r="51" customFormat="false" ht="15" hidden="false" customHeight="true" outlineLevel="0" collapsed="false">
      <c r="A51" s="6" t="s">
        <v>155</v>
      </c>
      <c r="B51" s="32" t="n">
        <f aca="false">$B$3</f>
        <v>11.5</v>
      </c>
      <c r="C51" s="32" t="n">
        <f aca="false">B51*EXP(($B$4-0.5*$B$5^2)*$B$8+$B$5*SQRT($B$8)*C107)</f>
        <v>10.0995878804459</v>
      </c>
      <c r="D51" s="32" t="n">
        <f aca="false">C51*EXP(($B$4-0.5*$B$5^2)*$B$8+$B$5*SQRT($B$8)*D107)</f>
        <v>10.951727751799</v>
      </c>
      <c r="E51" s="32" t="n">
        <f aca="false">D51*EXP(($B$4-0.5*$B$5^2)*$B$8+$B$5*SQRT($B$8)*E107)</f>
        <v>10.6657852670015</v>
      </c>
      <c r="F51" s="32" t="n">
        <f aca="false">E51*EXP(($B$4-0.5*$B$5^2)*$B$8+$B$5*SQRT($B$8)*F107)</f>
        <v>11.1246856625296</v>
      </c>
      <c r="G51" s="32" t="n">
        <f aca="false">F51*EXP(($B$4-0.5*$B$5^2)*$B$8+$B$5*SQRT($B$8)*G107)</f>
        <v>10.6095861543639</v>
      </c>
      <c r="H51" s="32" t="n">
        <f aca="false">G51*EXP(($B$4-0.5*$B$5^2)*$B$8+$B$5*SQRT($B$8)*H107)</f>
        <v>10.96894507471</v>
      </c>
      <c r="I51" s="32" t="n">
        <f aca="false">H51*EXP(($B$4-0.5*$B$5^2)*$B$8+$B$5*SQRT($B$8)*I107)</f>
        <v>10.0995019290811</v>
      </c>
      <c r="J51" s="32" t="n">
        <f aca="false">I51*EXP(($B$4-0.5*$B$5^2)*$B$8+$B$5*SQRT($B$8)*J107)</f>
        <v>10.0683211676833</v>
      </c>
      <c r="K51" s="32" t="n">
        <f aca="false">J51*EXP(($B$4-0.5*$B$5^2)*$B$8+$B$5*SQRT($B$8)*K107)</f>
        <v>10.7299309366535</v>
      </c>
      <c r="L51" s="32" t="n">
        <f aca="false">K51*EXP(($B$4-0.5*$B$5^2)*$B$8+$B$5*SQRT($B$8)*L107)</f>
        <v>10.7811379287252</v>
      </c>
      <c r="M51" s="32" t="n">
        <f aca="false">L51*EXP(($B$4-0.5*$B$5^2)*$B$8+$B$5*SQRT($B$8)*M107)</f>
        <v>10.2519852472439</v>
      </c>
      <c r="N51" s="32" t="n">
        <f aca="false">M51*EXP(($B$4-0.5*$B$5^2)*$B$8+$B$5*SQRT($B$8)*N107)</f>
        <v>9.09827166992097</v>
      </c>
      <c r="O51" s="32" t="n">
        <f aca="false">N51*EXP(($B$4-0.5*$B$5^2)*$B$8+$B$5*SQRT($B$8)*O107)</f>
        <v>9.26542651316495</v>
      </c>
      <c r="P51" s="32" t="n">
        <f aca="false">O51*EXP(($B$4-0.5*$B$5^2)*$B$8+$B$5*SQRT($B$8)*P107)</f>
        <v>9.62097770912949</v>
      </c>
      <c r="Q51" s="32" t="n">
        <f aca="false">P51*EXP(($B$4-0.5*$B$5^2)*$B$8+$B$5*SQRT($B$8)*Q107)</f>
        <v>9.35042146299847</v>
      </c>
      <c r="R51" s="32" t="n">
        <f aca="false">Q51*EXP(($B$4-0.5*$B$5^2)*$B$8+$B$5*SQRT($B$8)*R107)</f>
        <v>8.5921268224027</v>
      </c>
      <c r="S51" s="32" t="n">
        <f aca="false">R51*EXP(($B$4-0.5*$B$5^2)*$B$8+$B$5*SQRT($B$8)*S107)</f>
        <v>9.1173797285975</v>
      </c>
      <c r="T51" s="32" t="n">
        <f aca="false">S51*EXP(($B$4-0.5*$B$5^2)*$B$8+$B$5*SQRT($B$8)*T107)</f>
        <v>11.9679996189216</v>
      </c>
      <c r="U51" s="32" t="n">
        <f aca="false">T51*EXP(($B$4-0.5*$B$5^2)*$B$8+$B$5*SQRT($B$8)*U107)</f>
        <v>11.575305816789</v>
      </c>
      <c r="V51" s="32" t="n">
        <f aca="false">U51*EXP(($B$4-0.5*$B$5^2)*$B$8+$B$5*SQRT($B$8)*V107)</f>
        <v>12.0086814510106</v>
      </c>
      <c r="W51" s="32" t="n">
        <f aca="false">V51*EXP(($B$4-0.5*$B$5^2)*$B$8+$B$5*SQRT($B$8)*W107)</f>
        <v>12.5139649634244</v>
      </c>
      <c r="X51" s="32" t="n">
        <f aca="false">W51*EXP(($B$4-0.5*$B$5^2)*$B$8+$B$5*SQRT($B$8)*X107)</f>
        <v>9.44163854964805</v>
      </c>
      <c r="Y51" s="32" t="n">
        <f aca="false">X51*EXP(($B$4-0.5*$B$5^2)*$B$8+$B$5*SQRT($B$8)*Y107)</f>
        <v>9.56904566571484</v>
      </c>
      <c r="Z51" s="32" t="n">
        <f aca="false">Y51*EXP(($B$4-0.5*$B$5^2)*$B$8+$B$5*SQRT($B$8)*Z107)</f>
        <v>8.85380651063219</v>
      </c>
      <c r="AA51" s="32" t="n">
        <f aca="false">Z51*EXP(($B$4-0.5*$B$5^2)*$B$8+$B$5*SQRT($B$8)*AA107)</f>
        <v>10.3042830989665</v>
      </c>
      <c r="AB51" s="32" t="n">
        <f aca="false">AA51*EXP(($B$4-0.5*$B$5^2)*$B$8+$B$5*SQRT($B$8)*AB107)</f>
        <v>10.0193171206668</v>
      </c>
      <c r="AC51" s="32" t="n">
        <f aca="false">AB51*EXP(($B$4-0.5*$B$5^2)*$B$8+$B$5*SQRT($B$8)*AC107)</f>
        <v>9.19848330260644</v>
      </c>
      <c r="AD51" s="32" t="n">
        <f aca="false">AC51*EXP(($B$4-0.5*$B$5^2)*$B$8+$B$5*SQRT($B$8)*AD107)</f>
        <v>8.97898327738742</v>
      </c>
      <c r="AE51" s="32" t="n">
        <f aca="false">AD51*EXP(($B$4-0.5*$B$5^2)*$B$8+$B$5*SQRT($B$8)*AE107)</f>
        <v>9.14287141590439</v>
      </c>
      <c r="AF51" s="32" t="n">
        <f aca="false">AE51*EXP(($B$4-0.5*$B$5^2)*$B$8+$B$5*SQRT($B$8)*AF107)</f>
        <v>8.59664019586115</v>
      </c>
      <c r="AG51" s="32" t="n">
        <f aca="false">AF51*EXP(($B$4-0.5*$B$5^2)*$B$8+$B$5*SQRT($B$8)*AG107)</f>
        <v>8.54555439073263</v>
      </c>
      <c r="AH51" s="32" t="n">
        <f aca="false">AG51*EXP(($B$4-0.5*$B$5^2)*$B$8+$B$5*SQRT($B$8)*AH107)</f>
        <v>7.36457392466059</v>
      </c>
      <c r="AI51" s="32" t="n">
        <f aca="false">AH51*EXP(($B$4-0.5*$B$5^2)*$B$8+$B$5*SQRT($B$8)*AI107)</f>
        <v>7.18351154970936</v>
      </c>
      <c r="AJ51" s="32" t="n">
        <f aca="false">AI51*EXP(($B$4-0.5*$B$5^2)*$B$8+$B$5*SQRT($B$8)*AJ107)</f>
        <v>7.82007107404973</v>
      </c>
      <c r="AK51" s="32" t="n">
        <f aca="false">AJ51*EXP(($B$4-0.5*$B$5^2)*$B$8+$B$5*SQRT($B$8)*AK107)</f>
        <v>9.70384032730337</v>
      </c>
      <c r="AL51" s="32" t="n">
        <f aca="false">AK51*EXP(($B$4-0.5*$B$5^2)*$B$8+$B$5*SQRT($B$8)*AL107)</f>
        <v>10.483898753519</v>
      </c>
      <c r="AM51" s="32" t="n">
        <f aca="false">AL51*EXP(($B$4-0.5*$B$5^2)*$B$8+$B$5*SQRT($B$8)*AM107)</f>
        <v>10.7993667852223</v>
      </c>
      <c r="AN51" s="32" t="n">
        <f aca="false">AM51*EXP(($B$4-0.5*$B$5^2)*$B$8+$B$5*SQRT($B$8)*AN107)</f>
        <v>12.2945884242851</v>
      </c>
      <c r="AO51" s="32" t="n">
        <f aca="false">AN51*EXP(($B$4-0.5*$B$5^2)*$B$8+$B$5*SQRT($B$8)*AO107)</f>
        <v>13.74628453508</v>
      </c>
      <c r="AP51" s="32" t="n">
        <f aca="false">AO51*EXP(($B$4-0.5*$B$5^2)*$B$8+$B$5*SQRT($B$8)*AP107)</f>
        <v>16.4957544980455</v>
      </c>
      <c r="AQ51" s="32" t="n">
        <f aca="false">AP51*EXP(($B$4-0.5*$B$5^2)*$B$8+$B$5*SQRT($B$8)*AQ107)</f>
        <v>18.5725247482027</v>
      </c>
      <c r="AR51" s="32" t="n">
        <f aca="false">AQ51*EXP(($B$4-0.5*$B$5^2)*$B$8+$B$5*SQRT($B$8)*AR107)</f>
        <v>18.3305810884793</v>
      </c>
      <c r="AS51" s="32" t="n">
        <f aca="false">AR51*EXP(($B$4-0.5*$B$5^2)*$B$8+$B$5*SQRT($B$8)*AS107)</f>
        <v>18.8542478996569</v>
      </c>
      <c r="AT51" s="32" t="n">
        <f aca="false">AS51*EXP(($B$4-0.5*$B$5^2)*$B$8+$B$5*SQRT($B$8)*AT107)</f>
        <v>19.2249377941532</v>
      </c>
      <c r="AU51" s="32" t="n">
        <f aca="false">AT51*EXP(($B$4-0.5*$B$5^2)*$B$8+$B$5*SQRT($B$8)*AU107)</f>
        <v>19.8691559086406</v>
      </c>
      <c r="AV51" s="32" t="n">
        <f aca="false">AU51*EXP(($B$4-0.5*$B$5^2)*$B$8+$B$5*SQRT($B$8)*AV107)</f>
        <v>20.3068805958111</v>
      </c>
      <c r="AW51" s="32" t="n">
        <f aca="false">AV51*EXP(($B$4-0.5*$B$5^2)*$B$8+$B$5*SQRT($B$8)*AW107)</f>
        <v>18.6332328768753</v>
      </c>
      <c r="AX51" s="32" t="n">
        <f aca="false">AW51*EXP(($B$4-0.5*$B$5^2)*$B$8+$B$5*SQRT($B$8)*AX107)</f>
        <v>14.7907467415667</v>
      </c>
      <c r="AY51" s="32" t="n">
        <f aca="false">AX51*EXP(($B$4-0.5*$B$5^2)*$B$8+$B$5*SQRT($B$8)*AY107)</f>
        <v>13.7376138130529</v>
      </c>
      <c r="AZ51" s="32" t="n">
        <f aca="false">AY51*EXP(($B$4-0.5*$B$5^2)*$B$8+$B$5*SQRT($B$8)*AZ107)</f>
        <v>10.9979102263786</v>
      </c>
      <c r="BA51" s="32" t="n">
        <f aca="false">AZ51*EXP(($B$4-0.5*$B$5^2)*$B$8+$B$5*SQRT($B$8)*BA107)</f>
        <v>11.0781735059301</v>
      </c>
      <c r="BB51" s="32" t="n">
        <f aca="false">BA51*EXP(($B$4-0.5*$B$5^2)*$B$8+$B$5*SQRT($B$8)*BB107)</f>
        <v>11.0816558433275</v>
      </c>
      <c r="BC51" s="32" t="n">
        <f aca="false">BB51*EXP(($B$4-0.5*$B$5^2)*$B$8+$B$5*SQRT($B$8)*BC107)</f>
        <v>9.21933617805396</v>
      </c>
      <c r="BD51" s="32" t="n">
        <f aca="false">BC51*EXP(($B$4-0.5*$B$5^2)*$B$8+$B$5*SQRT($B$8)*BD107)</f>
        <v>9.94042104222109</v>
      </c>
      <c r="BE51" s="32" t="n">
        <f aca="false">BD51*EXP(($B$4-0.5*$B$5^2)*$B$8+$B$5*SQRT($B$8)*BE107)</f>
        <v>10.9300665075939</v>
      </c>
      <c r="BF51" s="32" t="n">
        <f aca="false">BE51*EXP(($B$4-0.5*$B$5^2)*$B$8+$B$5*SQRT($B$8)*BF107)</f>
        <v>11.0435733820562</v>
      </c>
      <c r="BG51" s="32" t="n">
        <f aca="false">BF51*EXP(($B$4-0.5*$B$5^2)*$B$8+$B$5*SQRT($B$8)*BG107)</f>
        <v>13.2580189458357</v>
      </c>
      <c r="BH51" s="32" t="n">
        <f aca="false">BG51*EXP(($B$4-0.5*$B$5^2)*$B$8+$B$5*SQRT($B$8)*BH107)</f>
        <v>16.276697676076</v>
      </c>
      <c r="BI51" s="32" t="n">
        <f aca="false">BH51*EXP(($B$4-0.5*$B$5^2)*$B$8+$B$5*SQRT($B$8)*BI107)</f>
        <v>14.2571392195124</v>
      </c>
      <c r="BJ51" s="32" t="n">
        <f aca="false">BI51*EXP(($B$4-0.5*$B$5^2)*$B$8+$B$5*SQRT($B$8)*BJ107)</f>
        <v>15.9713648926545</v>
      </c>
    </row>
    <row r="52" customFormat="false" ht="15" hidden="false" customHeight="true" outlineLevel="0" collapsed="false">
      <c r="A52" s="6" t="s">
        <v>156</v>
      </c>
      <c r="B52" s="32" t="n">
        <f aca="false">$B$3</f>
        <v>11.5</v>
      </c>
      <c r="C52" s="32" t="n">
        <f aca="false">B52*EXP(($B$4-0.5*$B$5^2)*$B$8+$B$5*SQRT($B$8)*C108)</f>
        <v>12.0675881577334</v>
      </c>
      <c r="D52" s="32" t="n">
        <f aca="false">C52*EXP(($B$4-0.5*$B$5^2)*$B$8+$B$5*SQRT($B$8)*D108)</f>
        <v>12.6319345713043</v>
      </c>
      <c r="E52" s="32" t="n">
        <f aca="false">D52*EXP(($B$4-0.5*$B$5^2)*$B$8+$B$5*SQRT($B$8)*E108)</f>
        <v>13.9929052585693</v>
      </c>
      <c r="F52" s="32" t="n">
        <f aca="false">E52*EXP(($B$4-0.5*$B$5^2)*$B$8+$B$5*SQRT($B$8)*F108)</f>
        <v>12.929052018677</v>
      </c>
      <c r="G52" s="32" t="n">
        <f aca="false">F52*EXP(($B$4-0.5*$B$5^2)*$B$8+$B$5*SQRT($B$8)*G108)</f>
        <v>12.1134006003502</v>
      </c>
      <c r="H52" s="32" t="n">
        <f aca="false">G52*EXP(($B$4-0.5*$B$5^2)*$B$8+$B$5*SQRT($B$8)*H108)</f>
        <v>11.0612268252091</v>
      </c>
      <c r="I52" s="32" t="n">
        <f aca="false">H52*EXP(($B$4-0.5*$B$5^2)*$B$8+$B$5*SQRT($B$8)*I108)</f>
        <v>10.1802787647787</v>
      </c>
      <c r="J52" s="32" t="n">
        <f aca="false">I52*EXP(($B$4-0.5*$B$5^2)*$B$8+$B$5*SQRT($B$8)*J108)</f>
        <v>10.0690127530744</v>
      </c>
      <c r="K52" s="32" t="n">
        <f aca="false">J52*EXP(($B$4-0.5*$B$5^2)*$B$8+$B$5*SQRT($B$8)*K108)</f>
        <v>8.5850234516189</v>
      </c>
      <c r="L52" s="32" t="n">
        <f aca="false">K52*EXP(($B$4-0.5*$B$5^2)*$B$8+$B$5*SQRT($B$8)*L108)</f>
        <v>7.65319498704793</v>
      </c>
      <c r="M52" s="32" t="n">
        <f aca="false">L52*EXP(($B$4-0.5*$B$5^2)*$B$8+$B$5*SQRT($B$8)*M108)</f>
        <v>8.15223998422887</v>
      </c>
      <c r="N52" s="32" t="n">
        <f aca="false">M52*EXP(($B$4-0.5*$B$5^2)*$B$8+$B$5*SQRT($B$8)*N108)</f>
        <v>8.08754347773979</v>
      </c>
      <c r="O52" s="32" t="n">
        <f aca="false">N52*EXP(($B$4-0.5*$B$5^2)*$B$8+$B$5*SQRT($B$8)*O108)</f>
        <v>8.43298264162735</v>
      </c>
      <c r="P52" s="32" t="n">
        <f aca="false">O52*EXP(($B$4-0.5*$B$5^2)*$B$8+$B$5*SQRT($B$8)*P108)</f>
        <v>6.85324203196189</v>
      </c>
      <c r="Q52" s="32" t="n">
        <f aca="false">P52*EXP(($B$4-0.5*$B$5^2)*$B$8+$B$5*SQRT($B$8)*Q108)</f>
        <v>6.28743059257035</v>
      </c>
      <c r="R52" s="32" t="n">
        <f aca="false">Q52*EXP(($B$4-0.5*$B$5^2)*$B$8+$B$5*SQRT($B$8)*R108)</f>
        <v>5.91470257887357</v>
      </c>
      <c r="S52" s="32" t="n">
        <f aca="false">R52*EXP(($B$4-0.5*$B$5^2)*$B$8+$B$5*SQRT($B$8)*S108)</f>
        <v>5.93476147250642</v>
      </c>
      <c r="T52" s="32" t="n">
        <f aca="false">S52*EXP(($B$4-0.5*$B$5^2)*$B$8+$B$5*SQRT($B$8)*T108)</f>
        <v>5.56407165512148</v>
      </c>
      <c r="U52" s="32" t="n">
        <f aca="false">T52*EXP(($B$4-0.5*$B$5^2)*$B$8+$B$5*SQRT($B$8)*U108)</f>
        <v>6.16271387715433</v>
      </c>
      <c r="V52" s="32" t="n">
        <f aca="false">U52*EXP(($B$4-0.5*$B$5^2)*$B$8+$B$5*SQRT($B$8)*V108)</f>
        <v>6.12232069208651</v>
      </c>
      <c r="W52" s="32" t="n">
        <f aca="false">V52*EXP(($B$4-0.5*$B$5^2)*$B$8+$B$5*SQRT($B$8)*W108)</f>
        <v>6.13263360995414</v>
      </c>
      <c r="X52" s="32" t="n">
        <f aca="false">W52*EXP(($B$4-0.5*$B$5^2)*$B$8+$B$5*SQRT($B$8)*X108)</f>
        <v>6.14062201042647</v>
      </c>
      <c r="Y52" s="32" t="n">
        <f aca="false">X52*EXP(($B$4-0.5*$B$5^2)*$B$8+$B$5*SQRT($B$8)*Y108)</f>
        <v>6.6353158508004</v>
      </c>
      <c r="Z52" s="32" t="n">
        <f aca="false">Y52*EXP(($B$4-0.5*$B$5^2)*$B$8+$B$5*SQRT($B$8)*Z108)</f>
        <v>6.29961028195366</v>
      </c>
      <c r="AA52" s="32" t="n">
        <f aca="false">Z52*EXP(($B$4-0.5*$B$5^2)*$B$8+$B$5*SQRT($B$8)*AA108)</f>
        <v>7.1236993711148</v>
      </c>
      <c r="AB52" s="32" t="n">
        <f aca="false">AA52*EXP(($B$4-0.5*$B$5^2)*$B$8+$B$5*SQRT($B$8)*AB108)</f>
        <v>7.49106272860456</v>
      </c>
      <c r="AC52" s="32" t="n">
        <f aca="false">AB52*EXP(($B$4-0.5*$B$5^2)*$B$8+$B$5*SQRT($B$8)*AC108)</f>
        <v>7.61732045208524</v>
      </c>
      <c r="AD52" s="32" t="n">
        <f aca="false">AC52*EXP(($B$4-0.5*$B$5^2)*$B$8+$B$5*SQRT($B$8)*AD108)</f>
        <v>7.65087236942592</v>
      </c>
      <c r="AE52" s="32" t="n">
        <f aca="false">AD52*EXP(($B$4-0.5*$B$5^2)*$B$8+$B$5*SQRT($B$8)*AE108)</f>
        <v>8.09876753595852</v>
      </c>
      <c r="AF52" s="32" t="n">
        <f aca="false">AE52*EXP(($B$4-0.5*$B$5^2)*$B$8+$B$5*SQRT($B$8)*AF108)</f>
        <v>9.05134631274961</v>
      </c>
      <c r="AG52" s="32" t="n">
        <f aca="false">AF52*EXP(($B$4-0.5*$B$5^2)*$B$8+$B$5*SQRT($B$8)*AG108)</f>
        <v>10.0387367882532</v>
      </c>
      <c r="AH52" s="32" t="n">
        <f aca="false">AG52*EXP(($B$4-0.5*$B$5^2)*$B$8+$B$5*SQRT($B$8)*AH108)</f>
        <v>10.4593730411574</v>
      </c>
      <c r="AI52" s="32" t="n">
        <f aca="false">AH52*EXP(($B$4-0.5*$B$5^2)*$B$8+$B$5*SQRT($B$8)*AI108)</f>
        <v>11.5131309824572</v>
      </c>
      <c r="AJ52" s="32" t="n">
        <f aca="false">AI52*EXP(($B$4-0.5*$B$5^2)*$B$8+$B$5*SQRT($B$8)*AJ108)</f>
        <v>11.6614480178042</v>
      </c>
      <c r="AK52" s="32" t="n">
        <f aca="false">AJ52*EXP(($B$4-0.5*$B$5^2)*$B$8+$B$5*SQRT($B$8)*AK108)</f>
        <v>13.3764925872341</v>
      </c>
      <c r="AL52" s="32" t="n">
        <f aca="false">AK52*EXP(($B$4-0.5*$B$5^2)*$B$8+$B$5*SQRT($B$8)*AL108)</f>
        <v>13.3350633256215</v>
      </c>
      <c r="AM52" s="32" t="n">
        <f aca="false">AL52*EXP(($B$4-0.5*$B$5^2)*$B$8+$B$5*SQRT($B$8)*AM108)</f>
        <v>10.6182896350753</v>
      </c>
      <c r="AN52" s="32" t="n">
        <f aca="false">AM52*EXP(($B$4-0.5*$B$5^2)*$B$8+$B$5*SQRT($B$8)*AN108)</f>
        <v>12.2945456585229</v>
      </c>
      <c r="AO52" s="32" t="n">
        <f aca="false">AN52*EXP(($B$4-0.5*$B$5^2)*$B$8+$B$5*SQRT($B$8)*AO108)</f>
        <v>12.4385843262246</v>
      </c>
      <c r="AP52" s="32" t="n">
        <f aca="false">AO52*EXP(($B$4-0.5*$B$5^2)*$B$8+$B$5*SQRT($B$8)*AP108)</f>
        <v>10.937056265115</v>
      </c>
      <c r="AQ52" s="32" t="n">
        <f aca="false">AP52*EXP(($B$4-0.5*$B$5^2)*$B$8+$B$5*SQRT($B$8)*AQ108)</f>
        <v>10.6998410952029</v>
      </c>
      <c r="AR52" s="32" t="n">
        <f aca="false">AQ52*EXP(($B$4-0.5*$B$5^2)*$B$8+$B$5*SQRT($B$8)*AR108)</f>
        <v>9.70937644066866</v>
      </c>
      <c r="AS52" s="32" t="n">
        <f aca="false">AR52*EXP(($B$4-0.5*$B$5^2)*$B$8+$B$5*SQRT($B$8)*AS108)</f>
        <v>12.2226948185086</v>
      </c>
      <c r="AT52" s="32" t="n">
        <f aca="false">AS52*EXP(($B$4-0.5*$B$5^2)*$B$8+$B$5*SQRT($B$8)*AT108)</f>
        <v>12.9061693812332</v>
      </c>
      <c r="AU52" s="32" t="n">
        <f aca="false">AT52*EXP(($B$4-0.5*$B$5^2)*$B$8+$B$5*SQRT($B$8)*AU108)</f>
        <v>10.8638406686474</v>
      </c>
      <c r="AV52" s="32" t="n">
        <f aca="false">AU52*EXP(($B$4-0.5*$B$5^2)*$B$8+$B$5*SQRT($B$8)*AV108)</f>
        <v>11.5324977168777</v>
      </c>
      <c r="AW52" s="32" t="n">
        <f aca="false">AV52*EXP(($B$4-0.5*$B$5^2)*$B$8+$B$5*SQRT($B$8)*AW108)</f>
        <v>11.0369110697841</v>
      </c>
      <c r="AX52" s="32" t="n">
        <f aca="false">AW52*EXP(($B$4-0.5*$B$5^2)*$B$8+$B$5*SQRT($B$8)*AX108)</f>
        <v>13.6171005355296</v>
      </c>
      <c r="AY52" s="32" t="n">
        <f aca="false">AX52*EXP(($B$4-0.5*$B$5^2)*$B$8+$B$5*SQRT($B$8)*AY108)</f>
        <v>12.129807771138</v>
      </c>
      <c r="AZ52" s="32" t="n">
        <f aca="false">AY52*EXP(($B$4-0.5*$B$5^2)*$B$8+$B$5*SQRT($B$8)*AZ108)</f>
        <v>9.47816901056964</v>
      </c>
      <c r="BA52" s="32" t="n">
        <f aca="false">AZ52*EXP(($B$4-0.5*$B$5^2)*$B$8+$B$5*SQRT($B$8)*BA108)</f>
        <v>9.54515259331193</v>
      </c>
      <c r="BB52" s="32" t="n">
        <f aca="false">BA52*EXP(($B$4-0.5*$B$5^2)*$B$8+$B$5*SQRT($B$8)*BB108)</f>
        <v>9.18592765677022</v>
      </c>
      <c r="BC52" s="32" t="n">
        <f aca="false">BB52*EXP(($B$4-0.5*$B$5^2)*$B$8+$B$5*SQRT($B$8)*BC108)</f>
        <v>8.77398733071642</v>
      </c>
      <c r="BD52" s="32" t="n">
        <f aca="false">BC52*EXP(($B$4-0.5*$B$5^2)*$B$8+$B$5*SQRT($B$8)*BD108)</f>
        <v>6.93597388473808</v>
      </c>
      <c r="BE52" s="32" t="n">
        <f aca="false">BD52*EXP(($B$4-0.5*$B$5^2)*$B$8+$B$5*SQRT($B$8)*BE108)</f>
        <v>7.26710248831654</v>
      </c>
      <c r="BF52" s="32" t="n">
        <f aca="false">BE52*EXP(($B$4-0.5*$B$5^2)*$B$8+$B$5*SQRT($B$8)*BF108)</f>
        <v>8.72973062425115</v>
      </c>
      <c r="BG52" s="32" t="n">
        <f aca="false">BF52*EXP(($B$4-0.5*$B$5^2)*$B$8+$B$5*SQRT($B$8)*BG108)</f>
        <v>7.07901716502157</v>
      </c>
      <c r="BH52" s="32" t="n">
        <f aca="false">BG52*EXP(($B$4-0.5*$B$5^2)*$B$8+$B$5*SQRT($B$8)*BH108)</f>
        <v>8.04805900823102</v>
      </c>
      <c r="BI52" s="32" t="n">
        <f aca="false">BH52*EXP(($B$4-0.5*$B$5^2)*$B$8+$B$5*SQRT($B$8)*BI108)</f>
        <v>7.55992548959579</v>
      </c>
      <c r="BJ52" s="32" t="n">
        <f aca="false">BI52*EXP(($B$4-0.5*$B$5^2)*$B$8+$B$5*SQRT($B$8)*BJ108)</f>
        <v>9.78015935518959</v>
      </c>
    </row>
    <row r="53" customFormat="false" ht="15" hidden="false" customHeight="true" outlineLevel="0" collapsed="false">
      <c r="A53" s="6" t="s">
        <v>157</v>
      </c>
      <c r="B53" s="32" t="n">
        <f aca="false">$B$3</f>
        <v>11.5</v>
      </c>
      <c r="C53" s="32" t="n">
        <f aca="false">B53*EXP(($B$4-0.5*$B$5^2)*$B$8+$B$5*SQRT($B$8)*C109)</f>
        <v>12.0611828539396</v>
      </c>
      <c r="D53" s="32" t="n">
        <f aca="false">C53*EXP(($B$4-0.5*$B$5^2)*$B$8+$B$5*SQRT($B$8)*D109)</f>
        <v>11.8130287559334</v>
      </c>
      <c r="E53" s="32" t="n">
        <f aca="false">D53*EXP(($B$4-0.5*$B$5^2)*$B$8+$B$5*SQRT($B$8)*E109)</f>
        <v>13.3334549720695</v>
      </c>
      <c r="F53" s="32" t="n">
        <f aca="false">E53*EXP(($B$4-0.5*$B$5^2)*$B$8+$B$5*SQRT($B$8)*F109)</f>
        <v>14.1228840187438</v>
      </c>
      <c r="G53" s="32" t="n">
        <f aca="false">F53*EXP(($B$4-0.5*$B$5^2)*$B$8+$B$5*SQRT($B$8)*G109)</f>
        <v>13.2317964000179</v>
      </c>
      <c r="H53" s="32" t="n">
        <f aca="false">G53*EXP(($B$4-0.5*$B$5^2)*$B$8+$B$5*SQRT($B$8)*H109)</f>
        <v>14.3012617427824</v>
      </c>
      <c r="I53" s="32" t="n">
        <f aca="false">H53*EXP(($B$4-0.5*$B$5^2)*$B$8+$B$5*SQRT($B$8)*I109)</f>
        <v>13.5196320923434</v>
      </c>
      <c r="J53" s="32" t="n">
        <f aca="false">I53*EXP(($B$4-0.5*$B$5^2)*$B$8+$B$5*SQRT($B$8)*J109)</f>
        <v>11.1091441118267</v>
      </c>
      <c r="K53" s="32" t="n">
        <f aca="false">J53*EXP(($B$4-0.5*$B$5^2)*$B$8+$B$5*SQRT($B$8)*K109)</f>
        <v>13.8799296503293</v>
      </c>
      <c r="L53" s="32" t="n">
        <f aca="false">K53*EXP(($B$4-0.5*$B$5^2)*$B$8+$B$5*SQRT($B$8)*L109)</f>
        <v>13.3552890889333</v>
      </c>
      <c r="M53" s="32" t="n">
        <f aca="false">L53*EXP(($B$4-0.5*$B$5^2)*$B$8+$B$5*SQRT($B$8)*M109)</f>
        <v>12.4899263076984</v>
      </c>
      <c r="N53" s="32" t="n">
        <f aca="false">M53*EXP(($B$4-0.5*$B$5^2)*$B$8+$B$5*SQRT($B$8)*N109)</f>
        <v>12.9603634283332</v>
      </c>
      <c r="O53" s="32" t="n">
        <f aca="false">N53*EXP(($B$4-0.5*$B$5^2)*$B$8+$B$5*SQRT($B$8)*O109)</f>
        <v>10.9203297161029</v>
      </c>
      <c r="P53" s="32" t="n">
        <f aca="false">O53*EXP(($B$4-0.5*$B$5^2)*$B$8+$B$5*SQRT($B$8)*P109)</f>
        <v>9.41175952677776</v>
      </c>
      <c r="Q53" s="32" t="n">
        <f aca="false">P53*EXP(($B$4-0.5*$B$5^2)*$B$8+$B$5*SQRT($B$8)*Q109)</f>
        <v>8.90815427346585</v>
      </c>
      <c r="R53" s="32" t="n">
        <f aca="false">Q53*EXP(($B$4-0.5*$B$5^2)*$B$8+$B$5*SQRT($B$8)*R109)</f>
        <v>8.41294881663296</v>
      </c>
      <c r="S53" s="32" t="n">
        <f aca="false">R53*EXP(($B$4-0.5*$B$5^2)*$B$8+$B$5*SQRT($B$8)*S109)</f>
        <v>8.47800121828874</v>
      </c>
      <c r="T53" s="32" t="n">
        <f aca="false">S53*EXP(($B$4-0.5*$B$5^2)*$B$8+$B$5*SQRT($B$8)*T109)</f>
        <v>9.58723084618266</v>
      </c>
      <c r="U53" s="32" t="n">
        <f aca="false">T53*EXP(($B$4-0.5*$B$5^2)*$B$8+$B$5*SQRT($B$8)*U109)</f>
        <v>9.09977452235805</v>
      </c>
      <c r="V53" s="32" t="n">
        <f aca="false">U53*EXP(($B$4-0.5*$B$5^2)*$B$8+$B$5*SQRT($B$8)*V109)</f>
        <v>9.60347099389714</v>
      </c>
      <c r="W53" s="32" t="n">
        <f aca="false">V53*EXP(($B$4-0.5*$B$5^2)*$B$8+$B$5*SQRT($B$8)*W109)</f>
        <v>10.2566745945542</v>
      </c>
      <c r="X53" s="32" t="n">
        <f aca="false">W53*EXP(($B$4-0.5*$B$5^2)*$B$8+$B$5*SQRT($B$8)*X109)</f>
        <v>9.1050209101914</v>
      </c>
      <c r="Y53" s="32" t="n">
        <f aca="false">X53*EXP(($B$4-0.5*$B$5^2)*$B$8+$B$5*SQRT($B$8)*Y109)</f>
        <v>9.33437181581891</v>
      </c>
      <c r="Z53" s="32" t="n">
        <f aca="false">Y53*EXP(($B$4-0.5*$B$5^2)*$B$8+$B$5*SQRT($B$8)*Z109)</f>
        <v>8.41581595738805</v>
      </c>
      <c r="AA53" s="32" t="n">
        <f aca="false">Z53*EXP(($B$4-0.5*$B$5^2)*$B$8+$B$5*SQRT($B$8)*AA109)</f>
        <v>9.45586777411696</v>
      </c>
      <c r="AB53" s="32" t="n">
        <f aca="false">AA53*EXP(($B$4-0.5*$B$5^2)*$B$8+$B$5*SQRT($B$8)*AB109)</f>
        <v>9.93808090419469</v>
      </c>
      <c r="AC53" s="32" t="n">
        <f aca="false">AB53*EXP(($B$4-0.5*$B$5^2)*$B$8+$B$5*SQRT($B$8)*AC109)</f>
        <v>9.95426442849073</v>
      </c>
      <c r="AD53" s="32" t="n">
        <f aca="false">AC53*EXP(($B$4-0.5*$B$5^2)*$B$8+$B$5*SQRT($B$8)*AD109)</f>
        <v>8.59222118192523</v>
      </c>
      <c r="AE53" s="32" t="n">
        <f aca="false">AD53*EXP(($B$4-0.5*$B$5^2)*$B$8+$B$5*SQRT($B$8)*AE109)</f>
        <v>8.70064926444225</v>
      </c>
      <c r="AF53" s="32" t="n">
        <f aca="false">AE53*EXP(($B$4-0.5*$B$5^2)*$B$8+$B$5*SQRT($B$8)*AF109)</f>
        <v>7.99706056483908</v>
      </c>
      <c r="AG53" s="32" t="n">
        <f aca="false">AF53*EXP(($B$4-0.5*$B$5^2)*$B$8+$B$5*SQRT($B$8)*AG109)</f>
        <v>8.63939345451729</v>
      </c>
      <c r="AH53" s="32" t="n">
        <f aca="false">AG53*EXP(($B$4-0.5*$B$5^2)*$B$8+$B$5*SQRT($B$8)*AH109)</f>
        <v>8.52548010789188</v>
      </c>
      <c r="AI53" s="32" t="n">
        <f aca="false">AH53*EXP(($B$4-0.5*$B$5^2)*$B$8+$B$5*SQRT($B$8)*AI109)</f>
        <v>7.79719933030561</v>
      </c>
      <c r="AJ53" s="32" t="n">
        <f aca="false">AI53*EXP(($B$4-0.5*$B$5^2)*$B$8+$B$5*SQRT($B$8)*AJ109)</f>
        <v>8.62881683866663</v>
      </c>
      <c r="AK53" s="32" t="n">
        <f aca="false">AJ53*EXP(($B$4-0.5*$B$5^2)*$B$8+$B$5*SQRT($B$8)*AK109)</f>
        <v>9.33783075612303</v>
      </c>
      <c r="AL53" s="32" t="n">
        <f aca="false">AK53*EXP(($B$4-0.5*$B$5^2)*$B$8+$B$5*SQRT($B$8)*AL109)</f>
        <v>8.74785034627628</v>
      </c>
      <c r="AM53" s="32" t="n">
        <f aca="false">AL53*EXP(($B$4-0.5*$B$5^2)*$B$8+$B$5*SQRT($B$8)*AM109)</f>
        <v>9.93531029197049</v>
      </c>
      <c r="AN53" s="32" t="n">
        <f aca="false">AM53*EXP(($B$4-0.5*$B$5^2)*$B$8+$B$5*SQRT($B$8)*AN109)</f>
        <v>9.61360139422309</v>
      </c>
      <c r="AO53" s="32" t="n">
        <f aca="false">AN53*EXP(($B$4-0.5*$B$5^2)*$B$8+$B$5*SQRT($B$8)*AO109)</f>
        <v>9.2913393020695</v>
      </c>
      <c r="AP53" s="32" t="n">
        <f aca="false">AO53*EXP(($B$4-0.5*$B$5^2)*$B$8+$B$5*SQRT($B$8)*AP109)</f>
        <v>9.41665493532338</v>
      </c>
      <c r="AQ53" s="32" t="n">
        <f aca="false">AP53*EXP(($B$4-0.5*$B$5^2)*$B$8+$B$5*SQRT($B$8)*AQ109)</f>
        <v>8.66884239067844</v>
      </c>
      <c r="AR53" s="32" t="n">
        <f aca="false">AQ53*EXP(($B$4-0.5*$B$5^2)*$B$8+$B$5*SQRT($B$8)*AR109)</f>
        <v>8.25736521593111</v>
      </c>
      <c r="AS53" s="32" t="n">
        <f aca="false">AR53*EXP(($B$4-0.5*$B$5^2)*$B$8+$B$5*SQRT($B$8)*AS109)</f>
        <v>8.11178707854096</v>
      </c>
      <c r="AT53" s="32" t="n">
        <f aca="false">AS53*EXP(($B$4-0.5*$B$5^2)*$B$8+$B$5*SQRT($B$8)*AT109)</f>
        <v>9.5926927224985</v>
      </c>
      <c r="AU53" s="32" t="n">
        <f aca="false">AT53*EXP(($B$4-0.5*$B$5^2)*$B$8+$B$5*SQRT($B$8)*AU109)</f>
        <v>11.3058999076017</v>
      </c>
      <c r="AV53" s="32" t="n">
        <f aca="false">AU53*EXP(($B$4-0.5*$B$5^2)*$B$8+$B$5*SQRT($B$8)*AV109)</f>
        <v>10.9873455238282</v>
      </c>
      <c r="AW53" s="32" t="n">
        <f aca="false">AV53*EXP(($B$4-0.5*$B$5^2)*$B$8+$B$5*SQRT($B$8)*AW109)</f>
        <v>13.1079686122655</v>
      </c>
      <c r="AX53" s="32" t="n">
        <f aca="false">AW53*EXP(($B$4-0.5*$B$5^2)*$B$8+$B$5*SQRT($B$8)*AX109)</f>
        <v>13.0434826571748</v>
      </c>
      <c r="AY53" s="32" t="n">
        <f aca="false">AX53*EXP(($B$4-0.5*$B$5^2)*$B$8+$B$5*SQRT($B$8)*AY109)</f>
        <v>13.597060779527</v>
      </c>
      <c r="AZ53" s="32" t="n">
        <f aca="false">AY53*EXP(($B$4-0.5*$B$5^2)*$B$8+$B$5*SQRT($B$8)*AZ109)</f>
        <v>14.9781992103131</v>
      </c>
      <c r="BA53" s="32" t="n">
        <f aca="false">AZ53*EXP(($B$4-0.5*$B$5^2)*$B$8+$B$5*SQRT($B$8)*BA109)</f>
        <v>15.4629843887247</v>
      </c>
      <c r="BB53" s="32" t="n">
        <f aca="false">BA53*EXP(($B$4-0.5*$B$5^2)*$B$8+$B$5*SQRT($B$8)*BB109)</f>
        <v>20.1499717973893</v>
      </c>
      <c r="BC53" s="32" t="n">
        <f aca="false">BB53*EXP(($B$4-0.5*$B$5^2)*$B$8+$B$5*SQRT($B$8)*BC109)</f>
        <v>20.6913100303439</v>
      </c>
      <c r="BD53" s="32" t="n">
        <f aca="false">BC53*EXP(($B$4-0.5*$B$5^2)*$B$8+$B$5*SQRT($B$8)*BD109)</f>
        <v>18.1407187008758</v>
      </c>
      <c r="BE53" s="32" t="n">
        <f aca="false">BD53*EXP(($B$4-0.5*$B$5^2)*$B$8+$B$5*SQRT($B$8)*BE109)</f>
        <v>20.9299551535417</v>
      </c>
      <c r="BF53" s="32" t="n">
        <f aca="false">BE53*EXP(($B$4-0.5*$B$5^2)*$B$8+$B$5*SQRT($B$8)*BF109)</f>
        <v>20.001276896538</v>
      </c>
      <c r="BG53" s="32" t="n">
        <f aca="false">BF53*EXP(($B$4-0.5*$B$5^2)*$B$8+$B$5*SQRT($B$8)*BG109)</f>
        <v>19.3411200598254</v>
      </c>
      <c r="BH53" s="32" t="n">
        <f aca="false">BG53*EXP(($B$4-0.5*$B$5^2)*$B$8+$B$5*SQRT($B$8)*BH109)</f>
        <v>13.9276193422349</v>
      </c>
      <c r="BI53" s="32" t="n">
        <f aca="false">BH53*EXP(($B$4-0.5*$B$5^2)*$B$8+$B$5*SQRT($B$8)*BI109)</f>
        <v>15.5412105255106</v>
      </c>
      <c r="BJ53" s="32" t="n">
        <f aca="false">BI53*EXP(($B$4-0.5*$B$5^2)*$B$8+$B$5*SQRT($B$8)*BJ109)</f>
        <v>16.9979535030743</v>
      </c>
    </row>
    <row r="54" customFormat="false" ht="15" hidden="false" customHeight="true" outlineLevel="0" collapsed="false">
      <c r="A54" s="6" t="s">
        <v>158</v>
      </c>
      <c r="B54" s="32" t="n">
        <f aca="false">$B$3</f>
        <v>11.5</v>
      </c>
      <c r="C54" s="32" t="n">
        <f aca="false">B54*EXP(($B$4-0.5*$B$5^2)*$B$8+$B$5*SQRT($B$8)*C110)</f>
        <v>12.5511636521078</v>
      </c>
      <c r="D54" s="32" t="n">
        <f aca="false">C54*EXP(($B$4-0.5*$B$5^2)*$B$8+$B$5*SQRT($B$8)*D110)</f>
        <v>13.9706374437178</v>
      </c>
      <c r="E54" s="32" t="n">
        <f aca="false">D54*EXP(($B$4-0.5*$B$5^2)*$B$8+$B$5*SQRT($B$8)*E110)</f>
        <v>16.8150002260454</v>
      </c>
      <c r="F54" s="32" t="n">
        <f aca="false">E54*EXP(($B$4-0.5*$B$5^2)*$B$8+$B$5*SQRT($B$8)*F110)</f>
        <v>16.727294410932</v>
      </c>
      <c r="G54" s="32" t="n">
        <f aca="false">F54*EXP(($B$4-0.5*$B$5^2)*$B$8+$B$5*SQRT($B$8)*G110)</f>
        <v>18.5359435913099</v>
      </c>
      <c r="H54" s="32" t="n">
        <f aca="false">G54*EXP(($B$4-0.5*$B$5^2)*$B$8+$B$5*SQRT($B$8)*H110)</f>
        <v>17.080402413943</v>
      </c>
      <c r="I54" s="32" t="n">
        <f aca="false">H54*EXP(($B$4-0.5*$B$5^2)*$B$8+$B$5*SQRT($B$8)*I110)</f>
        <v>16.427186005394</v>
      </c>
      <c r="J54" s="32" t="n">
        <f aca="false">I54*EXP(($B$4-0.5*$B$5^2)*$B$8+$B$5*SQRT($B$8)*J110)</f>
        <v>18.4428591316128</v>
      </c>
      <c r="K54" s="32" t="n">
        <f aca="false">J54*EXP(($B$4-0.5*$B$5^2)*$B$8+$B$5*SQRT($B$8)*K110)</f>
        <v>19.2478402261447</v>
      </c>
      <c r="L54" s="32" t="n">
        <f aca="false">K54*EXP(($B$4-0.5*$B$5^2)*$B$8+$B$5*SQRT($B$8)*L110)</f>
        <v>16.6256133183379</v>
      </c>
      <c r="M54" s="32" t="n">
        <f aca="false">L54*EXP(($B$4-0.5*$B$5^2)*$B$8+$B$5*SQRT($B$8)*M110)</f>
        <v>17.2946590883272</v>
      </c>
      <c r="N54" s="32" t="n">
        <f aca="false">M54*EXP(($B$4-0.5*$B$5^2)*$B$8+$B$5*SQRT($B$8)*N110)</f>
        <v>16.9479967848911</v>
      </c>
      <c r="O54" s="32" t="n">
        <f aca="false">N54*EXP(($B$4-0.5*$B$5^2)*$B$8+$B$5*SQRT($B$8)*O110)</f>
        <v>15.4894855332794</v>
      </c>
      <c r="P54" s="32" t="n">
        <f aca="false">O54*EXP(($B$4-0.5*$B$5^2)*$B$8+$B$5*SQRT($B$8)*P110)</f>
        <v>16.2422829296835</v>
      </c>
      <c r="Q54" s="32" t="n">
        <f aca="false">P54*EXP(($B$4-0.5*$B$5^2)*$B$8+$B$5*SQRT($B$8)*Q110)</f>
        <v>15.5344740439813</v>
      </c>
      <c r="R54" s="32" t="n">
        <f aca="false">Q54*EXP(($B$4-0.5*$B$5^2)*$B$8+$B$5*SQRT($B$8)*R110)</f>
        <v>13.0736800192163</v>
      </c>
      <c r="S54" s="32" t="n">
        <f aca="false">R54*EXP(($B$4-0.5*$B$5^2)*$B$8+$B$5*SQRT($B$8)*S110)</f>
        <v>11.5712990820013</v>
      </c>
      <c r="T54" s="32" t="n">
        <f aca="false">S54*EXP(($B$4-0.5*$B$5^2)*$B$8+$B$5*SQRT($B$8)*T110)</f>
        <v>14.0471051803358</v>
      </c>
      <c r="U54" s="32" t="n">
        <f aca="false">T54*EXP(($B$4-0.5*$B$5^2)*$B$8+$B$5*SQRT($B$8)*U110)</f>
        <v>11.8941957247085</v>
      </c>
      <c r="V54" s="32" t="n">
        <f aca="false">U54*EXP(($B$4-0.5*$B$5^2)*$B$8+$B$5*SQRT($B$8)*V110)</f>
        <v>12.1862446150967</v>
      </c>
      <c r="W54" s="32" t="n">
        <f aca="false">V54*EXP(($B$4-0.5*$B$5^2)*$B$8+$B$5*SQRT($B$8)*W110)</f>
        <v>13.0272787134945</v>
      </c>
      <c r="X54" s="32" t="n">
        <f aca="false">W54*EXP(($B$4-0.5*$B$5^2)*$B$8+$B$5*SQRT($B$8)*X110)</f>
        <v>13.9709339097542</v>
      </c>
      <c r="Y54" s="32" t="n">
        <f aca="false">X54*EXP(($B$4-0.5*$B$5^2)*$B$8+$B$5*SQRT($B$8)*Y110)</f>
        <v>12.2113478897796</v>
      </c>
      <c r="Z54" s="32" t="n">
        <f aca="false">Y54*EXP(($B$4-0.5*$B$5^2)*$B$8+$B$5*SQRT($B$8)*Z110)</f>
        <v>11.7859802740715</v>
      </c>
      <c r="AA54" s="32" t="n">
        <f aca="false">Z54*EXP(($B$4-0.5*$B$5^2)*$B$8+$B$5*SQRT($B$8)*AA110)</f>
        <v>11.96729819505</v>
      </c>
      <c r="AB54" s="32" t="n">
        <f aca="false">AA54*EXP(($B$4-0.5*$B$5^2)*$B$8+$B$5*SQRT($B$8)*AB110)</f>
        <v>13.0628802863195</v>
      </c>
      <c r="AC54" s="32" t="n">
        <f aca="false">AB54*EXP(($B$4-0.5*$B$5^2)*$B$8+$B$5*SQRT($B$8)*AC110)</f>
        <v>12.1683866447173</v>
      </c>
      <c r="AD54" s="32" t="n">
        <f aca="false">AC54*EXP(($B$4-0.5*$B$5^2)*$B$8+$B$5*SQRT($B$8)*AD110)</f>
        <v>10.7084040257365</v>
      </c>
      <c r="AE54" s="32" t="n">
        <f aca="false">AD54*EXP(($B$4-0.5*$B$5^2)*$B$8+$B$5*SQRT($B$8)*AE110)</f>
        <v>11.9511133126771</v>
      </c>
      <c r="AF54" s="32" t="n">
        <f aca="false">AE54*EXP(($B$4-0.5*$B$5^2)*$B$8+$B$5*SQRT($B$8)*AF110)</f>
        <v>13.4889745045922</v>
      </c>
      <c r="AG54" s="32" t="n">
        <f aca="false">AF54*EXP(($B$4-0.5*$B$5^2)*$B$8+$B$5*SQRT($B$8)*AG110)</f>
        <v>14.0452603627214</v>
      </c>
      <c r="AH54" s="32" t="n">
        <f aca="false">AG54*EXP(($B$4-0.5*$B$5^2)*$B$8+$B$5*SQRT($B$8)*AH110)</f>
        <v>13.1355174003809</v>
      </c>
      <c r="AI54" s="32" t="n">
        <f aca="false">AH54*EXP(($B$4-0.5*$B$5^2)*$B$8+$B$5*SQRT($B$8)*AI110)</f>
        <v>13.7323838853539</v>
      </c>
      <c r="AJ54" s="32" t="n">
        <f aca="false">AI54*EXP(($B$4-0.5*$B$5^2)*$B$8+$B$5*SQRT($B$8)*AJ110)</f>
        <v>13.8954924664194</v>
      </c>
      <c r="AK54" s="32" t="n">
        <f aca="false">AJ54*EXP(($B$4-0.5*$B$5^2)*$B$8+$B$5*SQRT($B$8)*AK110)</f>
        <v>15.2299844841857</v>
      </c>
      <c r="AL54" s="32" t="n">
        <f aca="false">AK54*EXP(($B$4-0.5*$B$5^2)*$B$8+$B$5*SQRT($B$8)*AL110)</f>
        <v>13.2773480682963</v>
      </c>
      <c r="AM54" s="32" t="n">
        <f aca="false">AL54*EXP(($B$4-0.5*$B$5^2)*$B$8+$B$5*SQRT($B$8)*AM110)</f>
        <v>13.4452986589511</v>
      </c>
      <c r="AN54" s="32" t="n">
        <f aca="false">AM54*EXP(($B$4-0.5*$B$5^2)*$B$8+$B$5*SQRT($B$8)*AN110)</f>
        <v>13.2103077355556</v>
      </c>
      <c r="AO54" s="32" t="n">
        <f aca="false">AN54*EXP(($B$4-0.5*$B$5^2)*$B$8+$B$5*SQRT($B$8)*AO110)</f>
        <v>11.6941136015381</v>
      </c>
      <c r="AP54" s="32" t="n">
        <f aca="false">AO54*EXP(($B$4-0.5*$B$5^2)*$B$8+$B$5*SQRT($B$8)*AP110)</f>
        <v>11.9718509509436</v>
      </c>
      <c r="AQ54" s="32" t="n">
        <f aca="false">AP54*EXP(($B$4-0.5*$B$5^2)*$B$8+$B$5*SQRT($B$8)*AQ110)</f>
        <v>12.0155923992361</v>
      </c>
      <c r="AR54" s="32" t="n">
        <f aca="false">AQ54*EXP(($B$4-0.5*$B$5^2)*$B$8+$B$5*SQRT($B$8)*AR110)</f>
        <v>11.4845988698982</v>
      </c>
      <c r="AS54" s="32" t="n">
        <f aca="false">AR54*EXP(($B$4-0.5*$B$5^2)*$B$8+$B$5*SQRT($B$8)*AS110)</f>
        <v>11.9923214256439</v>
      </c>
      <c r="AT54" s="32" t="n">
        <f aca="false">AS54*EXP(($B$4-0.5*$B$5^2)*$B$8+$B$5*SQRT($B$8)*AT110)</f>
        <v>10.2619829555904</v>
      </c>
      <c r="AU54" s="32" t="n">
        <f aca="false">AT54*EXP(($B$4-0.5*$B$5^2)*$B$8+$B$5*SQRT($B$8)*AU110)</f>
        <v>10.1999053267107</v>
      </c>
      <c r="AV54" s="32" t="n">
        <f aca="false">AU54*EXP(($B$4-0.5*$B$5^2)*$B$8+$B$5*SQRT($B$8)*AV110)</f>
        <v>10.6922561090096</v>
      </c>
      <c r="AW54" s="32" t="n">
        <f aca="false">AV54*EXP(($B$4-0.5*$B$5^2)*$B$8+$B$5*SQRT($B$8)*AW110)</f>
        <v>11.0286032958048</v>
      </c>
      <c r="AX54" s="32" t="n">
        <f aca="false">AW54*EXP(($B$4-0.5*$B$5^2)*$B$8+$B$5*SQRT($B$8)*AX110)</f>
        <v>12.4085937806611</v>
      </c>
      <c r="AY54" s="32" t="n">
        <f aca="false">AX54*EXP(($B$4-0.5*$B$5^2)*$B$8+$B$5*SQRT($B$8)*AY110)</f>
        <v>10.874798402842</v>
      </c>
      <c r="AZ54" s="32" t="n">
        <f aca="false">AY54*EXP(($B$4-0.5*$B$5^2)*$B$8+$B$5*SQRT($B$8)*AZ110)</f>
        <v>9.2152104043989</v>
      </c>
      <c r="BA54" s="32" t="n">
        <f aca="false">AZ54*EXP(($B$4-0.5*$B$5^2)*$B$8+$B$5*SQRT($B$8)*BA110)</f>
        <v>9.45834099462741</v>
      </c>
      <c r="BB54" s="32" t="n">
        <f aca="false">BA54*EXP(($B$4-0.5*$B$5^2)*$B$8+$B$5*SQRT($B$8)*BB110)</f>
        <v>9.94074856625781</v>
      </c>
      <c r="BC54" s="32" t="n">
        <f aca="false">BB54*EXP(($B$4-0.5*$B$5^2)*$B$8+$B$5*SQRT($B$8)*BC110)</f>
        <v>12.5409131574264</v>
      </c>
      <c r="BD54" s="32" t="n">
        <f aca="false">BC54*EXP(($B$4-0.5*$B$5^2)*$B$8+$B$5*SQRT($B$8)*BD110)</f>
        <v>13.4160705187641</v>
      </c>
      <c r="BE54" s="32" t="n">
        <f aca="false">BD54*EXP(($B$4-0.5*$B$5^2)*$B$8+$B$5*SQRT($B$8)*BE110)</f>
        <v>12.1873780898587</v>
      </c>
      <c r="BF54" s="32" t="n">
        <f aca="false">BE54*EXP(($B$4-0.5*$B$5^2)*$B$8+$B$5*SQRT($B$8)*BF110)</f>
        <v>13.3116046130907</v>
      </c>
      <c r="BG54" s="32" t="n">
        <f aca="false">BF54*EXP(($B$4-0.5*$B$5^2)*$B$8+$B$5*SQRT($B$8)*BG110)</f>
        <v>12.1301020750451</v>
      </c>
      <c r="BH54" s="32" t="n">
        <f aca="false">BG54*EXP(($B$4-0.5*$B$5^2)*$B$8+$B$5*SQRT($B$8)*BH110)</f>
        <v>10.3038305676537</v>
      </c>
      <c r="BI54" s="32" t="n">
        <f aca="false">BH54*EXP(($B$4-0.5*$B$5^2)*$B$8+$B$5*SQRT($B$8)*BI110)</f>
        <v>13.7157082093688</v>
      </c>
      <c r="BJ54" s="32" t="n">
        <f aca="false">BI54*EXP(($B$4-0.5*$B$5^2)*$B$8+$B$5*SQRT($B$8)*BJ110)</f>
        <v>14.2121942727883</v>
      </c>
    </row>
    <row r="55" customFormat="false" ht="15" hidden="false" customHeight="true" outlineLevel="0" collapsed="false">
      <c r="A55" s="6" t="s">
        <v>159</v>
      </c>
      <c r="B55" s="32" t="n">
        <f aca="false">$B$3</f>
        <v>11.5</v>
      </c>
      <c r="C55" s="32" t="n">
        <f aca="false">B55*EXP(($B$4-0.5*$B$5^2)*$B$8+$B$5*SQRT($B$8)*C111)</f>
        <v>12.435948121945</v>
      </c>
      <c r="D55" s="32" t="n">
        <f aca="false">C55*EXP(($B$4-0.5*$B$5^2)*$B$8+$B$5*SQRT($B$8)*D111)</f>
        <v>13.2265676339752</v>
      </c>
      <c r="E55" s="32" t="n">
        <f aca="false">D55*EXP(($B$4-0.5*$B$5^2)*$B$8+$B$5*SQRT($B$8)*E111)</f>
        <v>16.1322882581023</v>
      </c>
      <c r="F55" s="32" t="n">
        <f aca="false">E55*EXP(($B$4-0.5*$B$5^2)*$B$8+$B$5*SQRT($B$8)*F111)</f>
        <v>16.6399248182372</v>
      </c>
      <c r="G55" s="32" t="n">
        <f aca="false">F55*EXP(($B$4-0.5*$B$5^2)*$B$8+$B$5*SQRT($B$8)*G111)</f>
        <v>19.014443192987</v>
      </c>
      <c r="H55" s="32" t="n">
        <f aca="false">G55*EXP(($B$4-0.5*$B$5^2)*$B$8+$B$5*SQRT($B$8)*H111)</f>
        <v>16.9849223464274</v>
      </c>
      <c r="I55" s="32" t="n">
        <f aca="false">H55*EXP(($B$4-0.5*$B$5^2)*$B$8+$B$5*SQRT($B$8)*I111)</f>
        <v>14.5767448024396</v>
      </c>
      <c r="J55" s="32" t="n">
        <f aca="false">I55*EXP(($B$4-0.5*$B$5^2)*$B$8+$B$5*SQRT($B$8)*J111)</f>
        <v>17.0428794303243</v>
      </c>
      <c r="K55" s="32" t="n">
        <f aca="false">J55*EXP(($B$4-0.5*$B$5^2)*$B$8+$B$5*SQRT($B$8)*K111)</f>
        <v>20.0321038473797</v>
      </c>
      <c r="L55" s="32" t="n">
        <f aca="false">K55*EXP(($B$4-0.5*$B$5^2)*$B$8+$B$5*SQRT($B$8)*L111)</f>
        <v>21.1825495051712</v>
      </c>
      <c r="M55" s="32" t="n">
        <f aca="false">L55*EXP(($B$4-0.5*$B$5^2)*$B$8+$B$5*SQRT($B$8)*M111)</f>
        <v>21.7104364780946</v>
      </c>
      <c r="N55" s="32" t="n">
        <f aca="false">M55*EXP(($B$4-0.5*$B$5^2)*$B$8+$B$5*SQRT($B$8)*N111)</f>
        <v>22.1057720819832</v>
      </c>
      <c r="O55" s="32" t="n">
        <f aca="false">N55*EXP(($B$4-0.5*$B$5^2)*$B$8+$B$5*SQRT($B$8)*O111)</f>
        <v>20.4947034801106</v>
      </c>
      <c r="P55" s="32" t="n">
        <f aca="false">O55*EXP(($B$4-0.5*$B$5^2)*$B$8+$B$5*SQRT($B$8)*P111)</f>
        <v>24.2584842869149</v>
      </c>
      <c r="Q55" s="32" t="n">
        <f aca="false">P55*EXP(($B$4-0.5*$B$5^2)*$B$8+$B$5*SQRT($B$8)*Q111)</f>
        <v>26.0719505109722</v>
      </c>
      <c r="R55" s="32" t="n">
        <f aca="false">Q55*EXP(($B$4-0.5*$B$5^2)*$B$8+$B$5*SQRT($B$8)*R111)</f>
        <v>27.5546909769581</v>
      </c>
      <c r="S55" s="32" t="n">
        <f aca="false">R55*EXP(($B$4-0.5*$B$5^2)*$B$8+$B$5*SQRT($B$8)*S111)</f>
        <v>28.7101036339437</v>
      </c>
      <c r="T55" s="32" t="n">
        <f aca="false">S55*EXP(($B$4-0.5*$B$5^2)*$B$8+$B$5*SQRT($B$8)*T111)</f>
        <v>32.2016660816757</v>
      </c>
      <c r="U55" s="32" t="n">
        <f aca="false">T55*EXP(($B$4-0.5*$B$5^2)*$B$8+$B$5*SQRT($B$8)*U111)</f>
        <v>34.0296498582202</v>
      </c>
      <c r="V55" s="32" t="n">
        <f aca="false">U55*EXP(($B$4-0.5*$B$5^2)*$B$8+$B$5*SQRT($B$8)*V111)</f>
        <v>36.9221728934442</v>
      </c>
      <c r="W55" s="32" t="n">
        <f aca="false">V55*EXP(($B$4-0.5*$B$5^2)*$B$8+$B$5*SQRT($B$8)*W111)</f>
        <v>32.4727489309271</v>
      </c>
      <c r="X55" s="32" t="n">
        <f aca="false">W55*EXP(($B$4-0.5*$B$5^2)*$B$8+$B$5*SQRT($B$8)*X111)</f>
        <v>34.3350524867791</v>
      </c>
      <c r="Y55" s="32" t="n">
        <f aca="false">X55*EXP(($B$4-0.5*$B$5^2)*$B$8+$B$5*SQRT($B$8)*Y111)</f>
        <v>43.6372830086378</v>
      </c>
      <c r="Z55" s="32" t="n">
        <f aca="false">Y55*EXP(($B$4-0.5*$B$5^2)*$B$8+$B$5*SQRT($B$8)*Z111)</f>
        <v>41.2169006061742</v>
      </c>
      <c r="AA55" s="32" t="n">
        <f aca="false">Z55*EXP(($B$4-0.5*$B$5^2)*$B$8+$B$5*SQRT($B$8)*AA111)</f>
        <v>40.6310667646187</v>
      </c>
      <c r="AB55" s="32" t="n">
        <f aca="false">AA55*EXP(($B$4-0.5*$B$5^2)*$B$8+$B$5*SQRT($B$8)*AB111)</f>
        <v>44.7993119298991</v>
      </c>
      <c r="AC55" s="32" t="n">
        <f aca="false">AB55*EXP(($B$4-0.5*$B$5^2)*$B$8+$B$5*SQRT($B$8)*AC111)</f>
        <v>49.7505890099338</v>
      </c>
      <c r="AD55" s="32" t="n">
        <f aca="false">AC55*EXP(($B$4-0.5*$B$5^2)*$B$8+$B$5*SQRT($B$8)*AD111)</f>
        <v>53.2680368822781</v>
      </c>
      <c r="AE55" s="32" t="n">
        <f aca="false">AD55*EXP(($B$4-0.5*$B$5^2)*$B$8+$B$5*SQRT($B$8)*AE111)</f>
        <v>44.5988451278651</v>
      </c>
      <c r="AF55" s="32" t="n">
        <f aca="false">AE55*EXP(($B$4-0.5*$B$5^2)*$B$8+$B$5*SQRT($B$8)*AF111)</f>
        <v>47.1136473688156</v>
      </c>
      <c r="AG55" s="32" t="n">
        <f aca="false">AF55*EXP(($B$4-0.5*$B$5^2)*$B$8+$B$5*SQRT($B$8)*AG111)</f>
        <v>41.3691058525161</v>
      </c>
      <c r="AH55" s="32" t="n">
        <f aca="false">AG55*EXP(($B$4-0.5*$B$5^2)*$B$8+$B$5*SQRT($B$8)*AH111)</f>
        <v>37.7839374570974</v>
      </c>
      <c r="AI55" s="32" t="n">
        <f aca="false">AH55*EXP(($B$4-0.5*$B$5^2)*$B$8+$B$5*SQRT($B$8)*AI111)</f>
        <v>40.1178091500893</v>
      </c>
      <c r="AJ55" s="32" t="n">
        <f aca="false">AI55*EXP(($B$4-0.5*$B$5^2)*$B$8+$B$5*SQRT($B$8)*AJ111)</f>
        <v>38.8297278414822</v>
      </c>
      <c r="AK55" s="32" t="n">
        <f aca="false">AJ55*EXP(($B$4-0.5*$B$5^2)*$B$8+$B$5*SQRT($B$8)*AK111)</f>
        <v>42.4283021332873</v>
      </c>
      <c r="AL55" s="32" t="n">
        <f aca="false">AK55*EXP(($B$4-0.5*$B$5^2)*$B$8+$B$5*SQRT($B$8)*AL111)</f>
        <v>59.917718469838</v>
      </c>
      <c r="AM55" s="32" t="n">
        <f aca="false">AL55*EXP(($B$4-0.5*$B$5^2)*$B$8+$B$5*SQRT($B$8)*AM111)</f>
        <v>65.2380508062389</v>
      </c>
      <c r="AN55" s="32" t="n">
        <f aca="false">AM55*EXP(($B$4-0.5*$B$5^2)*$B$8+$B$5*SQRT($B$8)*AN111)</f>
        <v>70.6087454258781</v>
      </c>
      <c r="AO55" s="32" t="n">
        <f aca="false">AN55*EXP(($B$4-0.5*$B$5^2)*$B$8+$B$5*SQRT($B$8)*AO111)</f>
        <v>63.9890811116262</v>
      </c>
      <c r="AP55" s="32" t="n">
        <f aca="false">AO55*EXP(($B$4-0.5*$B$5^2)*$B$8+$B$5*SQRT($B$8)*AP111)</f>
        <v>59.6204218895956</v>
      </c>
      <c r="AQ55" s="32" t="n">
        <f aca="false">AP55*EXP(($B$4-0.5*$B$5^2)*$B$8+$B$5*SQRT($B$8)*AQ111)</f>
        <v>53.0446913187859</v>
      </c>
      <c r="AR55" s="32" t="n">
        <f aca="false">AQ55*EXP(($B$4-0.5*$B$5^2)*$B$8+$B$5*SQRT($B$8)*AR111)</f>
        <v>50.025232638628</v>
      </c>
      <c r="AS55" s="32" t="n">
        <f aca="false">AR55*EXP(($B$4-0.5*$B$5^2)*$B$8+$B$5*SQRT($B$8)*AS111)</f>
        <v>44.3708517764058</v>
      </c>
      <c r="AT55" s="32" t="n">
        <f aca="false">AS55*EXP(($B$4-0.5*$B$5^2)*$B$8+$B$5*SQRT($B$8)*AT111)</f>
        <v>41.2657851258928</v>
      </c>
      <c r="AU55" s="32" t="n">
        <f aca="false">AT55*EXP(($B$4-0.5*$B$5^2)*$B$8+$B$5*SQRT($B$8)*AU111)</f>
        <v>40.3243018380296</v>
      </c>
      <c r="AV55" s="32" t="n">
        <f aca="false">AU55*EXP(($B$4-0.5*$B$5^2)*$B$8+$B$5*SQRT($B$8)*AV111)</f>
        <v>36.1259511199755</v>
      </c>
      <c r="AW55" s="32" t="n">
        <f aca="false">AV55*EXP(($B$4-0.5*$B$5^2)*$B$8+$B$5*SQRT($B$8)*AW111)</f>
        <v>30.9124211969931</v>
      </c>
      <c r="AX55" s="32" t="n">
        <f aca="false">AW55*EXP(($B$4-0.5*$B$5^2)*$B$8+$B$5*SQRT($B$8)*AX111)</f>
        <v>26.6190439374769</v>
      </c>
      <c r="AY55" s="32" t="n">
        <f aca="false">AX55*EXP(($B$4-0.5*$B$5^2)*$B$8+$B$5*SQRT($B$8)*AY111)</f>
        <v>27.9729268528284</v>
      </c>
      <c r="AZ55" s="32" t="n">
        <f aca="false">AY55*EXP(($B$4-0.5*$B$5^2)*$B$8+$B$5*SQRT($B$8)*AZ111)</f>
        <v>28.1517015733539</v>
      </c>
      <c r="BA55" s="32" t="n">
        <f aca="false">AZ55*EXP(($B$4-0.5*$B$5^2)*$B$8+$B$5*SQRT($B$8)*BA111)</f>
        <v>31.499339639261</v>
      </c>
      <c r="BB55" s="32" t="n">
        <f aca="false">BA55*EXP(($B$4-0.5*$B$5^2)*$B$8+$B$5*SQRT($B$8)*BB111)</f>
        <v>35.3166536894481</v>
      </c>
      <c r="BC55" s="32" t="n">
        <f aca="false">BB55*EXP(($B$4-0.5*$B$5^2)*$B$8+$B$5*SQRT($B$8)*BC111)</f>
        <v>34.0150944440902</v>
      </c>
      <c r="BD55" s="32" t="n">
        <f aca="false">BC55*EXP(($B$4-0.5*$B$5^2)*$B$8+$B$5*SQRT($B$8)*BD111)</f>
        <v>36.6027185961445</v>
      </c>
      <c r="BE55" s="32" t="n">
        <f aca="false">BD55*EXP(($B$4-0.5*$B$5^2)*$B$8+$B$5*SQRT($B$8)*BE111)</f>
        <v>31.2468648730178</v>
      </c>
      <c r="BF55" s="32" t="n">
        <f aca="false">BE55*EXP(($B$4-0.5*$B$5^2)*$B$8+$B$5*SQRT($B$8)*BF111)</f>
        <v>40.1320602336746</v>
      </c>
      <c r="BG55" s="32" t="n">
        <f aca="false">BF55*EXP(($B$4-0.5*$B$5^2)*$B$8+$B$5*SQRT($B$8)*BG111)</f>
        <v>45.7468948580938</v>
      </c>
      <c r="BH55" s="32" t="n">
        <f aca="false">BG55*EXP(($B$4-0.5*$B$5^2)*$B$8+$B$5*SQRT($B$8)*BH111)</f>
        <v>44.6722347590697</v>
      </c>
      <c r="BI55" s="32" t="n">
        <f aca="false">BH55*EXP(($B$4-0.5*$B$5^2)*$B$8+$B$5*SQRT($B$8)*BI111)</f>
        <v>39.3135743580231</v>
      </c>
      <c r="BJ55" s="32" t="n">
        <f aca="false">BI55*EXP(($B$4-0.5*$B$5^2)*$B$8+$B$5*SQRT($B$8)*BJ111)</f>
        <v>40.9796887495629</v>
      </c>
    </row>
    <row r="56" customFormat="false" ht="15" hidden="false" customHeight="true" outlineLevel="0" collapsed="false">
      <c r="A56" s="6" t="s">
        <v>160</v>
      </c>
      <c r="B56" s="32" t="n">
        <f aca="false">$B$3</f>
        <v>11.5</v>
      </c>
      <c r="C56" s="32" t="n">
        <f aca="false">B56*EXP(($B$4-0.5*$B$5^2)*$B$8+$B$5*SQRT($B$8)*C112)</f>
        <v>9.36540972467566</v>
      </c>
      <c r="D56" s="32" t="n">
        <f aca="false">C56*EXP(($B$4-0.5*$B$5^2)*$B$8+$B$5*SQRT($B$8)*D112)</f>
        <v>8.59648125122675</v>
      </c>
      <c r="E56" s="32" t="n">
        <f aca="false">D56*EXP(($B$4-0.5*$B$5^2)*$B$8+$B$5*SQRT($B$8)*E112)</f>
        <v>9.33065999369884</v>
      </c>
      <c r="F56" s="32" t="n">
        <f aca="false">E56*EXP(($B$4-0.5*$B$5^2)*$B$8+$B$5*SQRT($B$8)*F112)</f>
        <v>9.40648093612163</v>
      </c>
      <c r="G56" s="32" t="n">
        <f aca="false">F56*EXP(($B$4-0.5*$B$5^2)*$B$8+$B$5*SQRT($B$8)*G112)</f>
        <v>8.91164137737485</v>
      </c>
      <c r="H56" s="32" t="n">
        <f aca="false">G56*EXP(($B$4-0.5*$B$5^2)*$B$8+$B$5*SQRT($B$8)*H112)</f>
        <v>9.88944435442931</v>
      </c>
      <c r="I56" s="32" t="n">
        <f aca="false">H56*EXP(($B$4-0.5*$B$5^2)*$B$8+$B$5*SQRT($B$8)*I112)</f>
        <v>8.8228951041496</v>
      </c>
      <c r="J56" s="32" t="n">
        <f aca="false">I56*EXP(($B$4-0.5*$B$5^2)*$B$8+$B$5*SQRT($B$8)*J112)</f>
        <v>9.10111926025441</v>
      </c>
      <c r="K56" s="32" t="n">
        <f aca="false">J56*EXP(($B$4-0.5*$B$5^2)*$B$8+$B$5*SQRT($B$8)*K112)</f>
        <v>8.61580016317733</v>
      </c>
      <c r="L56" s="32" t="n">
        <f aca="false">K56*EXP(($B$4-0.5*$B$5^2)*$B$8+$B$5*SQRT($B$8)*L112)</f>
        <v>7.84958603420155</v>
      </c>
      <c r="M56" s="32" t="n">
        <f aca="false">L56*EXP(($B$4-0.5*$B$5^2)*$B$8+$B$5*SQRT($B$8)*M112)</f>
        <v>8.25740504733297</v>
      </c>
      <c r="N56" s="32" t="n">
        <f aca="false">M56*EXP(($B$4-0.5*$B$5^2)*$B$8+$B$5*SQRT($B$8)*N112)</f>
        <v>7.4039348568114</v>
      </c>
      <c r="O56" s="32" t="n">
        <f aca="false">N56*EXP(($B$4-0.5*$B$5^2)*$B$8+$B$5*SQRT($B$8)*O112)</f>
        <v>9.1200182998463</v>
      </c>
      <c r="P56" s="32" t="n">
        <f aca="false">O56*EXP(($B$4-0.5*$B$5^2)*$B$8+$B$5*SQRT($B$8)*P112)</f>
        <v>8.55184505836642</v>
      </c>
      <c r="Q56" s="32" t="n">
        <f aca="false">P56*EXP(($B$4-0.5*$B$5^2)*$B$8+$B$5*SQRT($B$8)*Q112)</f>
        <v>10.6359536142488</v>
      </c>
      <c r="R56" s="32" t="n">
        <f aca="false">Q56*EXP(($B$4-0.5*$B$5^2)*$B$8+$B$5*SQRT($B$8)*R112)</f>
        <v>9.43146987006884</v>
      </c>
      <c r="S56" s="32" t="n">
        <f aca="false">R56*EXP(($B$4-0.5*$B$5^2)*$B$8+$B$5*SQRT($B$8)*S112)</f>
        <v>10.0778445314513</v>
      </c>
      <c r="T56" s="32" t="n">
        <f aca="false">S56*EXP(($B$4-0.5*$B$5^2)*$B$8+$B$5*SQRT($B$8)*T112)</f>
        <v>8.8336364079231</v>
      </c>
      <c r="U56" s="32" t="n">
        <f aca="false">T56*EXP(($B$4-0.5*$B$5^2)*$B$8+$B$5*SQRT($B$8)*U112)</f>
        <v>7.62374315957634</v>
      </c>
      <c r="V56" s="32" t="n">
        <f aca="false">U56*EXP(($B$4-0.5*$B$5^2)*$B$8+$B$5*SQRT($B$8)*V112)</f>
        <v>7.75705901446433</v>
      </c>
      <c r="W56" s="32" t="n">
        <f aca="false">V56*EXP(($B$4-0.5*$B$5^2)*$B$8+$B$5*SQRT($B$8)*W112)</f>
        <v>8.35404458409829</v>
      </c>
      <c r="X56" s="32" t="n">
        <f aca="false">W56*EXP(($B$4-0.5*$B$5^2)*$B$8+$B$5*SQRT($B$8)*X112)</f>
        <v>7.26290740982995</v>
      </c>
      <c r="Y56" s="32" t="n">
        <f aca="false">X56*EXP(($B$4-0.5*$B$5^2)*$B$8+$B$5*SQRT($B$8)*Y112)</f>
        <v>8.2688358751481</v>
      </c>
      <c r="Z56" s="32" t="n">
        <f aca="false">Y56*EXP(($B$4-0.5*$B$5^2)*$B$8+$B$5*SQRT($B$8)*Z112)</f>
        <v>7.57472115774325</v>
      </c>
      <c r="AA56" s="32" t="n">
        <f aca="false">Z56*EXP(($B$4-0.5*$B$5^2)*$B$8+$B$5*SQRT($B$8)*AA112)</f>
        <v>7.68313666006032</v>
      </c>
      <c r="AB56" s="32" t="n">
        <f aca="false">AA56*EXP(($B$4-0.5*$B$5^2)*$B$8+$B$5*SQRT($B$8)*AB112)</f>
        <v>8.00851203847556</v>
      </c>
      <c r="AC56" s="32" t="n">
        <f aca="false">AB56*EXP(($B$4-0.5*$B$5^2)*$B$8+$B$5*SQRT($B$8)*AC112)</f>
        <v>8.54679344549056</v>
      </c>
      <c r="AD56" s="32" t="n">
        <f aca="false">AC56*EXP(($B$4-0.5*$B$5^2)*$B$8+$B$5*SQRT($B$8)*AD112)</f>
        <v>7.0157599915999</v>
      </c>
      <c r="AE56" s="32" t="n">
        <f aca="false">AD56*EXP(($B$4-0.5*$B$5^2)*$B$8+$B$5*SQRT($B$8)*AE112)</f>
        <v>8.37730655557027</v>
      </c>
      <c r="AF56" s="32" t="n">
        <f aca="false">AE56*EXP(($B$4-0.5*$B$5^2)*$B$8+$B$5*SQRT($B$8)*AF112)</f>
        <v>8.90817934117623</v>
      </c>
      <c r="AG56" s="32" t="n">
        <f aca="false">AF56*EXP(($B$4-0.5*$B$5^2)*$B$8+$B$5*SQRT($B$8)*AG112)</f>
        <v>8.50029111229447</v>
      </c>
      <c r="AH56" s="32" t="n">
        <f aca="false">AG56*EXP(($B$4-0.5*$B$5^2)*$B$8+$B$5*SQRT($B$8)*AH112)</f>
        <v>7.59561363285161</v>
      </c>
      <c r="AI56" s="32" t="n">
        <f aca="false">AH56*EXP(($B$4-0.5*$B$5^2)*$B$8+$B$5*SQRT($B$8)*AI112)</f>
        <v>6.30632936145674</v>
      </c>
      <c r="AJ56" s="32" t="n">
        <f aca="false">AI56*EXP(($B$4-0.5*$B$5^2)*$B$8+$B$5*SQRT($B$8)*AJ112)</f>
        <v>5.4304772684414</v>
      </c>
      <c r="AK56" s="32" t="n">
        <f aca="false">AJ56*EXP(($B$4-0.5*$B$5^2)*$B$8+$B$5*SQRT($B$8)*AK112)</f>
        <v>5.76394169797732</v>
      </c>
      <c r="AL56" s="32" t="n">
        <f aca="false">AK56*EXP(($B$4-0.5*$B$5^2)*$B$8+$B$5*SQRT($B$8)*AL112)</f>
        <v>5.55125299319288</v>
      </c>
      <c r="AM56" s="32" t="n">
        <f aca="false">AL56*EXP(($B$4-0.5*$B$5^2)*$B$8+$B$5*SQRT($B$8)*AM112)</f>
        <v>4.90236105109111</v>
      </c>
      <c r="AN56" s="32" t="n">
        <f aca="false">AM56*EXP(($B$4-0.5*$B$5^2)*$B$8+$B$5*SQRT($B$8)*AN112)</f>
        <v>4.62617621088098</v>
      </c>
      <c r="AO56" s="32" t="n">
        <f aca="false">AN56*EXP(($B$4-0.5*$B$5^2)*$B$8+$B$5*SQRT($B$8)*AO112)</f>
        <v>5.49108063133276</v>
      </c>
      <c r="AP56" s="32" t="n">
        <f aca="false">AO56*EXP(($B$4-0.5*$B$5^2)*$B$8+$B$5*SQRT($B$8)*AP112)</f>
        <v>5.29449627857359</v>
      </c>
      <c r="AQ56" s="32" t="n">
        <f aca="false">AP56*EXP(($B$4-0.5*$B$5^2)*$B$8+$B$5*SQRT($B$8)*AQ112)</f>
        <v>4.96479770678464</v>
      </c>
      <c r="AR56" s="32" t="n">
        <f aca="false">AQ56*EXP(($B$4-0.5*$B$5^2)*$B$8+$B$5*SQRT($B$8)*AR112)</f>
        <v>5.75659438428496</v>
      </c>
      <c r="AS56" s="32" t="n">
        <f aca="false">AR56*EXP(($B$4-0.5*$B$5^2)*$B$8+$B$5*SQRT($B$8)*AS112)</f>
        <v>6.05467462777553</v>
      </c>
      <c r="AT56" s="32" t="n">
        <f aca="false">AS56*EXP(($B$4-0.5*$B$5^2)*$B$8+$B$5*SQRT($B$8)*AT112)</f>
        <v>6.08304115162802</v>
      </c>
      <c r="AU56" s="32" t="n">
        <f aca="false">AT56*EXP(($B$4-0.5*$B$5^2)*$B$8+$B$5*SQRT($B$8)*AU112)</f>
        <v>5.68965634181369</v>
      </c>
      <c r="AV56" s="32" t="n">
        <f aca="false">AU56*EXP(($B$4-0.5*$B$5^2)*$B$8+$B$5*SQRT($B$8)*AV112)</f>
        <v>4.79787162156297</v>
      </c>
      <c r="AW56" s="32" t="n">
        <f aca="false">AV56*EXP(($B$4-0.5*$B$5^2)*$B$8+$B$5*SQRT($B$8)*AW112)</f>
        <v>4.21894288926261</v>
      </c>
      <c r="AX56" s="32" t="n">
        <f aca="false">AW56*EXP(($B$4-0.5*$B$5^2)*$B$8+$B$5*SQRT($B$8)*AX112)</f>
        <v>4.00160800829989</v>
      </c>
      <c r="AY56" s="32" t="n">
        <f aca="false">AX56*EXP(($B$4-0.5*$B$5^2)*$B$8+$B$5*SQRT($B$8)*AY112)</f>
        <v>3.90563650404318</v>
      </c>
      <c r="AZ56" s="32" t="n">
        <f aca="false">AY56*EXP(($B$4-0.5*$B$5^2)*$B$8+$B$5*SQRT($B$8)*AZ112)</f>
        <v>4.06054005727265</v>
      </c>
      <c r="BA56" s="32" t="n">
        <f aca="false">AZ56*EXP(($B$4-0.5*$B$5^2)*$B$8+$B$5*SQRT($B$8)*BA112)</f>
        <v>4.31311050235077</v>
      </c>
      <c r="BB56" s="32" t="n">
        <f aca="false">BA56*EXP(($B$4-0.5*$B$5^2)*$B$8+$B$5*SQRT($B$8)*BB112)</f>
        <v>4.41907205181436</v>
      </c>
      <c r="BC56" s="32" t="n">
        <f aca="false">BB56*EXP(($B$4-0.5*$B$5^2)*$B$8+$B$5*SQRT($B$8)*BC112)</f>
        <v>4.52638881518451</v>
      </c>
      <c r="BD56" s="32" t="n">
        <f aca="false">BC56*EXP(($B$4-0.5*$B$5^2)*$B$8+$B$5*SQRT($B$8)*BD112)</f>
        <v>4.05203463243209</v>
      </c>
      <c r="BE56" s="32" t="n">
        <f aca="false">BD56*EXP(($B$4-0.5*$B$5^2)*$B$8+$B$5*SQRT($B$8)*BE112)</f>
        <v>3.198450949057</v>
      </c>
      <c r="BF56" s="32" t="n">
        <f aca="false">BE56*EXP(($B$4-0.5*$B$5^2)*$B$8+$B$5*SQRT($B$8)*BF112)</f>
        <v>3.02026627869728</v>
      </c>
      <c r="BG56" s="32" t="n">
        <f aca="false">BF56*EXP(($B$4-0.5*$B$5^2)*$B$8+$B$5*SQRT($B$8)*BG112)</f>
        <v>2.71962713138653</v>
      </c>
      <c r="BH56" s="32" t="n">
        <f aca="false">BG56*EXP(($B$4-0.5*$B$5^2)*$B$8+$B$5*SQRT($B$8)*BH112)</f>
        <v>2.531268416878</v>
      </c>
      <c r="BI56" s="32" t="n">
        <f aca="false">BH56*EXP(($B$4-0.5*$B$5^2)*$B$8+$B$5*SQRT($B$8)*BI112)</f>
        <v>2.45571895108334</v>
      </c>
      <c r="BJ56" s="32" t="n">
        <f aca="false">BI56*EXP(($B$4-0.5*$B$5^2)*$B$8+$B$5*SQRT($B$8)*BJ112)</f>
        <v>2.14216463540514</v>
      </c>
    </row>
    <row r="57" customFormat="false" ht="15" hidden="false" customHeight="true" outlineLevel="0" collapsed="false">
      <c r="A57" s="6" t="s">
        <v>161</v>
      </c>
      <c r="B57" s="32" t="n">
        <f aca="false">$B$3</f>
        <v>11.5</v>
      </c>
      <c r="C57" s="32" t="n">
        <f aca="false">B57*EXP(($B$4-0.5*$B$5^2)*$B$8+$B$5*SQRT($B$8)*C113)</f>
        <v>10.1791808243196</v>
      </c>
      <c r="D57" s="32" t="n">
        <f aca="false">C57*EXP(($B$4-0.5*$B$5^2)*$B$8+$B$5*SQRT($B$8)*D113)</f>
        <v>10.0659331728753</v>
      </c>
      <c r="E57" s="32" t="n">
        <f aca="false">D57*EXP(($B$4-0.5*$B$5^2)*$B$8+$B$5*SQRT($B$8)*E113)</f>
        <v>10.1927131014202</v>
      </c>
      <c r="F57" s="32" t="n">
        <f aca="false">E57*EXP(($B$4-0.5*$B$5^2)*$B$8+$B$5*SQRT($B$8)*F113)</f>
        <v>9.4832679865592</v>
      </c>
      <c r="G57" s="32" t="n">
        <f aca="false">F57*EXP(($B$4-0.5*$B$5^2)*$B$8+$B$5*SQRT($B$8)*G113)</f>
        <v>10.0142171807169</v>
      </c>
      <c r="H57" s="32" t="n">
        <f aca="false">G57*EXP(($B$4-0.5*$B$5^2)*$B$8+$B$5*SQRT($B$8)*H113)</f>
        <v>9.77422719069206</v>
      </c>
      <c r="I57" s="32" t="n">
        <f aca="false">H57*EXP(($B$4-0.5*$B$5^2)*$B$8+$B$5*SQRT($B$8)*I113)</f>
        <v>8.73802997956224</v>
      </c>
      <c r="J57" s="32" t="n">
        <f aca="false">I57*EXP(($B$4-0.5*$B$5^2)*$B$8+$B$5*SQRT($B$8)*J113)</f>
        <v>8.77554996909121</v>
      </c>
      <c r="K57" s="32" t="n">
        <f aca="false">J57*EXP(($B$4-0.5*$B$5^2)*$B$8+$B$5*SQRT($B$8)*K113)</f>
        <v>10.7863385755162</v>
      </c>
      <c r="L57" s="32" t="n">
        <f aca="false">K57*EXP(($B$4-0.5*$B$5^2)*$B$8+$B$5*SQRT($B$8)*L113)</f>
        <v>10.0147597209389</v>
      </c>
      <c r="M57" s="32" t="n">
        <f aca="false">L57*EXP(($B$4-0.5*$B$5^2)*$B$8+$B$5*SQRT($B$8)*M113)</f>
        <v>11.3793254526029</v>
      </c>
      <c r="N57" s="32" t="n">
        <f aca="false">M57*EXP(($B$4-0.5*$B$5^2)*$B$8+$B$5*SQRT($B$8)*N113)</f>
        <v>13.2335077952779</v>
      </c>
      <c r="O57" s="32" t="n">
        <f aca="false">N57*EXP(($B$4-0.5*$B$5^2)*$B$8+$B$5*SQRT($B$8)*O113)</f>
        <v>15.5944005361114</v>
      </c>
      <c r="P57" s="32" t="n">
        <f aca="false">O57*EXP(($B$4-0.5*$B$5^2)*$B$8+$B$5*SQRT($B$8)*P113)</f>
        <v>14.2461845564562</v>
      </c>
      <c r="Q57" s="32" t="n">
        <f aca="false">P57*EXP(($B$4-0.5*$B$5^2)*$B$8+$B$5*SQRT($B$8)*Q113)</f>
        <v>17.7677560480043</v>
      </c>
      <c r="R57" s="32" t="n">
        <f aca="false">Q57*EXP(($B$4-0.5*$B$5^2)*$B$8+$B$5*SQRT($B$8)*R113)</f>
        <v>17.9926826826264</v>
      </c>
      <c r="S57" s="32" t="n">
        <f aca="false">R57*EXP(($B$4-0.5*$B$5^2)*$B$8+$B$5*SQRT($B$8)*S113)</f>
        <v>17.4954711585123</v>
      </c>
      <c r="T57" s="32" t="n">
        <f aca="false">S57*EXP(($B$4-0.5*$B$5^2)*$B$8+$B$5*SQRT($B$8)*T113)</f>
        <v>17.0558005029152</v>
      </c>
      <c r="U57" s="32" t="n">
        <f aca="false">T57*EXP(($B$4-0.5*$B$5^2)*$B$8+$B$5*SQRT($B$8)*U113)</f>
        <v>18.215949574545</v>
      </c>
      <c r="V57" s="32" t="n">
        <f aca="false">U57*EXP(($B$4-0.5*$B$5^2)*$B$8+$B$5*SQRT($B$8)*V113)</f>
        <v>18.3150429486825</v>
      </c>
      <c r="W57" s="32" t="n">
        <f aca="false">V57*EXP(($B$4-0.5*$B$5^2)*$B$8+$B$5*SQRT($B$8)*W113)</f>
        <v>17.9597735121383</v>
      </c>
      <c r="X57" s="32" t="n">
        <f aca="false">W57*EXP(($B$4-0.5*$B$5^2)*$B$8+$B$5*SQRT($B$8)*X113)</f>
        <v>20.6715094250871</v>
      </c>
      <c r="Y57" s="32" t="n">
        <f aca="false">X57*EXP(($B$4-0.5*$B$5^2)*$B$8+$B$5*SQRT($B$8)*Y113)</f>
        <v>19.0923644917683</v>
      </c>
      <c r="Z57" s="32" t="n">
        <f aca="false">Y57*EXP(($B$4-0.5*$B$5^2)*$B$8+$B$5*SQRT($B$8)*Z113)</f>
        <v>17.0248810561098</v>
      </c>
      <c r="AA57" s="32" t="n">
        <f aca="false">Z57*EXP(($B$4-0.5*$B$5^2)*$B$8+$B$5*SQRT($B$8)*AA113)</f>
        <v>18.5689981937132</v>
      </c>
      <c r="AB57" s="32" t="n">
        <f aca="false">AA57*EXP(($B$4-0.5*$B$5^2)*$B$8+$B$5*SQRT($B$8)*AB113)</f>
        <v>20.0552767580481</v>
      </c>
      <c r="AC57" s="32" t="n">
        <f aca="false">AB57*EXP(($B$4-0.5*$B$5^2)*$B$8+$B$5*SQRT($B$8)*AC113)</f>
        <v>22.6082419630412</v>
      </c>
      <c r="AD57" s="32" t="n">
        <f aca="false">AC57*EXP(($B$4-0.5*$B$5^2)*$B$8+$B$5*SQRT($B$8)*AD113)</f>
        <v>20.0958751847105</v>
      </c>
      <c r="AE57" s="32" t="n">
        <f aca="false">AD57*EXP(($B$4-0.5*$B$5^2)*$B$8+$B$5*SQRT($B$8)*AE113)</f>
        <v>22.6227527679687</v>
      </c>
      <c r="AF57" s="32" t="n">
        <f aca="false">AE57*EXP(($B$4-0.5*$B$5^2)*$B$8+$B$5*SQRT($B$8)*AF113)</f>
        <v>23.8467729726604</v>
      </c>
      <c r="AG57" s="32" t="n">
        <f aca="false">AF57*EXP(($B$4-0.5*$B$5^2)*$B$8+$B$5*SQRT($B$8)*AG113)</f>
        <v>28.9281166356305</v>
      </c>
      <c r="AH57" s="32" t="n">
        <f aca="false">AG57*EXP(($B$4-0.5*$B$5^2)*$B$8+$B$5*SQRT($B$8)*AH113)</f>
        <v>25.2215258828782</v>
      </c>
      <c r="AI57" s="32" t="n">
        <f aca="false">AH57*EXP(($B$4-0.5*$B$5^2)*$B$8+$B$5*SQRT($B$8)*AI113)</f>
        <v>25.8278847312424</v>
      </c>
      <c r="AJ57" s="32" t="n">
        <f aca="false">AI57*EXP(($B$4-0.5*$B$5^2)*$B$8+$B$5*SQRT($B$8)*AJ113)</f>
        <v>25.0487315583626</v>
      </c>
      <c r="AK57" s="32" t="n">
        <f aca="false">AJ57*EXP(($B$4-0.5*$B$5^2)*$B$8+$B$5*SQRT($B$8)*AK113)</f>
        <v>21.0362684633316</v>
      </c>
      <c r="AL57" s="32" t="n">
        <f aca="false">AK57*EXP(($B$4-0.5*$B$5^2)*$B$8+$B$5*SQRT($B$8)*AL113)</f>
        <v>19.4460495810312</v>
      </c>
      <c r="AM57" s="32" t="n">
        <f aca="false">AL57*EXP(($B$4-0.5*$B$5^2)*$B$8+$B$5*SQRT($B$8)*AM113)</f>
        <v>22.0011705777999</v>
      </c>
      <c r="AN57" s="32" t="n">
        <f aca="false">AM57*EXP(($B$4-0.5*$B$5^2)*$B$8+$B$5*SQRT($B$8)*AN113)</f>
        <v>20.8941446139292</v>
      </c>
      <c r="AO57" s="32" t="n">
        <f aca="false">AN57*EXP(($B$4-0.5*$B$5^2)*$B$8+$B$5*SQRT($B$8)*AO113)</f>
        <v>19.2983416212076</v>
      </c>
      <c r="AP57" s="32" t="n">
        <f aca="false">AO57*EXP(($B$4-0.5*$B$5^2)*$B$8+$B$5*SQRT($B$8)*AP113)</f>
        <v>21.22290457644</v>
      </c>
      <c r="AQ57" s="32" t="n">
        <f aca="false">AP57*EXP(($B$4-0.5*$B$5^2)*$B$8+$B$5*SQRT($B$8)*AQ113)</f>
        <v>23.6502581494066</v>
      </c>
      <c r="AR57" s="32" t="n">
        <f aca="false">AQ57*EXP(($B$4-0.5*$B$5^2)*$B$8+$B$5*SQRT($B$8)*AR113)</f>
        <v>26.3491889154906</v>
      </c>
      <c r="AS57" s="32" t="n">
        <f aca="false">AR57*EXP(($B$4-0.5*$B$5^2)*$B$8+$B$5*SQRT($B$8)*AS113)</f>
        <v>24.15828825819</v>
      </c>
      <c r="AT57" s="32" t="n">
        <f aca="false">AS57*EXP(($B$4-0.5*$B$5^2)*$B$8+$B$5*SQRT($B$8)*AT113)</f>
        <v>24.0006479248129</v>
      </c>
      <c r="AU57" s="32" t="n">
        <f aca="false">AT57*EXP(($B$4-0.5*$B$5^2)*$B$8+$B$5*SQRT($B$8)*AU113)</f>
        <v>26.8685711969181</v>
      </c>
      <c r="AV57" s="32" t="n">
        <f aca="false">AU57*EXP(($B$4-0.5*$B$5^2)*$B$8+$B$5*SQRT($B$8)*AV113)</f>
        <v>24.9983352300426</v>
      </c>
      <c r="AW57" s="32" t="n">
        <f aca="false">AV57*EXP(($B$4-0.5*$B$5^2)*$B$8+$B$5*SQRT($B$8)*AW113)</f>
        <v>23.0214606676829</v>
      </c>
      <c r="AX57" s="32" t="n">
        <f aca="false">AW57*EXP(($B$4-0.5*$B$5^2)*$B$8+$B$5*SQRT($B$8)*AX113)</f>
        <v>25.2063944787615</v>
      </c>
      <c r="AY57" s="32" t="n">
        <f aca="false">AX57*EXP(($B$4-0.5*$B$5^2)*$B$8+$B$5*SQRT($B$8)*AY113)</f>
        <v>29.9131637164745</v>
      </c>
      <c r="AZ57" s="32" t="n">
        <f aca="false">AY57*EXP(($B$4-0.5*$B$5^2)*$B$8+$B$5*SQRT($B$8)*AZ113)</f>
        <v>26.3570734789785</v>
      </c>
      <c r="BA57" s="32" t="n">
        <f aca="false">AZ57*EXP(($B$4-0.5*$B$5^2)*$B$8+$B$5*SQRT($B$8)*BA113)</f>
        <v>19.8183653818684</v>
      </c>
      <c r="BB57" s="32" t="n">
        <f aca="false">BA57*EXP(($B$4-0.5*$B$5^2)*$B$8+$B$5*SQRT($B$8)*BB113)</f>
        <v>16.9002938046394</v>
      </c>
      <c r="BC57" s="32" t="n">
        <f aca="false">BB57*EXP(($B$4-0.5*$B$5^2)*$B$8+$B$5*SQRT($B$8)*BC113)</f>
        <v>15.1210094568077</v>
      </c>
      <c r="BD57" s="32" t="n">
        <f aca="false">BC57*EXP(($B$4-0.5*$B$5^2)*$B$8+$B$5*SQRT($B$8)*BD113)</f>
        <v>14.8916274544689</v>
      </c>
      <c r="BE57" s="32" t="n">
        <f aca="false">BD57*EXP(($B$4-0.5*$B$5^2)*$B$8+$B$5*SQRT($B$8)*BE113)</f>
        <v>15.9294936896588</v>
      </c>
      <c r="BF57" s="32" t="n">
        <f aca="false">BE57*EXP(($B$4-0.5*$B$5^2)*$B$8+$B$5*SQRT($B$8)*BF113)</f>
        <v>15.672668440816</v>
      </c>
      <c r="BG57" s="32" t="n">
        <f aca="false">BF57*EXP(($B$4-0.5*$B$5^2)*$B$8+$B$5*SQRT($B$8)*BG113)</f>
        <v>14.511046235727</v>
      </c>
      <c r="BH57" s="32" t="n">
        <f aca="false">BG57*EXP(($B$4-0.5*$B$5^2)*$B$8+$B$5*SQRT($B$8)*BH113)</f>
        <v>14.7545419032148</v>
      </c>
      <c r="BI57" s="32" t="n">
        <f aca="false">BH57*EXP(($B$4-0.5*$B$5^2)*$B$8+$B$5*SQRT($B$8)*BI113)</f>
        <v>13.2746156491409</v>
      </c>
      <c r="BJ57" s="32" t="n">
        <f aca="false">BI57*EXP(($B$4-0.5*$B$5^2)*$B$8+$B$5*SQRT($B$8)*BJ113)</f>
        <v>13.2040457747924</v>
      </c>
    </row>
    <row r="58" customFormat="false" ht="15" hidden="false" customHeight="true" outlineLevel="0" collapsed="false">
      <c r="A58" s="6" t="s">
        <v>162</v>
      </c>
      <c r="B58" s="32" t="n">
        <f aca="false">$B$3</f>
        <v>11.5</v>
      </c>
      <c r="C58" s="32" t="n">
        <f aca="false">B58*EXP(($B$4-0.5*$B$5^2)*$B$8+$B$5*SQRT($B$8)*C114)</f>
        <v>10.7165133382218</v>
      </c>
      <c r="D58" s="32" t="n">
        <f aca="false">C58*EXP(($B$4-0.5*$B$5^2)*$B$8+$B$5*SQRT($B$8)*D114)</f>
        <v>14.3769599911984</v>
      </c>
      <c r="E58" s="32" t="n">
        <f aca="false">D58*EXP(($B$4-0.5*$B$5^2)*$B$8+$B$5*SQRT($B$8)*E114)</f>
        <v>15.7217059423458</v>
      </c>
      <c r="F58" s="32" t="n">
        <f aca="false">E58*EXP(($B$4-0.5*$B$5^2)*$B$8+$B$5*SQRT($B$8)*F114)</f>
        <v>14.3429820341343</v>
      </c>
      <c r="G58" s="32" t="n">
        <f aca="false">F58*EXP(($B$4-0.5*$B$5^2)*$B$8+$B$5*SQRT($B$8)*G114)</f>
        <v>12.8547987846043</v>
      </c>
      <c r="H58" s="32" t="n">
        <f aca="false">G58*EXP(($B$4-0.5*$B$5^2)*$B$8+$B$5*SQRT($B$8)*H114)</f>
        <v>12.2492806865515</v>
      </c>
      <c r="I58" s="32" t="n">
        <f aca="false">H58*EXP(($B$4-0.5*$B$5^2)*$B$8+$B$5*SQRT($B$8)*I114)</f>
        <v>10.2251130167232</v>
      </c>
      <c r="J58" s="32" t="n">
        <f aca="false">I58*EXP(($B$4-0.5*$B$5^2)*$B$8+$B$5*SQRT($B$8)*J114)</f>
        <v>9.43598619443259</v>
      </c>
      <c r="K58" s="32" t="n">
        <f aca="false">J58*EXP(($B$4-0.5*$B$5^2)*$B$8+$B$5*SQRT($B$8)*K114)</f>
        <v>8.70037733387993</v>
      </c>
      <c r="L58" s="32" t="n">
        <f aca="false">K58*EXP(($B$4-0.5*$B$5^2)*$B$8+$B$5*SQRT($B$8)*L114)</f>
        <v>9.58449475140581</v>
      </c>
      <c r="M58" s="32" t="n">
        <f aca="false">L58*EXP(($B$4-0.5*$B$5^2)*$B$8+$B$5*SQRT($B$8)*M114)</f>
        <v>9.14462930673976</v>
      </c>
      <c r="N58" s="32" t="n">
        <f aca="false">M58*EXP(($B$4-0.5*$B$5^2)*$B$8+$B$5*SQRT($B$8)*N114)</f>
        <v>8.38348137614656</v>
      </c>
      <c r="O58" s="32" t="n">
        <f aca="false">N58*EXP(($B$4-0.5*$B$5^2)*$B$8+$B$5*SQRT($B$8)*O114)</f>
        <v>7.23576039569479</v>
      </c>
      <c r="P58" s="32" t="n">
        <f aca="false">O58*EXP(($B$4-0.5*$B$5^2)*$B$8+$B$5*SQRT($B$8)*P114)</f>
        <v>6.35841371301053</v>
      </c>
      <c r="Q58" s="32" t="n">
        <f aca="false">P58*EXP(($B$4-0.5*$B$5^2)*$B$8+$B$5*SQRT($B$8)*Q114)</f>
        <v>6.31114152122784</v>
      </c>
      <c r="R58" s="32" t="n">
        <f aca="false">Q58*EXP(($B$4-0.5*$B$5^2)*$B$8+$B$5*SQRT($B$8)*R114)</f>
        <v>6.16281906255048</v>
      </c>
      <c r="S58" s="32" t="n">
        <f aca="false">R58*EXP(($B$4-0.5*$B$5^2)*$B$8+$B$5*SQRT($B$8)*S114)</f>
        <v>6.97808463301269</v>
      </c>
      <c r="T58" s="32" t="n">
        <f aca="false">S58*EXP(($B$4-0.5*$B$5^2)*$B$8+$B$5*SQRT($B$8)*T114)</f>
        <v>6.51155101959498</v>
      </c>
      <c r="U58" s="32" t="n">
        <f aca="false">T58*EXP(($B$4-0.5*$B$5^2)*$B$8+$B$5*SQRT($B$8)*U114)</f>
        <v>7.31248535359799</v>
      </c>
      <c r="V58" s="32" t="n">
        <f aca="false">U58*EXP(($B$4-0.5*$B$5^2)*$B$8+$B$5*SQRT($B$8)*V114)</f>
        <v>7.52029785798003</v>
      </c>
      <c r="W58" s="32" t="n">
        <f aca="false">V58*EXP(($B$4-0.5*$B$5^2)*$B$8+$B$5*SQRT($B$8)*W114)</f>
        <v>7.51509672252708</v>
      </c>
      <c r="X58" s="32" t="n">
        <f aca="false">W58*EXP(($B$4-0.5*$B$5^2)*$B$8+$B$5*SQRT($B$8)*X114)</f>
        <v>6.0280676855428</v>
      </c>
      <c r="Y58" s="32" t="n">
        <f aca="false">X58*EXP(($B$4-0.5*$B$5^2)*$B$8+$B$5*SQRT($B$8)*Y114)</f>
        <v>5.23165798521873</v>
      </c>
      <c r="Z58" s="32" t="n">
        <f aca="false">Y58*EXP(($B$4-0.5*$B$5^2)*$B$8+$B$5*SQRT($B$8)*Z114)</f>
        <v>5.67390218601991</v>
      </c>
      <c r="AA58" s="32" t="n">
        <f aca="false">Z58*EXP(($B$4-0.5*$B$5^2)*$B$8+$B$5*SQRT($B$8)*AA114)</f>
        <v>6.61294956451798</v>
      </c>
      <c r="AB58" s="32" t="n">
        <f aca="false">AA58*EXP(($B$4-0.5*$B$5^2)*$B$8+$B$5*SQRT($B$8)*AB114)</f>
        <v>6.76317984365216</v>
      </c>
      <c r="AC58" s="32" t="n">
        <f aca="false">AB58*EXP(($B$4-0.5*$B$5^2)*$B$8+$B$5*SQRT($B$8)*AC114)</f>
        <v>7.35188287430678</v>
      </c>
      <c r="AD58" s="32" t="n">
        <f aca="false">AC58*EXP(($B$4-0.5*$B$5^2)*$B$8+$B$5*SQRT($B$8)*AD114)</f>
        <v>7.02902080215497</v>
      </c>
      <c r="AE58" s="32" t="n">
        <f aca="false">AD58*EXP(($B$4-0.5*$B$5^2)*$B$8+$B$5*SQRT($B$8)*AE114)</f>
        <v>6.74720374008516</v>
      </c>
      <c r="AF58" s="32" t="n">
        <f aca="false">AE58*EXP(($B$4-0.5*$B$5^2)*$B$8+$B$5*SQRT($B$8)*AF114)</f>
        <v>6.2727829737199</v>
      </c>
      <c r="AG58" s="32" t="n">
        <f aca="false">AF58*EXP(($B$4-0.5*$B$5^2)*$B$8+$B$5*SQRT($B$8)*AG114)</f>
        <v>6.97936453462546</v>
      </c>
      <c r="AH58" s="32" t="n">
        <f aca="false">AG58*EXP(($B$4-0.5*$B$5^2)*$B$8+$B$5*SQRT($B$8)*AH114)</f>
        <v>7.24548292087299</v>
      </c>
      <c r="AI58" s="32" t="n">
        <f aca="false">AH58*EXP(($B$4-0.5*$B$5^2)*$B$8+$B$5*SQRT($B$8)*AI114)</f>
        <v>7.06043969680193</v>
      </c>
      <c r="AJ58" s="32" t="n">
        <f aca="false">AI58*EXP(($B$4-0.5*$B$5^2)*$B$8+$B$5*SQRT($B$8)*AJ114)</f>
        <v>6.80937682433658</v>
      </c>
      <c r="AK58" s="32" t="n">
        <f aca="false">AJ58*EXP(($B$4-0.5*$B$5^2)*$B$8+$B$5*SQRT($B$8)*AK114)</f>
        <v>7.23669070717028</v>
      </c>
      <c r="AL58" s="32" t="n">
        <f aca="false">AK58*EXP(($B$4-0.5*$B$5^2)*$B$8+$B$5*SQRT($B$8)*AL114)</f>
        <v>7.49641828723446</v>
      </c>
      <c r="AM58" s="32" t="n">
        <f aca="false">AL58*EXP(($B$4-0.5*$B$5^2)*$B$8+$B$5*SQRT($B$8)*AM114)</f>
        <v>6.84124599074676</v>
      </c>
      <c r="AN58" s="32" t="n">
        <f aca="false">AM58*EXP(($B$4-0.5*$B$5^2)*$B$8+$B$5*SQRT($B$8)*AN114)</f>
        <v>8.25669409403503</v>
      </c>
      <c r="AO58" s="32" t="n">
        <f aca="false">AN58*EXP(($B$4-0.5*$B$5^2)*$B$8+$B$5*SQRT($B$8)*AO114)</f>
        <v>8.49124921812448</v>
      </c>
      <c r="AP58" s="32" t="n">
        <f aca="false">AO58*EXP(($B$4-0.5*$B$5^2)*$B$8+$B$5*SQRT($B$8)*AP114)</f>
        <v>8.49945732812217</v>
      </c>
      <c r="AQ58" s="32" t="n">
        <f aca="false">AP58*EXP(($B$4-0.5*$B$5^2)*$B$8+$B$5*SQRT($B$8)*AQ114)</f>
        <v>9.99287288970836</v>
      </c>
      <c r="AR58" s="32" t="n">
        <f aca="false">AQ58*EXP(($B$4-0.5*$B$5^2)*$B$8+$B$5*SQRT($B$8)*AR114)</f>
        <v>11.1788089435529</v>
      </c>
      <c r="AS58" s="32" t="n">
        <f aca="false">AR58*EXP(($B$4-0.5*$B$5^2)*$B$8+$B$5*SQRT($B$8)*AS114)</f>
        <v>11.069426438646</v>
      </c>
      <c r="AT58" s="32" t="n">
        <f aca="false">AS58*EXP(($B$4-0.5*$B$5^2)*$B$8+$B$5*SQRT($B$8)*AT114)</f>
        <v>11.7376230228603</v>
      </c>
      <c r="AU58" s="32" t="n">
        <f aca="false">AT58*EXP(($B$4-0.5*$B$5^2)*$B$8+$B$5*SQRT($B$8)*AU114)</f>
        <v>10.4358089481794</v>
      </c>
      <c r="AV58" s="32" t="n">
        <f aca="false">AU58*EXP(($B$4-0.5*$B$5^2)*$B$8+$B$5*SQRT($B$8)*AV114)</f>
        <v>9.7255988718752</v>
      </c>
      <c r="AW58" s="32" t="n">
        <f aca="false">AV58*EXP(($B$4-0.5*$B$5^2)*$B$8+$B$5*SQRT($B$8)*AW114)</f>
        <v>7.58845164118854</v>
      </c>
      <c r="AX58" s="32" t="n">
        <f aca="false">AW58*EXP(($B$4-0.5*$B$5^2)*$B$8+$B$5*SQRT($B$8)*AX114)</f>
        <v>8.67386334785967</v>
      </c>
      <c r="AY58" s="32" t="n">
        <f aca="false">AX58*EXP(($B$4-0.5*$B$5^2)*$B$8+$B$5*SQRT($B$8)*AY114)</f>
        <v>7.04192639407532</v>
      </c>
      <c r="AZ58" s="32" t="n">
        <f aca="false">AY58*EXP(($B$4-0.5*$B$5^2)*$B$8+$B$5*SQRT($B$8)*AZ114)</f>
        <v>7.5869675437676</v>
      </c>
      <c r="BA58" s="32" t="n">
        <f aca="false">AZ58*EXP(($B$4-0.5*$B$5^2)*$B$8+$B$5*SQRT($B$8)*BA114)</f>
        <v>6.92491830685047</v>
      </c>
      <c r="BB58" s="32" t="n">
        <f aca="false">BA58*EXP(($B$4-0.5*$B$5^2)*$B$8+$B$5*SQRT($B$8)*BB114)</f>
        <v>6.21865178315069</v>
      </c>
      <c r="BC58" s="32" t="n">
        <f aca="false">BB58*EXP(($B$4-0.5*$B$5^2)*$B$8+$B$5*SQRT($B$8)*BC114)</f>
        <v>6.08590584380089</v>
      </c>
      <c r="BD58" s="32" t="n">
        <f aca="false">BC58*EXP(($B$4-0.5*$B$5^2)*$B$8+$B$5*SQRT($B$8)*BD114)</f>
        <v>6.26523905206478</v>
      </c>
      <c r="BE58" s="32" t="n">
        <f aca="false">BD58*EXP(($B$4-0.5*$B$5^2)*$B$8+$B$5*SQRT($B$8)*BE114)</f>
        <v>6.69914147912988</v>
      </c>
      <c r="BF58" s="32" t="n">
        <f aca="false">BE58*EXP(($B$4-0.5*$B$5^2)*$B$8+$B$5*SQRT($B$8)*BF114)</f>
        <v>8.13469244167053</v>
      </c>
      <c r="BG58" s="32" t="n">
        <f aca="false">BF58*EXP(($B$4-0.5*$B$5^2)*$B$8+$B$5*SQRT($B$8)*BG114)</f>
        <v>8.45952753516643</v>
      </c>
      <c r="BH58" s="32" t="n">
        <f aca="false">BG58*EXP(($B$4-0.5*$B$5^2)*$B$8+$B$5*SQRT($B$8)*BH114)</f>
        <v>9.31637946713354</v>
      </c>
      <c r="BI58" s="32" t="n">
        <f aca="false">BH58*EXP(($B$4-0.5*$B$5^2)*$B$8+$B$5*SQRT($B$8)*BI114)</f>
        <v>8.72278502404174</v>
      </c>
      <c r="BJ58" s="32" t="n">
        <f aca="false">BI58*EXP(($B$4-0.5*$B$5^2)*$B$8+$B$5*SQRT($B$8)*BJ114)</f>
        <v>9.43143259094974</v>
      </c>
    </row>
    <row r="59" customFormat="false" ht="15" hidden="false" customHeight="true" outlineLevel="0" collapsed="false">
      <c r="A59" s="6" t="s">
        <v>163</v>
      </c>
      <c r="B59" s="32" t="n">
        <f aca="false">$B$3</f>
        <v>11.5</v>
      </c>
      <c r="C59" s="32" t="n">
        <f aca="false">B59*EXP(($B$4-0.5*$B$5^2)*$B$8+$B$5*SQRT($B$8)*C115)</f>
        <v>11.6928407831571</v>
      </c>
      <c r="D59" s="32" t="n">
        <f aca="false">C59*EXP(($B$4-0.5*$B$5^2)*$B$8+$B$5*SQRT($B$8)*D115)</f>
        <v>11.1115344962831</v>
      </c>
      <c r="E59" s="32" t="n">
        <f aca="false">D59*EXP(($B$4-0.5*$B$5^2)*$B$8+$B$5*SQRT($B$8)*E115)</f>
        <v>10.9931437095735</v>
      </c>
      <c r="F59" s="32" t="n">
        <f aca="false">E59*EXP(($B$4-0.5*$B$5^2)*$B$8+$B$5*SQRT($B$8)*F115)</f>
        <v>10.9165634160619</v>
      </c>
      <c r="G59" s="32" t="n">
        <f aca="false">F59*EXP(($B$4-0.5*$B$5^2)*$B$8+$B$5*SQRT($B$8)*G115)</f>
        <v>11.1458028922779</v>
      </c>
      <c r="H59" s="32" t="n">
        <f aca="false">G59*EXP(($B$4-0.5*$B$5^2)*$B$8+$B$5*SQRT($B$8)*H115)</f>
        <v>11.6453958918165</v>
      </c>
      <c r="I59" s="32" t="n">
        <f aca="false">H59*EXP(($B$4-0.5*$B$5^2)*$B$8+$B$5*SQRT($B$8)*I115)</f>
        <v>11.0111021212722</v>
      </c>
      <c r="J59" s="32" t="n">
        <f aca="false">I59*EXP(($B$4-0.5*$B$5^2)*$B$8+$B$5*SQRT($B$8)*J115)</f>
        <v>10.1498651753829</v>
      </c>
      <c r="K59" s="32" t="n">
        <f aca="false">J59*EXP(($B$4-0.5*$B$5^2)*$B$8+$B$5*SQRT($B$8)*K115)</f>
        <v>11.0151560125795</v>
      </c>
      <c r="L59" s="32" t="n">
        <f aca="false">K59*EXP(($B$4-0.5*$B$5^2)*$B$8+$B$5*SQRT($B$8)*L115)</f>
        <v>9.14294931722011</v>
      </c>
      <c r="M59" s="32" t="n">
        <f aca="false">L59*EXP(($B$4-0.5*$B$5^2)*$B$8+$B$5*SQRT($B$8)*M115)</f>
        <v>8.54190922106585</v>
      </c>
      <c r="N59" s="32" t="n">
        <f aca="false">M59*EXP(($B$4-0.5*$B$5^2)*$B$8+$B$5*SQRT($B$8)*N115)</f>
        <v>10.1261178030994</v>
      </c>
      <c r="O59" s="32" t="n">
        <f aca="false">N59*EXP(($B$4-0.5*$B$5^2)*$B$8+$B$5*SQRT($B$8)*O115)</f>
        <v>7.52299570604978</v>
      </c>
      <c r="P59" s="32" t="n">
        <f aca="false">O59*EXP(($B$4-0.5*$B$5^2)*$B$8+$B$5*SQRT($B$8)*P115)</f>
        <v>6.97097899929279</v>
      </c>
      <c r="Q59" s="32" t="n">
        <f aca="false">P59*EXP(($B$4-0.5*$B$5^2)*$B$8+$B$5*SQRT($B$8)*Q115)</f>
        <v>7.51583994247121</v>
      </c>
      <c r="R59" s="32" t="n">
        <f aca="false">Q59*EXP(($B$4-0.5*$B$5^2)*$B$8+$B$5*SQRT($B$8)*R115)</f>
        <v>6.27011633068606</v>
      </c>
      <c r="S59" s="32" t="n">
        <f aca="false">R59*EXP(($B$4-0.5*$B$5^2)*$B$8+$B$5*SQRT($B$8)*S115)</f>
        <v>8.33629443077682</v>
      </c>
      <c r="T59" s="32" t="n">
        <f aca="false">S59*EXP(($B$4-0.5*$B$5^2)*$B$8+$B$5*SQRT($B$8)*T115)</f>
        <v>6.27451709909684</v>
      </c>
      <c r="U59" s="32" t="n">
        <f aca="false">T59*EXP(($B$4-0.5*$B$5^2)*$B$8+$B$5*SQRT($B$8)*U115)</f>
        <v>7.34411130934524</v>
      </c>
      <c r="V59" s="32" t="n">
        <f aca="false">U59*EXP(($B$4-0.5*$B$5^2)*$B$8+$B$5*SQRT($B$8)*V115)</f>
        <v>8.7106851755297</v>
      </c>
      <c r="W59" s="32" t="n">
        <f aca="false">V59*EXP(($B$4-0.5*$B$5^2)*$B$8+$B$5*SQRT($B$8)*W115)</f>
        <v>9.63004418437708</v>
      </c>
      <c r="X59" s="32" t="n">
        <f aca="false">W59*EXP(($B$4-0.5*$B$5^2)*$B$8+$B$5*SQRT($B$8)*X115)</f>
        <v>9.39706407102837</v>
      </c>
      <c r="Y59" s="32" t="n">
        <f aca="false">X59*EXP(($B$4-0.5*$B$5^2)*$B$8+$B$5*SQRT($B$8)*Y115)</f>
        <v>9.7707691755376</v>
      </c>
      <c r="Z59" s="32" t="n">
        <f aca="false">Y59*EXP(($B$4-0.5*$B$5^2)*$B$8+$B$5*SQRT($B$8)*Z115)</f>
        <v>8.85326785004077</v>
      </c>
      <c r="AA59" s="32" t="n">
        <f aca="false">Z59*EXP(($B$4-0.5*$B$5^2)*$B$8+$B$5*SQRT($B$8)*AA115)</f>
        <v>9.6734346252824</v>
      </c>
      <c r="AB59" s="32" t="n">
        <f aca="false">AA59*EXP(($B$4-0.5*$B$5^2)*$B$8+$B$5*SQRT($B$8)*AB115)</f>
        <v>8.5536216499084</v>
      </c>
      <c r="AC59" s="32" t="n">
        <f aca="false">AB59*EXP(($B$4-0.5*$B$5^2)*$B$8+$B$5*SQRT($B$8)*AC115)</f>
        <v>8.29894516982229</v>
      </c>
      <c r="AD59" s="32" t="n">
        <f aca="false">AC59*EXP(($B$4-0.5*$B$5^2)*$B$8+$B$5*SQRT($B$8)*AD115)</f>
        <v>9.25561315902225</v>
      </c>
      <c r="AE59" s="32" t="n">
        <f aca="false">AD59*EXP(($B$4-0.5*$B$5^2)*$B$8+$B$5*SQRT($B$8)*AE115)</f>
        <v>8.18916284891669</v>
      </c>
      <c r="AF59" s="32" t="n">
        <f aca="false">AE59*EXP(($B$4-0.5*$B$5^2)*$B$8+$B$5*SQRT($B$8)*AF115)</f>
        <v>7.86694133904369</v>
      </c>
      <c r="AG59" s="32" t="n">
        <f aca="false">AF59*EXP(($B$4-0.5*$B$5^2)*$B$8+$B$5*SQRT($B$8)*AG115)</f>
        <v>8.00851451630268</v>
      </c>
      <c r="AH59" s="32" t="n">
        <f aca="false">AG59*EXP(($B$4-0.5*$B$5^2)*$B$8+$B$5*SQRT($B$8)*AH115)</f>
        <v>6.91112480371319</v>
      </c>
      <c r="AI59" s="32" t="n">
        <f aca="false">AH59*EXP(($B$4-0.5*$B$5^2)*$B$8+$B$5*SQRT($B$8)*AI115)</f>
        <v>7.85128111229767</v>
      </c>
      <c r="AJ59" s="32" t="n">
        <f aca="false">AI59*EXP(($B$4-0.5*$B$5^2)*$B$8+$B$5*SQRT($B$8)*AJ115)</f>
        <v>8.14883625798097</v>
      </c>
      <c r="AK59" s="32" t="n">
        <f aca="false">AJ59*EXP(($B$4-0.5*$B$5^2)*$B$8+$B$5*SQRT($B$8)*AK115)</f>
        <v>6.89941620567096</v>
      </c>
      <c r="AL59" s="32" t="n">
        <f aca="false">AK59*EXP(($B$4-0.5*$B$5^2)*$B$8+$B$5*SQRT($B$8)*AL115)</f>
        <v>6.86270112132132</v>
      </c>
      <c r="AM59" s="32" t="n">
        <f aca="false">AL59*EXP(($B$4-0.5*$B$5^2)*$B$8+$B$5*SQRT($B$8)*AM115)</f>
        <v>6.30199459754024</v>
      </c>
      <c r="AN59" s="32" t="n">
        <f aca="false">AM59*EXP(($B$4-0.5*$B$5^2)*$B$8+$B$5*SQRT($B$8)*AN115)</f>
        <v>5.86235272330077</v>
      </c>
      <c r="AO59" s="32" t="n">
        <f aca="false">AN59*EXP(($B$4-0.5*$B$5^2)*$B$8+$B$5*SQRT($B$8)*AO115)</f>
        <v>5.91083033299602</v>
      </c>
      <c r="AP59" s="32" t="n">
        <f aca="false">AO59*EXP(($B$4-0.5*$B$5^2)*$B$8+$B$5*SQRT($B$8)*AP115)</f>
        <v>5.46712201471911</v>
      </c>
      <c r="AQ59" s="32" t="n">
        <f aca="false">AP59*EXP(($B$4-0.5*$B$5^2)*$B$8+$B$5*SQRT($B$8)*AQ115)</f>
        <v>6.07615808893655</v>
      </c>
      <c r="AR59" s="32" t="n">
        <f aca="false">AQ59*EXP(($B$4-0.5*$B$5^2)*$B$8+$B$5*SQRT($B$8)*AR115)</f>
        <v>5.62314243640402</v>
      </c>
      <c r="AS59" s="32" t="n">
        <f aca="false">AR59*EXP(($B$4-0.5*$B$5^2)*$B$8+$B$5*SQRT($B$8)*AS115)</f>
        <v>6.2613606107857</v>
      </c>
      <c r="AT59" s="32" t="n">
        <f aca="false">AS59*EXP(($B$4-0.5*$B$5^2)*$B$8+$B$5*SQRT($B$8)*AT115)</f>
        <v>6.23023415230194</v>
      </c>
      <c r="AU59" s="32" t="n">
        <f aca="false">AT59*EXP(($B$4-0.5*$B$5^2)*$B$8+$B$5*SQRT($B$8)*AU115)</f>
        <v>6.84217358762441</v>
      </c>
      <c r="AV59" s="32" t="n">
        <f aca="false">AU59*EXP(($B$4-0.5*$B$5^2)*$B$8+$B$5*SQRT($B$8)*AV115)</f>
        <v>6.44651438166878</v>
      </c>
      <c r="AW59" s="32" t="n">
        <f aca="false">AV59*EXP(($B$4-0.5*$B$5^2)*$B$8+$B$5*SQRT($B$8)*AW115)</f>
        <v>6.0978017605904</v>
      </c>
      <c r="AX59" s="32" t="n">
        <f aca="false">AW59*EXP(($B$4-0.5*$B$5^2)*$B$8+$B$5*SQRT($B$8)*AX115)</f>
        <v>5.37266219218919</v>
      </c>
      <c r="AY59" s="32" t="n">
        <f aca="false">AX59*EXP(($B$4-0.5*$B$5^2)*$B$8+$B$5*SQRT($B$8)*AY115)</f>
        <v>5.72328240939232</v>
      </c>
      <c r="AZ59" s="32" t="n">
        <f aca="false">AY59*EXP(($B$4-0.5*$B$5^2)*$B$8+$B$5*SQRT($B$8)*AZ115)</f>
        <v>6.34224026579105</v>
      </c>
      <c r="BA59" s="32" t="n">
        <f aca="false">AZ59*EXP(($B$4-0.5*$B$5^2)*$B$8+$B$5*SQRT($B$8)*BA115)</f>
        <v>8.00059891688794</v>
      </c>
      <c r="BB59" s="32" t="n">
        <f aca="false">BA59*EXP(($B$4-0.5*$B$5^2)*$B$8+$B$5*SQRT($B$8)*BB115)</f>
        <v>9.21561647584652</v>
      </c>
      <c r="BC59" s="32" t="n">
        <f aca="false">BB59*EXP(($B$4-0.5*$B$5^2)*$B$8+$B$5*SQRT($B$8)*BC115)</f>
        <v>9.46987998358648</v>
      </c>
      <c r="BD59" s="32" t="n">
        <f aca="false">BC59*EXP(($B$4-0.5*$B$5^2)*$B$8+$B$5*SQRT($B$8)*BD115)</f>
        <v>9.25154127427347</v>
      </c>
      <c r="BE59" s="32" t="n">
        <f aca="false">BD59*EXP(($B$4-0.5*$B$5^2)*$B$8+$B$5*SQRT($B$8)*BE115)</f>
        <v>9.65278295220375</v>
      </c>
      <c r="BF59" s="32" t="n">
        <f aca="false">BE59*EXP(($B$4-0.5*$B$5^2)*$B$8+$B$5*SQRT($B$8)*BF115)</f>
        <v>9.62169262835723</v>
      </c>
      <c r="BG59" s="32" t="n">
        <f aca="false">BF59*EXP(($B$4-0.5*$B$5^2)*$B$8+$B$5*SQRT($B$8)*BG115)</f>
        <v>11.2951698724638</v>
      </c>
      <c r="BH59" s="32" t="n">
        <f aca="false">BG59*EXP(($B$4-0.5*$B$5^2)*$B$8+$B$5*SQRT($B$8)*BH115)</f>
        <v>12.5251579103287</v>
      </c>
      <c r="BI59" s="32" t="n">
        <f aca="false">BH59*EXP(($B$4-0.5*$B$5^2)*$B$8+$B$5*SQRT($B$8)*BI115)</f>
        <v>11.4245678458168</v>
      </c>
      <c r="BJ59" s="32" t="n">
        <f aca="false">BI59*EXP(($B$4-0.5*$B$5^2)*$B$8+$B$5*SQRT($B$8)*BJ115)</f>
        <v>10.592562240007</v>
      </c>
    </row>
    <row r="60" customFormat="false" ht="15" hidden="false" customHeight="true" outlineLevel="0" collapsed="false">
      <c r="A60" s="6" t="s">
        <v>164</v>
      </c>
      <c r="B60" s="32" t="n">
        <f aca="false">$B$3</f>
        <v>11.5</v>
      </c>
      <c r="C60" s="32" t="n">
        <f aca="false">B60*EXP(($B$4-0.5*$B$5^2)*$B$8+$B$5*SQRT($B$8)*C116)</f>
        <v>13.358458921956</v>
      </c>
      <c r="D60" s="32" t="n">
        <f aca="false">C60*EXP(($B$4-0.5*$B$5^2)*$B$8+$B$5*SQRT($B$8)*D116)</f>
        <v>13.8150946034291</v>
      </c>
      <c r="E60" s="32" t="n">
        <f aca="false">D60*EXP(($B$4-0.5*$B$5^2)*$B$8+$B$5*SQRT($B$8)*E116)</f>
        <v>13.4658289896639</v>
      </c>
      <c r="F60" s="32" t="n">
        <f aca="false">E60*EXP(($B$4-0.5*$B$5^2)*$B$8+$B$5*SQRT($B$8)*F116)</f>
        <v>15.3345575182256</v>
      </c>
      <c r="G60" s="32" t="n">
        <f aca="false">F60*EXP(($B$4-0.5*$B$5^2)*$B$8+$B$5*SQRT($B$8)*G116)</f>
        <v>14.6935389734027</v>
      </c>
      <c r="H60" s="32" t="n">
        <f aca="false">G60*EXP(($B$4-0.5*$B$5^2)*$B$8+$B$5*SQRT($B$8)*H116)</f>
        <v>14.246825779948</v>
      </c>
      <c r="I60" s="32" t="n">
        <f aca="false">H60*EXP(($B$4-0.5*$B$5^2)*$B$8+$B$5*SQRT($B$8)*I116)</f>
        <v>13.5415382481611</v>
      </c>
      <c r="J60" s="32" t="n">
        <f aca="false">I60*EXP(($B$4-0.5*$B$5^2)*$B$8+$B$5*SQRT($B$8)*J116)</f>
        <v>10.9177491463404</v>
      </c>
      <c r="K60" s="32" t="n">
        <f aca="false">J60*EXP(($B$4-0.5*$B$5^2)*$B$8+$B$5*SQRT($B$8)*K116)</f>
        <v>12.001270326683</v>
      </c>
      <c r="L60" s="32" t="n">
        <f aca="false">K60*EXP(($B$4-0.5*$B$5^2)*$B$8+$B$5*SQRT($B$8)*L116)</f>
        <v>10.5086294952951</v>
      </c>
      <c r="M60" s="32" t="n">
        <f aca="false">L60*EXP(($B$4-0.5*$B$5^2)*$B$8+$B$5*SQRT($B$8)*M116)</f>
        <v>9.87128278418912</v>
      </c>
      <c r="N60" s="32" t="n">
        <f aca="false">M60*EXP(($B$4-0.5*$B$5^2)*$B$8+$B$5*SQRT($B$8)*N116)</f>
        <v>9.09610499747286</v>
      </c>
      <c r="O60" s="32" t="n">
        <f aca="false">N60*EXP(($B$4-0.5*$B$5^2)*$B$8+$B$5*SQRT($B$8)*O116)</f>
        <v>9.84940776560851</v>
      </c>
      <c r="P60" s="32" t="n">
        <f aca="false">O60*EXP(($B$4-0.5*$B$5^2)*$B$8+$B$5*SQRT($B$8)*P116)</f>
        <v>9.77379378175768</v>
      </c>
      <c r="Q60" s="32" t="n">
        <f aca="false">P60*EXP(($B$4-0.5*$B$5^2)*$B$8+$B$5*SQRT($B$8)*Q116)</f>
        <v>9.78854191258003</v>
      </c>
      <c r="R60" s="32" t="n">
        <f aca="false">Q60*EXP(($B$4-0.5*$B$5^2)*$B$8+$B$5*SQRT($B$8)*R116)</f>
        <v>8.14006551519103</v>
      </c>
      <c r="S60" s="32" t="n">
        <f aca="false">R60*EXP(($B$4-0.5*$B$5^2)*$B$8+$B$5*SQRT($B$8)*S116)</f>
        <v>8.06088500471263</v>
      </c>
      <c r="T60" s="32" t="n">
        <f aca="false">S60*EXP(($B$4-0.5*$B$5^2)*$B$8+$B$5*SQRT($B$8)*T116)</f>
        <v>6.85440403038848</v>
      </c>
      <c r="U60" s="32" t="n">
        <f aca="false">T60*EXP(($B$4-0.5*$B$5^2)*$B$8+$B$5*SQRT($B$8)*U116)</f>
        <v>7.08802320715594</v>
      </c>
      <c r="V60" s="32" t="n">
        <f aca="false">U60*EXP(($B$4-0.5*$B$5^2)*$B$8+$B$5*SQRT($B$8)*V116)</f>
        <v>7.37762227487975</v>
      </c>
      <c r="W60" s="32" t="n">
        <f aca="false">V60*EXP(($B$4-0.5*$B$5^2)*$B$8+$B$5*SQRT($B$8)*W116)</f>
        <v>7.36220606216565</v>
      </c>
      <c r="X60" s="32" t="n">
        <f aca="false">W60*EXP(($B$4-0.5*$B$5^2)*$B$8+$B$5*SQRT($B$8)*X116)</f>
        <v>9.21011288554061</v>
      </c>
      <c r="Y60" s="32" t="n">
        <f aca="false">X60*EXP(($B$4-0.5*$B$5^2)*$B$8+$B$5*SQRT($B$8)*Y116)</f>
        <v>9.75723260387971</v>
      </c>
      <c r="Z60" s="32" t="n">
        <f aca="false">Y60*EXP(($B$4-0.5*$B$5^2)*$B$8+$B$5*SQRT($B$8)*Z116)</f>
        <v>10.4143570454319</v>
      </c>
      <c r="AA60" s="32" t="n">
        <f aca="false">Z60*EXP(($B$4-0.5*$B$5^2)*$B$8+$B$5*SQRT($B$8)*AA116)</f>
        <v>10.5762727317698</v>
      </c>
      <c r="AB60" s="32" t="n">
        <f aca="false">AA60*EXP(($B$4-0.5*$B$5^2)*$B$8+$B$5*SQRT($B$8)*AB116)</f>
        <v>10.3530880863641</v>
      </c>
      <c r="AC60" s="32" t="n">
        <f aca="false">AB60*EXP(($B$4-0.5*$B$5^2)*$B$8+$B$5*SQRT($B$8)*AC116)</f>
        <v>11.5081952222372</v>
      </c>
      <c r="AD60" s="32" t="n">
        <f aca="false">AC60*EXP(($B$4-0.5*$B$5^2)*$B$8+$B$5*SQRT($B$8)*AD116)</f>
        <v>12.9837852727539</v>
      </c>
      <c r="AE60" s="32" t="n">
        <f aca="false">AD60*EXP(($B$4-0.5*$B$5^2)*$B$8+$B$5*SQRT($B$8)*AE116)</f>
        <v>11.2546925221084</v>
      </c>
      <c r="AF60" s="32" t="n">
        <f aca="false">AE60*EXP(($B$4-0.5*$B$5^2)*$B$8+$B$5*SQRT($B$8)*AF116)</f>
        <v>12.6325358271591</v>
      </c>
      <c r="AG60" s="32" t="n">
        <f aca="false">AF60*EXP(($B$4-0.5*$B$5^2)*$B$8+$B$5*SQRT($B$8)*AG116)</f>
        <v>13.3625630398385</v>
      </c>
      <c r="AH60" s="32" t="n">
        <f aca="false">AG60*EXP(($B$4-0.5*$B$5^2)*$B$8+$B$5*SQRT($B$8)*AH116)</f>
        <v>14.844941171176</v>
      </c>
      <c r="AI60" s="32" t="n">
        <f aca="false">AH60*EXP(($B$4-0.5*$B$5^2)*$B$8+$B$5*SQRT($B$8)*AI116)</f>
        <v>15.6209664714306</v>
      </c>
      <c r="AJ60" s="32" t="n">
        <f aca="false">AI60*EXP(($B$4-0.5*$B$5^2)*$B$8+$B$5*SQRT($B$8)*AJ116)</f>
        <v>13.6254393490342</v>
      </c>
      <c r="AK60" s="32" t="n">
        <f aca="false">AJ60*EXP(($B$4-0.5*$B$5^2)*$B$8+$B$5*SQRT($B$8)*AK116)</f>
        <v>11.9782243406468</v>
      </c>
      <c r="AL60" s="32" t="n">
        <f aca="false">AK60*EXP(($B$4-0.5*$B$5^2)*$B$8+$B$5*SQRT($B$8)*AL116)</f>
        <v>14.629767428644</v>
      </c>
      <c r="AM60" s="32" t="n">
        <f aca="false">AL60*EXP(($B$4-0.5*$B$5^2)*$B$8+$B$5*SQRT($B$8)*AM116)</f>
        <v>15.0377696429722</v>
      </c>
      <c r="AN60" s="32" t="n">
        <f aca="false">AM60*EXP(($B$4-0.5*$B$5^2)*$B$8+$B$5*SQRT($B$8)*AN116)</f>
        <v>12.8701881320285</v>
      </c>
      <c r="AO60" s="32" t="n">
        <f aca="false">AN60*EXP(($B$4-0.5*$B$5^2)*$B$8+$B$5*SQRT($B$8)*AO116)</f>
        <v>13.3687405342325</v>
      </c>
      <c r="AP60" s="32" t="n">
        <f aca="false">AO60*EXP(($B$4-0.5*$B$5^2)*$B$8+$B$5*SQRT($B$8)*AP116)</f>
        <v>12.8457387568925</v>
      </c>
      <c r="AQ60" s="32" t="n">
        <f aca="false">AP60*EXP(($B$4-0.5*$B$5^2)*$B$8+$B$5*SQRT($B$8)*AQ116)</f>
        <v>10.4919957347048</v>
      </c>
      <c r="AR60" s="32" t="n">
        <f aca="false">AQ60*EXP(($B$4-0.5*$B$5^2)*$B$8+$B$5*SQRT($B$8)*AR116)</f>
        <v>8.1596687862413</v>
      </c>
      <c r="AS60" s="32" t="n">
        <f aca="false">AR60*EXP(($B$4-0.5*$B$5^2)*$B$8+$B$5*SQRT($B$8)*AS116)</f>
        <v>6.8429110685151</v>
      </c>
      <c r="AT60" s="32" t="n">
        <f aca="false">AS60*EXP(($B$4-0.5*$B$5^2)*$B$8+$B$5*SQRT($B$8)*AT116)</f>
        <v>7.04870989968939</v>
      </c>
      <c r="AU60" s="32" t="n">
        <f aca="false">AT60*EXP(($B$4-0.5*$B$5^2)*$B$8+$B$5*SQRT($B$8)*AU116)</f>
        <v>7.01035202450045</v>
      </c>
      <c r="AV60" s="32" t="n">
        <f aca="false">AU60*EXP(($B$4-0.5*$B$5^2)*$B$8+$B$5*SQRT($B$8)*AV116)</f>
        <v>6.82009008034232</v>
      </c>
      <c r="AW60" s="32" t="n">
        <f aca="false">AV60*EXP(($B$4-0.5*$B$5^2)*$B$8+$B$5*SQRT($B$8)*AW116)</f>
        <v>7.03513977127584</v>
      </c>
      <c r="AX60" s="32" t="n">
        <f aca="false">AW60*EXP(($B$4-0.5*$B$5^2)*$B$8+$B$5*SQRT($B$8)*AX116)</f>
        <v>7.51331034022176</v>
      </c>
      <c r="AY60" s="32" t="n">
        <f aca="false">AX60*EXP(($B$4-0.5*$B$5^2)*$B$8+$B$5*SQRT($B$8)*AY116)</f>
        <v>5.96467763548813</v>
      </c>
      <c r="AZ60" s="32" t="n">
        <f aca="false">AY60*EXP(($B$4-0.5*$B$5^2)*$B$8+$B$5*SQRT($B$8)*AZ116)</f>
        <v>5.76979431190081</v>
      </c>
      <c r="BA60" s="32" t="n">
        <f aca="false">AZ60*EXP(($B$4-0.5*$B$5^2)*$B$8+$B$5*SQRT($B$8)*BA116)</f>
        <v>5.26791009198135</v>
      </c>
      <c r="BB60" s="32" t="n">
        <f aca="false">BA60*EXP(($B$4-0.5*$B$5^2)*$B$8+$B$5*SQRT($B$8)*BB116)</f>
        <v>4.60053751440409</v>
      </c>
      <c r="BC60" s="32" t="n">
        <f aca="false">BB60*EXP(($B$4-0.5*$B$5^2)*$B$8+$B$5*SQRT($B$8)*BC116)</f>
        <v>4.33171579619518</v>
      </c>
      <c r="BD60" s="32" t="n">
        <f aca="false">BC60*EXP(($B$4-0.5*$B$5^2)*$B$8+$B$5*SQRT($B$8)*BD116)</f>
        <v>4.27293840921458</v>
      </c>
      <c r="BE60" s="32" t="n">
        <f aca="false">BD60*EXP(($B$4-0.5*$B$5^2)*$B$8+$B$5*SQRT($B$8)*BE116)</f>
        <v>4.14913560510008</v>
      </c>
      <c r="BF60" s="32" t="n">
        <f aca="false">BE60*EXP(($B$4-0.5*$B$5^2)*$B$8+$B$5*SQRT($B$8)*BF116)</f>
        <v>3.53652534421992</v>
      </c>
      <c r="BG60" s="32" t="n">
        <f aca="false">BF60*EXP(($B$4-0.5*$B$5^2)*$B$8+$B$5*SQRT($B$8)*BG116)</f>
        <v>3.35335566378046</v>
      </c>
      <c r="BH60" s="32" t="n">
        <f aca="false">BG60*EXP(($B$4-0.5*$B$5^2)*$B$8+$B$5*SQRT($B$8)*BH116)</f>
        <v>4.1824956664261</v>
      </c>
      <c r="BI60" s="32" t="n">
        <f aca="false">BH60*EXP(($B$4-0.5*$B$5^2)*$B$8+$B$5*SQRT($B$8)*BI116)</f>
        <v>3.72491396543867</v>
      </c>
      <c r="BJ60" s="32" t="n">
        <f aca="false">BI60*EXP(($B$4-0.5*$B$5^2)*$B$8+$B$5*SQRT($B$8)*BJ116)</f>
        <v>3.09501310538577</v>
      </c>
    </row>
    <row r="62" customFormat="false" ht="15" hidden="false" customHeight="true" outlineLevel="0" collapsed="false">
      <c r="A62" s="16" t="s">
        <v>165</v>
      </c>
      <c r="B62" s="32" t="n">
        <f aca="false">PERCENTILE(B11:B60,0.05)</f>
        <v>11.5</v>
      </c>
      <c r="C62" s="32" t="n">
        <f aca="false">PERCENTILE(C11:C60,0.05)</f>
        <v>9.79985933961909</v>
      </c>
      <c r="D62" s="32" t="n">
        <f aca="false">PERCENTILE(D11:D60,0.05)</f>
        <v>9.43109586722513</v>
      </c>
      <c r="E62" s="32" t="n">
        <f aca="false">PERCENTILE(E11:E60,0.05)</f>
        <v>8.79380083879833</v>
      </c>
      <c r="F62" s="32" t="n">
        <f aca="false">PERCENTILE(F11:F60,0.05)</f>
        <v>8.51130222374003</v>
      </c>
      <c r="G62" s="32" t="n">
        <f aca="false">PERCENTILE(G11:G60,0.05)</f>
        <v>7.59282529029309</v>
      </c>
      <c r="H62" s="32" t="n">
        <f aca="false">PERCENTILE(H11:H60,0.05)</f>
        <v>7.0623352064831</v>
      </c>
      <c r="I62" s="32" t="n">
        <f aca="false">PERCENTILE(I11:I60,0.05)</f>
        <v>6.57983293680589</v>
      </c>
      <c r="J62" s="32" t="n">
        <f aca="false">PERCENTILE(J11:J60,0.05)</f>
        <v>6.92700056156738</v>
      </c>
      <c r="K62" s="32" t="n">
        <f aca="false">PERCENTILE(K11:K60,0.05)</f>
        <v>5.85967448676485</v>
      </c>
      <c r="L62" s="32" t="n">
        <f aca="false">PERCENTILE(L11:L60,0.05)</f>
        <v>5.73142601776922</v>
      </c>
      <c r="M62" s="32" t="n">
        <f aca="false">PERCENTILE(M11:M60,0.05)</f>
        <v>5.50163442615547</v>
      </c>
      <c r="N62" s="32" t="n">
        <f aca="false">PERCENTILE(N11:N60,0.05)</f>
        <v>5.62394634774239</v>
      </c>
      <c r="O62" s="32" t="n">
        <f aca="false">PERCENTILE(O11:O60,0.05)</f>
        <v>5.80004102116003</v>
      </c>
      <c r="P62" s="32" t="n">
        <f aca="false">PERCENTILE(P11:P60,0.05)</f>
        <v>5.62940684566405</v>
      </c>
      <c r="Q62" s="32" t="n">
        <f aca="false">PERCENTILE(Q11:Q60,0.05)</f>
        <v>6.1308431745148</v>
      </c>
      <c r="R62" s="32" t="n">
        <f aca="false">PERCENTILE(R11:R60,0.05)</f>
        <v>5.00146423128792</v>
      </c>
      <c r="S62" s="32" t="n">
        <f aca="false">PERCENTILE(S11:S60,0.05)</f>
        <v>5.11998386667149</v>
      </c>
      <c r="T62" s="32" t="n">
        <f aca="false">PERCENTILE(T11:T60,0.05)</f>
        <v>5.29511604195927</v>
      </c>
      <c r="U62" s="32" t="n">
        <f aca="false">PERCENTILE(U11:U60,0.05)</f>
        <v>5.05242545789931</v>
      </c>
      <c r="V62" s="32" t="n">
        <f aca="false">PERCENTILE(V11:V60,0.05)</f>
        <v>4.97433816291006</v>
      </c>
      <c r="W62" s="32" t="n">
        <f aca="false">PERCENTILE(W11:W60,0.05)</f>
        <v>4.55531256942796</v>
      </c>
      <c r="X62" s="32" t="n">
        <f aca="false">PERCENTILE(X11:X60,0.05)</f>
        <v>4.36095154272459</v>
      </c>
      <c r="Y62" s="32" t="n">
        <f aca="false">PERCENTILE(Y11:Y60,0.05)</f>
        <v>4.26179252317319</v>
      </c>
      <c r="Z62" s="32" t="n">
        <f aca="false">PERCENTILE(Z11:Z60,0.05)</f>
        <v>4.25638925891942</v>
      </c>
      <c r="AA62" s="32" t="n">
        <f aca="false">PERCENTILE(AA11:AA60,0.05)</f>
        <v>4.89601111276299</v>
      </c>
      <c r="AB62" s="32" t="n">
        <f aca="false">PERCENTILE(AB11:AB60,0.05)</f>
        <v>4.71618375985137</v>
      </c>
      <c r="AC62" s="32" t="n">
        <f aca="false">PERCENTILE(AC11:AC60,0.05)</f>
        <v>4.48809736541433</v>
      </c>
      <c r="AD62" s="32" t="n">
        <f aca="false">PERCENTILE(AD11:AD60,0.05)</f>
        <v>3.70064436639516</v>
      </c>
      <c r="AE62" s="32" t="n">
        <f aca="false">PERCENTILE(AE11:AE60,0.05)</f>
        <v>3.77930640469157</v>
      </c>
      <c r="AF62" s="32" t="n">
        <f aca="false">PERCENTILE(AF11:AF60,0.05)</f>
        <v>3.60857880672326</v>
      </c>
      <c r="AG62" s="32" t="n">
        <f aca="false">PERCENTILE(AG11:AG60,0.05)</f>
        <v>3.60492609172817</v>
      </c>
      <c r="AH62" s="32" t="n">
        <f aca="false">PERCENTILE(AH11:AH60,0.05)</f>
        <v>3.46221669764408</v>
      </c>
      <c r="AI62" s="32" t="n">
        <f aca="false">PERCENTILE(AI11:AI60,0.05)</f>
        <v>3.35692131663707</v>
      </c>
      <c r="AJ62" s="32" t="n">
        <f aca="false">PERCENTILE(AJ11:AJ60,0.05)</f>
        <v>3.53620317484947</v>
      </c>
      <c r="AK62" s="32" t="n">
        <f aca="false">PERCENTILE(AK11:AK60,0.05)</f>
        <v>3.68567325782878</v>
      </c>
      <c r="AL62" s="32" t="n">
        <f aca="false">PERCENTILE(AL11:AL60,0.05)</f>
        <v>3.88268581321016</v>
      </c>
      <c r="AM62" s="32" t="n">
        <f aca="false">PERCENTILE(AM11:AM60,0.05)</f>
        <v>3.98850229544728</v>
      </c>
      <c r="AN62" s="32" t="n">
        <f aca="false">PERCENTILE(AN11:AN60,0.05)</f>
        <v>3.62930013899987</v>
      </c>
      <c r="AO62" s="32" t="n">
        <f aca="false">PERCENTILE(AO11:AO60,0.05)</f>
        <v>3.69730165553089</v>
      </c>
      <c r="AP62" s="32" t="n">
        <f aca="false">PERCENTILE(AP11:AP60,0.05)</f>
        <v>3.69155877850278</v>
      </c>
      <c r="AQ62" s="32" t="n">
        <f aca="false">PERCENTILE(AQ11:AQ60,0.05)</f>
        <v>3.44276883236541</v>
      </c>
      <c r="AR62" s="32" t="n">
        <f aca="false">PERCENTILE(AR11:AR60,0.05)</f>
        <v>3.45404520688669</v>
      </c>
      <c r="AS62" s="32" t="n">
        <f aca="false">PERCENTILE(AS11:AS60,0.05)</f>
        <v>3.12929448636253</v>
      </c>
      <c r="AT62" s="32" t="n">
        <f aca="false">PERCENTILE(AT11:AT60,0.05)</f>
        <v>2.98116907015599</v>
      </c>
      <c r="AU62" s="32" t="n">
        <f aca="false">PERCENTILE(AU11:AU60,0.05)</f>
        <v>3.06958810464928</v>
      </c>
      <c r="AV62" s="32" t="n">
        <f aca="false">PERCENTILE(AV11:AV60,0.05)</f>
        <v>2.83564640287722</v>
      </c>
      <c r="AW62" s="32" t="n">
        <f aca="false">PERCENTILE(AW11:AW60,0.05)</f>
        <v>2.79779655415255</v>
      </c>
      <c r="AX62" s="32" t="n">
        <f aca="false">PERCENTILE(AX11:AX60,0.05)</f>
        <v>2.68397758017982</v>
      </c>
      <c r="AY62" s="32" t="n">
        <f aca="false">PERCENTILE(AY11:AY60,0.05)</f>
        <v>2.65563417030611</v>
      </c>
      <c r="AZ62" s="32" t="n">
        <f aca="false">PERCENTILE(AZ11:AZ60,0.05)</f>
        <v>2.31800387988984</v>
      </c>
      <c r="BA62" s="32" t="n">
        <f aca="false">PERCENTILE(BA11:BA60,0.05)</f>
        <v>2.4644058017887</v>
      </c>
      <c r="BB62" s="32" t="n">
        <f aca="false">PERCENTILE(BB11:BB60,0.05)</f>
        <v>2.41883044775703</v>
      </c>
      <c r="BC62" s="32" t="n">
        <f aca="false">PERCENTILE(BC11:BC60,0.05)</f>
        <v>2.33450346069096</v>
      </c>
      <c r="BD62" s="32" t="n">
        <f aca="false">PERCENTILE(BD11:BD60,0.05)</f>
        <v>2.30741795702782</v>
      </c>
      <c r="BE62" s="32" t="n">
        <f aca="false">PERCENTILE(BE11:BE60,0.05)</f>
        <v>2.29244768649828</v>
      </c>
      <c r="BF62" s="32" t="n">
        <f aca="false">PERCENTILE(BF11:BF60,0.05)</f>
        <v>2.17854781006179</v>
      </c>
      <c r="BG62" s="32" t="n">
        <f aca="false">PERCENTILE(BG11:BG60,0.05)</f>
        <v>2.29486641171906</v>
      </c>
      <c r="BH62" s="32" t="n">
        <f aca="false">PERCENTILE(BH11:BH60,0.05)</f>
        <v>2.20471994298465</v>
      </c>
      <c r="BI62" s="32" t="n">
        <f aca="false">PERCENTILE(BI11:BI60,0.05)</f>
        <v>2.16171037915978</v>
      </c>
      <c r="BJ62" s="32" t="n">
        <f aca="false">PERCENTILE(BJ11:BJ60,0.05)</f>
        <v>2.07440867894965</v>
      </c>
    </row>
    <row r="63" customFormat="false" ht="15" hidden="false" customHeight="true" outlineLevel="0" collapsed="false">
      <c r="A63" s="16" t="s">
        <v>92</v>
      </c>
      <c r="B63" s="32" t="n">
        <f aca="false">PERCENTILE(B11:B60,0.5)</f>
        <v>11.5</v>
      </c>
      <c r="C63" s="32" t="n">
        <f aca="false">PERCENTILE(C11:C60,0.5)</f>
        <v>11.7316959472618</v>
      </c>
      <c r="D63" s="32" t="n">
        <f aca="false">PERCENTILE(D11:D60,0.5)</f>
        <v>11.8584421437698</v>
      </c>
      <c r="E63" s="32" t="n">
        <f aca="false">PERCENTILE(E11:E60,0.5)</f>
        <v>11.6356207024849</v>
      </c>
      <c r="F63" s="32" t="n">
        <f aca="false">PERCENTILE(F11:F60,0.5)</f>
        <v>12.1774093618531</v>
      </c>
      <c r="G63" s="32" t="n">
        <f aca="false">PERCENTILE(G11:G60,0.5)</f>
        <v>11.6886806811015</v>
      </c>
      <c r="H63" s="32" t="n">
        <f aca="false">PERCENTILE(H11:H60,0.5)</f>
        <v>11.6172256360202</v>
      </c>
      <c r="I63" s="32" t="n">
        <f aca="false">PERCENTILE(I11:I60,0.5)</f>
        <v>11.3300699818112</v>
      </c>
      <c r="J63" s="32" t="n">
        <f aca="false">PERCENTILE(J11:J60,0.5)</f>
        <v>10.9723534473159</v>
      </c>
      <c r="K63" s="32" t="n">
        <f aca="false">PERCENTILE(K11:K60,0.5)</f>
        <v>10.8428833300403</v>
      </c>
      <c r="L63" s="32" t="n">
        <f aca="false">PERCENTILE(L11:L60,0.5)</f>
        <v>10.9668809448638</v>
      </c>
      <c r="M63" s="32" t="n">
        <f aca="false">PERCENTILE(M11:M60,0.5)</f>
        <v>10.6236419006575</v>
      </c>
      <c r="N63" s="32" t="n">
        <f aca="false">PERCENTILE(N11:N60,0.5)</f>
        <v>10.174548928264</v>
      </c>
      <c r="O63" s="32" t="n">
        <f aca="false">PERCENTILE(O11:O60,0.5)</f>
        <v>10.0250276656724</v>
      </c>
      <c r="P63" s="32" t="n">
        <f aca="false">PERCENTILE(P11:P60,0.5)</f>
        <v>9.52215077349985</v>
      </c>
      <c r="Q63" s="32" t="n">
        <f aca="false">PERCENTILE(Q11:Q60,0.5)</f>
        <v>10.1925203935246</v>
      </c>
      <c r="R63" s="32" t="n">
        <f aca="false">PERCENTILE(R11:R60,0.5)</f>
        <v>9.64000229623211</v>
      </c>
      <c r="S63" s="32" t="n">
        <f aca="false">PERCENTILE(S11:S60,0.5)</f>
        <v>10.0846538046478</v>
      </c>
      <c r="T63" s="32" t="n">
        <f aca="false">PERCENTILE(T11:T60,0.5)</f>
        <v>10.4292984639795</v>
      </c>
      <c r="U63" s="32" t="n">
        <f aca="false">PERCENTILE(U11:U60,0.5)</f>
        <v>11.5200911646468</v>
      </c>
      <c r="V63" s="32" t="n">
        <f aca="false">PERCENTILE(V11:V60,0.5)</f>
        <v>10.6012564552774</v>
      </c>
      <c r="W63" s="32" t="n">
        <f aca="false">PERCENTILE(W11:W60,0.5)</f>
        <v>10.274188892287</v>
      </c>
      <c r="X63" s="32" t="n">
        <f aca="false">PERCENTILE(X11:X60,0.5)</f>
        <v>9.83838377981065</v>
      </c>
      <c r="Y63" s="32" t="n">
        <f aca="false">PERCENTILE(Y11:Y60,0.5)</f>
        <v>9.98704246736268</v>
      </c>
      <c r="Z63" s="32" t="n">
        <f aca="false">PERCENTILE(Z11:Z60,0.5)</f>
        <v>10.5936043592415</v>
      </c>
      <c r="AA63" s="32" t="n">
        <f aca="false">PERCENTILE(AA11:AA60,0.5)</f>
        <v>10.7244629345156</v>
      </c>
      <c r="AB63" s="32" t="n">
        <f aca="false">PERCENTILE(AB11:AB60,0.5)</f>
        <v>10.5073268623321</v>
      </c>
      <c r="AC63" s="32" t="n">
        <f aca="false">PERCENTILE(AC11:AC60,0.5)</f>
        <v>11.1210968646856</v>
      </c>
      <c r="AD63" s="32" t="n">
        <f aca="false">PERCENTILE(AD11:AD60,0.5)</f>
        <v>10.7134434204096</v>
      </c>
      <c r="AE63" s="32" t="n">
        <f aca="false">PERCENTILE(AE11:AE60,0.5)</f>
        <v>10.3988609691542</v>
      </c>
      <c r="AF63" s="32" t="n">
        <f aca="false">PERCENTILE(AF11:AF60,0.5)</f>
        <v>10.780747679848</v>
      </c>
      <c r="AG63" s="32" t="n">
        <f aca="false">PERCENTILE(AG11:AG60,0.5)</f>
        <v>10.8298102788879</v>
      </c>
      <c r="AH63" s="32" t="n">
        <f aca="false">PERCENTILE(AH11:AH60,0.5)</f>
        <v>10.6381140298294</v>
      </c>
      <c r="AI63" s="32" t="n">
        <f aca="false">PERCENTILE(AI11:AI60,0.5)</f>
        <v>11.3459859097752</v>
      </c>
      <c r="AJ63" s="32" t="n">
        <f aca="false">PERCENTILE(AJ11:AJ60,0.5)</f>
        <v>11.0117620793243</v>
      </c>
      <c r="AK63" s="32" t="n">
        <f aca="false">PERCENTILE(AK11:AK60,0.5)</f>
        <v>10.7336841099612</v>
      </c>
      <c r="AL63" s="32" t="n">
        <f aca="false">PERCENTILE(AL11:AL60,0.5)</f>
        <v>11.3732821555867</v>
      </c>
      <c r="AM63" s="32" t="n">
        <f aca="false">PERCENTILE(AM11:AM60,0.5)</f>
        <v>10.8779957793675</v>
      </c>
      <c r="AN63" s="32" t="n">
        <f aca="false">PERCENTILE(AN11:AN60,0.5)</f>
        <v>11.4353936300221</v>
      </c>
      <c r="AO63" s="32" t="n">
        <f aca="false">PERCENTILE(AO11:AO60,0.5)</f>
        <v>11.4300583639312</v>
      </c>
      <c r="AP63" s="32" t="n">
        <f aca="false">PERCENTILE(AP11:AP60,0.5)</f>
        <v>11.2302160113054</v>
      </c>
      <c r="AQ63" s="32" t="n">
        <f aca="false">PERCENTILE(AQ11:AQ60,0.5)</f>
        <v>10.7545234961805</v>
      </c>
      <c r="AR63" s="32" t="n">
        <f aca="false">PERCENTILE(AR11:AR60,0.5)</f>
        <v>10.9396102539635</v>
      </c>
      <c r="AS63" s="32" t="n">
        <f aca="false">PERCENTILE(AS11:AS60,0.5)</f>
        <v>10.9045427705922</v>
      </c>
      <c r="AT63" s="32" t="n">
        <f aca="false">PERCENTILE(AT11:AT60,0.5)</f>
        <v>10.4065100685545</v>
      </c>
      <c r="AU63" s="32" t="n">
        <f aca="false">PERCENTILE(AU11:AU60,0.5)</f>
        <v>10.7611367353881</v>
      </c>
      <c r="AV63" s="32" t="n">
        <f aca="false">PERCENTILE(AV11:AV60,0.5)</f>
        <v>11.1185981966267</v>
      </c>
      <c r="AW63" s="32" t="n">
        <f aca="false">PERCENTILE(AW11:AW60,0.5)</f>
        <v>10.9311980933412</v>
      </c>
      <c r="AX63" s="32" t="n">
        <f aca="false">PERCENTILE(AX11:AX60,0.5)</f>
        <v>10.7617205156768</v>
      </c>
      <c r="AY63" s="32" t="n">
        <f aca="false">PERCENTILE(AY11:AY60,0.5)</f>
        <v>11.5592190201401</v>
      </c>
      <c r="AZ63" s="32" t="n">
        <f aca="false">PERCENTILE(AZ11:AZ60,0.5)</f>
        <v>10.4857211452084</v>
      </c>
      <c r="BA63" s="32" t="n">
        <f aca="false">PERCENTILE(BA11:BA60,0.5)</f>
        <v>10.3821827032023</v>
      </c>
      <c r="BB63" s="32" t="n">
        <f aca="false">PERCENTILE(BB11:BB60,0.5)</f>
        <v>10.31516444145</v>
      </c>
      <c r="BC63" s="32" t="n">
        <f aca="false">PERCENTILE(BC11:BC60,0.5)</f>
        <v>9.62180405067671</v>
      </c>
      <c r="BD63" s="32" t="n">
        <f aca="false">PERCENTILE(BD11:BD60,0.5)</f>
        <v>9.33359488686174</v>
      </c>
      <c r="BE63" s="32" t="n">
        <f aca="false">PERCENTILE(BE11:BE60,0.5)</f>
        <v>9.51617375755051</v>
      </c>
      <c r="BF63" s="32" t="n">
        <f aca="false">PERCENTILE(BF11:BF60,0.5)</f>
        <v>9.64042789805252</v>
      </c>
      <c r="BG63" s="32" t="n">
        <f aca="false">PERCENTILE(BG11:BG60,0.5)</f>
        <v>9.29376987242119</v>
      </c>
      <c r="BH63" s="32" t="n">
        <f aca="false">PERCENTILE(BH11:BH60,0.5)</f>
        <v>9.11149885688749</v>
      </c>
      <c r="BI63" s="32" t="n">
        <f aca="false">PERCENTILE(BI11:BI60,0.5)</f>
        <v>9.4991768101129</v>
      </c>
      <c r="BJ63" s="32" t="n">
        <f aca="false">PERCENTILE(BJ11:BJ60,0.5)</f>
        <v>9.38537616168829</v>
      </c>
    </row>
    <row r="64" customFormat="false" ht="15" hidden="false" customHeight="true" outlineLevel="0" collapsed="false">
      <c r="A64" s="16" t="s">
        <v>166</v>
      </c>
      <c r="B64" s="32" t="n">
        <f aca="false">PERCENTILE(B11:B60,0.95)</f>
        <v>11.5</v>
      </c>
      <c r="C64" s="32" t="n">
        <f aca="false">PERCENTILE(C11:C60,0.95)</f>
        <v>13.8174316835575</v>
      </c>
      <c r="D64" s="32" t="n">
        <f aca="false">PERCENTILE(D11:D60,0.95)</f>
        <v>14.9367987896254</v>
      </c>
      <c r="E64" s="32" t="n">
        <f aca="false">PERCENTILE(E11:E60,0.95)</f>
        <v>16.507779840471</v>
      </c>
      <c r="F64" s="32" t="n">
        <f aca="false">PERCENTILE(F11:F60,0.95)</f>
        <v>16.402220538337</v>
      </c>
      <c r="G64" s="32" t="n">
        <f aca="false">PERCENTILE(G11:G60,0.95)</f>
        <v>17.8008646547452</v>
      </c>
      <c r="H64" s="32" t="n">
        <f aca="false">PERCENTILE(H11:H60,0.95)</f>
        <v>19.7426180372013</v>
      </c>
      <c r="I64" s="32" t="n">
        <f aca="false">PERCENTILE(I11:I60,0.95)</f>
        <v>20.0800203904888</v>
      </c>
      <c r="J64" s="32" t="n">
        <f aca="false">PERCENTILE(J11:J60,0.95)</f>
        <v>21.318079656129</v>
      </c>
      <c r="K64" s="32" t="n">
        <f aca="false">PERCENTILE(K11:K60,0.95)</f>
        <v>23.5539676350909</v>
      </c>
      <c r="L64" s="32" t="n">
        <f aca="false">PERCENTILE(L11:L60,0.95)</f>
        <v>24.665864621034</v>
      </c>
      <c r="M64" s="32" t="n">
        <f aca="false">PERCENTILE(M11:M60,0.95)</f>
        <v>23.0640537875722</v>
      </c>
      <c r="N64" s="32" t="n">
        <f aca="false">PERCENTILE(N11:N60,0.95)</f>
        <v>22.8684786268138</v>
      </c>
      <c r="O64" s="32" t="n">
        <f aca="false">PERCENTILE(O11:O60,0.95)</f>
        <v>25.2743240107283</v>
      </c>
      <c r="P64" s="32" t="n">
        <f aca="false">PERCENTILE(P11:P60,0.95)</f>
        <v>26.5351658800668</v>
      </c>
      <c r="Q64" s="32" t="n">
        <f aca="false">PERCENTILE(Q11:Q60,0.95)</f>
        <v>25.755894631984</v>
      </c>
      <c r="R64" s="32" t="n">
        <f aca="false">PERCENTILE(R11:R60,0.95)</f>
        <v>28.5534835737641</v>
      </c>
      <c r="S64" s="32" t="n">
        <f aca="false">PERCENTILE(S11:S60,0.95)</f>
        <v>27.3312253459482</v>
      </c>
      <c r="T64" s="32" t="n">
        <f aca="false">PERCENTILE(T11:T60,0.95)</f>
        <v>30.0180059948053</v>
      </c>
      <c r="U64" s="32" t="n">
        <f aca="false">PERCENTILE(U11:U60,0.95)</f>
        <v>32.2766991846844</v>
      </c>
      <c r="V64" s="32" t="n">
        <f aca="false">PERCENTILE(V11:V60,0.95)</f>
        <v>30.593548685903</v>
      </c>
      <c r="W64" s="32" t="n">
        <f aca="false">PERCENTILE(W11:W60,0.95)</f>
        <v>29.1303587880478</v>
      </c>
      <c r="X64" s="32" t="n">
        <f aca="false">PERCENTILE(X11:X60,0.95)</f>
        <v>30.6930936297252</v>
      </c>
      <c r="Y64" s="32" t="n">
        <f aca="false">PERCENTILE(Y11:Y60,0.95)</f>
        <v>29.7590511991376</v>
      </c>
      <c r="Z64" s="32" t="n">
        <f aca="false">PERCENTILE(Z11:Z60,0.95)</f>
        <v>28.636665542993</v>
      </c>
      <c r="AA64" s="32" t="n">
        <f aca="false">PERCENTILE(AA11:AA60,0.95)</f>
        <v>31.9025987596171</v>
      </c>
      <c r="AB64" s="32" t="n">
        <f aca="false">PERCENTILE(AB11:AB60,0.95)</f>
        <v>33.2875081216374</v>
      </c>
      <c r="AC64" s="32" t="n">
        <f aca="false">PERCENTILE(AC11:AC60,0.95)</f>
        <v>31.0986590663957</v>
      </c>
      <c r="AD64" s="32" t="n">
        <f aca="false">PERCENTILE(AD11:AD60,0.95)</f>
        <v>33.9550996200236</v>
      </c>
      <c r="AE64" s="32" t="n">
        <f aca="false">PERCENTILE(AE11:AE60,0.95)</f>
        <v>36.1963552269423</v>
      </c>
      <c r="AF64" s="32" t="n">
        <f aca="false">PERCENTILE(AF11:AF60,0.95)</f>
        <v>30.8889746627451</v>
      </c>
      <c r="AG64" s="32" t="n">
        <f aca="false">PERCENTILE(AG11:AG60,0.95)</f>
        <v>31.3382257507848</v>
      </c>
      <c r="AH64" s="32" t="n">
        <f aca="false">PERCENTILE(AH11:AH60,0.95)</f>
        <v>28.9136743048118</v>
      </c>
      <c r="AI64" s="32" t="n">
        <f aca="false">PERCENTILE(AI11:AI60,0.95)</f>
        <v>28.2188992358384</v>
      </c>
      <c r="AJ64" s="32" t="n">
        <f aca="false">PERCENTILE(AJ11:AJ60,0.95)</f>
        <v>29.1777124511688</v>
      </c>
      <c r="AK64" s="32" t="n">
        <f aca="false">PERCENTILE(AK11:AK60,0.95)</f>
        <v>30.6966102177895</v>
      </c>
      <c r="AL64" s="32" t="n">
        <f aca="false">PERCENTILE(AL11:AL60,0.95)</f>
        <v>29.796308588559</v>
      </c>
      <c r="AM64" s="32" t="n">
        <f aca="false">PERCENTILE(AM11:AM60,0.95)</f>
        <v>32.9650939292482</v>
      </c>
      <c r="AN64" s="32" t="n">
        <f aca="false">PERCENTILE(AN11:AN60,0.95)</f>
        <v>36.689852255483</v>
      </c>
      <c r="AO64" s="32" t="n">
        <f aca="false">PERCENTILE(AO11:AO60,0.95)</f>
        <v>38.2304950219528</v>
      </c>
      <c r="AP64" s="32" t="n">
        <f aca="false">PERCENTILE(AP11:AP60,0.95)</f>
        <v>37.0381617644413</v>
      </c>
      <c r="AQ64" s="32" t="n">
        <f aca="false">PERCENTILE(AQ11:AQ60,0.95)</f>
        <v>37.8893652967334</v>
      </c>
      <c r="AR64" s="32" t="n">
        <f aca="false">PERCENTILE(AR11:AR60,0.95)</f>
        <v>39.5328213114602</v>
      </c>
      <c r="AS64" s="32" t="n">
        <f aca="false">PERCENTILE(AS11:AS60,0.95)</f>
        <v>37.1033701474749</v>
      </c>
      <c r="AT64" s="32" t="n">
        <f aca="false">PERCENTILE(AT11:AT60,0.95)</f>
        <v>37.6068161632321</v>
      </c>
      <c r="AU64" s="32" t="n">
        <f aca="false">PERCENTILE(AU11:AU60,0.95)</f>
        <v>37.5606686395207</v>
      </c>
      <c r="AV64" s="32" t="n">
        <f aca="false">PERCENTILE(AV11:AV60,0.95)</f>
        <v>34.3705151917144</v>
      </c>
      <c r="AW64" s="32" t="n">
        <f aca="false">PERCENTILE(AW11:AW60,0.95)</f>
        <v>30.7384349300614</v>
      </c>
      <c r="AX64" s="32" t="n">
        <f aca="false">PERCENTILE(AX11:AX60,0.95)</f>
        <v>31.9629299561915</v>
      </c>
      <c r="AY64" s="32" t="n">
        <f aca="false">PERCENTILE(AY11:AY60,0.95)</f>
        <v>33.1633001426387</v>
      </c>
      <c r="AZ64" s="32" t="n">
        <f aca="false">PERCENTILE(AZ11:AZ60,0.95)</f>
        <v>33.8256863132731</v>
      </c>
      <c r="BA64" s="32" t="n">
        <f aca="false">PERCENTILE(BA11:BA60,0.95)</f>
        <v>30.9369060271958</v>
      </c>
      <c r="BB64" s="32" t="n">
        <f aca="false">PERCENTILE(BB11:BB60,0.95)</f>
        <v>34.0200901700848</v>
      </c>
      <c r="BC64" s="32" t="n">
        <f aca="false">PERCENTILE(BC11:BC60,0.95)</f>
        <v>33.0966780438816</v>
      </c>
      <c r="BD64" s="32" t="n">
        <f aca="false">PERCENTILE(BD11:BD60,0.95)</f>
        <v>35.9840255827994</v>
      </c>
      <c r="BE64" s="32" t="n">
        <f aca="false">PERCENTILE(BE11:BE60,0.95)</f>
        <v>38.0588099181083</v>
      </c>
      <c r="BF64" s="32" t="n">
        <f aca="false">PERCENTILE(BF11:BF60,0.95)</f>
        <v>41.8071030738323</v>
      </c>
      <c r="BG64" s="32" t="n">
        <f aca="false">PERCENTILE(BG11:BG60,0.95)</f>
        <v>44.7416652498731</v>
      </c>
      <c r="BH64" s="32" t="n">
        <f aca="false">PERCENTILE(BH11:BH60,0.95)</f>
        <v>43.389007786381</v>
      </c>
      <c r="BI64" s="32" t="n">
        <f aca="false">PERCENTILE(BI11:BI60,0.95)</f>
        <v>42.0788897820781</v>
      </c>
      <c r="BJ64" s="32" t="n">
        <f aca="false">PERCENTILE(BJ11:BJ60,0.95)</f>
        <v>43.0224715254052</v>
      </c>
    </row>
    <row r="66" customFormat="false" ht="15" hidden="false" customHeight="true" outlineLevel="0" collapsed="false">
      <c r="A66" s="9" t="s">
        <v>167</v>
      </c>
    </row>
    <row r="67" customFormat="false" ht="15" hidden="false" customHeight="true" outlineLevel="0" collapsed="false">
      <c r="C67" s="1" t="n">
        <v>0.00123015335748257</v>
      </c>
      <c r="D67" s="1" t="n">
        <v>0.29874553750847</v>
      </c>
      <c r="E67" s="1" t="n">
        <v>-0.274137855362218</v>
      </c>
      <c r="F67" s="1" t="n">
        <v>-0.890591838757274</v>
      </c>
      <c r="G67" s="1" t="n">
        <v>-0.454670785171723</v>
      </c>
      <c r="H67" s="1" t="n">
        <v>-0.991646554996462</v>
      </c>
      <c r="I67" s="1" t="n">
        <v>0.0601436025974385</v>
      </c>
      <c r="J67" s="1" t="n">
        <v>1.34021524555453</v>
      </c>
      <c r="K67" s="1" t="n">
        <v>-0.49220651855133</v>
      </c>
      <c r="L67" s="1" t="n">
        <v>-0.62047489981994</v>
      </c>
      <c r="M67" s="1" t="n">
        <v>0.489842050185198</v>
      </c>
      <c r="N67" s="1" t="n">
        <v>0.356887008160061</v>
      </c>
      <c r="O67" s="1" t="n">
        <v>0.105414248997899</v>
      </c>
      <c r="P67" s="1" t="n">
        <v>-0.930468044708205</v>
      </c>
      <c r="Q67" s="1" t="n">
        <v>-0.0292518224632735</v>
      </c>
      <c r="R67" s="1" t="n">
        <v>0.695303194458288</v>
      </c>
      <c r="S67" s="1" t="n">
        <v>-1.34421454728508</v>
      </c>
      <c r="T67" s="1" t="n">
        <v>-0.457615761040218</v>
      </c>
      <c r="U67" s="1" t="n">
        <v>-1.90122273980084</v>
      </c>
      <c r="V67" s="1" t="n">
        <v>-1.28953773978498</v>
      </c>
      <c r="W67" s="1" t="n">
        <v>-1.84173503779173</v>
      </c>
      <c r="X67" s="1" t="n">
        <v>-0.235091131074681</v>
      </c>
      <c r="Y67" s="1" t="n">
        <v>-1.2674464814437</v>
      </c>
      <c r="Z67" s="1" t="n">
        <v>0.271264358821702</v>
      </c>
      <c r="AA67" s="1" t="n">
        <v>0.156751086624225</v>
      </c>
      <c r="AB67" s="1" t="n">
        <v>-0.186930944629954</v>
      </c>
      <c r="AC67" s="1" t="n">
        <v>-2.51675971082051</v>
      </c>
      <c r="AD67" s="1" t="n">
        <v>-0.538692895846637</v>
      </c>
      <c r="AE67" s="1" t="n">
        <v>-0.048500945401072</v>
      </c>
      <c r="AF67" s="1" t="n">
        <v>0.113308986003308</v>
      </c>
      <c r="AG67" s="1" t="n">
        <v>-1.53013576550539</v>
      </c>
      <c r="AH67" s="1" t="n">
        <v>-0.477753276033931</v>
      </c>
      <c r="AI67" s="1" t="n">
        <v>-0.97851907805664</v>
      </c>
      <c r="AJ67" s="1" t="n">
        <v>-0.808837239425599</v>
      </c>
      <c r="AK67" s="1" t="n">
        <v>1.06089862338608</v>
      </c>
      <c r="AL67" s="1" t="n">
        <v>-0.807534675331897</v>
      </c>
      <c r="AM67" s="1" t="n">
        <v>-0.0325217049455206</v>
      </c>
      <c r="AN67" s="1" t="n">
        <v>0.884389867383174</v>
      </c>
      <c r="AO67" s="1" t="n">
        <v>-0.583600432743302</v>
      </c>
      <c r="AP67" s="1" t="n">
        <v>-0.11170194958416</v>
      </c>
      <c r="AQ67" s="1" t="n">
        <v>0.110464143249481</v>
      </c>
      <c r="AR67" s="1" t="n">
        <v>0.063781774255062</v>
      </c>
      <c r="AS67" s="1" t="n">
        <v>-1.22505582641769</v>
      </c>
      <c r="AT67" s="1" t="n">
        <v>0.0761402303770081</v>
      </c>
      <c r="AU67" s="1" t="n">
        <v>1.35882342174154</v>
      </c>
      <c r="AV67" s="1" t="n">
        <v>-1.54714467812848</v>
      </c>
      <c r="AW67" s="1" t="n">
        <v>0.859382688021598</v>
      </c>
      <c r="AX67" s="1" t="n">
        <v>0.119354025696581</v>
      </c>
      <c r="AY67" s="1" t="n">
        <v>-0.641470394107221</v>
      </c>
      <c r="AZ67" s="1" t="n">
        <v>2.00041654634242</v>
      </c>
      <c r="BA67" s="1" t="n">
        <v>0.762259712084712</v>
      </c>
      <c r="BB67" s="1" t="n">
        <v>-1.19928890210522</v>
      </c>
      <c r="BC67" s="1" t="n">
        <v>0.0745162287714634</v>
      </c>
      <c r="BD67" s="1" t="n">
        <v>0.576689583670185</v>
      </c>
      <c r="BE67" s="1" t="n">
        <v>-0.188782125350749</v>
      </c>
      <c r="BF67" s="1" t="n">
        <v>0.682910267195206</v>
      </c>
      <c r="BG67" s="1" t="n">
        <v>-0.0665173201494156</v>
      </c>
      <c r="BH67" s="1" t="n">
        <v>0.667247560834328</v>
      </c>
      <c r="BI67" s="1" t="n">
        <v>1.43852259165615</v>
      </c>
      <c r="BJ67" s="1" t="n">
        <v>-0.675662251005653</v>
      </c>
    </row>
    <row r="68" customFormat="false" ht="15" hidden="false" customHeight="true" outlineLevel="0" collapsed="false">
      <c r="C68" s="1" t="n">
        <v>0.203138610389609</v>
      </c>
      <c r="D68" s="1" t="n">
        <v>-0.463307576538415</v>
      </c>
      <c r="E68" s="1" t="n">
        <v>0.127268411225831</v>
      </c>
      <c r="F68" s="1" t="n">
        <v>-1.18719452785014</v>
      </c>
      <c r="G68" s="1" t="n">
        <v>-0.579301596502673</v>
      </c>
      <c r="H68" s="1" t="n">
        <v>-0.196195972804497</v>
      </c>
      <c r="I68" s="1" t="n">
        <v>0.898763872100408</v>
      </c>
      <c r="J68" s="1" t="n">
        <v>1.14522200745413</v>
      </c>
      <c r="K68" s="1" t="n">
        <v>-1.32352779248426</v>
      </c>
      <c r="L68" s="1" t="n">
        <v>-0.79464236598705</v>
      </c>
      <c r="M68" s="1" t="n">
        <v>0.646903422573422</v>
      </c>
      <c r="N68" s="1" t="n">
        <v>-1.99241978417449</v>
      </c>
      <c r="O68" s="1" t="n">
        <v>-0.463169864952367</v>
      </c>
      <c r="P68" s="1" t="n">
        <v>-0.097286925670089</v>
      </c>
      <c r="Q68" s="1" t="n">
        <v>1.25701497728682</v>
      </c>
      <c r="R68" s="1" t="n">
        <v>0.689403900570756</v>
      </c>
      <c r="S68" s="1" t="n">
        <v>-0.327213420222198</v>
      </c>
      <c r="T68" s="1" t="n">
        <v>-0.368575894099959</v>
      </c>
      <c r="U68" s="1" t="n">
        <v>-0.250195400517925</v>
      </c>
      <c r="V68" s="1" t="n">
        <v>1.52352940045616</v>
      </c>
      <c r="W68" s="1" t="n">
        <v>-0.428024942572867</v>
      </c>
      <c r="X68" s="1" t="n">
        <v>-0.303680388364729</v>
      </c>
      <c r="Y68" s="1" t="n">
        <v>0.352589067285265</v>
      </c>
      <c r="Z68" s="1" t="n">
        <v>-0.120770445086455</v>
      </c>
      <c r="AA68" s="1" t="n">
        <v>-0.197284227965723</v>
      </c>
      <c r="AB68" s="1" t="n">
        <v>-1.11406714315106</v>
      </c>
      <c r="AC68" s="1" t="n">
        <v>-0.0115214680385482</v>
      </c>
      <c r="AD68" s="1" t="n">
        <v>-0.443581222974419</v>
      </c>
      <c r="AE68" s="1" t="n">
        <v>1.16612777619022</v>
      </c>
      <c r="AF68" s="1" t="n">
        <v>0.653088502701164</v>
      </c>
      <c r="AG68" s="1" t="n">
        <v>-0.0241436130099322</v>
      </c>
      <c r="AH68" s="1" t="n">
        <v>0.668381023267344</v>
      </c>
      <c r="AI68" s="1" t="n">
        <v>-0.339869551713149</v>
      </c>
      <c r="AJ68" s="1" t="n">
        <v>1.05212635842695</v>
      </c>
      <c r="AK68" s="1" t="n">
        <v>-0.00539956067162661</v>
      </c>
      <c r="AL68" s="1" t="n">
        <v>0.583382354180414</v>
      </c>
      <c r="AM68" s="1" t="n">
        <v>-1.29089324532349</v>
      </c>
      <c r="AN68" s="1" t="n">
        <v>0.34668004887843</v>
      </c>
      <c r="AO68" s="1" t="n">
        <v>-1.68820411736654</v>
      </c>
      <c r="AP68" s="1" t="n">
        <v>-2.03532894493993</v>
      </c>
      <c r="AQ68" s="1" t="n">
        <v>-0.304476877711437</v>
      </c>
      <c r="AR68" s="1" t="n">
        <v>-0.899927607598595</v>
      </c>
      <c r="AS68" s="1" t="n">
        <v>0.164052795712223</v>
      </c>
      <c r="AT68" s="1" t="n">
        <v>2.24475662648605</v>
      </c>
      <c r="AU68" s="1" t="n">
        <v>-0.831723181412082</v>
      </c>
      <c r="AV68" s="1" t="n">
        <v>-0.623943586443906</v>
      </c>
      <c r="AW68" s="1" t="n">
        <v>0.205403946064699</v>
      </c>
      <c r="AX68" s="1" t="n">
        <v>0.493013291412356</v>
      </c>
      <c r="AY68" s="1" t="n">
        <v>-0.176406065905758</v>
      </c>
      <c r="AZ68" s="1" t="n">
        <v>-0.205930330253217</v>
      </c>
      <c r="BA68" s="1" t="n">
        <v>0.702462955120544</v>
      </c>
      <c r="BB68" s="1" t="n">
        <v>0.519907637033898</v>
      </c>
      <c r="BC68" s="1" t="n">
        <v>-1.03367583207369</v>
      </c>
      <c r="BD68" s="1" t="n">
        <v>-0.0791813186158418</v>
      </c>
      <c r="BE68" s="1" t="n">
        <v>0.0352868486614741</v>
      </c>
      <c r="BF68" s="1" t="n">
        <v>-1.05448462204911</v>
      </c>
      <c r="BG68" s="1" t="n">
        <v>0.259839100674363</v>
      </c>
      <c r="BH68" s="1" t="n">
        <v>-0.857956477176544</v>
      </c>
      <c r="BI68" s="1" t="n">
        <v>0.972066707917043</v>
      </c>
      <c r="BJ68" s="1" t="n">
        <v>0.192745912605072</v>
      </c>
    </row>
    <row r="69" customFormat="false" ht="15" hidden="false" customHeight="true" outlineLevel="0" collapsed="false">
      <c r="C69" s="1" t="n">
        <v>0.0893064857690503</v>
      </c>
      <c r="D69" s="1" t="n">
        <v>-0.591028352856274</v>
      </c>
      <c r="E69" s="1" t="n">
        <v>-0.118609823877694</v>
      </c>
      <c r="F69" s="1" t="n">
        <v>-1.99774629290706</v>
      </c>
      <c r="G69" s="1" t="n">
        <v>-1.13140747052306</v>
      </c>
      <c r="H69" s="1" t="n">
        <v>0.362839799188754</v>
      </c>
      <c r="I69" s="1" t="n">
        <v>-2.12856704182215</v>
      </c>
      <c r="J69" s="1" t="n">
        <v>0.846608521481163</v>
      </c>
      <c r="K69" s="1" t="n">
        <v>-1.74609647537391</v>
      </c>
      <c r="L69" s="1" t="n">
        <v>0.756738502664268</v>
      </c>
      <c r="M69" s="1" t="n">
        <v>-0.845497032879324</v>
      </c>
      <c r="N69" s="1" t="n">
        <v>0.778991084342461</v>
      </c>
      <c r="O69" s="1" t="n">
        <v>0.1309512075848</v>
      </c>
      <c r="P69" s="1" t="n">
        <v>-1.53683494029149</v>
      </c>
      <c r="Q69" s="1" t="n">
        <v>1.24914874955846</v>
      </c>
      <c r="R69" s="1" t="n">
        <v>1.44170715552261</v>
      </c>
      <c r="S69" s="1" t="n">
        <v>-0.0658049060002071</v>
      </c>
      <c r="T69" s="1" t="n">
        <v>-0.27391627217232</v>
      </c>
      <c r="U69" s="1" t="n">
        <v>-0.159866965970636</v>
      </c>
      <c r="V69" s="1" t="n">
        <v>-0.975152322778746</v>
      </c>
      <c r="W69" s="1" t="n">
        <v>1.09858675975692</v>
      </c>
      <c r="X69" s="1" t="n">
        <v>-0.542891931730187</v>
      </c>
      <c r="Y69" s="1" t="n">
        <v>-0.0511904126916766</v>
      </c>
      <c r="Z69" s="1" t="n">
        <v>-0.793296403203044</v>
      </c>
      <c r="AA69" s="1" t="n">
        <v>-0.626073099720197</v>
      </c>
      <c r="AB69" s="1" t="n">
        <v>-1.27772515165117</v>
      </c>
      <c r="AC69" s="1" t="n">
        <v>1.25706931371439</v>
      </c>
      <c r="AD69" s="1" t="n">
        <v>-0.154087573206013</v>
      </c>
      <c r="AE69" s="1" t="n">
        <v>0.965921618728809</v>
      </c>
      <c r="AF69" s="1" t="n">
        <v>0.0133245969132598</v>
      </c>
      <c r="AG69" s="1" t="n">
        <v>-0.694403527702894</v>
      </c>
      <c r="AH69" s="1" t="n">
        <v>-0.326685260002252</v>
      </c>
      <c r="AI69" s="1" t="n">
        <v>-0.5602310505029</v>
      </c>
      <c r="AJ69" s="1" t="n">
        <v>0.00795909918491366</v>
      </c>
      <c r="AK69" s="1" t="n">
        <v>-0.375266839676956</v>
      </c>
      <c r="AL69" s="1" t="n">
        <v>-0.299921715941798</v>
      </c>
      <c r="AM69" s="1" t="n">
        <v>-1.37857468413591</v>
      </c>
      <c r="AN69" s="1" t="n">
        <v>-0.806845927621121</v>
      </c>
      <c r="AO69" s="1" t="n">
        <v>1.65405754880043</v>
      </c>
      <c r="AP69" s="1" t="n">
        <v>-0.671233216251717</v>
      </c>
      <c r="AQ69" s="1" t="n">
        <v>-1.05409378762349</v>
      </c>
      <c r="AR69" s="1" t="n">
        <v>0.337326332575031</v>
      </c>
      <c r="AS69" s="1" t="n">
        <v>1.40727219955653</v>
      </c>
      <c r="AT69" s="1" t="n">
        <v>-1.45402430248121</v>
      </c>
      <c r="AU69" s="1" t="n">
        <v>-0.208521848251271</v>
      </c>
      <c r="AV69" s="1" t="n">
        <v>-0.632052553934908</v>
      </c>
      <c r="AW69" s="1" t="n">
        <v>-1.7610194743274</v>
      </c>
      <c r="AX69" s="1" t="n">
        <v>0.734926709258392</v>
      </c>
      <c r="AY69" s="1" t="n">
        <v>-0.0234439185548447</v>
      </c>
      <c r="AZ69" s="1" t="n">
        <v>0.0714418442926054</v>
      </c>
      <c r="BA69" s="1" t="n">
        <v>-0.752311472445589</v>
      </c>
      <c r="BB69" s="1" t="n">
        <v>0.454784162996917</v>
      </c>
      <c r="BC69" s="1" t="n">
        <v>-0.539297349487321</v>
      </c>
      <c r="BD69" s="1" t="n">
        <v>-0.142903208496761</v>
      </c>
      <c r="BE69" s="1" t="n">
        <v>-1.10826079218151</v>
      </c>
      <c r="BF69" s="1" t="n">
        <v>-1.2161027602082</v>
      </c>
      <c r="BG69" s="1" t="n">
        <v>1.33553185530002</v>
      </c>
      <c r="BH69" s="1" t="n">
        <v>-0.507104704538475</v>
      </c>
      <c r="BI69" s="1" t="n">
        <v>0.291680356355802</v>
      </c>
      <c r="BJ69" s="1" t="n">
        <v>-0.0337904347673723</v>
      </c>
    </row>
    <row r="70" customFormat="false" ht="15" hidden="false" customHeight="true" outlineLevel="0" collapsed="false">
      <c r="C70" s="1" t="n">
        <v>-0.441145202762184</v>
      </c>
      <c r="D70" s="1" t="n">
        <v>-0.50796097033722</v>
      </c>
      <c r="E70" s="1" t="n">
        <v>0.630082591445586</v>
      </c>
      <c r="F70" s="1" t="n">
        <v>-0.30186760453391</v>
      </c>
      <c r="G70" s="1" t="n">
        <v>-0.151443648171292</v>
      </c>
      <c r="H70" s="1" t="n">
        <v>0.0222215571944795</v>
      </c>
      <c r="I70" s="1" t="n">
        <v>1.176508320252</v>
      </c>
      <c r="J70" s="1" t="n">
        <v>0.680510974633138</v>
      </c>
      <c r="K70" s="1" t="n">
        <v>0.382600267727993</v>
      </c>
      <c r="L70" s="1" t="n">
        <v>-0.563571393353242</v>
      </c>
      <c r="M70" s="1" t="n">
        <v>-1.38196872000647</v>
      </c>
      <c r="N70" s="1" t="n">
        <v>0.949529931735302</v>
      </c>
      <c r="O70" s="1" t="n">
        <v>0.966447134220876</v>
      </c>
      <c r="P70" s="1" t="n">
        <v>-0.14070839912334</v>
      </c>
      <c r="Q70" s="1" t="n">
        <v>0.541883841603518</v>
      </c>
      <c r="R70" s="1" t="n">
        <v>0.781443053885405</v>
      </c>
      <c r="S70" s="1" t="n">
        <v>0.831184452664982</v>
      </c>
      <c r="T70" s="1" t="n">
        <v>0.921383473246471</v>
      </c>
      <c r="U70" s="1" t="n">
        <v>-0.455617650661133</v>
      </c>
      <c r="V70" s="1" t="n">
        <v>1.51497298266472</v>
      </c>
      <c r="W70" s="1" t="n">
        <v>-1.24659305828571</v>
      </c>
      <c r="X70" s="1" t="n">
        <v>0.861723076993649</v>
      </c>
      <c r="Y70" s="1" t="n">
        <v>0.493932079030759</v>
      </c>
      <c r="Z70" s="1" t="n">
        <v>0.873619113524502</v>
      </c>
      <c r="AA70" s="1" t="n">
        <v>1.87900830709674</v>
      </c>
      <c r="AB70" s="1" t="n">
        <v>1.48444547337865</v>
      </c>
      <c r="AC70" s="1" t="n">
        <v>-1.14517690718933</v>
      </c>
      <c r="AD70" s="1" t="n">
        <v>-1.68867158026786</v>
      </c>
      <c r="AE70" s="1" t="n">
        <v>0.816889059053797</v>
      </c>
      <c r="AF70" s="1" t="n">
        <v>-1.01501241587592</v>
      </c>
      <c r="AG70" s="1" t="n">
        <v>-0.0124053886475133</v>
      </c>
      <c r="AH70" s="1" t="n">
        <v>0.839727477005194</v>
      </c>
      <c r="AI70" s="1" t="n">
        <v>-1.64379735118559</v>
      </c>
      <c r="AJ70" s="1" t="n">
        <v>-2.10998045430948</v>
      </c>
      <c r="AK70" s="1" t="n">
        <v>0.259299020337227</v>
      </c>
      <c r="AL70" s="1" t="n">
        <v>0.044385889613297</v>
      </c>
      <c r="AM70" s="1" t="n">
        <v>-0.245803071381923</v>
      </c>
      <c r="AN70" s="1" t="n">
        <v>0.0385347637702182</v>
      </c>
      <c r="AO70" s="1" t="n">
        <v>-0.86051560736728</v>
      </c>
      <c r="AP70" s="1" t="n">
        <v>-1.51349440727211</v>
      </c>
      <c r="AQ70" s="1" t="n">
        <v>-0.166654850880322</v>
      </c>
      <c r="AR70" s="1" t="n">
        <v>-0.971708691049392</v>
      </c>
      <c r="AS70" s="1" t="n">
        <v>-1.64348132241111</v>
      </c>
      <c r="AT70" s="1" t="n">
        <v>0.505681071393277</v>
      </c>
      <c r="AU70" s="1" t="n">
        <v>-0.0613986284221758</v>
      </c>
      <c r="AV70" s="1" t="n">
        <v>0.406528536632814</v>
      </c>
      <c r="AW70" s="1" t="n">
        <v>-0.989294941425937</v>
      </c>
      <c r="AX70" s="1" t="n">
        <v>-0.658058791836658</v>
      </c>
      <c r="AY70" s="1" t="n">
        <v>-0.999043027220166</v>
      </c>
      <c r="AZ70" s="1" t="n">
        <v>-0.886641867058048</v>
      </c>
      <c r="BA70" s="1" t="n">
        <v>0.195407917749402</v>
      </c>
      <c r="BB70" s="1" t="n">
        <v>-0.782974616334946</v>
      </c>
      <c r="BC70" s="1" t="n">
        <v>0.356066288820275</v>
      </c>
      <c r="BD70" s="1" t="n">
        <v>0.339755925418216</v>
      </c>
      <c r="BE70" s="1" t="n">
        <v>2.0251609868801</v>
      </c>
      <c r="BF70" s="1" t="n">
        <v>-1.39278904586681</v>
      </c>
      <c r="BG70" s="1" t="n">
        <v>0.887902377835045</v>
      </c>
      <c r="BH70" s="1" t="n">
        <v>-0.0894879618884183</v>
      </c>
      <c r="BI70" s="1" t="n">
        <v>-0.0140297301309969</v>
      </c>
      <c r="BJ70" s="1" t="n">
        <v>-1.44986382190661</v>
      </c>
    </row>
    <row r="71" customFormat="false" ht="15" hidden="false" customHeight="true" outlineLevel="0" collapsed="false">
      <c r="C71" s="1" t="n">
        <v>-0.460193812724654</v>
      </c>
      <c r="D71" s="1" t="n">
        <v>0.743197263443954</v>
      </c>
      <c r="E71" s="1" t="n">
        <v>-0.0824783720173052</v>
      </c>
      <c r="F71" s="1" t="n">
        <v>0.0810543704112656</v>
      </c>
      <c r="G71" s="1" t="n">
        <v>-0.290716680600541</v>
      </c>
      <c r="H71" s="1" t="n">
        <v>1.15456974698629</v>
      </c>
      <c r="I71" s="1" t="n">
        <v>-0.0214725670434948</v>
      </c>
      <c r="J71" s="1" t="n">
        <v>-2.20041567248206</v>
      </c>
      <c r="K71" s="1" t="n">
        <v>-0.692072550474491</v>
      </c>
      <c r="L71" s="1" t="n">
        <v>-1.96879660708024</v>
      </c>
      <c r="M71" s="1" t="n">
        <v>-3.25143841549654</v>
      </c>
      <c r="N71" s="1" t="n">
        <v>-0.530115349772312</v>
      </c>
      <c r="O71" s="1" t="n">
        <v>1.33355985010272</v>
      </c>
      <c r="P71" s="1" t="n">
        <v>0.0471199061305929</v>
      </c>
      <c r="Q71" s="1" t="n">
        <v>-1.17254570740498</v>
      </c>
      <c r="R71" s="1" t="n">
        <v>-0.940699868202422</v>
      </c>
      <c r="S71" s="1" t="n">
        <v>1.13061323025001</v>
      </c>
      <c r="T71" s="1" t="n">
        <v>0.157626623398465</v>
      </c>
      <c r="U71" s="1" t="n">
        <v>0.047999241562057</v>
      </c>
      <c r="V71" s="1" t="n">
        <v>-0.0534617888380572</v>
      </c>
      <c r="W71" s="1" t="n">
        <v>0.0384002615553465</v>
      </c>
      <c r="X71" s="1" t="n">
        <v>0.805405646943798</v>
      </c>
      <c r="Y71" s="1" t="n">
        <v>0.552567297356076</v>
      </c>
      <c r="Z71" s="1" t="n">
        <v>0.215704700024495</v>
      </c>
      <c r="AA71" s="1" t="n">
        <v>-1.04286835759001</v>
      </c>
      <c r="AB71" s="1" t="n">
        <v>0.511108764909727</v>
      </c>
      <c r="AC71" s="1" t="n">
        <v>-0.684247077992494</v>
      </c>
      <c r="AD71" s="1" t="n">
        <v>1.09384567590048</v>
      </c>
      <c r="AE71" s="1" t="n">
        <v>-1.27105082172413</v>
      </c>
      <c r="AF71" s="1" t="n">
        <v>-0.137620976275589</v>
      </c>
      <c r="AG71" s="1" t="n">
        <v>-0.00735828629127095</v>
      </c>
      <c r="AH71" s="1" t="n">
        <v>-1.32464555064414</v>
      </c>
      <c r="AI71" s="1" t="n">
        <v>1.72197164385648</v>
      </c>
      <c r="AJ71" s="1" t="n">
        <v>1.46040676725955</v>
      </c>
      <c r="AK71" s="1" t="n">
        <v>-0.463583761609083</v>
      </c>
      <c r="AL71" s="1" t="n">
        <v>0.771721165564523</v>
      </c>
      <c r="AM71" s="1" t="n">
        <v>0.378676069670212</v>
      </c>
      <c r="AN71" s="1" t="n">
        <v>-2.61355946334526</v>
      </c>
      <c r="AO71" s="1" t="n">
        <v>0.250398016277591</v>
      </c>
      <c r="AP71" s="1" t="n">
        <v>-0.0613440798332485</v>
      </c>
      <c r="AQ71" s="1" t="n">
        <v>0.0832173534745304</v>
      </c>
      <c r="AR71" s="1" t="n">
        <v>-1.07687491982718</v>
      </c>
      <c r="AS71" s="1" t="n">
        <v>-0.269347046220405</v>
      </c>
      <c r="AT71" s="1" t="n">
        <v>-0.178258763382297</v>
      </c>
      <c r="AU71" s="1" t="n">
        <v>1.18809421721232</v>
      </c>
      <c r="AV71" s="1" t="n">
        <v>0.334427060391014</v>
      </c>
      <c r="AW71" s="1" t="n">
        <v>-0.00555503020266377</v>
      </c>
      <c r="AX71" s="1" t="n">
        <v>1.52896999791094</v>
      </c>
      <c r="AY71" s="1" t="n">
        <v>-0.555247929763647</v>
      </c>
      <c r="AZ71" s="1" t="n">
        <v>-0.389430304875385</v>
      </c>
      <c r="BA71" s="1" t="n">
        <v>-1.81675501133906</v>
      </c>
      <c r="BB71" s="1" t="n">
        <v>1.56910584628361</v>
      </c>
      <c r="BC71" s="1" t="n">
        <v>0.964332368194429</v>
      </c>
      <c r="BD71" s="1" t="n">
        <v>0.916848044511708</v>
      </c>
      <c r="BE71" s="1" t="n">
        <v>0.668898446446937</v>
      </c>
      <c r="BF71" s="1" t="n">
        <v>0.110148587663652</v>
      </c>
      <c r="BG71" s="1" t="n">
        <v>0.215488939182329</v>
      </c>
      <c r="BH71" s="1" t="n">
        <v>-0.252006590267308</v>
      </c>
      <c r="BI71" s="1" t="n">
        <v>-0.203600425722946</v>
      </c>
      <c r="BJ71" s="1" t="n">
        <v>0.0543036117136943</v>
      </c>
    </row>
    <row r="72" customFormat="false" ht="15" hidden="false" customHeight="true" outlineLevel="0" collapsed="false">
      <c r="C72" s="1" t="n">
        <v>1.51182951156378</v>
      </c>
      <c r="D72" s="1" t="n">
        <v>0.555687901808079</v>
      </c>
      <c r="E72" s="1" t="n">
        <v>-0.0584601257588615</v>
      </c>
      <c r="F72" s="1" t="n">
        <v>-0.579392050443396</v>
      </c>
      <c r="G72" s="1" t="n">
        <v>-0.63499848741166</v>
      </c>
      <c r="H72" s="1" t="n">
        <v>1.60270501117249</v>
      </c>
      <c r="I72" s="1" t="n">
        <v>0.506687304227104</v>
      </c>
      <c r="J72" s="1" t="n">
        <v>0.0675505583106547</v>
      </c>
      <c r="K72" s="1" t="n">
        <v>-0.346181842152723</v>
      </c>
      <c r="L72" s="1" t="n">
        <v>-1.10905341170053</v>
      </c>
      <c r="M72" s="1" t="n">
        <v>-0.066861557469896</v>
      </c>
      <c r="N72" s="1" t="n">
        <v>0.873658034470201</v>
      </c>
      <c r="O72" s="1" t="n">
        <v>-0.39253724683749</v>
      </c>
      <c r="P72" s="1" t="n">
        <v>-0.22724258300056</v>
      </c>
      <c r="Q72" s="1" t="n">
        <v>-0.221034351438978</v>
      </c>
      <c r="R72" s="1" t="n">
        <v>0.109594367998169</v>
      </c>
      <c r="S72" s="1" t="n">
        <v>-1.59301087874561</v>
      </c>
      <c r="T72" s="1" t="n">
        <v>-0.235398351965091</v>
      </c>
      <c r="U72" s="1" t="n">
        <v>-0.854395518154071</v>
      </c>
      <c r="V72" s="1" t="n">
        <v>0.884585032562605</v>
      </c>
      <c r="W72" s="1" t="n">
        <v>-0.77059867656486</v>
      </c>
      <c r="X72" s="1" t="n">
        <v>0.577046747300696</v>
      </c>
      <c r="Y72" s="1" t="n">
        <v>1.52443745272676</v>
      </c>
      <c r="Z72" s="1" t="n">
        <v>-0.313596261281626</v>
      </c>
      <c r="AA72" s="1" t="n">
        <v>-0.601576252123466</v>
      </c>
      <c r="AB72" s="1" t="n">
        <v>0.191432259126093</v>
      </c>
      <c r="AC72" s="1" t="n">
        <v>-0.00202902760902861</v>
      </c>
      <c r="AD72" s="1" t="n">
        <v>-0.993616347339711</v>
      </c>
      <c r="AE72" s="1" t="n">
        <v>0.46091941571338</v>
      </c>
      <c r="AF72" s="1" t="n">
        <v>2.01551605347541</v>
      </c>
      <c r="AG72" s="1" t="n">
        <v>-0.258111995265724</v>
      </c>
      <c r="AH72" s="1" t="n">
        <v>-0.202876196064663</v>
      </c>
      <c r="AI72" s="1" t="n">
        <v>-1.04493202356909</v>
      </c>
      <c r="AJ72" s="1" t="n">
        <v>0.319088451686548</v>
      </c>
      <c r="AK72" s="1" t="n">
        <v>-1.24697622470763</v>
      </c>
      <c r="AL72" s="1" t="n">
        <v>-1.10693102435148</v>
      </c>
      <c r="AM72" s="1" t="n">
        <v>1.27966727184379</v>
      </c>
      <c r="AN72" s="1" t="n">
        <v>-0.905453059394644</v>
      </c>
      <c r="AO72" s="1" t="n">
        <v>1.08135756933134</v>
      </c>
      <c r="AP72" s="1" t="n">
        <v>1.52435800378281</v>
      </c>
      <c r="AQ72" s="1" t="n">
        <v>0.259326457476743</v>
      </c>
      <c r="AR72" s="1" t="n">
        <v>0.553391402850824</v>
      </c>
      <c r="AS72" s="1" t="n">
        <v>1.95225094368678</v>
      </c>
      <c r="AT72" s="1" t="n">
        <v>-0.196728402065717</v>
      </c>
      <c r="AU72" s="1" t="n">
        <v>-0.593005796941616</v>
      </c>
      <c r="AV72" s="1" t="n">
        <v>-1.35323106478294</v>
      </c>
      <c r="AW72" s="1" t="n">
        <v>0.0417070803463464</v>
      </c>
      <c r="AX72" s="1" t="n">
        <v>1.47914421091831</v>
      </c>
      <c r="AY72" s="1" t="n">
        <v>0.959595381400865</v>
      </c>
      <c r="AZ72" s="1" t="n">
        <v>-0.942091241417957</v>
      </c>
      <c r="BA72" s="1" t="n">
        <v>-0.855375383832596</v>
      </c>
      <c r="BB72" s="1" t="n">
        <v>-0.504171229340964</v>
      </c>
      <c r="BC72" s="1" t="n">
        <v>0.292268082495342</v>
      </c>
      <c r="BD72" s="1" t="n">
        <v>-0.205311427103684</v>
      </c>
      <c r="BE72" s="1" t="n">
        <v>0.214453945443081</v>
      </c>
      <c r="BF72" s="1" t="n">
        <v>0.296739378045447</v>
      </c>
      <c r="BG72" s="1" t="n">
        <v>-0.298773586678448</v>
      </c>
      <c r="BH72" s="1" t="n">
        <v>-0.0401739416029437</v>
      </c>
      <c r="BI72" s="1" t="n">
        <v>0.206592377216034</v>
      </c>
      <c r="BJ72" s="1" t="n">
        <v>-0.083969703533176</v>
      </c>
    </row>
    <row r="73" customFormat="false" ht="15" hidden="false" customHeight="true" outlineLevel="0" collapsed="false">
      <c r="C73" s="1" t="n">
        <v>0.503520864994051</v>
      </c>
      <c r="D73" s="1" t="n">
        <v>1.87087577332801</v>
      </c>
      <c r="E73" s="1" t="n">
        <v>0.591972284770831</v>
      </c>
      <c r="F73" s="1" t="n">
        <v>0.0558105464085519</v>
      </c>
      <c r="G73" s="1" t="n">
        <v>-1.68611862336192</v>
      </c>
      <c r="H73" s="1" t="n">
        <v>0.387957086015202</v>
      </c>
      <c r="I73" s="1" t="n">
        <v>-1.94667841176721</v>
      </c>
      <c r="J73" s="1" t="n">
        <v>-1.40903408615612</v>
      </c>
      <c r="K73" s="1" t="n">
        <v>0.854639252468765</v>
      </c>
      <c r="L73" s="1" t="n">
        <v>0.706235060136664</v>
      </c>
      <c r="M73" s="1" t="n">
        <v>-0.149938998348885</v>
      </c>
      <c r="N73" s="1" t="n">
        <v>-1.71001110615222</v>
      </c>
      <c r="O73" s="1" t="n">
        <v>-0.37134851689085</v>
      </c>
      <c r="P73" s="1" t="n">
        <v>-0.678738318216024</v>
      </c>
      <c r="Q73" s="1" t="n">
        <v>0.63684074613021</v>
      </c>
      <c r="R73" s="1" t="n">
        <v>2.25773053242753</v>
      </c>
      <c r="S73" s="1" t="n">
        <v>0.216930487954656</v>
      </c>
      <c r="T73" s="1" t="n">
        <v>-0.779311128032117</v>
      </c>
      <c r="U73" s="1" t="n">
        <v>-1.17055153030322</v>
      </c>
      <c r="V73" s="1" t="n">
        <v>-0.0560942807682726</v>
      </c>
      <c r="W73" s="1" t="n">
        <v>-0.176793193513588</v>
      </c>
      <c r="X73" s="1" t="n">
        <v>-1.15151915952747</v>
      </c>
      <c r="Y73" s="1" t="n">
        <v>0.116355235692184</v>
      </c>
      <c r="Z73" s="1" t="n">
        <v>-1.15091352131086</v>
      </c>
      <c r="AA73" s="1" t="n">
        <v>1.1121072717293</v>
      </c>
      <c r="AB73" s="1" t="n">
        <v>1.06265060578816</v>
      </c>
      <c r="AC73" s="1" t="n">
        <v>1.08475126529642</v>
      </c>
      <c r="AD73" s="1" t="n">
        <v>-0.474050470608528</v>
      </c>
      <c r="AE73" s="1" t="n">
        <v>0.514520563318089</v>
      </c>
      <c r="AF73" s="1" t="n">
        <v>-0.132069505219357</v>
      </c>
      <c r="AG73" s="1" t="n">
        <v>-0.388812061402482</v>
      </c>
      <c r="AH73" s="1" t="n">
        <v>-0.339145657142066</v>
      </c>
      <c r="AI73" s="1" t="n">
        <v>-1.29971527303415</v>
      </c>
      <c r="AJ73" s="1" t="n">
        <v>-1.44386369589512</v>
      </c>
      <c r="AK73" s="1" t="n">
        <v>0.794314790876046</v>
      </c>
      <c r="AL73" s="1" t="n">
        <v>-0.19123540391952</v>
      </c>
      <c r="AM73" s="1" t="n">
        <v>0.216424851127623</v>
      </c>
      <c r="AN73" s="1" t="n">
        <v>1.00171038845412</v>
      </c>
      <c r="AO73" s="1" t="n">
        <v>-1.73313249501607</v>
      </c>
      <c r="AP73" s="1" t="n">
        <v>-0.784130073815894</v>
      </c>
      <c r="AQ73" s="1" t="n">
        <v>0.175334843465071</v>
      </c>
      <c r="AR73" s="1" t="n">
        <v>0.392094786665573</v>
      </c>
      <c r="AS73" s="1" t="n">
        <v>-0.377074450401097</v>
      </c>
      <c r="AT73" s="1" t="n">
        <v>1.02917923269785</v>
      </c>
      <c r="AU73" s="1" t="n">
        <v>0.210394938829637</v>
      </c>
      <c r="AV73" s="1" t="n">
        <v>-1.21338213882786</v>
      </c>
      <c r="AW73" s="1" t="n">
        <v>-0.930763775990645</v>
      </c>
      <c r="AX73" s="1" t="n">
        <v>0.805471060494623</v>
      </c>
      <c r="AY73" s="1" t="n">
        <v>0.46383145645606</v>
      </c>
      <c r="AZ73" s="1" t="n">
        <v>-1.8990612390066</v>
      </c>
      <c r="BA73" s="1" t="n">
        <v>1.34771230386241</v>
      </c>
      <c r="BB73" s="1" t="n">
        <v>0.598027031093887</v>
      </c>
      <c r="BC73" s="1" t="n">
        <v>1.3433429876965</v>
      </c>
      <c r="BD73" s="1" t="n">
        <v>-0.383700881075084</v>
      </c>
      <c r="BE73" s="1" t="n">
        <v>-0.295706221332326</v>
      </c>
      <c r="BF73" s="1" t="n">
        <v>-1.12645708475132</v>
      </c>
      <c r="BG73" s="1" t="n">
        <v>2.53692957013189</v>
      </c>
      <c r="BH73" s="1" t="n">
        <v>-0.175454225407149</v>
      </c>
      <c r="BI73" s="1" t="n">
        <v>1.58753319208195</v>
      </c>
      <c r="BJ73" s="1" t="n">
        <v>-0.64729245138728</v>
      </c>
    </row>
    <row r="74" customFormat="false" ht="15" hidden="false" customHeight="true" outlineLevel="0" collapsed="false">
      <c r="C74" s="1" t="n">
        <v>0.163841192333101</v>
      </c>
      <c r="D74" s="1" t="n">
        <v>-1.67135248657008</v>
      </c>
      <c r="E74" s="1" t="n">
        <v>-0.382867148766769</v>
      </c>
      <c r="F74" s="1" t="n">
        <v>0.983754908400028</v>
      </c>
      <c r="G74" s="1" t="n">
        <v>-1.2517438155745</v>
      </c>
      <c r="H74" s="1" t="n">
        <v>1.07222754493461</v>
      </c>
      <c r="I74" s="1" t="n">
        <v>0.337237815848463</v>
      </c>
      <c r="J74" s="1" t="n">
        <v>-1.04395092498426</v>
      </c>
      <c r="K74" s="1" t="n">
        <v>-0.501597271425674</v>
      </c>
      <c r="L74" s="1" t="n">
        <v>-0.459065676705413</v>
      </c>
      <c r="M74" s="1" t="n">
        <v>-0.0495193379425022</v>
      </c>
      <c r="N74" s="1" t="n">
        <v>-0.536143965943092</v>
      </c>
      <c r="O74" s="1" t="n">
        <v>-0.827287900804537</v>
      </c>
      <c r="P74" s="1" t="n">
        <v>-0.304587702514817</v>
      </c>
      <c r="Q74" s="1" t="n">
        <v>-1.02688973860905</v>
      </c>
      <c r="R74" s="1" t="n">
        <v>-1.28952657264308</v>
      </c>
      <c r="S74" s="1" t="n">
        <v>-0.0481764825073586</v>
      </c>
      <c r="T74" s="1" t="n">
        <v>0.882874225554568</v>
      </c>
      <c r="U74" s="1" t="n">
        <v>-1.52937170511737</v>
      </c>
      <c r="V74" s="1" t="n">
        <v>0.00350815146396045</v>
      </c>
      <c r="W74" s="1" t="n">
        <v>-0.649956194801296</v>
      </c>
      <c r="X74" s="1" t="n">
        <v>-0.97714543713469</v>
      </c>
      <c r="Y74" s="1" t="n">
        <v>0.853437652714619</v>
      </c>
      <c r="Z74" s="1" t="n">
        <v>-0.518169689090666</v>
      </c>
      <c r="AA74" s="1" t="n">
        <v>1.49830168306488</v>
      </c>
      <c r="AB74" s="1" t="n">
        <v>-0.779839364146393</v>
      </c>
      <c r="AC74" s="1" t="n">
        <v>0.386501993625832</v>
      </c>
      <c r="AD74" s="1" t="n">
        <v>-0.227283006557203</v>
      </c>
      <c r="AE74" s="1" t="n">
        <v>-0.754021809126363</v>
      </c>
      <c r="AF74" s="1" t="n">
        <v>0.587675042577753</v>
      </c>
      <c r="AG74" s="1" t="n">
        <v>-0.154982573074807</v>
      </c>
      <c r="AH74" s="1" t="n">
        <v>0.603210580713647</v>
      </c>
      <c r="AI74" s="1" t="n">
        <v>-0.0472915072169961</v>
      </c>
      <c r="AJ74" s="1" t="n">
        <v>-1.08581625530144</v>
      </c>
      <c r="AK74" s="1" t="n">
        <v>-0.102069243188907</v>
      </c>
      <c r="AL74" s="1" t="n">
        <v>0.0519551695161405</v>
      </c>
      <c r="AM74" s="1" t="n">
        <v>0.958462953881197</v>
      </c>
      <c r="AN74" s="1" t="n">
        <v>-0.906269007335179</v>
      </c>
      <c r="AO74" s="1" t="n">
        <v>-0.0393298532673054</v>
      </c>
      <c r="AP74" s="1" t="n">
        <v>-1.72187873023004</v>
      </c>
      <c r="AQ74" s="1" t="n">
        <v>0.651493060343316</v>
      </c>
      <c r="AR74" s="1" t="n">
        <v>-1.08148297464065</v>
      </c>
      <c r="AS74" s="1" t="n">
        <v>-1.80635952108361</v>
      </c>
      <c r="AT74" s="1" t="n">
        <v>-0.0592168342747372</v>
      </c>
      <c r="AU74" s="1" t="n">
        <v>1.10568495866285</v>
      </c>
      <c r="AV74" s="1" t="n">
        <v>-1.52444694821188</v>
      </c>
      <c r="AW74" s="1" t="n">
        <v>-1.08803558538843</v>
      </c>
      <c r="AX74" s="1" t="n">
        <v>-0.743274891053281</v>
      </c>
      <c r="AY74" s="1" t="n">
        <v>-1.129496646342</v>
      </c>
      <c r="AZ74" s="1" t="n">
        <v>0.379427888334585</v>
      </c>
      <c r="BA74" s="1" t="n">
        <v>-0.807367445044486</v>
      </c>
      <c r="BB74" s="1" t="n">
        <v>-0.721514736460202</v>
      </c>
      <c r="BC74" s="1" t="n">
        <v>0.583305398682311</v>
      </c>
      <c r="BD74" s="1" t="n">
        <v>-0.755514630968684</v>
      </c>
      <c r="BE74" s="1" t="n">
        <v>0.432780097780722</v>
      </c>
      <c r="BF74" s="1" t="n">
        <v>-0.971385171882043</v>
      </c>
      <c r="BG74" s="1" t="n">
        <v>-1.21213851421529</v>
      </c>
      <c r="BH74" s="1" t="n">
        <v>-1.83544928919092</v>
      </c>
      <c r="BI74" s="1" t="n">
        <v>1.86120278691173</v>
      </c>
      <c r="BJ74" s="1" t="n">
        <v>-0.320259032130997</v>
      </c>
    </row>
    <row r="75" customFormat="false" ht="15" hidden="false" customHeight="true" outlineLevel="0" collapsed="false">
      <c r="C75" s="1" t="n">
        <v>0.243933367948429</v>
      </c>
      <c r="D75" s="1" t="n">
        <v>-0.0310495089807992</v>
      </c>
      <c r="E75" s="1" t="n">
        <v>0.159961757007263</v>
      </c>
      <c r="F75" s="1" t="n">
        <v>0.0496864793743725</v>
      </c>
      <c r="G75" s="1" t="n">
        <v>1.9082170392027</v>
      </c>
      <c r="H75" s="1" t="n">
        <v>-1.03892659095715</v>
      </c>
      <c r="I75" s="1" t="n">
        <v>-1.55746210609818</v>
      </c>
      <c r="J75" s="1" t="n">
        <v>-1.01195966848436</v>
      </c>
      <c r="K75" s="1" t="n">
        <v>-1.33470900975855</v>
      </c>
      <c r="L75" s="1" t="n">
        <v>0.746962052481943</v>
      </c>
      <c r="M75" s="1" t="n">
        <v>0.820378209537757</v>
      </c>
      <c r="N75" s="1" t="n">
        <v>-0.961315545150327</v>
      </c>
      <c r="O75" s="1" t="n">
        <v>-1.39043577646299</v>
      </c>
      <c r="P75" s="1" t="n">
        <v>-0.354796653141095</v>
      </c>
      <c r="Q75" s="1" t="n">
        <v>1.39112387787639</v>
      </c>
      <c r="R75" s="1" t="n">
        <v>-2.81956941779832</v>
      </c>
      <c r="S75" s="1" t="n">
        <v>0.526626769015875</v>
      </c>
      <c r="T75" s="1" t="n">
        <v>-1.07575522744859</v>
      </c>
      <c r="U75" s="1" t="n">
        <v>1.04036714654127</v>
      </c>
      <c r="V75" s="1" t="n">
        <v>-1.07792394087675</v>
      </c>
      <c r="W75" s="1" t="n">
        <v>-0.285415827215841</v>
      </c>
      <c r="X75" s="1" t="n">
        <v>-1.50627910063956</v>
      </c>
      <c r="Y75" s="1" t="n">
        <v>-0.977257850498097</v>
      </c>
      <c r="Z75" s="1" t="n">
        <v>1.38583916304612</v>
      </c>
      <c r="AA75" s="1" t="n">
        <v>0.820578685890059</v>
      </c>
      <c r="AB75" s="1" t="n">
        <v>-0.401668152150676</v>
      </c>
      <c r="AC75" s="1" t="n">
        <v>-0.870172370204256</v>
      </c>
      <c r="AD75" s="1" t="n">
        <v>-1.89380713651181</v>
      </c>
      <c r="AE75" s="1" t="n">
        <v>-0.393656711900984</v>
      </c>
      <c r="AF75" s="1" t="n">
        <v>-0.030903252586298</v>
      </c>
      <c r="AG75" s="1" t="n">
        <v>-0.084054357834484</v>
      </c>
      <c r="AH75" s="1" t="n">
        <v>-0.0937919279761702</v>
      </c>
      <c r="AI75" s="1" t="n">
        <v>-1.12180962722693</v>
      </c>
      <c r="AJ75" s="1" t="n">
        <v>-0.066273885365618</v>
      </c>
      <c r="AK75" s="1" t="n">
        <v>-0.0386733795351059</v>
      </c>
      <c r="AL75" s="1" t="n">
        <v>1.29056203780318</v>
      </c>
      <c r="AM75" s="1" t="n">
        <v>1.86673345435236</v>
      </c>
      <c r="AN75" s="1" t="n">
        <v>-0.136989026917792</v>
      </c>
      <c r="AO75" s="1" t="n">
        <v>-0.766305951175887</v>
      </c>
      <c r="AP75" s="1" t="n">
        <v>-0.0649821297619637</v>
      </c>
      <c r="AQ75" s="1" t="n">
        <v>-0.607621275254437</v>
      </c>
      <c r="AR75" s="1" t="n">
        <v>-0.742433815746249</v>
      </c>
      <c r="AS75" s="1" t="n">
        <v>-0.0586501519221424</v>
      </c>
      <c r="AT75" s="1" t="n">
        <v>-1.04330443115232</v>
      </c>
      <c r="AU75" s="1" t="n">
        <v>0.606106751155018</v>
      </c>
      <c r="AV75" s="1" t="n">
        <v>-0.103915549184077</v>
      </c>
      <c r="AW75" s="1" t="n">
        <v>0.250008306859953</v>
      </c>
      <c r="AX75" s="1" t="n">
        <v>-0.182940035970672</v>
      </c>
      <c r="AY75" s="1" t="n">
        <v>-0.727254447252412</v>
      </c>
      <c r="AZ75" s="1" t="n">
        <v>-0.947959559748852</v>
      </c>
      <c r="BA75" s="1" t="n">
        <v>-0.237276004324541</v>
      </c>
      <c r="BB75" s="1" t="n">
        <v>-0.548760337427812</v>
      </c>
      <c r="BC75" s="1" t="n">
        <v>0.233901333209576</v>
      </c>
      <c r="BD75" s="1" t="n">
        <v>-0.00443170319763937</v>
      </c>
      <c r="BE75" s="1" t="n">
        <v>-1.36230674792273</v>
      </c>
      <c r="BF75" s="1" t="n">
        <v>0.0671212994283517</v>
      </c>
      <c r="BG75" s="1" t="n">
        <v>-1.34286041714076</v>
      </c>
      <c r="BH75" s="1" t="n">
        <v>-0.616477625519281</v>
      </c>
      <c r="BI75" s="1" t="n">
        <v>-0.294353609217847</v>
      </c>
      <c r="BJ75" s="1" t="n">
        <v>-2.07527327791131</v>
      </c>
    </row>
    <row r="76" customFormat="false" ht="15" hidden="false" customHeight="true" outlineLevel="0" collapsed="false">
      <c r="C76" s="1" t="n">
        <v>0.0915074478599813</v>
      </c>
      <c r="D76" s="1" t="n">
        <v>0.150983349714335</v>
      </c>
      <c r="E76" s="1" t="n">
        <v>-0.158024193424673</v>
      </c>
      <c r="F76" s="1" t="n">
        <v>-0.424317272471594</v>
      </c>
      <c r="G76" s="1" t="n">
        <v>-0.37360366010814</v>
      </c>
      <c r="H76" s="1" t="n">
        <v>-0.976539468611057</v>
      </c>
      <c r="I76" s="1" t="n">
        <v>-0.269700369728812</v>
      </c>
      <c r="J76" s="1" t="n">
        <v>-0.552611803514862</v>
      </c>
      <c r="K76" s="1" t="n">
        <v>0.0916853926873988</v>
      </c>
      <c r="L76" s="1" t="n">
        <v>-1.20413608954486</v>
      </c>
      <c r="M76" s="1" t="n">
        <v>0.235589909011144</v>
      </c>
      <c r="N76" s="1" t="n">
        <v>0.14321889347767</v>
      </c>
      <c r="O76" s="1" t="n">
        <v>-0.141562832178724</v>
      </c>
      <c r="P76" s="1" t="n">
        <v>-0.439204823086289</v>
      </c>
      <c r="Q76" s="1" t="n">
        <v>0.552339892470113</v>
      </c>
      <c r="R76" s="1" t="n">
        <v>-1.66460170679387</v>
      </c>
      <c r="S76" s="1" t="n">
        <v>0.46045333814512</v>
      </c>
      <c r="T76" s="1" t="n">
        <v>0.243037466190372</v>
      </c>
      <c r="U76" s="1" t="n">
        <v>0.283376292534616</v>
      </c>
      <c r="V76" s="1" t="n">
        <v>0.383312592432675</v>
      </c>
      <c r="W76" s="1" t="n">
        <v>-0.65364440659285</v>
      </c>
      <c r="X76" s="1" t="n">
        <v>-0.259460058301436</v>
      </c>
      <c r="Y76" s="1" t="n">
        <v>0.637058331216349</v>
      </c>
      <c r="Z76" s="1" t="n">
        <v>0.43063924408311</v>
      </c>
      <c r="AA76" s="1" t="n">
        <v>0.206712765442649</v>
      </c>
      <c r="AB76" s="1" t="n">
        <v>-1.51432024511963</v>
      </c>
      <c r="AC76" s="1" t="n">
        <v>0.537887114883208</v>
      </c>
      <c r="AD76" s="1" t="n">
        <v>1.16947099199311</v>
      </c>
      <c r="AE76" s="1" t="n">
        <v>1.00967149304286</v>
      </c>
      <c r="AF76" s="1" t="n">
        <v>0.233878048769105</v>
      </c>
      <c r="AG76" s="1" t="n">
        <v>-1.5576786036042</v>
      </c>
      <c r="AH76" s="1" t="n">
        <v>0.94254481422802</v>
      </c>
      <c r="AI76" s="1" t="n">
        <v>-0.147254636719767</v>
      </c>
      <c r="AJ76" s="1" t="n">
        <v>-2.53251964806697</v>
      </c>
      <c r="AK76" s="1" t="n">
        <v>0.377207403107204</v>
      </c>
      <c r="AL76" s="1" t="n">
        <v>-1.49217178307954</v>
      </c>
      <c r="AM76" s="1" t="n">
        <v>-1.29644058019506</v>
      </c>
      <c r="AN76" s="1" t="n">
        <v>-0.634958892373853</v>
      </c>
      <c r="AO76" s="1" t="n">
        <v>1.27259117788288</v>
      </c>
      <c r="AP76" s="1" t="n">
        <v>-0.370845354178393</v>
      </c>
      <c r="AQ76" s="1" t="n">
        <v>0.270991587736716</v>
      </c>
      <c r="AR76" s="1" t="n">
        <v>1.74796796375223</v>
      </c>
      <c r="AS76" s="1" t="n">
        <v>1.59402976265579</v>
      </c>
      <c r="AT76" s="1" t="n">
        <v>-0.103353415827365</v>
      </c>
      <c r="AU76" s="1" t="n">
        <v>-0.241521022060511</v>
      </c>
      <c r="AV76" s="1" t="n">
        <v>-1.26087063408955</v>
      </c>
      <c r="AW76" s="1" t="n">
        <v>-0.694458074181591</v>
      </c>
      <c r="AX76" s="1" t="n">
        <v>0.42535834761277</v>
      </c>
      <c r="AY76" s="1" t="n">
        <v>0.395730761809647</v>
      </c>
      <c r="AZ76" s="1" t="n">
        <v>0.11023823117396</v>
      </c>
      <c r="BA76" s="1" t="n">
        <v>0.994801657563925</v>
      </c>
      <c r="BB76" s="1" t="n">
        <v>-0.772368013033181</v>
      </c>
      <c r="BC76" s="1" t="n">
        <v>-0.056076520183465</v>
      </c>
      <c r="BD76" s="1" t="n">
        <v>0.731242988494812</v>
      </c>
      <c r="BE76" s="1" t="n">
        <v>0.584145906227918</v>
      </c>
      <c r="BF76" s="1" t="n">
        <v>1.07094577573242</v>
      </c>
      <c r="BG76" s="1" t="n">
        <v>0.397020406765061</v>
      </c>
      <c r="BH76" s="1" t="n">
        <v>-0.309402555596832</v>
      </c>
      <c r="BI76" s="1" t="n">
        <v>0.3621922602624</v>
      </c>
      <c r="BJ76" s="1" t="n">
        <v>-1.00259519638411</v>
      </c>
    </row>
    <row r="77" customFormat="false" ht="15" hidden="false" customHeight="true" outlineLevel="0" collapsed="false">
      <c r="C77" s="1" t="n">
        <v>-1.63945933154313</v>
      </c>
      <c r="D77" s="1" t="n">
        <v>0.580671780897177</v>
      </c>
      <c r="E77" s="1" t="n">
        <v>-0.0551403328210084</v>
      </c>
      <c r="F77" s="1" t="n">
        <v>0.308409626417009</v>
      </c>
      <c r="G77" s="1" t="n">
        <v>-1.69768436384142</v>
      </c>
      <c r="H77" s="1" t="n">
        <v>-0.36511402472543</v>
      </c>
      <c r="I77" s="1" t="n">
        <v>-0.599857113731528</v>
      </c>
      <c r="J77" s="1" t="n">
        <v>-0.86421211473667</v>
      </c>
      <c r="K77" s="1" t="n">
        <v>-2.25501500646246</v>
      </c>
      <c r="L77" s="1" t="n">
        <v>-0.334873482137051</v>
      </c>
      <c r="M77" s="1" t="n">
        <v>0.897304288166191</v>
      </c>
      <c r="N77" s="1" t="n">
        <v>0.380997721863738</v>
      </c>
      <c r="O77" s="1" t="n">
        <v>-0.600946609665806</v>
      </c>
      <c r="P77" s="1" t="n">
        <v>-0.0148759716503002</v>
      </c>
      <c r="Q77" s="1" t="n">
        <v>0.756800080238009</v>
      </c>
      <c r="R77" s="1" t="n">
        <v>-2.76041786265419</v>
      </c>
      <c r="S77" s="1" t="n">
        <v>-0.124536546806638</v>
      </c>
      <c r="T77" s="1" t="n">
        <v>0.543200147181438</v>
      </c>
      <c r="U77" s="1" t="n">
        <v>0.682128625234175</v>
      </c>
      <c r="V77" s="1" t="n">
        <v>1.70073020701003</v>
      </c>
      <c r="W77" s="1" t="n">
        <v>1.13504567909648</v>
      </c>
      <c r="X77" s="1" t="n">
        <v>0.312562834746247</v>
      </c>
      <c r="Y77" s="1" t="n">
        <v>0.301976006115427</v>
      </c>
      <c r="Z77" s="1" t="n">
        <v>0.7869453479946</v>
      </c>
      <c r="AA77" s="1" t="n">
        <v>-0.539326994742341</v>
      </c>
      <c r="AB77" s="1" t="n">
        <v>-0.0401880549431852</v>
      </c>
      <c r="AC77" s="1" t="n">
        <v>0.906239003078537</v>
      </c>
      <c r="AD77" s="1" t="n">
        <v>1.95744521489509</v>
      </c>
      <c r="AE77" s="1" t="n">
        <v>-0.159267305731742</v>
      </c>
      <c r="AF77" s="1" t="n">
        <v>-0.048400689329864</v>
      </c>
      <c r="AG77" s="1" t="n">
        <v>0.198480193787679</v>
      </c>
      <c r="AH77" s="1" t="n">
        <v>1.34320369400806</v>
      </c>
      <c r="AI77" s="1" t="n">
        <v>-0.0303133035891503</v>
      </c>
      <c r="AJ77" s="1" t="n">
        <v>1.46935903647115</v>
      </c>
      <c r="AK77" s="1" t="n">
        <v>-0.966657217428751</v>
      </c>
      <c r="AL77" s="1" t="n">
        <v>-0.186036295736995</v>
      </c>
      <c r="AM77" s="1" t="n">
        <v>-0.198165156685526</v>
      </c>
      <c r="AN77" s="1" t="n">
        <v>0.78650572409622</v>
      </c>
      <c r="AO77" s="1" t="n">
        <v>1.04526037697828</v>
      </c>
      <c r="AP77" s="1" t="n">
        <v>-1.50944435811823</v>
      </c>
      <c r="AQ77" s="1" t="n">
        <v>-0.915117625811225</v>
      </c>
      <c r="AR77" s="1" t="n">
        <v>0.336852478776462</v>
      </c>
      <c r="AS77" s="1" t="n">
        <v>-0.658693645885815</v>
      </c>
      <c r="AT77" s="1" t="n">
        <v>-1.52242777564764</v>
      </c>
      <c r="AU77" s="1" t="n">
        <v>1.03847997202348</v>
      </c>
      <c r="AV77" s="1" t="n">
        <v>0.493970084153648</v>
      </c>
      <c r="AW77" s="1" t="n">
        <v>0.493177496860747</v>
      </c>
      <c r="AX77" s="1" t="n">
        <v>-0.475445716446095</v>
      </c>
      <c r="AY77" s="1" t="n">
        <v>1.02893845216732</v>
      </c>
      <c r="AZ77" s="1" t="n">
        <v>-0.23995999642712</v>
      </c>
      <c r="BA77" s="1" t="n">
        <v>1.09643527782295</v>
      </c>
      <c r="BB77" s="1" t="n">
        <v>-0.911665150942622</v>
      </c>
      <c r="BC77" s="1" t="n">
        <v>-0.854135447683801</v>
      </c>
      <c r="BD77" s="1" t="n">
        <v>0.204663210597696</v>
      </c>
      <c r="BE77" s="1" t="n">
        <v>-0.702332145797059</v>
      </c>
      <c r="BF77" s="1" t="n">
        <v>0.67545106536883</v>
      </c>
      <c r="BG77" s="1" t="n">
        <v>0.260087744129054</v>
      </c>
      <c r="BH77" s="1" t="n">
        <v>-0.922971217863099</v>
      </c>
      <c r="BI77" s="1" t="n">
        <v>0.0728656009451002</v>
      </c>
      <c r="BJ77" s="1" t="n">
        <v>-0.351277688187367</v>
      </c>
    </row>
    <row r="78" customFormat="false" ht="15" hidden="false" customHeight="true" outlineLevel="0" collapsed="false">
      <c r="C78" s="1" t="n">
        <v>0.915832829177047</v>
      </c>
      <c r="D78" s="1" t="n">
        <v>-0.632552983178204</v>
      </c>
      <c r="E78" s="1" t="n">
        <v>-0.43917309547288</v>
      </c>
      <c r="F78" s="1" t="n">
        <v>1.21123690537634</v>
      </c>
      <c r="G78" s="1" t="n">
        <v>2.23859338924251</v>
      </c>
      <c r="H78" s="1" t="n">
        <v>1.99900866422794</v>
      </c>
      <c r="I78" s="1" t="n">
        <v>0.0632230116606082</v>
      </c>
      <c r="J78" s="1" t="n">
        <v>0.218854707068224</v>
      </c>
      <c r="K78" s="1" t="n">
        <v>1.53345866228266</v>
      </c>
      <c r="L78" s="1" t="n">
        <v>-0.124434806244631</v>
      </c>
      <c r="M78" s="1" t="n">
        <v>-0.976349137137366</v>
      </c>
      <c r="N78" s="1" t="n">
        <v>0.116875597436298</v>
      </c>
      <c r="O78" s="1" t="n">
        <v>0.451516780532132</v>
      </c>
      <c r="P78" s="1" t="n">
        <v>-0.829149617818248</v>
      </c>
      <c r="Q78" s="1" t="n">
        <v>-1.64623114149915</v>
      </c>
      <c r="R78" s="1" t="n">
        <v>-1.4367295145541</v>
      </c>
      <c r="S78" s="1" t="n">
        <v>0.665429284172329</v>
      </c>
      <c r="T78" s="1" t="n">
        <v>-0.758376516311844</v>
      </c>
      <c r="U78" s="1" t="n">
        <v>-0.141347092371114</v>
      </c>
      <c r="V78" s="1" t="n">
        <v>0.212558684337839</v>
      </c>
      <c r="W78" s="1" t="n">
        <v>0.61914087909471</v>
      </c>
      <c r="X78" s="1" t="n">
        <v>-0.334902798713474</v>
      </c>
      <c r="Y78" s="1" t="n">
        <v>0.498715700480602</v>
      </c>
      <c r="Z78" s="1" t="n">
        <v>-0.890060292120843</v>
      </c>
      <c r="AA78" s="1" t="n">
        <v>-0.361714025678012</v>
      </c>
      <c r="AB78" s="1" t="n">
        <v>-1.02441558778787</v>
      </c>
      <c r="AC78" s="1" t="n">
        <v>1.13176721636192</v>
      </c>
      <c r="AD78" s="1" t="n">
        <v>-0.0270832280669912</v>
      </c>
      <c r="AE78" s="1" t="n">
        <v>-0.7393074876303</v>
      </c>
      <c r="AF78" s="1" t="n">
        <v>-0.352371798065147</v>
      </c>
      <c r="AG78" s="1" t="n">
        <v>-0.221728480723275</v>
      </c>
      <c r="AH78" s="1" t="n">
        <v>0.70051979132501</v>
      </c>
      <c r="AI78" s="1" t="n">
        <v>-1.59563617818524</v>
      </c>
      <c r="AJ78" s="1" t="n">
        <v>-1.03720584162542</v>
      </c>
      <c r="AK78" s="1" t="n">
        <v>-0.378107251557497</v>
      </c>
      <c r="AL78" s="1" t="n">
        <v>2.53230583276781</v>
      </c>
      <c r="AM78" s="1" t="n">
        <v>0.955678892531995</v>
      </c>
      <c r="AN78" s="1" t="n">
        <v>-0.111451679130944</v>
      </c>
      <c r="AO78" s="1" t="n">
        <v>0.71199958241084</v>
      </c>
      <c r="AP78" s="1" t="n">
        <v>2.05743616963034</v>
      </c>
      <c r="AQ78" s="1" t="n">
        <v>-0.23374392677539</v>
      </c>
      <c r="AR78" s="1" t="n">
        <v>-0.36641334409756</v>
      </c>
      <c r="AS78" s="1" t="n">
        <v>1.2119435432219</v>
      </c>
      <c r="AT78" s="1" t="n">
        <v>0.494175498132943</v>
      </c>
      <c r="AU78" s="1" t="n">
        <v>0.671333155322557</v>
      </c>
      <c r="AV78" s="1" t="n">
        <v>-0.508222399280581</v>
      </c>
      <c r="AW78" s="1" t="n">
        <v>1.92420313234274</v>
      </c>
      <c r="AX78" s="1" t="n">
        <v>1.70959080159366</v>
      </c>
      <c r="AY78" s="1" t="n">
        <v>0.56594778887275</v>
      </c>
      <c r="AZ78" s="1" t="n">
        <v>0.684289838147238</v>
      </c>
      <c r="BA78" s="1" t="n">
        <v>-2.02726087224304</v>
      </c>
      <c r="BB78" s="1" t="n">
        <v>0.637709793497208</v>
      </c>
      <c r="BC78" s="1" t="n">
        <v>-0.194108587225323</v>
      </c>
      <c r="BD78" s="1" t="n">
        <v>0.433905705828222</v>
      </c>
      <c r="BE78" s="1" t="n">
        <v>0.682459411846098</v>
      </c>
      <c r="BF78" s="1" t="n">
        <v>-0.341291768108275</v>
      </c>
      <c r="BG78" s="1" t="n">
        <v>-1.69048180018708</v>
      </c>
      <c r="BH78" s="1" t="n">
        <v>0.367874565074235</v>
      </c>
      <c r="BI78" s="1" t="n">
        <v>-0.741383652440395</v>
      </c>
      <c r="BJ78" s="1" t="n">
        <v>-0.330194092724339</v>
      </c>
    </row>
    <row r="79" customFormat="false" ht="15" hidden="false" customHeight="true" outlineLevel="0" collapsed="false">
      <c r="C79" s="1" t="n">
        <v>-0.604509844094195</v>
      </c>
      <c r="D79" s="1" t="n">
        <v>-0.341574255255188</v>
      </c>
      <c r="E79" s="1" t="n">
        <v>-2.30952095726594</v>
      </c>
      <c r="F79" s="1" t="n">
        <v>1.21694712723152</v>
      </c>
      <c r="G79" s="1" t="n">
        <v>0.253346102326474</v>
      </c>
      <c r="H79" s="1" t="n">
        <v>1.11139926291886</v>
      </c>
      <c r="I79" s="1" t="n">
        <v>1.97984182980994</v>
      </c>
      <c r="J79" s="1" t="n">
        <v>0.0225931225627507</v>
      </c>
      <c r="K79" s="1" t="n">
        <v>-1.80243625584058</v>
      </c>
      <c r="L79" s="1" t="n">
        <v>-0.893886850379585</v>
      </c>
      <c r="M79" s="1" t="n">
        <v>-1.20690448089671</v>
      </c>
      <c r="N79" s="1" t="n">
        <v>-0.501874643144999</v>
      </c>
      <c r="O79" s="1" t="n">
        <v>0.0796479780659775</v>
      </c>
      <c r="P79" s="1" t="n">
        <v>-2.00218726702324</v>
      </c>
      <c r="Q79" s="1" t="n">
        <v>0.342475493341552</v>
      </c>
      <c r="R79" s="1" t="n">
        <v>-1.51035665328588</v>
      </c>
      <c r="S79" s="1" t="n">
        <v>0.297365262800011</v>
      </c>
      <c r="T79" s="1" t="n">
        <v>-0.109491145176981</v>
      </c>
      <c r="U79" s="1" t="n">
        <v>-0.313631239192578</v>
      </c>
      <c r="V79" s="1" t="n">
        <v>-0.0730430559413132</v>
      </c>
      <c r="W79" s="1" t="n">
        <v>-0.539778015731692</v>
      </c>
      <c r="X79" s="1" t="n">
        <v>-0.612471443404174</v>
      </c>
      <c r="Y79" s="1" t="n">
        <v>-1.68275639086889</v>
      </c>
      <c r="Z79" s="1" t="n">
        <v>-0.0296273148493293</v>
      </c>
      <c r="AA79" s="1" t="n">
        <v>1.84553371062332</v>
      </c>
      <c r="AB79" s="1" t="n">
        <v>1.98049506288461</v>
      </c>
      <c r="AC79" s="1" t="n">
        <v>1.32181759654494</v>
      </c>
      <c r="AD79" s="1" t="n">
        <v>0.705801600851558</v>
      </c>
      <c r="AE79" s="1" t="n">
        <v>-0.676480124079988</v>
      </c>
      <c r="AF79" s="1" t="n">
        <v>1.44275078821626</v>
      </c>
      <c r="AG79" s="1" t="n">
        <v>-0.056127554440969</v>
      </c>
      <c r="AH79" s="1" t="n">
        <v>-0.0688755097630734</v>
      </c>
      <c r="AI79" s="1" t="n">
        <v>-0.291227131839265</v>
      </c>
      <c r="AJ79" s="1" t="n">
        <v>0.0919618990182956</v>
      </c>
      <c r="AK79" s="1" t="n">
        <v>-0.435214901588056</v>
      </c>
      <c r="AL79" s="1" t="n">
        <v>-0.0837821693731063</v>
      </c>
      <c r="AM79" s="1" t="n">
        <v>-1.08459910872726</v>
      </c>
      <c r="AN79" s="1" t="n">
        <v>-0.373663704740519</v>
      </c>
      <c r="AO79" s="1" t="n">
        <v>2.28055646994982</v>
      </c>
      <c r="AP79" s="1" t="n">
        <v>-0.0695940279619468</v>
      </c>
      <c r="AQ79" s="1" t="n">
        <v>-0.238660564771763</v>
      </c>
      <c r="AR79" s="1" t="n">
        <v>0.532374279105053</v>
      </c>
      <c r="AS79" s="1" t="n">
        <v>0.708121821703462</v>
      </c>
      <c r="AT79" s="1" t="n">
        <v>-1.11376885917207</v>
      </c>
      <c r="AU79" s="1" t="n">
        <v>-0.207158782803245</v>
      </c>
      <c r="AV79" s="1" t="n">
        <v>0.918275840934765</v>
      </c>
      <c r="AW79" s="1" t="n">
        <v>0.269837629072106</v>
      </c>
      <c r="AX79" s="1" t="n">
        <v>0.121954043501772</v>
      </c>
      <c r="AY79" s="1" t="n">
        <v>1.55401766860873</v>
      </c>
      <c r="AZ79" s="1" t="n">
        <v>-0.677772759639644</v>
      </c>
      <c r="BA79" s="1" t="n">
        <v>0.0827458951076332</v>
      </c>
      <c r="BB79" s="1" t="n">
        <v>-0.520058665255071</v>
      </c>
      <c r="BC79" s="1" t="n">
        <v>1.49030822907624</v>
      </c>
      <c r="BD79" s="1" t="n">
        <v>-1.95186039927653</v>
      </c>
      <c r="BE79" s="1" t="n">
        <v>-0.67014169548376</v>
      </c>
      <c r="BF79" s="1" t="n">
        <v>-0.529156966027918</v>
      </c>
      <c r="BG79" s="1" t="n">
        <v>0.66353962317159</v>
      </c>
      <c r="BH79" s="1" t="n">
        <v>0.606275476109527</v>
      </c>
      <c r="BI79" s="1" t="n">
        <v>1.39519426023873</v>
      </c>
      <c r="BJ79" s="1" t="n">
        <v>-1.57403284233733</v>
      </c>
    </row>
    <row r="80" customFormat="false" ht="15" hidden="false" customHeight="true" outlineLevel="0" collapsed="false">
      <c r="C80" s="1" t="n">
        <v>0.75047500903048</v>
      </c>
      <c r="D80" s="1" t="n">
        <v>-0.293279864288306</v>
      </c>
      <c r="E80" s="1" t="n">
        <v>-0.665625237258176</v>
      </c>
      <c r="F80" s="1" t="n">
        <v>0.539568533372521</v>
      </c>
      <c r="G80" s="1" t="n">
        <v>-0.920139582735649</v>
      </c>
      <c r="H80" s="1" t="n">
        <v>-2.07691329531432</v>
      </c>
      <c r="I80" s="1" t="n">
        <v>-0.370218488922635</v>
      </c>
      <c r="J80" s="1" t="n">
        <v>-1.4977708516419</v>
      </c>
      <c r="K80" s="1" t="n">
        <v>-0.648915821070678</v>
      </c>
      <c r="L80" s="1" t="n">
        <v>0.371554763751101</v>
      </c>
      <c r="M80" s="1" t="n">
        <v>0.311999745614158</v>
      </c>
      <c r="N80" s="1" t="n">
        <v>1.58689944897857</v>
      </c>
      <c r="O80" s="1" t="n">
        <v>-0.199654746943487</v>
      </c>
      <c r="P80" s="1" t="n">
        <v>-1.53333159054786</v>
      </c>
      <c r="Q80" s="1" t="n">
        <v>-0.756096856635678</v>
      </c>
      <c r="R80" s="1" t="n">
        <v>-0.919384224626272</v>
      </c>
      <c r="S80" s="1" t="n">
        <v>-1.21782515845825</v>
      </c>
      <c r="T80" s="1" t="n">
        <v>0.435367195015441</v>
      </c>
      <c r="U80" s="1" t="n">
        <v>-0.64523233796524</v>
      </c>
      <c r="V80" s="1" t="n">
        <v>-1.97737281668701</v>
      </c>
      <c r="W80" s="1" t="n">
        <v>0.696922803119213</v>
      </c>
      <c r="X80" s="1" t="n">
        <v>-0.111426568706707</v>
      </c>
      <c r="Y80" s="1" t="n">
        <v>0.356837278352539</v>
      </c>
      <c r="Z80" s="1" t="n">
        <v>0.105721544699983</v>
      </c>
      <c r="AA80" s="1" t="n">
        <v>0.631654734148375</v>
      </c>
      <c r="AB80" s="1" t="n">
        <v>0.0380187470155357</v>
      </c>
      <c r="AC80" s="1" t="n">
        <v>1.23620248347821</v>
      </c>
      <c r="AD80" s="1" t="n">
        <v>0.424982789977226</v>
      </c>
      <c r="AE80" s="1" t="n">
        <v>0.392067623388403</v>
      </c>
      <c r="AF80" s="1" t="n">
        <v>0.409866917682557</v>
      </c>
      <c r="AG80" s="1" t="n">
        <v>-1.45663774256872</v>
      </c>
      <c r="AH80" s="1" t="n">
        <v>-0.16463575180372</v>
      </c>
      <c r="AI80" s="1" t="n">
        <v>-0.259316489549498</v>
      </c>
      <c r="AJ80" s="1" t="n">
        <v>0.207546721160484</v>
      </c>
      <c r="AK80" s="1" t="n">
        <v>-1.35869416429629</v>
      </c>
      <c r="AL80" s="1" t="n">
        <v>1.63411477689291</v>
      </c>
      <c r="AM80" s="1" t="n">
        <v>0.104388664156527</v>
      </c>
      <c r="AN80" s="1" t="n">
        <v>-1.21131754065067</v>
      </c>
      <c r="AO80" s="1" t="n">
        <v>-1.70888696357884</v>
      </c>
      <c r="AP80" s="1" t="n">
        <v>-0.281287293720669</v>
      </c>
      <c r="AQ80" s="1" t="n">
        <v>-0.0896754129264658</v>
      </c>
      <c r="AR80" s="1" t="n">
        <v>-0.71829208597439</v>
      </c>
      <c r="AS80" s="1" t="n">
        <v>0.092113827923923</v>
      </c>
      <c r="AT80" s="1" t="n">
        <v>-0.641175767239561</v>
      </c>
      <c r="AU80" s="1" t="n">
        <v>0.551658251706299</v>
      </c>
      <c r="AV80" s="1" t="n">
        <v>-0.724541818388884</v>
      </c>
      <c r="AW80" s="1" t="n">
        <v>-0.0385002251049252</v>
      </c>
      <c r="AX80" s="1" t="n">
        <v>0.978839173362138</v>
      </c>
      <c r="AY80" s="1" t="n">
        <v>2.57166888291029</v>
      </c>
      <c r="AZ80" s="1" t="n">
        <v>-1.00764319263061</v>
      </c>
      <c r="BA80" s="1" t="n">
        <v>-0.464507770087099</v>
      </c>
      <c r="BB80" s="1" t="n">
        <v>-0.839835697799935</v>
      </c>
      <c r="BC80" s="1" t="n">
        <v>0.784328321769275</v>
      </c>
      <c r="BD80" s="1" t="n">
        <v>-1.14809930571756</v>
      </c>
      <c r="BE80" s="1" t="n">
        <v>-0.484357045593087</v>
      </c>
      <c r="BF80" s="1" t="n">
        <v>-0.0296012832375103</v>
      </c>
      <c r="BG80" s="1" t="n">
        <v>-0.978678539479744</v>
      </c>
      <c r="BH80" s="1" t="n">
        <v>-0.957325042309181</v>
      </c>
      <c r="BI80" s="1" t="n">
        <v>-0.475622888121865</v>
      </c>
      <c r="BJ80" s="1" t="n">
        <v>-2.10044024033736</v>
      </c>
    </row>
    <row r="81" customFormat="false" ht="15" hidden="false" customHeight="true" outlineLevel="0" collapsed="false">
      <c r="C81" s="1" t="n">
        <v>-1.44547821707333</v>
      </c>
      <c r="D81" s="1" t="n">
        <v>-0.413034087793174</v>
      </c>
      <c r="E81" s="1" t="n">
        <v>0.148230636341999</v>
      </c>
      <c r="F81" s="1" t="n">
        <v>-0.185759985953593</v>
      </c>
      <c r="G81" s="1" t="n">
        <v>-1.77396869483939</v>
      </c>
      <c r="H81" s="1" t="n">
        <v>-0.463786291759998</v>
      </c>
      <c r="I81" s="1" t="n">
        <v>0.798437640506176</v>
      </c>
      <c r="J81" s="1" t="n">
        <v>0.555865511991322</v>
      </c>
      <c r="K81" s="1" t="n">
        <v>-0.0787478615278344</v>
      </c>
      <c r="L81" s="1" t="n">
        <v>-0.887369875098203</v>
      </c>
      <c r="M81" s="1" t="n">
        <v>0.631216370952206</v>
      </c>
      <c r="N81" s="1" t="n">
        <v>-0.578928981209947</v>
      </c>
      <c r="O81" s="1" t="n">
        <v>-1.16924840247402</v>
      </c>
      <c r="P81" s="1" t="n">
        <v>-0.802186235161789</v>
      </c>
      <c r="Q81" s="1" t="n">
        <v>1.44834529177415</v>
      </c>
      <c r="R81" s="1" t="n">
        <v>0.220180038201693</v>
      </c>
      <c r="S81" s="1" t="n">
        <v>1.15924705304771</v>
      </c>
      <c r="T81" s="1" t="n">
        <v>-0.479336313309368</v>
      </c>
      <c r="U81" s="1" t="n">
        <v>0.938149339185143</v>
      </c>
      <c r="V81" s="1" t="n">
        <v>-0.601504043618077</v>
      </c>
      <c r="W81" s="1" t="n">
        <v>-0.157427369032831</v>
      </c>
      <c r="X81" s="1" t="n">
        <v>2.48635025995569</v>
      </c>
      <c r="Y81" s="1" t="n">
        <v>0.767148632299617</v>
      </c>
      <c r="Z81" s="1" t="n">
        <v>-0.501170375327693</v>
      </c>
      <c r="AA81" s="1" t="n">
        <v>-0.0848190390267198</v>
      </c>
      <c r="AB81" s="1" t="n">
        <v>0.326223420885645</v>
      </c>
      <c r="AC81" s="1" t="n">
        <v>1.2104575895159</v>
      </c>
      <c r="AD81" s="1" t="n">
        <v>-0.48913309167015</v>
      </c>
      <c r="AE81" s="1" t="n">
        <v>-1.74131908460448</v>
      </c>
      <c r="AF81" s="1" t="n">
        <v>-0.279641813126307</v>
      </c>
      <c r="AG81" s="1" t="n">
        <v>0.0153854571637566</v>
      </c>
      <c r="AH81" s="1" t="n">
        <v>0.10953796873524</v>
      </c>
      <c r="AI81" s="1" t="n">
        <v>1.31669013618266</v>
      </c>
      <c r="AJ81" s="1" t="n">
        <v>0.316687078305928</v>
      </c>
      <c r="AK81" s="1" t="n">
        <v>0.812916971635985</v>
      </c>
      <c r="AL81" s="1" t="n">
        <v>-1.1011136939248</v>
      </c>
      <c r="AM81" s="1" t="n">
        <v>0.867901488424548</v>
      </c>
      <c r="AN81" s="1" t="n">
        <v>2.09621983165628</v>
      </c>
      <c r="AO81" s="1" t="n">
        <v>0.772909290250178</v>
      </c>
      <c r="AP81" s="1" t="n">
        <v>0.253555719940718</v>
      </c>
      <c r="AQ81" s="1" t="n">
        <v>0.153988188407743</v>
      </c>
      <c r="AR81" s="1" t="n">
        <v>1.787142239026</v>
      </c>
      <c r="AS81" s="1" t="n">
        <v>-0.927181483390863</v>
      </c>
      <c r="AT81" s="1" t="n">
        <v>-0.11110235795405</v>
      </c>
      <c r="AU81" s="1" t="n">
        <v>0.460207592938214</v>
      </c>
      <c r="AV81" s="1" t="n">
        <v>0.744001107813199</v>
      </c>
      <c r="AW81" s="1" t="n">
        <v>-0.437327905708386</v>
      </c>
      <c r="AX81" s="1" t="n">
        <v>0.307321394727235</v>
      </c>
      <c r="AY81" s="1" t="n">
        <v>-0.277921481351122</v>
      </c>
      <c r="AZ81" s="1" t="n">
        <v>0.12047113280128</v>
      </c>
      <c r="BA81" s="1" t="n">
        <v>-0.132091540373896</v>
      </c>
      <c r="BB81" s="1" t="n">
        <v>-1.14159367785555</v>
      </c>
      <c r="BC81" s="1" t="n">
        <v>-0.0211135850234467</v>
      </c>
      <c r="BD81" s="1" t="n">
        <v>0.877151522061836</v>
      </c>
      <c r="BE81" s="1" t="n">
        <v>-0.967018291541674</v>
      </c>
      <c r="BF81" s="1" t="n">
        <v>-0.241091748774835</v>
      </c>
      <c r="BG81" s="1" t="n">
        <v>0.664780064457149</v>
      </c>
      <c r="BH81" s="1" t="n">
        <v>-1.06986510674717</v>
      </c>
      <c r="BI81" s="1" t="n">
        <v>0.182638337508159</v>
      </c>
      <c r="BJ81" s="1" t="n">
        <v>-1.06012981895344</v>
      </c>
    </row>
    <row r="82" customFormat="false" ht="15" hidden="false" customHeight="true" outlineLevel="0" collapsed="false">
      <c r="C82" s="1" t="n">
        <v>1.13463050083378</v>
      </c>
      <c r="D82" s="1" t="n">
        <v>2.31282138187986</v>
      </c>
      <c r="E82" s="1" t="n">
        <v>2.02225528424576</v>
      </c>
      <c r="F82" s="1" t="n">
        <v>-0.219180677773138</v>
      </c>
      <c r="G82" s="1" t="n">
        <v>0.740199128740626</v>
      </c>
      <c r="H82" s="1" t="n">
        <v>0.120997728500156</v>
      </c>
      <c r="I82" s="1" t="n">
        <v>0.102105896069285</v>
      </c>
      <c r="J82" s="1" t="n">
        <v>1.54775706093783</v>
      </c>
      <c r="K82" s="1" t="n">
        <v>-1.31917957618415</v>
      </c>
      <c r="L82" s="1" t="n">
        <v>1.05529459746612</v>
      </c>
      <c r="M82" s="1" t="n">
        <v>-0.0489759951557343</v>
      </c>
      <c r="N82" s="1" t="n">
        <v>1.40854062060414</v>
      </c>
      <c r="O82" s="1" t="n">
        <v>0.187233368899443</v>
      </c>
      <c r="P82" s="1" t="n">
        <v>-0.672671994526185</v>
      </c>
      <c r="Q82" s="1" t="n">
        <v>0.277140376751383</v>
      </c>
      <c r="R82" s="1" t="n">
        <v>0.735967095029683</v>
      </c>
      <c r="S82" s="1" t="n">
        <v>0.0357636741111941</v>
      </c>
      <c r="T82" s="1" t="n">
        <v>0.488038276556598</v>
      </c>
      <c r="U82" s="1" t="n">
        <v>-0.521675175701983</v>
      </c>
      <c r="V82" s="1" t="n">
        <v>-2.13388390084507</v>
      </c>
      <c r="W82" s="1" t="n">
        <v>0.900023583773342</v>
      </c>
      <c r="X82" s="1" t="n">
        <v>0.699159736184289</v>
      </c>
      <c r="Y82" s="1" t="n">
        <v>0.148178384614334</v>
      </c>
      <c r="Z82" s="1" t="n">
        <v>0.0684105622103234</v>
      </c>
      <c r="AA82" s="1" t="n">
        <v>1.03629576935474</v>
      </c>
      <c r="AB82" s="1" t="n">
        <v>-0.457106725476561</v>
      </c>
      <c r="AC82" s="1" t="n">
        <v>-0.706534065358518</v>
      </c>
      <c r="AD82" s="1" t="n">
        <v>-0.188549869495986</v>
      </c>
      <c r="AE82" s="1" t="n">
        <v>1.18909718855153</v>
      </c>
      <c r="AF82" s="1" t="n">
        <v>-1.38711290426449</v>
      </c>
      <c r="AG82" s="1" t="n">
        <v>1.19182999261401</v>
      </c>
      <c r="AH82" s="1" t="n">
        <v>-0.639252854205514</v>
      </c>
      <c r="AI82" s="1" t="n">
        <v>-1.10074349972402</v>
      </c>
      <c r="AJ82" s="1" t="n">
        <v>1.26006183614232</v>
      </c>
      <c r="AK82" s="1" t="n">
        <v>-0.0968900947961948</v>
      </c>
      <c r="AL82" s="1" t="n">
        <v>-1.30023436438492</v>
      </c>
      <c r="AM82" s="1" t="n">
        <v>-0.358733059056433</v>
      </c>
      <c r="AN82" s="1" t="n">
        <v>0.931052430887037</v>
      </c>
      <c r="AO82" s="1" t="n">
        <v>1.19207419262177</v>
      </c>
      <c r="AP82" s="1" t="n">
        <v>-0.427098681921051</v>
      </c>
      <c r="AQ82" s="1" t="n">
        <v>0.406320759097275</v>
      </c>
      <c r="AR82" s="1" t="n">
        <v>0.71408463239443</v>
      </c>
      <c r="AS82" s="1" t="n">
        <v>-0.644626493716355</v>
      </c>
      <c r="AT82" s="1" t="n">
        <v>0.355036075166443</v>
      </c>
      <c r="AU82" s="1" t="n">
        <v>-0.0318779147555611</v>
      </c>
      <c r="AV82" s="1" t="n">
        <v>-0.536024410473093</v>
      </c>
      <c r="AW82" s="1" t="n">
        <v>-0.492147935378925</v>
      </c>
      <c r="AX82" s="1" t="n">
        <v>0.0670344818672109</v>
      </c>
      <c r="AY82" s="1" t="n">
        <v>0.0298534869586329</v>
      </c>
      <c r="AZ82" s="1" t="n">
        <v>-0.565489953324337</v>
      </c>
      <c r="BA82" s="1" t="n">
        <v>-0.42594510840016</v>
      </c>
      <c r="BB82" s="1" t="n">
        <v>1.11333723834034</v>
      </c>
      <c r="BC82" s="1" t="n">
        <v>0.213827135176984</v>
      </c>
      <c r="BD82" s="1" t="n">
        <v>0.885094366588282</v>
      </c>
      <c r="BE82" s="1" t="n">
        <v>1.20182223193742</v>
      </c>
      <c r="BF82" s="1" t="n">
        <v>0.588842259639549</v>
      </c>
      <c r="BG82" s="1" t="n">
        <v>2.27088631338243</v>
      </c>
      <c r="BH82" s="1" t="n">
        <v>-0.825304031763895</v>
      </c>
      <c r="BI82" s="1" t="n">
        <v>0.808409593082292</v>
      </c>
      <c r="BJ82" s="1" t="n">
        <v>-0.318143973031092</v>
      </c>
    </row>
    <row r="83" customFormat="false" ht="15" hidden="false" customHeight="true" outlineLevel="0" collapsed="false">
      <c r="C83" s="1" t="n">
        <v>1.85578326337128</v>
      </c>
      <c r="D83" s="1" t="n">
        <v>1.70044012139242</v>
      </c>
      <c r="E83" s="1" t="n">
        <v>-1.95421118200674</v>
      </c>
      <c r="F83" s="1" t="n">
        <v>-0.96886624251188</v>
      </c>
      <c r="G83" s="1" t="n">
        <v>0.664312910794342</v>
      </c>
      <c r="H83" s="1" t="n">
        <v>0.789867209884476</v>
      </c>
      <c r="I83" s="1" t="n">
        <v>0.736564216159277</v>
      </c>
      <c r="J83" s="1" t="n">
        <v>-0.0708653281733429</v>
      </c>
      <c r="K83" s="1" t="n">
        <v>0.455120824563477</v>
      </c>
      <c r="L83" s="1" t="n">
        <v>0.653021435786323</v>
      </c>
      <c r="M83" s="1" t="n">
        <v>-0.0778712695373239</v>
      </c>
      <c r="N83" s="1" t="n">
        <v>1.02730196836163</v>
      </c>
      <c r="O83" s="1" t="n">
        <v>-2.25949724910905</v>
      </c>
      <c r="P83" s="1" t="n">
        <v>0.633793519569992</v>
      </c>
      <c r="Q83" s="1" t="n">
        <v>-1.03405261228573</v>
      </c>
      <c r="R83" s="1" t="n">
        <v>0.958677807969389</v>
      </c>
      <c r="S83" s="1" t="n">
        <v>-0.2286844248912</v>
      </c>
      <c r="T83" s="1" t="n">
        <v>-0.888787271084025</v>
      </c>
      <c r="U83" s="1" t="n">
        <v>0.373902156744243</v>
      </c>
      <c r="V83" s="1" t="n">
        <v>-0.911333497845767</v>
      </c>
      <c r="W83" s="1" t="n">
        <v>-0.912767897555394</v>
      </c>
      <c r="X83" s="1" t="n">
        <v>-1.56729435595309</v>
      </c>
      <c r="Y83" s="1" t="n">
        <v>-0.0267077547981132</v>
      </c>
      <c r="Z83" s="1" t="n">
        <v>0.496823521690835</v>
      </c>
      <c r="AA83" s="1" t="n">
        <v>1.02302598613124</v>
      </c>
      <c r="AB83" s="1" t="n">
        <v>-0.141727861789011</v>
      </c>
      <c r="AC83" s="1" t="n">
        <v>1.04785520844765</v>
      </c>
      <c r="AD83" s="1" t="n">
        <v>0.0179609751348019</v>
      </c>
      <c r="AE83" s="1" t="n">
        <v>-0.0932884809795547</v>
      </c>
      <c r="AF83" s="1" t="n">
        <v>0.57356294785779</v>
      </c>
      <c r="AG83" s="1" t="n">
        <v>1.05839277612576</v>
      </c>
      <c r="AH83" s="1" t="n">
        <v>-0.341434454458593</v>
      </c>
      <c r="AI83" s="1" t="n">
        <v>-0.243761621955959</v>
      </c>
      <c r="AJ83" s="1" t="n">
        <v>-0.160831404699839</v>
      </c>
      <c r="AK83" s="1" t="n">
        <v>0.0827691269918388</v>
      </c>
      <c r="AL83" s="1" t="n">
        <v>-0.90040820960515</v>
      </c>
      <c r="AM83" s="1" t="n">
        <v>1.02800606006629</v>
      </c>
      <c r="AN83" s="1" t="n">
        <v>-0.400409631778333</v>
      </c>
      <c r="AO83" s="1" t="n">
        <v>0.462443456777864</v>
      </c>
      <c r="AP83" s="1" t="n">
        <v>-0.825472572223925</v>
      </c>
      <c r="AQ83" s="1" t="n">
        <v>0.358803952808894</v>
      </c>
      <c r="AR83" s="1" t="n">
        <v>0.391593015750335</v>
      </c>
      <c r="AS83" s="1" t="n">
        <v>-0.420681406797334</v>
      </c>
      <c r="AT83" s="1" t="n">
        <v>2.02088943299714</v>
      </c>
      <c r="AU83" s="1" t="n">
        <v>0.371039961241904</v>
      </c>
      <c r="AV83" s="1" t="n">
        <v>1.77692892297739</v>
      </c>
      <c r="AW83" s="1" t="n">
        <v>0.959138923898125</v>
      </c>
      <c r="AX83" s="1" t="n">
        <v>-0.662274807056067</v>
      </c>
      <c r="AY83" s="1" t="n">
        <v>-0.382186815657895</v>
      </c>
      <c r="AZ83" s="1" t="n">
        <v>0.436102067357231</v>
      </c>
      <c r="BA83" s="1" t="n">
        <v>0.0611725318387509</v>
      </c>
      <c r="BB83" s="1" t="n">
        <v>0.0494611417589325</v>
      </c>
      <c r="BC83" s="1" t="n">
        <v>-0.28620495437455</v>
      </c>
      <c r="BD83" s="1" t="n">
        <v>-1.808476355741</v>
      </c>
      <c r="BE83" s="1" t="n">
        <v>-0.225432643420692</v>
      </c>
      <c r="BF83" s="1" t="n">
        <v>-2.21812146392276</v>
      </c>
      <c r="BG83" s="1" t="n">
        <v>0.371819568784937</v>
      </c>
      <c r="BH83" s="1" t="n">
        <v>-0.726057787427706</v>
      </c>
      <c r="BI83" s="1" t="n">
        <v>-0.715416726172143</v>
      </c>
      <c r="BJ83" s="1" t="n">
        <v>-0.219303795629979</v>
      </c>
    </row>
    <row r="84" customFormat="false" ht="15" hidden="false" customHeight="true" outlineLevel="0" collapsed="false">
      <c r="C84" s="1" t="n">
        <v>0.272672346295864</v>
      </c>
      <c r="D84" s="1" t="n">
        <v>-1.43200617773596</v>
      </c>
      <c r="E84" s="1" t="n">
        <v>-1.74860118955341</v>
      </c>
      <c r="F84" s="1" t="n">
        <v>-1.06606587149981</v>
      </c>
      <c r="G84" s="1" t="n">
        <v>-2.04172752419872</v>
      </c>
      <c r="H84" s="1" t="n">
        <v>-0.966849609889298</v>
      </c>
      <c r="I84" s="1" t="n">
        <v>1.59088303052297</v>
      </c>
      <c r="J84" s="1" t="n">
        <v>-1.05658591649705</v>
      </c>
      <c r="K84" s="1" t="n">
        <v>0.651405174900184</v>
      </c>
      <c r="L84" s="1" t="n">
        <v>-1.37163480826514</v>
      </c>
      <c r="M84" s="1" t="n">
        <v>0.299120152572494</v>
      </c>
      <c r="N84" s="1" t="n">
        <v>-0.319733812212682</v>
      </c>
      <c r="O84" s="1" t="n">
        <v>-0.0598127855342729</v>
      </c>
      <c r="P84" s="1" t="n">
        <v>0.568777594367541</v>
      </c>
      <c r="Q84" s="1" t="n">
        <v>1.75624012531618</v>
      </c>
      <c r="R84" s="1" t="n">
        <v>0.194706349833274</v>
      </c>
      <c r="S84" s="1" t="n">
        <v>0.124358951396095</v>
      </c>
      <c r="T84" s="1" t="n">
        <v>-0.973367717482315</v>
      </c>
      <c r="U84" s="1" t="n">
        <v>0.583339655332333</v>
      </c>
      <c r="V84" s="1" t="n">
        <v>-0.246072330545271</v>
      </c>
      <c r="W84" s="1" t="n">
        <v>0.83200704290843</v>
      </c>
      <c r="X84" s="1" t="n">
        <v>-0.0437064504849727</v>
      </c>
      <c r="Y84" s="1" t="n">
        <v>1.74085570380985</v>
      </c>
      <c r="Z84" s="1" t="n">
        <v>-1.98291650313747</v>
      </c>
      <c r="AA84" s="1" t="n">
        <v>-0.296599360155074</v>
      </c>
      <c r="AB84" s="1" t="n">
        <v>0.881481638801259</v>
      </c>
      <c r="AC84" s="1" t="n">
        <v>-0.350692197084987</v>
      </c>
      <c r="AD84" s="1" t="n">
        <v>-0.792173069005461</v>
      </c>
      <c r="AE84" s="1" t="n">
        <v>-0.265880605739582</v>
      </c>
      <c r="AF84" s="1" t="n">
        <v>-1.37992874760734</v>
      </c>
      <c r="AG84" s="1" t="n">
        <v>0.11895377168977</v>
      </c>
      <c r="AH84" s="1" t="n">
        <v>2.44046184017322</v>
      </c>
      <c r="AI84" s="1" t="n">
        <v>1.14503149822673</v>
      </c>
      <c r="AJ84" s="1" t="n">
        <v>-1.10900910651527</v>
      </c>
      <c r="AK84" s="1" t="n">
        <v>-0.873341082328293</v>
      </c>
      <c r="AL84" s="1" t="n">
        <v>-0.404727809022454</v>
      </c>
      <c r="AM84" s="1" t="n">
        <v>1.00441612773394</v>
      </c>
      <c r="AN84" s="1" t="n">
        <v>-0.821487009169188</v>
      </c>
      <c r="AO84" s="1" t="n">
        <v>-0.690231418947534</v>
      </c>
      <c r="AP84" s="1" t="n">
        <v>0.884749433514905</v>
      </c>
      <c r="AQ84" s="1" t="n">
        <v>0.864652570475147</v>
      </c>
      <c r="AR84" s="1" t="n">
        <v>-0.373814660389449</v>
      </c>
      <c r="AS84" s="1" t="n">
        <v>-1.11776341437279</v>
      </c>
      <c r="AT84" s="1" t="n">
        <v>-1.54974482326271</v>
      </c>
      <c r="AU84" s="1" t="n">
        <v>-0.698990126910104</v>
      </c>
      <c r="AV84" s="1" t="n">
        <v>-2.23052890227153</v>
      </c>
      <c r="AW84" s="1" t="n">
        <v>0.749819881909915</v>
      </c>
      <c r="AX84" s="1" t="n">
        <v>-0.630030699804559</v>
      </c>
      <c r="AY84" s="1" t="n">
        <v>0.481293664245138</v>
      </c>
      <c r="AZ84" s="1" t="n">
        <v>1.86832488760133</v>
      </c>
      <c r="BA84" s="1" t="n">
        <v>1.17299570713286</v>
      </c>
      <c r="BB84" s="1" t="n">
        <v>-1.15113483794699</v>
      </c>
      <c r="BC84" s="1" t="n">
        <v>0.869248986476694</v>
      </c>
      <c r="BD84" s="1" t="n">
        <v>1.15785702751644</v>
      </c>
      <c r="BE84" s="1" t="n">
        <v>-0.746356518096092</v>
      </c>
      <c r="BF84" s="1" t="n">
        <v>-0.953296923072004</v>
      </c>
      <c r="BG84" s="1" t="n">
        <v>-0.109691897338542</v>
      </c>
      <c r="BH84" s="1" t="n">
        <v>-1.60142334951618</v>
      </c>
      <c r="BI84" s="1" t="n">
        <v>1.47073494930155</v>
      </c>
      <c r="BJ84" s="1" t="n">
        <v>-2.40536379303049</v>
      </c>
    </row>
    <row r="85" customFormat="false" ht="15" hidden="false" customHeight="true" outlineLevel="0" collapsed="false">
      <c r="C85" s="1" t="n">
        <v>-1.10680741574206</v>
      </c>
      <c r="D85" s="1" t="n">
        <v>-0.269565164009168</v>
      </c>
      <c r="E85" s="1" t="n">
        <v>-0.227087091330683</v>
      </c>
      <c r="F85" s="1" t="n">
        <v>0.166124173142624</v>
      </c>
      <c r="G85" s="1" t="n">
        <v>0.271448568674837</v>
      </c>
      <c r="H85" s="1" t="n">
        <v>-0.213612014625448</v>
      </c>
      <c r="I85" s="1" t="n">
        <v>1.13688631876994</v>
      </c>
      <c r="J85" s="1" t="n">
        <v>-2.13937616963719</v>
      </c>
      <c r="K85" s="1" t="n">
        <v>-0.000164513916960666</v>
      </c>
      <c r="L85" s="1" t="n">
        <v>-0.714584411715398</v>
      </c>
      <c r="M85" s="1" t="n">
        <v>0.132513435143486</v>
      </c>
      <c r="N85" s="1" t="n">
        <v>0.220759837946279</v>
      </c>
      <c r="O85" s="1" t="n">
        <v>-0.911828876494789</v>
      </c>
      <c r="P85" s="1" t="n">
        <v>-0.640948996535492</v>
      </c>
      <c r="Q85" s="1" t="n">
        <v>0.792586723251844</v>
      </c>
      <c r="R85" s="1" t="n">
        <v>0.349056268650986</v>
      </c>
      <c r="S85" s="1" t="n">
        <v>-0.680248436602478</v>
      </c>
      <c r="T85" s="1" t="n">
        <v>2.03989095934194</v>
      </c>
      <c r="U85" s="1" t="n">
        <v>2.30917764849508</v>
      </c>
      <c r="V85" s="1" t="n">
        <v>-1.46246247896036</v>
      </c>
      <c r="W85" s="1" t="n">
        <v>0.301794960300343</v>
      </c>
      <c r="X85" s="1" t="n">
        <v>2.50899443563239</v>
      </c>
      <c r="Y85" s="1" t="n">
        <v>0.783898629184892</v>
      </c>
      <c r="Z85" s="1" t="n">
        <v>0.221060142912546</v>
      </c>
      <c r="AA85" s="1" t="n">
        <v>-0.208056833359433</v>
      </c>
      <c r="AB85" s="1" t="n">
        <v>-0.541194285876721</v>
      </c>
      <c r="AC85" s="1" t="n">
        <v>-0.212514702619736</v>
      </c>
      <c r="AD85" s="1" t="n">
        <v>-0.550729412408138</v>
      </c>
      <c r="AE85" s="1" t="n">
        <v>0.744908358558034</v>
      </c>
      <c r="AF85" s="1" t="n">
        <v>-0.398153652691442</v>
      </c>
      <c r="AG85" s="1" t="n">
        <v>-0.441151512010058</v>
      </c>
      <c r="AH85" s="1" t="n">
        <v>-1.20216068682908</v>
      </c>
      <c r="AI85" s="1" t="n">
        <v>-0.0495898743803034</v>
      </c>
      <c r="AJ85" s="1" t="n">
        <v>-0.894121673439003</v>
      </c>
      <c r="AK85" s="1" t="n">
        <v>-0.180750168729094</v>
      </c>
      <c r="AL85" s="1" t="n">
        <v>1.04181555272153</v>
      </c>
      <c r="AM85" s="1" t="n">
        <v>0.365924886311126</v>
      </c>
      <c r="AN85" s="1" t="n">
        <v>0.504725294785431</v>
      </c>
      <c r="AO85" s="1" t="n">
        <v>0.356090899757804</v>
      </c>
      <c r="AP85" s="1" t="n">
        <v>0.0591757301914933</v>
      </c>
      <c r="AQ85" s="1" t="n">
        <v>-0.12732823067163</v>
      </c>
      <c r="AR85" s="1" t="n">
        <v>-0.307806215901667</v>
      </c>
      <c r="AS85" s="1" t="n">
        <v>0.759117008833072</v>
      </c>
      <c r="AT85" s="1" t="n">
        <v>-1.08423980928825</v>
      </c>
      <c r="AU85" s="1" t="n">
        <v>1.34072258622554</v>
      </c>
      <c r="AV85" s="1" t="n">
        <v>0.0340780626848175</v>
      </c>
      <c r="AW85" s="1" t="n">
        <v>-0.748700390577374</v>
      </c>
      <c r="AX85" s="1" t="n">
        <v>-0.489146079040013</v>
      </c>
      <c r="AY85" s="1" t="n">
        <v>-0.676990401188112</v>
      </c>
      <c r="AZ85" s="1" t="n">
        <v>0.160206499028041</v>
      </c>
      <c r="BA85" s="1" t="n">
        <v>-0.717843044488308</v>
      </c>
      <c r="BB85" s="1" t="n">
        <v>1.14213119878374</v>
      </c>
      <c r="BC85" s="1" t="n">
        <v>-0.781638992614243</v>
      </c>
      <c r="BD85" s="1" t="n">
        <v>-2.27252193041417</v>
      </c>
      <c r="BE85" s="1" t="n">
        <v>-0.730998492725895</v>
      </c>
      <c r="BF85" s="1" t="n">
        <v>-2.00852117329966</v>
      </c>
      <c r="BG85" s="1" t="n">
        <v>-0.0398688505726567</v>
      </c>
      <c r="BH85" s="1" t="n">
        <v>1.05915797837131</v>
      </c>
      <c r="BI85" s="1" t="n">
        <v>0.647759800265673</v>
      </c>
      <c r="BJ85" s="1" t="n">
        <v>-1.33758950494724</v>
      </c>
    </row>
    <row r="86" customFormat="false" ht="15" hidden="false" customHeight="true" outlineLevel="0" collapsed="false">
      <c r="C86" s="1" t="n">
        <v>-0.762255281567999</v>
      </c>
      <c r="D86" s="1" t="n">
        <v>1.77863353556669</v>
      </c>
      <c r="E86" s="1" t="n">
        <v>0.318511408734334</v>
      </c>
      <c r="F86" s="1" t="n">
        <v>0.00411869263405883</v>
      </c>
      <c r="G86" s="1" t="n">
        <v>1.05606256119356</v>
      </c>
      <c r="H86" s="1" t="n">
        <v>2.45274112543016</v>
      </c>
      <c r="I86" s="1" t="n">
        <v>1.29657327757974</v>
      </c>
      <c r="J86" s="1" t="n">
        <v>0.139415254770579</v>
      </c>
      <c r="K86" s="1" t="n">
        <v>0.354688175984823</v>
      </c>
      <c r="L86" s="1" t="n">
        <v>0.617079791098217</v>
      </c>
      <c r="M86" s="1" t="n">
        <v>-0.612698496510124</v>
      </c>
      <c r="N86" s="1" t="n">
        <v>-1.05871947271744</v>
      </c>
      <c r="O86" s="1" t="n">
        <v>0.0524490834893807</v>
      </c>
      <c r="P86" s="1" t="n">
        <v>-0.947211229463121</v>
      </c>
      <c r="Q86" s="1" t="n">
        <v>-0.0614624190350686</v>
      </c>
      <c r="R86" s="1" t="n">
        <v>0.0961230399920905</v>
      </c>
      <c r="S86" s="1" t="n">
        <v>2.34103732188294</v>
      </c>
      <c r="T86" s="1" t="n">
        <v>-0.851049994656567</v>
      </c>
      <c r="U86" s="1" t="n">
        <v>-0.121788931970935</v>
      </c>
      <c r="V86" s="1" t="n">
        <v>-0.164302889584533</v>
      </c>
      <c r="W86" s="1" t="n">
        <v>0.437310533375331</v>
      </c>
      <c r="X86" s="1" t="n">
        <v>1.04672433158362</v>
      </c>
      <c r="Y86" s="1" t="n">
        <v>-0.490483501626655</v>
      </c>
      <c r="Z86" s="1" t="n">
        <v>-0.821352030105031</v>
      </c>
      <c r="AA86" s="1" t="n">
        <v>-1.64071061593166</v>
      </c>
      <c r="AB86" s="1" t="n">
        <v>-0.926204496802847</v>
      </c>
      <c r="AC86" s="1" t="n">
        <v>0.536440834576595</v>
      </c>
      <c r="AD86" s="1" t="n">
        <v>0.0456470418232029</v>
      </c>
      <c r="AE86" s="1" t="n">
        <v>-1.01543399490616</v>
      </c>
      <c r="AF86" s="1" t="n">
        <v>-0.372767476484857</v>
      </c>
      <c r="AG86" s="1" t="n">
        <v>0.0314729477902652</v>
      </c>
      <c r="AH86" s="1" t="n">
        <v>0.50367893160893</v>
      </c>
      <c r="AI86" s="1" t="n">
        <v>-0.593394352838526</v>
      </c>
      <c r="AJ86" s="1" t="n">
        <v>-0.250440057657874</v>
      </c>
      <c r="AK86" s="1" t="n">
        <v>-1.81843473334021</v>
      </c>
      <c r="AL86" s="1" t="n">
        <v>-1.15138580223794</v>
      </c>
      <c r="AM86" s="1" t="n">
        <v>1.61771565817885</v>
      </c>
      <c r="AN86" s="1" t="n">
        <v>-2.18814067269485</v>
      </c>
      <c r="AO86" s="1" t="n">
        <v>-0.337802552634027</v>
      </c>
      <c r="AP86" s="1" t="n">
        <v>0.219198229344255</v>
      </c>
      <c r="AQ86" s="1" t="n">
        <v>-0.374349245327037</v>
      </c>
      <c r="AR86" s="1" t="n">
        <v>-0.808157523365398</v>
      </c>
      <c r="AS86" s="1" t="n">
        <v>-0.0610785323873323</v>
      </c>
      <c r="AT86" s="1" t="n">
        <v>-0.00496540150227952</v>
      </c>
      <c r="AU86" s="1" t="n">
        <v>-0.0821174049318998</v>
      </c>
      <c r="AV86" s="1" t="n">
        <v>-1.87771212115212</v>
      </c>
      <c r="AW86" s="1" t="n">
        <v>-0.147403627955396</v>
      </c>
      <c r="AX86" s="1" t="n">
        <v>-0.855112690291556</v>
      </c>
      <c r="AY86" s="1" t="n">
        <v>-0.54773587481354</v>
      </c>
      <c r="AZ86" s="1" t="n">
        <v>0.226974763341453</v>
      </c>
      <c r="BA86" s="1" t="n">
        <v>0.640728750480567</v>
      </c>
      <c r="BB86" s="1" t="n">
        <v>0.896777334241873</v>
      </c>
      <c r="BC86" s="1" t="n">
        <v>-0.496413056978888</v>
      </c>
      <c r="BD86" s="1" t="n">
        <v>0.924002776720117</v>
      </c>
      <c r="BE86" s="1" t="n">
        <v>1.17372753262399</v>
      </c>
      <c r="BF86" s="1" t="n">
        <v>1.13663792454606</v>
      </c>
      <c r="BG86" s="1" t="n">
        <v>1.38976793881143</v>
      </c>
      <c r="BH86" s="1" t="n">
        <v>-0.145682505918912</v>
      </c>
      <c r="BI86" s="1" t="n">
        <v>-0.174131915073262</v>
      </c>
      <c r="BJ86" s="1" t="n">
        <v>0.825050779394349</v>
      </c>
    </row>
    <row r="87" customFormat="false" ht="15" hidden="false" customHeight="true" outlineLevel="0" collapsed="false">
      <c r="C87" s="1" t="n">
        <v>-1.36652431512803</v>
      </c>
      <c r="D87" s="1" t="n">
        <v>0.209429047268341</v>
      </c>
      <c r="E87" s="1" t="n">
        <v>-0.530558992169914</v>
      </c>
      <c r="F87" s="1" t="n">
        <v>-0.368789050861408</v>
      </c>
      <c r="G87" s="1" t="n">
        <v>-1.74151444789858</v>
      </c>
      <c r="H87" s="1" t="n">
        <v>-0.890544305803208</v>
      </c>
      <c r="I87" s="1" t="n">
        <v>-0.0204939294571151</v>
      </c>
      <c r="J87" s="1" t="n">
        <v>0.888453174093609</v>
      </c>
      <c r="K87" s="1" t="n">
        <v>0.99002658940805</v>
      </c>
      <c r="L87" s="1" t="n">
        <v>-0.0803264749959115</v>
      </c>
      <c r="M87" s="1" t="n">
        <v>-0.18928835722897</v>
      </c>
      <c r="N87" s="1" t="n">
        <v>-0.83067918701634</v>
      </c>
      <c r="O87" s="1" t="n">
        <v>0.402356496976139</v>
      </c>
      <c r="P87" s="1" t="n">
        <v>-0.247578000507538</v>
      </c>
      <c r="Q87" s="1" t="n">
        <v>0.605884539149004</v>
      </c>
      <c r="R87" s="1" t="n">
        <v>1.75168680412596</v>
      </c>
      <c r="S87" s="1" t="n">
        <v>-0.0323749572618137</v>
      </c>
      <c r="T87" s="1" t="n">
        <v>-1.49735447417407</v>
      </c>
      <c r="U87" s="1" t="n">
        <v>-0.860850443028848</v>
      </c>
      <c r="V87" s="1" t="n">
        <v>-1.45814744133662</v>
      </c>
      <c r="W87" s="1" t="n">
        <v>-1.19710968941498</v>
      </c>
      <c r="X87" s="1" t="n">
        <v>1.30527072348547</v>
      </c>
      <c r="Y87" s="1" t="n">
        <v>0.226659573458483</v>
      </c>
      <c r="Z87" s="1" t="n">
        <v>-1.52017443157576</v>
      </c>
      <c r="AA87" s="1" t="n">
        <v>0.653632166030122</v>
      </c>
      <c r="AB87" s="1" t="n">
        <v>1.26037487407888</v>
      </c>
      <c r="AC87" s="1" t="n">
        <v>-0.359874557435862</v>
      </c>
      <c r="AD87" s="1" t="n">
        <v>-0.675990839136886</v>
      </c>
      <c r="AE87" s="1" t="n">
        <v>-0.337377712484949</v>
      </c>
      <c r="AF87" s="1" t="n">
        <v>0.284606510254171</v>
      </c>
      <c r="AG87" s="1" t="n">
        <v>0.639970150256371</v>
      </c>
      <c r="AH87" s="1" t="n">
        <v>1.18221683804023</v>
      </c>
      <c r="AI87" s="1" t="n">
        <v>1.21247820591317</v>
      </c>
      <c r="AJ87" s="1" t="n">
        <v>1.18540384822698</v>
      </c>
      <c r="AK87" s="1" t="n">
        <v>1.36192143178007</v>
      </c>
      <c r="AL87" s="1" t="n">
        <v>0.661387789800354</v>
      </c>
      <c r="AM87" s="1" t="n">
        <v>-1.53090660433199</v>
      </c>
      <c r="AN87" s="1" t="n">
        <v>-0.130964229513618</v>
      </c>
      <c r="AO87" s="1" t="n">
        <v>0.313920512623384</v>
      </c>
      <c r="AP87" s="1" t="n">
        <v>-0.3831262650077</v>
      </c>
      <c r="AQ87" s="1" t="n">
        <v>0.91126085490197</v>
      </c>
      <c r="AR87" s="1" t="n">
        <v>-0.360213972185505</v>
      </c>
      <c r="AS87" s="1" t="n">
        <v>-0.92574702996371</v>
      </c>
      <c r="AT87" s="1" t="n">
        <v>1.44429899943906</v>
      </c>
      <c r="AU87" s="1" t="n">
        <v>0.666004309806338</v>
      </c>
      <c r="AV87" s="1" t="n">
        <v>0.219253784200381</v>
      </c>
      <c r="AW87" s="1" t="n">
        <v>0.92670909145984</v>
      </c>
      <c r="AX87" s="1" t="n">
        <v>1.06253423933539</v>
      </c>
      <c r="AY87" s="1" t="n">
        <v>0.341035810972696</v>
      </c>
      <c r="AZ87" s="1" t="n">
        <v>-2.45766141889429</v>
      </c>
      <c r="BA87" s="1" t="n">
        <v>-0.675589450667722</v>
      </c>
      <c r="BB87" s="1" t="n">
        <v>-0.456579129578309</v>
      </c>
      <c r="BC87" s="1" t="n">
        <v>-0.984200895113135</v>
      </c>
      <c r="BD87" s="1" t="n">
        <v>0.198677433920315</v>
      </c>
      <c r="BE87" s="1" t="n">
        <v>1.19220213285134</v>
      </c>
      <c r="BF87" s="1" t="n">
        <v>-0.484905585207068</v>
      </c>
      <c r="BG87" s="1" t="n">
        <v>-1.13483266967087</v>
      </c>
      <c r="BH87" s="1" t="n">
        <v>2.0280348109105</v>
      </c>
      <c r="BI87" s="1" t="n">
        <v>-0.451437606097533</v>
      </c>
      <c r="BJ87" s="1" t="n">
        <v>-1.23296492471325</v>
      </c>
    </row>
    <row r="88" customFormat="false" ht="15" hidden="false" customHeight="true" outlineLevel="0" collapsed="false">
      <c r="C88" s="1" t="n">
        <v>0.237677249618459</v>
      </c>
      <c r="D88" s="1" t="n">
        <v>0.425682581589534</v>
      </c>
      <c r="E88" s="1" t="n">
        <v>-0.705050089680674</v>
      </c>
      <c r="F88" s="1" t="n">
        <v>0.790453574588266</v>
      </c>
      <c r="G88" s="1" t="n">
        <v>-0.487319438286674</v>
      </c>
      <c r="H88" s="1" t="n">
        <v>-0.922950915390389</v>
      </c>
      <c r="I88" s="1" t="n">
        <v>0.178590868524859</v>
      </c>
      <c r="J88" s="1" t="n">
        <v>0.77076897712495</v>
      </c>
      <c r="K88" s="1" t="n">
        <v>-0.633851491194699</v>
      </c>
      <c r="L88" s="1" t="n">
        <v>0.330625556014218</v>
      </c>
      <c r="M88" s="1" t="n">
        <v>-0.0934916394053499</v>
      </c>
      <c r="N88" s="1" t="n">
        <v>2.82443364973614</v>
      </c>
      <c r="O88" s="1" t="n">
        <v>-0.708559681163091</v>
      </c>
      <c r="P88" s="1" t="n">
        <v>1.38417160053951</v>
      </c>
      <c r="Q88" s="1" t="n">
        <v>-0.052346288438886</v>
      </c>
      <c r="R88" s="1" t="n">
        <v>-0.12676200367229</v>
      </c>
      <c r="S88" s="1" t="n">
        <v>0.721665111536438</v>
      </c>
      <c r="T88" s="1" t="n">
        <v>0.893990566540502</v>
      </c>
      <c r="U88" s="1" t="n">
        <v>1.26701564095339</v>
      </c>
      <c r="V88" s="1" t="n">
        <v>0.328651735135158</v>
      </c>
      <c r="W88" s="1" t="n">
        <v>-0.600396389757925</v>
      </c>
      <c r="X88" s="1" t="n">
        <v>-0.537646104184063</v>
      </c>
      <c r="Y88" s="1" t="n">
        <v>0.50965319088335</v>
      </c>
      <c r="Z88" s="1" t="n">
        <v>0.580899870607741</v>
      </c>
      <c r="AA88" s="1" t="n">
        <v>1.39805094069649</v>
      </c>
      <c r="AB88" s="1" t="n">
        <v>0.418430455418696</v>
      </c>
      <c r="AC88" s="1" t="n">
        <v>1.06016826525774</v>
      </c>
      <c r="AD88" s="1" t="n">
        <v>1.51677103478396</v>
      </c>
      <c r="AE88" s="1" t="n">
        <v>0.164800544531106</v>
      </c>
      <c r="AF88" s="1" t="n">
        <v>-1.48555865159069</v>
      </c>
      <c r="AG88" s="1" t="n">
        <v>-1.17927708650058</v>
      </c>
      <c r="AH88" s="1" t="n">
        <v>-1.43780286819051</v>
      </c>
      <c r="AI88" s="1" t="n">
        <v>1.5915903810141</v>
      </c>
      <c r="AJ88" s="1" t="n">
        <v>-0.847408594828941</v>
      </c>
      <c r="AK88" s="1" t="n">
        <v>1.23184156541229</v>
      </c>
      <c r="AL88" s="1" t="n">
        <v>0.585731911563875</v>
      </c>
      <c r="AM88" s="1" t="n">
        <v>1.71526912683905</v>
      </c>
      <c r="AN88" s="1" t="n">
        <v>1.00309381948784</v>
      </c>
      <c r="AO88" s="1" t="n">
        <v>-0.102370261213401</v>
      </c>
      <c r="AP88" s="1" t="n">
        <v>-0.200030450393269</v>
      </c>
      <c r="AQ88" s="1" t="n">
        <v>0.0851677199461466</v>
      </c>
      <c r="AR88" s="1" t="n">
        <v>0.175260951898857</v>
      </c>
      <c r="AS88" s="1" t="n">
        <v>-0.530743671123417</v>
      </c>
      <c r="AT88" s="1" t="n">
        <v>-0.0326282975886548</v>
      </c>
      <c r="AU88" s="1" t="n">
        <v>1.6093200620024</v>
      </c>
      <c r="AV88" s="1" t="n">
        <v>-1.70213831082565</v>
      </c>
      <c r="AW88" s="1" t="n">
        <v>0.258488139526861</v>
      </c>
      <c r="AX88" s="1" t="n">
        <v>-0.906952805980755</v>
      </c>
      <c r="AY88" s="1" t="n">
        <v>0.187037082804881</v>
      </c>
      <c r="AZ88" s="1" t="n">
        <v>0.839855775208201</v>
      </c>
      <c r="BA88" s="1" t="n">
        <v>-0.0576101804576909</v>
      </c>
      <c r="BB88" s="1" t="n">
        <v>0.772986919848402</v>
      </c>
      <c r="BC88" s="1" t="n">
        <v>-1.58983940138419</v>
      </c>
      <c r="BD88" s="1" t="n">
        <v>1.10698911266547</v>
      </c>
      <c r="BE88" s="1" t="n">
        <v>-0.603129242648116</v>
      </c>
      <c r="BF88" s="1" t="n">
        <v>0.622408069792365</v>
      </c>
      <c r="BG88" s="1" t="n">
        <v>0.18244809597647</v>
      </c>
      <c r="BH88" s="1" t="n">
        <v>-2.58556217912379</v>
      </c>
      <c r="BI88" s="1" t="n">
        <v>-0.756064121470222</v>
      </c>
      <c r="BJ88" s="1" t="n">
        <v>0.220508367935402</v>
      </c>
    </row>
    <row r="89" customFormat="false" ht="15" hidden="false" customHeight="true" outlineLevel="0" collapsed="false">
      <c r="C89" s="1" t="n">
        <v>1.55397608156913</v>
      </c>
      <c r="D89" s="1" t="n">
        <v>0.287268285903671</v>
      </c>
      <c r="E89" s="1" t="n">
        <v>0.25769587977074</v>
      </c>
      <c r="F89" s="1" t="n">
        <v>-1.41268408962939</v>
      </c>
      <c r="G89" s="1" t="n">
        <v>1.43114669652349</v>
      </c>
      <c r="H89" s="1" t="n">
        <v>1.80707699518812</v>
      </c>
      <c r="I89" s="1" t="n">
        <v>0.0285750431239751</v>
      </c>
      <c r="J89" s="1" t="n">
        <v>-0.219757048220116</v>
      </c>
      <c r="K89" s="1" t="n">
        <v>-1.61904971580966</v>
      </c>
      <c r="L89" s="1" t="n">
        <v>0.883321058956492</v>
      </c>
      <c r="M89" s="1" t="n">
        <v>2.70227932569242</v>
      </c>
      <c r="N89" s="1" t="n">
        <v>0.717113074786492</v>
      </c>
      <c r="O89" s="1" t="n">
        <v>1.2637035181532</v>
      </c>
      <c r="P89" s="1" t="n">
        <v>0.542087293708166</v>
      </c>
      <c r="Q89" s="1" t="n">
        <v>-0.985015886568755</v>
      </c>
      <c r="R89" s="1" t="n">
        <v>1.33667263101986</v>
      </c>
      <c r="S89" s="1" t="n">
        <v>-1.23457489946972</v>
      </c>
      <c r="T89" s="1" t="n">
        <v>-0.210664905663042</v>
      </c>
      <c r="U89" s="1" t="n">
        <v>0.278851745002526</v>
      </c>
      <c r="V89" s="1" t="n">
        <v>0.882909660776657</v>
      </c>
      <c r="W89" s="1" t="n">
        <v>0.415985665430964</v>
      </c>
      <c r="X89" s="1" t="n">
        <v>0.386834500833412</v>
      </c>
      <c r="Y89" s="1" t="n">
        <v>-0.761488068428763</v>
      </c>
      <c r="Z89" s="1" t="n">
        <v>-1.28937141396046</v>
      </c>
      <c r="AA89" s="1" t="n">
        <v>0.0614806682632114</v>
      </c>
      <c r="AB89" s="1" t="n">
        <v>-0.710194777242898</v>
      </c>
      <c r="AC89" s="1" t="n">
        <v>-1.30778562806925</v>
      </c>
      <c r="AD89" s="1" t="n">
        <v>-1.26594647150194</v>
      </c>
      <c r="AE89" s="1" t="n">
        <v>-0.490128474173113</v>
      </c>
      <c r="AF89" s="1" t="n">
        <v>-1.85257886017401</v>
      </c>
      <c r="AG89" s="1" t="n">
        <v>-1.34746870284437</v>
      </c>
      <c r="AH89" s="1" t="n">
        <v>-1.63513692906925</v>
      </c>
      <c r="AI89" s="1" t="n">
        <v>0.182259463781663</v>
      </c>
      <c r="AJ89" s="1" t="n">
        <v>0.407984229518418</v>
      </c>
      <c r="AK89" s="1" t="n">
        <v>2.00714096318283</v>
      </c>
      <c r="AL89" s="1" t="n">
        <v>-1.49752979923238</v>
      </c>
      <c r="AM89" s="1" t="n">
        <v>-0.679596958909663</v>
      </c>
      <c r="AN89" s="1" t="n">
        <v>0.912611389322804</v>
      </c>
      <c r="AO89" s="1" t="n">
        <v>-0.216773804988956</v>
      </c>
      <c r="AP89" s="1" t="n">
        <v>-0.3269979387078</v>
      </c>
      <c r="AQ89" s="1" t="n">
        <v>1.70916970333955</v>
      </c>
      <c r="AR89" s="1" t="n">
        <v>-0.338406159520728</v>
      </c>
      <c r="AS89" s="1" t="n">
        <v>-1.15619486933401</v>
      </c>
      <c r="AT89" s="1" t="n">
        <v>-1.31693995986694</v>
      </c>
      <c r="AU89" s="1" t="n">
        <v>0.335694322313933</v>
      </c>
      <c r="AV89" s="1" t="n">
        <v>0.305241603405967</v>
      </c>
      <c r="AW89" s="1" t="n">
        <v>-1.37170237028618</v>
      </c>
      <c r="AX89" s="1" t="n">
        <v>-0.985396257726311</v>
      </c>
      <c r="AY89" s="1" t="n">
        <v>0.534712637815612</v>
      </c>
      <c r="AZ89" s="1" t="n">
        <v>0.577266772525141</v>
      </c>
      <c r="BA89" s="1" t="n">
        <v>-0.643222083603989</v>
      </c>
      <c r="BB89" s="1" t="n">
        <v>0.622216201851984</v>
      </c>
      <c r="BC89" s="1" t="n">
        <v>0.571854587290561</v>
      </c>
      <c r="BD89" s="1" t="n">
        <v>-1.78308174871954</v>
      </c>
      <c r="BE89" s="1" t="n">
        <v>-0.31206375044871</v>
      </c>
      <c r="BF89" s="1" t="n">
        <v>0.415125591121122</v>
      </c>
      <c r="BG89" s="1" t="n">
        <v>-0.573075702163987</v>
      </c>
      <c r="BH89" s="1" t="n">
        <v>-2.13893186896771</v>
      </c>
      <c r="BI89" s="1" t="n">
        <v>-0.283014721466121</v>
      </c>
      <c r="BJ89" s="1" t="n">
        <v>0.752093159941412</v>
      </c>
    </row>
    <row r="90" customFormat="false" ht="15" hidden="false" customHeight="true" outlineLevel="0" collapsed="false">
      <c r="C90" s="1" t="n">
        <v>1.58040558581313</v>
      </c>
      <c r="D90" s="1" t="n">
        <v>-2.19078266125399</v>
      </c>
      <c r="E90" s="1" t="n">
        <v>2.61332134556427</v>
      </c>
      <c r="F90" s="1" t="n">
        <v>-1.12713633102927</v>
      </c>
      <c r="G90" s="1" t="n">
        <v>0.956970870801132</v>
      </c>
      <c r="H90" s="1" t="n">
        <v>1.23419807053439</v>
      </c>
      <c r="I90" s="1" t="n">
        <v>0.983017300133802</v>
      </c>
      <c r="J90" s="1" t="n">
        <v>0.149618479560376</v>
      </c>
      <c r="K90" s="1" t="n">
        <v>-1.16141766268792</v>
      </c>
      <c r="L90" s="1" t="n">
        <v>0.626558787986072</v>
      </c>
      <c r="M90" s="1" t="n">
        <v>-0.715233176775511</v>
      </c>
      <c r="N90" s="1" t="n">
        <v>-2.52269494343729</v>
      </c>
      <c r="O90" s="1" t="n">
        <v>2.82889863371627</v>
      </c>
      <c r="P90" s="1" t="n">
        <v>0.708102021960669</v>
      </c>
      <c r="Q90" s="1" t="n">
        <v>1.81807712848654</v>
      </c>
      <c r="R90" s="1" t="n">
        <v>-0.911622807494443</v>
      </c>
      <c r="S90" s="1" t="n">
        <v>1.4675028234119</v>
      </c>
      <c r="T90" s="1" t="n">
        <v>1.589869158149</v>
      </c>
      <c r="U90" s="1" t="n">
        <v>1.55454952450117</v>
      </c>
      <c r="V90" s="1" t="n">
        <v>-0.0212063332121524</v>
      </c>
      <c r="W90" s="1" t="n">
        <v>-1.2024620437426</v>
      </c>
      <c r="X90" s="1" t="n">
        <v>-0.177312806863636</v>
      </c>
      <c r="Y90" s="1" t="n">
        <v>-2.20276911376661</v>
      </c>
      <c r="Z90" s="1" t="n">
        <v>-1.70201238940354</v>
      </c>
      <c r="AA90" s="1" t="n">
        <v>0.0919387811502689</v>
      </c>
      <c r="AB90" s="1" t="n">
        <v>-0.991398465768181</v>
      </c>
      <c r="AC90" s="1" t="n">
        <v>-0.16444685545475</v>
      </c>
      <c r="AD90" s="1" t="n">
        <v>-0.108999751401359</v>
      </c>
      <c r="AE90" s="1" t="n">
        <v>1.9307270485184</v>
      </c>
      <c r="AF90" s="1" t="n">
        <v>1.29762656975095</v>
      </c>
      <c r="AG90" s="1" t="n">
        <v>-0.0448725841628258</v>
      </c>
      <c r="AH90" s="1" t="n">
        <v>1.20889953416934</v>
      </c>
      <c r="AI90" s="1" t="n">
        <v>-0.779713144690342</v>
      </c>
      <c r="AJ90" s="1" t="n">
        <v>-0.33689702409487</v>
      </c>
      <c r="AK90" s="1" t="n">
        <v>0.910224310117397</v>
      </c>
      <c r="AL90" s="1" t="n">
        <v>-1.241660577571</v>
      </c>
      <c r="AM90" s="1" t="n">
        <v>-0.278980728300225</v>
      </c>
      <c r="AN90" s="1" t="n">
        <v>-1.32084586008804</v>
      </c>
      <c r="AO90" s="1" t="n">
        <v>0.117472407827971</v>
      </c>
      <c r="AP90" s="1" t="n">
        <v>1.63251575558943</v>
      </c>
      <c r="AQ90" s="1" t="n">
        <v>-0.752096889100972</v>
      </c>
      <c r="AR90" s="1" t="n">
        <v>0.225879495913829</v>
      </c>
      <c r="AS90" s="1" t="n">
        <v>-0.897321901636499</v>
      </c>
      <c r="AT90" s="1" t="n">
        <v>-1.14954894324039</v>
      </c>
      <c r="AU90" s="1" t="n">
        <v>-1.23584952034175</v>
      </c>
      <c r="AV90" s="1" t="n">
        <v>1.4547520814096</v>
      </c>
      <c r="AW90" s="1" t="n">
        <v>2.36243547061759</v>
      </c>
      <c r="AX90" s="1" t="n">
        <v>0.483043705305576</v>
      </c>
      <c r="AY90" s="1" t="n">
        <v>-0.716292969137338</v>
      </c>
      <c r="AZ90" s="1" t="n">
        <v>0.704891634343187</v>
      </c>
      <c r="BA90" s="1" t="n">
        <v>-0.334323526343033</v>
      </c>
      <c r="BB90" s="1" t="n">
        <v>0.801398347537373</v>
      </c>
      <c r="BC90" s="1" t="n">
        <v>0.290993638199439</v>
      </c>
      <c r="BD90" s="1" t="n">
        <v>0.279704150855089</v>
      </c>
      <c r="BE90" s="1" t="n">
        <v>0.607276059375284</v>
      </c>
      <c r="BF90" s="1" t="n">
        <v>-0.579493636977157</v>
      </c>
      <c r="BG90" s="1" t="n">
        <v>-0.404367823112861</v>
      </c>
      <c r="BH90" s="1" t="n">
        <v>-1.72124559005395</v>
      </c>
      <c r="BI90" s="1" t="n">
        <v>-0.441869441453459</v>
      </c>
      <c r="BJ90" s="1" t="n">
        <v>-1.42233269006484</v>
      </c>
    </row>
    <row r="91" customFormat="false" ht="15" hidden="false" customHeight="true" outlineLevel="0" collapsed="false">
      <c r="C91" s="1" t="n">
        <v>-0.144681199039942</v>
      </c>
      <c r="D91" s="1" t="n">
        <v>-0.957630949386257</v>
      </c>
      <c r="E91" s="1" t="n">
        <v>0.101234420321308</v>
      </c>
      <c r="F91" s="1" t="n">
        <v>0.45323930641574</v>
      </c>
      <c r="G91" s="1" t="n">
        <v>-1.42012257106488</v>
      </c>
      <c r="H91" s="1" t="n">
        <v>-0.813279094245965</v>
      </c>
      <c r="I91" s="1" t="n">
        <v>-0.943311901835383</v>
      </c>
      <c r="J91" s="1" t="n">
        <v>0.746493425078442</v>
      </c>
      <c r="K91" s="1" t="n">
        <v>1.70636202738683</v>
      </c>
      <c r="L91" s="1" t="n">
        <v>0.851536615369732</v>
      </c>
      <c r="M91" s="1" t="n">
        <v>-0.349418927699126</v>
      </c>
      <c r="N91" s="1" t="n">
        <v>1.46500638963613</v>
      </c>
      <c r="O91" s="1" t="n">
        <v>-1.51410773644127</v>
      </c>
      <c r="P91" s="1" t="n">
        <v>1.49935805212809</v>
      </c>
      <c r="Q91" s="1" t="n">
        <v>-0.656214206301817</v>
      </c>
      <c r="R91" s="1" t="n">
        <v>-2.78029321515472</v>
      </c>
      <c r="S91" s="1" t="n">
        <v>2.65080473908476</v>
      </c>
      <c r="T91" s="1" t="n">
        <v>1.57802307432356</v>
      </c>
      <c r="U91" s="1" t="n">
        <v>-1.03188372712011</v>
      </c>
      <c r="V91" s="1" t="n">
        <v>0.16900864759316</v>
      </c>
      <c r="W91" s="1" t="n">
        <v>-0.2144994522532</v>
      </c>
      <c r="X91" s="1" t="n">
        <v>0.102220803294932</v>
      </c>
      <c r="Y91" s="1" t="n">
        <v>-1.48328643754123</v>
      </c>
      <c r="Z91" s="1" t="n">
        <v>-0.681493982666794</v>
      </c>
      <c r="AA91" s="1" t="n">
        <v>0.467961282747619</v>
      </c>
      <c r="AB91" s="1" t="n">
        <v>0.222696169955575</v>
      </c>
      <c r="AC91" s="1" t="n">
        <v>1.19923851000663</v>
      </c>
      <c r="AD91" s="1" t="n">
        <v>0.0797502574270938</v>
      </c>
      <c r="AE91" s="1" t="n">
        <v>2.349221685898</v>
      </c>
      <c r="AF91" s="1" t="n">
        <v>-0.715731557168647</v>
      </c>
      <c r="AG91" s="1" t="n">
        <v>0.259332391953544</v>
      </c>
      <c r="AH91" s="1" t="n">
        <v>-1.91631789593347</v>
      </c>
      <c r="AI91" s="1" t="n">
        <v>-1.25313312876455</v>
      </c>
      <c r="AJ91" s="1" t="n">
        <v>1.32852596093137</v>
      </c>
      <c r="AK91" s="1" t="n">
        <v>-0.942802767478657</v>
      </c>
      <c r="AL91" s="1" t="n">
        <v>0.530675174001432</v>
      </c>
      <c r="AM91" s="1" t="n">
        <v>-0.0617708573513988</v>
      </c>
      <c r="AN91" s="1" t="n">
        <v>-1.04454895768757</v>
      </c>
      <c r="AO91" s="1" t="n">
        <v>-0.34824927418716</v>
      </c>
      <c r="AP91" s="1" t="n">
        <v>-0.51423363464672</v>
      </c>
      <c r="AQ91" s="1" t="n">
        <v>-0.487365868457938</v>
      </c>
      <c r="AR91" s="1" t="n">
        <v>0.753608210927443</v>
      </c>
      <c r="AS91" s="1" t="n">
        <v>0.65234455441658</v>
      </c>
      <c r="AT91" s="1" t="n">
        <v>-0.577425696627056</v>
      </c>
      <c r="AU91" s="1" t="n">
        <v>-0.907102803839221</v>
      </c>
      <c r="AV91" s="1" t="n">
        <v>0.282337334518315</v>
      </c>
      <c r="AW91" s="1" t="n">
        <v>-0.100015411750597</v>
      </c>
      <c r="AX91" s="1" t="n">
        <v>1.02828246244978</v>
      </c>
      <c r="AY91" s="1" t="n">
        <v>2.65529357061339</v>
      </c>
      <c r="AZ91" s="1" t="n">
        <v>0.842924434424789</v>
      </c>
      <c r="BA91" s="1" t="n">
        <v>-0.0347302710642064</v>
      </c>
      <c r="BB91" s="1" t="n">
        <v>-0.172043970879058</v>
      </c>
      <c r="BC91" s="1" t="n">
        <v>-0.856694120464166</v>
      </c>
      <c r="BD91" s="1" t="n">
        <v>-0.906672784382585</v>
      </c>
      <c r="BE91" s="1" t="n">
        <v>-1.00341551050108</v>
      </c>
      <c r="BF91" s="1" t="n">
        <v>-0.395335171405379</v>
      </c>
      <c r="BG91" s="1" t="n">
        <v>-0.42714344576084</v>
      </c>
      <c r="BH91" s="1" t="n">
        <v>0.743730706561827</v>
      </c>
      <c r="BI91" s="1" t="n">
        <v>-0.398999015000455</v>
      </c>
      <c r="BJ91" s="1" t="n">
        <v>-0.197449716436078</v>
      </c>
    </row>
    <row r="92" customFormat="false" ht="15" hidden="false" customHeight="true" outlineLevel="0" collapsed="false">
      <c r="C92" s="1" t="n">
        <v>-1.21827402555581</v>
      </c>
      <c r="D92" s="1" t="n">
        <v>1.644575629197</v>
      </c>
      <c r="E92" s="1" t="n">
        <v>0.506986409586556</v>
      </c>
      <c r="F92" s="1" t="n">
        <v>1.78887316922391</v>
      </c>
      <c r="G92" s="1" t="n">
        <v>0.796885792036023</v>
      </c>
      <c r="H92" s="1" t="n">
        <v>1.48963595191329</v>
      </c>
      <c r="I92" s="1" t="n">
        <v>-0.248487525444967</v>
      </c>
      <c r="J92" s="1" t="n">
        <v>0.717160807956903</v>
      </c>
      <c r="K92" s="1" t="n">
        <v>2.70550636950946</v>
      </c>
      <c r="L92" s="1" t="n">
        <v>-1.22353446160582</v>
      </c>
      <c r="M92" s="1" t="n">
        <v>1.17626895506422</v>
      </c>
      <c r="N92" s="1" t="n">
        <v>1.69794421841194</v>
      </c>
      <c r="O92" s="1" t="n">
        <v>0.421127577709419</v>
      </c>
      <c r="P92" s="1" t="n">
        <v>0.76521243571688</v>
      </c>
      <c r="Q92" s="1" t="n">
        <v>1.27963446771305</v>
      </c>
      <c r="R92" s="1" t="n">
        <v>-0.670295165965468</v>
      </c>
      <c r="S92" s="1" t="n">
        <v>0.417411728143892</v>
      </c>
      <c r="T92" s="1" t="n">
        <v>-0.888004935618753</v>
      </c>
      <c r="U92" s="1" t="n">
        <v>-0.691247041321424</v>
      </c>
      <c r="V92" s="1" t="n">
        <v>-0.631562745611583</v>
      </c>
      <c r="W92" s="1" t="n">
        <v>-0.146268272692193</v>
      </c>
      <c r="X92" s="1" t="n">
        <v>0.149775638483463</v>
      </c>
      <c r="Y92" s="1" t="n">
        <v>0.4630331670186</v>
      </c>
      <c r="Z92" s="1" t="n">
        <v>-1.45090868981536</v>
      </c>
      <c r="AA92" s="1" t="n">
        <v>2.02677542184054</v>
      </c>
      <c r="AB92" s="1" t="n">
        <v>1.18352895675626</v>
      </c>
      <c r="AC92" s="1" t="n">
        <v>0.743562769392757</v>
      </c>
      <c r="AD92" s="1" t="n">
        <v>-0.366530391606707</v>
      </c>
      <c r="AE92" s="1" t="n">
        <v>-0.0913066667342308</v>
      </c>
      <c r="AF92" s="1" t="n">
        <v>0.561166420633256</v>
      </c>
      <c r="AG92" s="1" t="n">
        <v>0.421439986395284</v>
      </c>
      <c r="AH92" s="1" t="n">
        <v>-1.72106243807682</v>
      </c>
      <c r="AI92" s="1" t="n">
        <v>0.759279264270063</v>
      </c>
      <c r="AJ92" s="1" t="n">
        <v>2.98824758840331</v>
      </c>
      <c r="AK92" s="1" t="n">
        <v>-1.8932899501521</v>
      </c>
      <c r="AL92" s="1" t="n">
        <v>1.01967762163409</v>
      </c>
      <c r="AM92" s="1" t="n">
        <v>0.378501975075957</v>
      </c>
      <c r="AN92" s="1" t="n">
        <v>-0.11441521971154</v>
      </c>
      <c r="AO92" s="1" t="n">
        <v>1.40701574002231</v>
      </c>
      <c r="AP92" s="1" t="n">
        <v>-1.21359631308021</v>
      </c>
      <c r="AQ92" s="1" t="n">
        <v>0.167094992778513</v>
      </c>
      <c r="AR92" s="1" t="n">
        <v>1.50195465192826</v>
      </c>
      <c r="AS92" s="1" t="n">
        <v>-0.202098544832545</v>
      </c>
      <c r="AT92" s="1" t="n">
        <v>-0.429263033026571</v>
      </c>
      <c r="AU92" s="1" t="n">
        <v>0.117977222397948</v>
      </c>
      <c r="AV92" s="1" t="n">
        <v>-0.456755348004828</v>
      </c>
      <c r="AW92" s="1" t="n">
        <v>1.5891687302936</v>
      </c>
      <c r="AX92" s="1" t="n">
        <v>-0.931847773671157</v>
      </c>
      <c r="AY92" s="1" t="n">
        <v>0.896931270330574</v>
      </c>
      <c r="AZ92" s="1" t="n">
        <v>-1.28668379956643</v>
      </c>
      <c r="BA92" s="1" t="n">
        <v>0.68757240272185</v>
      </c>
      <c r="BB92" s="1" t="n">
        <v>-0.107799469575369</v>
      </c>
      <c r="BC92" s="1" t="n">
        <v>-2.65516197132188</v>
      </c>
      <c r="BD92" s="1" t="n">
        <v>-0.00614315335373241</v>
      </c>
      <c r="BE92" s="1" t="n">
        <v>-1.09678374127425</v>
      </c>
      <c r="BF92" s="1" t="n">
        <v>-0.456781512593723</v>
      </c>
      <c r="BG92" s="1" t="n">
        <v>1.58155179864924</v>
      </c>
      <c r="BH92" s="1" t="n">
        <v>-1.14858108704067</v>
      </c>
      <c r="BI92" s="1" t="n">
        <v>-1.08995042572659</v>
      </c>
      <c r="BJ92" s="1" t="n">
        <v>1.4808828568718</v>
      </c>
    </row>
    <row r="93" customFormat="false" ht="15" hidden="false" customHeight="true" outlineLevel="0" collapsed="false">
      <c r="C93" s="1" t="n">
        <v>0.119196920468197</v>
      </c>
      <c r="D93" s="1" t="n">
        <v>1.58473091759157</v>
      </c>
      <c r="E93" s="1" t="n">
        <v>0.332607374115891</v>
      </c>
      <c r="F93" s="1" t="n">
        <v>-0.90706467160641</v>
      </c>
      <c r="G93" s="1" t="n">
        <v>-0.0681673718553097</v>
      </c>
      <c r="H93" s="1" t="n">
        <v>1.26412843044723</v>
      </c>
      <c r="I93" s="1" t="n">
        <v>0.967505224851134</v>
      </c>
      <c r="J93" s="1" t="n">
        <v>0.000911532075806985</v>
      </c>
      <c r="K93" s="1" t="n">
        <v>0.0501436707124319</v>
      </c>
      <c r="L93" s="1" t="n">
        <v>-0.115700440115179</v>
      </c>
      <c r="M93" s="1" t="n">
        <v>-0.594667171246342</v>
      </c>
      <c r="N93" s="1" t="n">
        <v>1.98587974937514</v>
      </c>
      <c r="O93" s="1" t="n">
        <v>0.00739317016487961</v>
      </c>
      <c r="P93" s="1" t="n">
        <v>-1.16290911879237</v>
      </c>
      <c r="Q93" s="1" t="n">
        <v>-0.490417548617289</v>
      </c>
      <c r="R93" s="1" t="n">
        <v>0.746819860764241</v>
      </c>
      <c r="S93" s="1" t="n">
        <v>0.659559431878298</v>
      </c>
      <c r="T93" s="1" t="n">
        <v>-0.140999034673206</v>
      </c>
      <c r="U93" s="1" t="n">
        <v>-0.687256956634794</v>
      </c>
      <c r="V93" s="1" t="n">
        <v>0.0245821209397762</v>
      </c>
      <c r="W93" s="1" t="n">
        <v>-1.72068755005301</v>
      </c>
      <c r="X93" s="1" t="n">
        <v>-1.33844321504142</v>
      </c>
      <c r="Y93" s="1" t="n">
        <v>0.821399594139533</v>
      </c>
      <c r="Z93" s="1" t="n">
        <v>-0.492768794812354</v>
      </c>
      <c r="AA93" s="1" t="n">
        <v>0.385483933892715</v>
      </c>
      <c r="AB93" s="1" t="n">
        <v>1.25259253307088</v>
      </c>
      <c r="AC93" s="1" t="n">
        <v>0.667912492499842</v>
      </c>
      <c r="AD93" s="1" t="n">
        <v>0.0211896533181138</v>
      </c>
      <c r="AE93" s="1" t="n">
        <v>2.18798186453071</v>
      </c>
      <c r="AF93" s="1" t="n">
        <v>0.686498796412662</v>
      </c>
      <c r="AG93" s="1" t="n">
        <v>-0.364460343941983</v>
      </c>
      <c r="AH93" s="1" t="n">
        <v>0.752696726456884</v>
      </c>
      <c r="AI93" s="1" t="n">
        <v>0.419346493896769</v>
      </c>
      <c r="AJ93" s="1" t="n">
        <v>-0.879985972281321</v>
      </c>
      <c r="AK93" s="1" t="n">
        <v>0.075015204077482</v>
      </c>
      <c r="AL93" s="1" t="n">
        <v>-0.169624200391368</v>
      </c>
      <c r="AM93" s="1" t="n">
        <v>-2.02155234370344</v>
      </c>
      <c r="AN93" s="1" t="n">
        <v>-0.177251457270581</v>
      </c>
      <c r="AO93" s="1" t="n">
        <v>-0.291055346189909</v>
      </c>
      <c r="AP93" s="1" t="n">
        <v>-0.450639335024578</v>
      </c>
      <c r="AQ93" s="1" t="n">
        <v>-1.69109679819163</v>
      </c>
      <c r="AR93" s="1" t="n">
        <v>-0.364650018251074</v>
      </c>
      <c r="AS93" s="1" t="n">
        <v>-0.0408020907245279</v>
      </c>
      <c r="AT93" s="1" t="n">
        <v>0.104795540708603</v>
      </c>
      <c r="AU93" s="1" t="n">
        <v>-1.16735960045731</v>
      </c>
      <c r="AV93" s="1" t="n">
        <v>0.650226659090928</v>
      </c>
      <c r="AW93" s="1" t="n">
        <v>-1.24967135846324</v>
      </c>
      <c r="AX93" s="1" t="n">
        <v>-0.230041215094485</v>
      </c>
      <c r="AY93" s="1" t="n">
        <v>1.34165872045673</v>
      </c>
      <c r="AZ93" s="1" t="n">
        <v>-0.711757302008946</v>
      </c>
      <c r="BA93" s="1" t="n">
        <v>-0.525001677968788</v>
      </c>
      <c r="BB93" s="1" t="n">
        <v>1.10335307733758</v>
      </c>
      <c r="BC93" s="1" t="n">
        <v>-0.394713494817482</v>
      </c>
      <c r="BD93" s="1" t="n">
        <v>-0.305256385145514</v>
      </c>
      <c r="BE93" s="1" t="n">
        <v>0.227358685009715</v>
      </c>
      <c r="BF93" s="1" t="n">
        <v>1.07841910649467</v>
      </c>
      <c r="BG93" s="1" t="n">
        <v>-2.26462591095647</v>
      </c>
      <c r="BH93" s="1" t="n">
        <v>-0.851171152534106</v>
      </c>
      <c r="BI93" s="1" t="n">
        <v>-1.03491344081397</v>
      </c>
      <c r="BJ93" s="1" t="n">
        <v>-1.11441348108345</v>
      </c>
    </row>
    <row r="94" customFormat="false" ht="15" hidden="false" customHeight="true" outlineLevel="0" collapsed="false">
      <c r="C94" s="1" t="n">
        <v>-0.87778347534471</v>
      </c>
      <c r="D94" s="1" t="n">
        <v>-0.861548308905232</v>
      </c>
      <c r="E94" s="1" t="n">
        <v>0.309216051200234</v>
      </c>
      <c r="F94" s="1" t="n">
        <v>-0.912127695471677</v>
      </c>
      <c r="G94" s="1" t="n">
        <v>0.125584277961445</v>
      </c>
      <c r="H94" s="1" t="n">
        <v>0.411420574871898</v>
      </c>
      <c r="I94" s="1" t="n">
        <v>-0.748053180681876</v>
      </c>
      <c r="J94" s="1" t="n">
        <v>0.133876175413395</v>
      </c>
      <c r="K94" s="1" t="n">
        <v>1.67751911544608</v>
      </c>
      <c r="L94" s="1" t="n">
        <v>0.330053964212108</v>
      </c>
      <c r="M94" s="1" t="n">
        <v>-0.652979423859911</v>
      </c>
      <c r="N94" s="1" t="n">
        <v>-0.0665206110791468</v>
      </c>
      <c r="O94" s="1" t="n">
        <v>-0.937942032792162</v>
      </c>
      <c r="P94" s="1" t="n">
        <v>0.277136217361404</v>
      </c>
      <c r="Q94" s="1" t="n">
        <v>0.882449139447342</v>
      </c>
      <c r="R94" s="1" t="n">
        <v>-0.837944294752266</v>
      </c>
      <c r="S94" s="1" t="n">
        <v>-0.21394383528032</v>
      </c>
      <c r="T94" s="1" t="n">
        <v>1.13729614105372</v>
      </c>
      <c r="U94" s="1" t="n">
        <v>-0.508485709192681</v>
      </c>
      <c r="V94" s="1" t="n">
        <v>0.192102503010245</v>
      </c>
      <c r="W94" s="1" t="n">
        <v>-1.04613080005478</v>
      </c>
      <c r="X94" s="1" t="n">
        <v>-0.836785777242968</v>
      </c>
      <c r="Y94" s="1" t="n">
        <v>-0.52346318956414</v>
      </c>
      <c r="Z94" s="1" t="n">
        <v>2.17632002321429</v>
      </c>
      <c r="AA94" s="1" t="n">
        <v>-0.409050141336523</v>
      </c>
      <c r="AB94" s="1" t="n">
        <v>-0.529958686069623</v>
      </c>
      <c r="AC94" s="1" t="n">
        <v>-0.563193528477139</v>
      </c>
      <c r="AD94" s="1" t="n">
        <v>-0.165602354058273</v>
      </c>
      <c r="AE94" s="1" t="n">
        <v>0.655930118352925</v>
      </c>
      <c r="AF94" s="1" t="n">
        <v>0.18949043700353</v>
      </c>
      <c r="AG94" s="1" t="n">
        <v>2.0578146747004</v>
      </c>
      <c r="AH94" s="1" t="n">
        <v>0.21379444673291</v>
      </c>
      <c r="AI94" s="1" t="n">
        <v>1.44740414935657</v>
      </c>
      <c r="AJ94" s="1" t="n">
        <v>0.27671111602486</v>
      </c>
      <c r="AK94" s="1" t="n">
        <v>0.605581498447448</v>
      </c>
      <c r="AL94" s="1" t="n">
        <v>-1.44359993971331</v>
      </c>
      <c r="AM94" s="1" t="n">
        <v>-0.127059448139179</v>
      </c>
      <c r="AN94" s="1" t="n">
        <v>-0.0689477406287987</v>
      </c>
      <c r="AO94" s="1" t="n">
        <v>-0.242957006897472</v>
      </c>
      <c r="AP94" s="1" t="n">
        <v>-2.15287862719087</v>
      </c>
      <c r="AQ94" s="1" t="n">
        <v>0.880624461872657</v>
      </c>
      <c r="AR94" s="1" t="n">
        <v>-0.387150329682182</v>
      </c>
      <c r="AS94" s="1" t="n">
        <v>-0.438071322246316</v>
      </c>
      <c r="AT94" s="1" t="n">
        <v>-0.255171461040158</v>
      </c>
      <c r="AU94" s="1" t="n">
        <v>-0.228079188874437</v>
      </c>
      <c r="AV94" s="1" t="n">
        <v>0.407098420788751</v>
      </c>
      <c r="AW94" s="1" t="n">
        <v>-1.27103225156526</v>
      </c>
      <c r="AX94" s="1" t="n">
        <v>-0.931042056916997</v>
      </c>
      <c r="AY94" s="1" t="n">
        <v>0.2906332958994</v>
      </c>
      <c r="AZ94" s="1" t="n">
        <v>0.145582811320363</v>
      </c>
      <c r="BA94" s="1" t="n">
        <v>-0.376654808908733</v>
      </c>
      <c r="BB94" s="1" t="n">
        <v>-0.573912405640982</v>
      </c>
      <c r="BC94" s="1" t="n">
        <v>-0.834424703169927</v>
      </c>
      <c r="BD94" s="1" t="n">
        <v>-0.0583551638956689</v>
      </c>
      <c r="BE94" s="1" t="n">
        <v>1.18073247319144</v>
      </c>
      <c r="BF94" s="1" t="n">
        <v>-1.05805075137905</v>
      </c>
      <c r="BG94" s="1" t="n">
        <v>1.52331804665016</v>
      </c>
      <c r="BH94" s="1" t="n">
        <v>0.843981465380428</v>
      </c>
      <c r="BI94" s="1" t="n">
        <v>-0.452963737309939</v>
      </c>
      <c r="BJ94" s="1" t="n">
        <v>0.783074875463086</v>
      </c>
    </row>
    <row r="95" customFormat="false" ht="15" hidden="false" customHeight="true" outlineLevel="0" collapsed="false">
      <c r="C95" s="1" t="n">
        <v>-1.46590341686209</v>
      </c>
      <c r="D95" s="1" t="n">
        <v>-1.73157494516124</v>
      </c>
      <c r="E95" s="1" t="n">
        <v>-1.28978225615118</v>
      </c>
      <c r="F95" s="1" t="n">
        <v>-0.409746465314192</v>
      </c>
      <c r="G95" s="1" t="n">
        <v>-0.325409968949681</v>
      </c>
      <c r="H95" s="1" t="n">
        <v>-0.51514241714267</v>
      </c>
      <c r="I95" s="1" t="n">
        <v>0.099422690564756</v>
      </c>
      <c r="J95" s="1" t="n">
        <v>-2.13515390771868</v>
      </c>
      <c r="K95" s="1" t="n">
        <v>0.495349406351544</v>
      </c>
      <c r="L95" s="1" t="n">
        <v>-1.41930057889233</v>
      </c>
      <c r="M95" s="1" t="n">
        <v>-0.66085060522532</v>
      </c>
      <c r="N95" s="1" t="n">
        <v>-0.412850466292999</v>
      </c>
      <c r="O95" s="1" t="n">
        <v>-1.15621063674248</v>
      </c>
      <c r="P95" s="1" t="n">
        <v>-1.37099966863759</v>
      </c>
      <c r="Q95" s="1" t="n">
        <v>-1.00608166521431</v>
      </c>
      <c r="R95" s="1" t="n">
        <v>-0.0119236421411786</v>
      </c>
      <c r="S95" s="1" t="n">
        <v>0.589982179059438</v>
      </c>
      <c r="T95" s="1" t="n">
        <v>0.564235177703947</v>
      </c>
      <c r="U95" s="1" t="n">
        <v>-0.994491038270491</v>
      </c>
      <c r="V95" s="1" t="n">
        <v>-0.791577148211955</v>
      </c>
      <c r="W95" s="1" t="n">
        <v>-0.920603164649928</v>
      </c>
      <c r="X95" s="1" t="n">
        <v>0.449812312096478</v>
      </c>
      <c r="Y95" s="1" t="n">
        <v>-2.03742018051855</v>
      </c>
      <c r="Z95" s="1" t="n">
        <v>1.23833926058223</v>
      </c>
      <c r="AA95" s="1" t="n">
        <v>-0.484804875289663</v>
      </c>
      <c r="AB95" s="1" t="n">
        <v>-0.783524863800383</v>
      </c>
      <c r="AC95" s="1" t="n">
        <v>0.339453795907564</v>
      </c>
      <c r="AD95" s="1" t="n">
        <v>1.03261905510635</v>
      </c>
      <c r="AE95" s="1" t="n">
        <v>0.342583256884926</v>
      </c>
      <c r="AF95" s="1" t="n">
        <v>1.05274445731861</v>
      </c>
      <c r="AG95" s="1" t="n">
        <v>0.134358816653766</v>
      </c>
      <c r="AH95" s="1" t="n">
        <v>1.22963860570773</v>
      </c>
      <c r="AI95" s="1" t="n">
        <v>1.2451600386187</v>
      </c>
      <c r="AJ95" s="1" t="n">
        <v>-0.099478789332065</v>
      </c>
      <c r="AK95" s="1" t="n">
        <v>1.43920588792695</v>
      </c>
      <c r="AL95" s="1" t="n">
        <v>0.164733701313498</v>
      </c>
      <c r="AM95" s="1" t="n">
        <v>0.0868932203020275</v>
      </c>
      <c r="AN95" s="1" t="n">
        <v>-0.921473670447394</v>
      </c>
      <c r="AO95" s="1" t="n">
        <v>-0.288780005787194</v>
      </c>
      <c r="AP95" s="1" t="n">
        <v>0.777582745843583</v>
      </c>
      <c r="AQ95" s="1" t="n">
        <v>-1.31264690973641</v>
      </c>
      <c r="AR95" s="1" t="n">
        <v>0.649624009325274</v>
      </c>
      <c r="AS95" s="1" t="n">
        <v>0.348615951269464</v>
      </c>
      <c r="AT95" s="1" t="n">
        <v>0.27756141625012</v>
      </c>
      <c r="AU95" s="1" t="n">
        <v>-2.20649219542397</v>
      </c>
      <c r="AV95" s="1" t="n">
        <v>-0.103242919634599</v>
      </c>
      <c r="AW95" s="1" t="n">
        <v>0.648260007690957</v>
      </c>
      <c r="AX95" s="1" t="n">
        <v>-0.762954956918181</v>
      </c>
      <c r="AY95" s="1" t="n">
        <v>0.090306699097783</v>
      </c>
      <c r="AZ95" s="1" t="n">
        <v>-2.37807326906822</v>
      </c>
      <c r="BA95" s="1" t="n">
        <v>0.671393036288468</v>
      </c>
      <c r="BB95" s="1" t="n">
        <v>-0.662432809675744</v>
      </c>
      <c r="BC95" s="1" t="n">
        <v>0.871356947566726</v>
      </c>
      <c r="BD95" s="1" t="n">
        <v>-1.84278627593223</v>
      </c>
      <c r="BE95" s="1" t="n">
        <v>0.692267388325644</v>
      </c>
      <c r="BF95" s="1" t="n">
        <v>-0.236939287652317</v>
      </c>
      <c r="BG95" s="1" t="n">
        <v>0.807603797668961</v>
      </c>
      <c r="BH95" s="1" t="n">
        <v>-0.9257097871121</v>
      </c>
      <c r="BI95" s="1" t="n">
        <v>-0.61845702474322</v>
      </c>
      <c r="BJ95" s="1" t="n">
        <v>2.24245134482254</v>
      </c>
    </row>
    <row r="96" customFormat="false" ht="15" hidden="false" customHeight="true" outlineLevel="0" collapsed="false">
      <c r="C96" s="1" t="n">
        <v>-0.82995215043723</v>
      </c>
      <c r="D96" s="1" t="n">
        <v>-0.70602720740788</v>
      </c>
      <c r="E96" s="1" t="n">
        <v>-0.276582037165083</v>
      </c>
      <c r="F96" s="1" t="n">
        <v>-1.02255872582037</v>
      </c>
      <c r="G96" s="1" t="n">
        <v>1.19045678635029</v>
      </c>
      <c r="H96" s="1" t="n">
        <v>1.72501331420425</v>
      </c>
      <c r="I96" s="1" t="n">
        <v>-0.704106066583336</v>
      </c>
      <c r="J96" s="1" t="n">
        <v>-1.72603217901329</v>
      </c>
      <c r="K96" s="1" t="n">
        <v>1.17197730299076</v>
      </c>
      <c r="L96" s="1" t="n">
        <v>1.10839051179173</v>
      </c>
      <c r="M96" s="1" t="n">
        <v>0.821659192178587</v>
      </c>
      <c r="N96" s="1" t="n">
        <v>1.15651143474891</v>
      </c>
      <c r="O96" s="1" t="n">
        <v>-0.867525265823803</v>
      </c>
      <c r="P96" s="1" t="n">
        <v>-0.16849640867194</v>
      </c>
      <c r="Q96" s="1" t="n">
        <v>-1.38410960434055</v>
      </c>
      <c r="R96" s="1" t="n">
        <v>-1.41816282958581</v>
      </c>
      <c r="S96" s="1" t="n">
        <v>0.981101307269532</v>
      </c>
      <c r="T96" s="1" t="n">
        <v>-0.671913262443108</v>
      </c>
      <c r="U96" s="1" t="n">
        <v>2.27957159402006</v>
      </c>
      <c r="V96" s="1" t="n">
        <v>0.0741801099825719</v>
      </c>
      <c r="W96" s="1" t="n">
        <v>-0.640424815233714</v>
      </c>
      <c r="X96" s="1" t="n">
        <v>0.797885203706358</v>
      </c>
      <c r="Y96" s="1" t="n">
        <v>1.80126235759937</v>
      </c>
      <c r="Z96" s="1" t="n">
        <v>0.486130959425147</v>
      </c>
      <c r="AA96" s="1" t="n">
        <v>-1.21714517079365</v>
      </c>
      <c r="AB96" s="1" t="n">
        <v>0.371002801885063</v>
      </c>
      <c r="AC96" s="1" t="n">
        <v>1.37559806106673</v>
      </c>
      <c r="AD96" s="1" t="n">
        <v>-0.493240949026295</v>
      </c>
      <c r="AE96" s="1" t="n">
        <v>-0.773641957411277</v>
      </c>
      <c r="AF96" s="1" t="n">
        <v>1.0164479113629</v>
      </c>
      <c r="AG96" s="1" t="n">
        <v>0.139967740501981</v>
      </c>
      <c r="AH96" s="1" t="n">
        <v>-1.10254210268274</v>
      </c>
      <c r="AI96" s="1" t="n">
        <v>-0.379746601581542</v>
      </c>
      <c r="AJ96" s="1" t="n">
        <v>-0.755662490965957</v>
      </c>
      <c r="AK96" s="1" t="n">
        <v>0.296268664870421</v>
      </c>
      <c r="AL96" s="1" t="n">
        <v>0.109684513493539</v>
      </c>
      <c r="AM96" s="1" t="n">
        <v>1.15044704306023</v>
      </c>
      <c r="AN96" s="1" t="n">
        <v>0.709665041981246</v>
      </c>
      <c r="AO96" s="1" t="n">
        <v>-1.56353399402937</v>
      </c>
      <c r="AP96" s="1" t="n">
        <v>0.406990531455276</v>
      </c>
      <c r="AQ96" s="1" t="n">
        <v>0.896932319673405</v>
      </c>
      <c r="AR96" s="1" t="n">
        <v>0.455879267032884</v>
      </c>
      <c r="AS96" s="1" t="n">
        <v>1.03005965927948</v>
      </c>
      <c r="AT96" s="1" t="n">
        <v>-0.54957699267009</v>
      </c>
      <c r="AU96" s="1" t="n">
        <v>-0.950831827285852</v>
      </c>
      <c r="AV96" s="1" t="n">
        <v>0.930070025242497</v>
      </c>
      <c r="AW96" s="1" t="n">
        <v>-1.06546467148571</v>
      </c>
      <c r="AX96" s="1" t="n">
        <v>-2.1595375327777</v>
      </c>
      <c r="AY96" s="1" t="n">
        <v>1.02529994465702</v>
      </c>
      <c r="AZ96" s="1" t="n">
        <v>-0.724184925668707</v>
      </c>
      <c r="BA96" s="1" t="n">
        <v>-0.306066201009667</v>
      </c>
      <c r="BB96" s="1" t="n">
        <v>-1.39797934823041</v>
      </c>
      <c r="BC96" s="1" t="n">
        <v>-1.32552758700512</v>
      </c>
      <c r="BD96" s="1" t="n">
        <v>-1.15658884197561</v>
      </c>
      <c r="BE96" s="1" t="n">
        <v>-0.360649851731811</v>
      </c>
      <c r="BF96" s="1" t="n">
        <v>0.369999076155931</v>
      </c>
      <c r="BG96" s="1" t="n">
        <v>-2.29781121575741</v>
      </c>
      <c r="BH96" s="1" t="n">
        <v>0.752173174618022</v>
      </c>
      <c r="BI96" s="1" t="n">
        <v>-1.1819981627886</v>
      </c>
      <c r="BJ96" s="1" t="n">
        <v>-1.06631175795406</v>
      </c>
    </row>
    <row r="97" customFormat="false" ht="15" hidden="false" customHeight="true" outlineLevel="0" collapsed="false">
      <c r="C97" s="1" t="n">
        <v>0.677855388074994</v>
      </c>
      <c r="D97" s="1" t="n">
        <v>-0.0746339325143939</v>
      </c>
      <c r="E97" s="1" t="n">
        <v>-1.53643378624069</v>
      </c>
      <c r="F97" s="1" t="n">
        <v>1.84459268723437</v>
      </c>
      <c r="G97" s="1" t="n">
        <v>-0.860621604940783</v>
      </c>
      <c r="H97" s="1" t="n">
        <v>0.247315951947487</v>
      </c>
      <c r="I97" s="1" t="n">
        <v>0.199890348607855</v>
      </c>
      <c r="J97" s="1" t="n">
        <v>1.41132716186319</v>
      </c>
      <c r="K97" s="1" t="n">
        <v>-0.455668835445888</v>
      </c>
      <c r="L97" s="1" t="n">
        <v>1.00808968438259</v>
      </c>
      <c r="M97" s="1" t="n">
        <v>-0.741889522318127</v>
      </c>
      <c r="N97" s="1" t="n">
        <v>1.12212885850222</v>
      </c>
      <c r="O97" s="1" t="n">
        <v>-0.762984629581839</v>
      </c>
      <c r="P97" s="1" t="n">
        <v>-0.362209098614496</v>
      </c>
      <c r="Q97" s="1" t="n">
        <v>1.89596654789903</v>
      </c>
      <c r="R97" s="1" t="n">
        <v>0.316971388118339</v>
      </c>
      <c r="S97" s="1" t="n">
        <v>0.109758972702692</v>
      </c>
      <c r="T97" s="1" t="n">
        <v>2.24204927501206</v>
      </c>
      <c r="U97" s="1" t="n">
        <v>0.361356674033482</v>
      </c>
      <c r="V97" s="1" t="n">
        <v>-0.816137307728605</v>
      </c>
      <c r="W97" s="1" t="n">
        <v>0.734627998294513</v>
      </c>
      <c r="X97" s="1" t="n">
        <v>-1.1816809170081</v>
      </c>
      <c r="Y97" s="1" t="n">
        <v>1.12831653874392</v>
      </c>
      <c r="Z97" s="1" t="n">
        <v>1.20597775982017</v>
      </c>
      <c r="AA97" s="1" t="n">
        <v>-0.572959178541228</v>
      </c>
      <c r="AB97" s="1" t="n">
        <v>-0.627901849283849</v>
      </c>
      <c r="AC97" s="1" t="n">
        <v>0.176504262350911</v>
      </c>
      <c r="AD97" s="1" t="n">
        <v>0.0141551517789644</v>
      </c>
      <c r="AE97" s="1" t="n">
        <v>-0.977687616866345</v>
      </c>
      <c r="AF97" s="1" t="n">
        <v>0.568087866318815</v>
      </c>
      <c r="AG97" s="1" t="n">
        <v>-2.04187569626381</v>
      </c>
      <c r="AH97" s="1" t="n">
        <v>-0.432859458257073</v>
      </c>
      <c r="AI97" s="1" t="n">
        <v>-0.403940964856944</v>
      </c>
      <c r="AJ97" s="1" t="n">
        <v>-0.273265551522478</v>
      </c>
      <c r="AK97" s="1" t="n">
        <v>0.307223905375721</v>
      </c>
      <c r="AL97" s="1" t="n">
        <v>-1.22802242641913</v>
      </c>
      <c r="AM97" s="1" t="n">
        <v>0.588515083235814</v>
      </c>
      <c r="AN97" s="1" t="n">
        <v>-0.180154015321684</v>
      </c>
      <c r="AO97" s="1" t="n">
        <v>-0.650216111813626</v>
      </c>
      <c r="AP97" s="1" t="n">
        <v>-1.36682613449561</v>
      </c>
      <c r="AQ97" s="1" t="n">
        <v>-1.18310927173262</v>
      </c>
      <c r="AR97" s="1" t="n">
        <v>0.360324772029254</v>
      </c>
      <c r="AS97" s="1" t="n">
        <v>-0.963849109542118</v>
      </c>
      <c r="AT97" s="1" t="n">
        <v>0.0641986978519492</v>
      </c>
      <c r="AU97" s="1" t="n">
        <v>1.06198295475813</v>
      </c>
      <c r="AV97" s="1" t="n">
        <v>1.03264261534625</v>
      </c>
      <c r="AW97" s="1" t="n">
        <v>1.56039696076283</v>
      </c>
      <c r="AX97" s="1" t="n">
        <v>-0.296293323517812</v>
      </c>
      <c r="AY97" s="1" t="n">
        <v>-1.0851490718188</v>
      </c>
      <c r="AZ97" s="1" t="n">
        <v>1.02052551038783</v>
      </c>
      <c r="BA97" s="1" t="n">
        <v>0.30960385050457</v>
      </c>
      <c r="BB97" s="1" t="n">
        <v>1.12395065007742</v>
      </c>
      <c r="BC97" s="1" t="n">
        <v>0.0110560710540148</v>
      </c>
      <c r="BD97" s="1" t="n">
        <v>1.19564602446264</v>
      </c>
      <c r="BE97" s="1" t="n">
        <v>0.846387420054267</v>
      </c>
      <c r="BF97" s="1" t="n">
        <v>0.716420903417623</v>
      </c>
      <c r="BG97" s="1" t="n">
        <v>0.503522877796548</v>
      </c>
      <c r="BH97" s="1" t="n">
        <v>0.397699012529112</v>
      </c>
      <c r="BI97" s="1" t="n">
        <v>0.233035807014667</v>
      </c>
      <c r="BJ97" s="1" t="n">
        <v>0.225906239529051</v>
      </c>
    </row>
    <row r="98" customFormat="false" ht="15" hidden="false" customHeight="true" outlineLevel="0" collapsed="false">
      <c r="C98" s="1" t="n">
        <v>0.990194595559704</v>
      </c>
      <c r="D98" s="1" t="n">
        <v>-0.511979673910945</v>
      </c>
      <c r="E98" s="1" t="n">
        <v>1.73568513609381</v>
      </c>
      <c r="F98" s="1" t="n">
        <v>-0.106242545359208</v>
      </c>
      <c r="G98" s="1" t="n">
        <v>0.985382195088834</v>
      </c>
      <c r="H98" s="1" t="n">
        <v>-0.090241187788843</v>
      </c>
      <c r="I98" s="1" t="n">
        <v>-0.246665995430291</v>
      </c>
      <c r="J98" s="1" t="n">
        <v>2.03224148573078</v>
      </c>
      <c r="K98" s="1" t="n">
        <v>-0.309344785201377</v>
      </c>
      <c r="L98" s="1" t="n">
        <v>-1.27721676267564</v>
      </c>
      <c r="M98" s="1" t="n">
        <v>-0.714082159020736</v>
      </c>
      <c r="N98" s="1" t="n">
        <v>-0.3172279535082</v>
      </c>
      <c r="O98" s="1" t="n">
        <v>2.15519185271778</v>
      </c>
      <c r="P98" s="1" t="n">
        <v>0.206755932206315</v>
      </c>
      <c r="Q98" s="1" t="n">
        <v>0.934713399799297</v>
      </c>
      <c r="R98" s="1" t="n">
        <v>-1.00159995688008</v>
      </c>
      <c r="S98" s="1" t="n">
        <v>0.352608289761147</v>
      </c>
      <c r="T98" s="1" t="n">
        <v>0.671478348396463</v>
      </c>
      <c r="U98" s="1" t="n">
        <v>1.80162695546435</v>
      </c>
      <c r="V98" s="1" t="n">
        <v>-0.696270448323979</v>
      </c>
      <c r="W98" s="1" t="n">
        <v>0.603489462693844</v>
      </c>
      <c r="X98" s="1" t="n">
        <v>0.302583908453327</v>
      </c>
      <c r="Y98" s="1" t="n">
        <v>-1.02171471053198</v>
      </c>
      <c r="Z98" s="1" t="n">
        <v>-0.0194562355861807</v>
      </c>
      <c r="AA98" s="1" t="n">
        <v>-0.263474909536391</v>
      </c>
      <c r="AB98" s="1" t="n">
        <v>-2.32536542594678</v>
      </c>
      <c r="AC98" s="1" t="n">
        <v>0.59866912438223</v>
      </c>
      <c r="AD98" s="1" t="n">
        <v>0.54024341974353</v>
      </c>
      <c r="AE98" s="1" t="n">
        <v>-0.43893479399602</v>
      </c>
      <c r="AF98" s="1" t="n">
        <v>-1.3385619446147</v>
      </c>
      <c r="AG98" s="1" t="n">
        <v>1.47988086713262</v>
      </c>
      <c r="AH98" s="1" t="n">
        <v>0.265999287393797</v>
      </c>
      <c r="AI98" s="1" t="n">
        <v>1.01670129401162</v>
      </c>
      <c r="AJ98" s="1" t="n">
        <v>1.41032179670202</v>
      </c>
      <c r="AK98" s="1" t="n">
        <v>-0.520906784323022</v>
      </c>
      <c r="AL98" s="1" t="n">
        <v>0.812154532640766</v>
      </c>
      <c r="AM98" s="1" t="n">
        <v>-0.241149013670111</v>
      </c>
      <c r="AN98" s="1" t="n">
        <v>-0.0625486414998812</v>
      </c>
      <c r="AO98" s="1" t="n">
        <v>-0.0856156166386858</v>
      </c>
      <c r="AP98" s="1" t="n">
        <v>-0.00131893245503675</v>
      </c>
      <c r="AQ98" s="1" t="n">
        <v>1.11396019962934</v>
      </c>
      <c r="AR98" s="1" t="n">
        <v>0.123827531028611</v>
      </c>
      <c r="AS98" s="1" t="n">
        <v>-0.153732748058096</v>
      </c>
      <c r="AT98" s="1" t="n">
        <v>-0.276537231516612</v>
      </c>
      <c r="AU98" s="1" t="n">
        <v>0.341314149205201</v>
      </c>
      <c r="AV98" s="1" t="n">
        <v>-0.894868063307911</v>
      </c>
      <c r="AW98" s="1" t="n">
        <v>-0.502658430549965</v>
      </c>
      <c r="AX98" s="1" t="n">
        <v>-0.0522805811072546</v>
      </c>
      <c r="AY98" s="1" t="n">
        <v>-0.565848312208367</v>
      </c>
      <c r="AZ98" s="1" t="n">
        <v>-0.118476152936875</v>
      </c>
      <c r="BA98" s="1" t="n">
        <v>-0.610776862919005</v>
      </c>
      <c r="BB98" s="1" t="n">
        <v>2.00395777902897</v>
      </c>
      <c r="BC98" s="1" t="n">
        <v>1.32906074064784</v>
      </c>
      <c r="BD98" s="1" t="n">
        <v>0.449952163064441</v>
      </c>
      <c r="BE98" s="1" t="n">
        <v>-0.053618518138863</v>
      </c>
      <c r="BF98" s="1" t="n">
        <v>2.19076416279921</v>
      </c>
      <c r="BG98" s="1" t="n">
        <v>0.32295290807362</v>
      </c>
      <c r="BH98" s="1" t="n">
        <v>-0.0868455078688593</v>
      </c>
      <c r="BI98" s="1" t="n">
        <v>0.303126376818458</v>
      </c>
      <c r="BJ98" s="1" t="n">
        <v>0.305943206411917</v>
      </c>
    </row>
    <row r="99" customFormat="false" ht="15" hidden="false" customHeight="true" outlineLevel="0" collapsed="false">
      <c r="C99" s="1" t="n">
        <v>1.41031770648373</v>
      </c>
      <c r="D99" s="1" t="n">
        <v>-0.0189646924839284</v>
      </c>
      <c r="E99" s="1" t="n">
        <v>2.09932482405725</v>
      </c>
      <c r="F99" s="1" t="n">
        <v>-0.882021260001717</v>
      </c>
      <c r="G99" s="1" t="n">
        <v>0.694050216918844</v>
      </c>
      <c r="H99" s="1" t="n">
        <v>-1.00182677664781</v>
      </c>
      <c r="I99" s="1" t="n">
        <v>1.81710095662396</v>
      </c>
      <c r="J99" s="1" t="n">
        <v>-0.330565438893176</v>
      </c>
      <c r="K99" s="1" t="n">
        <v>-0.0581892718124147</v>
      </c>
      <c r="L99" s="1" t="n">
        <v>0.924236906302521</v>
      </c>
      <c r="M99" s="1" t="n">
        <v>1.25534068402822</v>
      </c>
      <c r="N99" s="1" t="n">
        <v>-1.1118768365883</v>
      </c>
      <c r="O99" s="1" t="n">
        <v>-0.346158991641528</v>
      </c>
      <c r="P99" s="1" t="n">
        <v>-1.39492327279977</v>
      </c>
      <c r="Q99" s="1" t="n">
        <v>0.137305151375521</v>
      </c>
      <c r="R99" s="1" t="n">
        <v>-0.101372535141331</v>
      </c>
      <c r="S99" s="1" t="n">
        <v>-0.348934022759565</v>
      </c>
      <c r="T99" s="1" t="n">
        <v>-0.68446133890061</v>
      </c>
      <c r="U99" s="1" t="n">
        <v>-0.385906463847865</v>
      </c>
      <c r="V99" s="1" t="n">
        <v>-0.746395338730449</v>
      </c>
      <c r="W99" s="1" t="n">
        <v>0.528961842026123</v>
      </c>
      <c r="X99" s="1" t="n">
        <v>1.5159500472047</v>
      </c>
      <c r="Y99" s="1" t="n">
        <v>-1.93072410856902</v>
      </c>
      <c r="Z99" s="1" t="n">
        <v>-0.11596751607144</v>
      </c>
      <c r="AA99" s="1" t="n">
        <v>-0.418171774094103</v>
      </c>
      <c r="AB99" s="1" t="n">
        <v>0.492368588501296</v>
      </c>
      <c r="AC99" s="1" t="n">
        <v>-0.951767017343714</v>
      </c>
      <c r="AD99" s="1" t="n">
        <v>-0.146435830692774</v>
      </c>
      <c r="AE99" s="1" t="n">
        <v>-1.0395921824785</v>
      </c>
      <c r="AF99" s="1" t="n">
        <v>0.696697843472792</v>
      </c>
      <c r="AG99" s="1" t="n">
        <v>0.0992746299582923</v>
      </c>
      <c r="AH99" s="1" t="n">
        <v>-0.161474565563532</v>
      </c>
      <c r="AI99" s="1" t="n">
        <v>0.370187929010348</v>
      </c>
      <c r="AJ99" s="1" t="n">
        <v>-0.246483304630942</v>
      </c>
      <c r="AK99" s="1" t="n">
        <v>-1.55382098297683</v>
      </c>
      <c r="AL99" s="1" t="n">
        <v>0.595730409933268</v>
      </c>
      <c r="AM99" s="1" t="n">
        <v>0.28827017045747</v>
      </c>
      <c r="AN99" s="1" t="n">
        <v>-0.154079601544875</v>
      </c>
      <c r="AO99" s="1" t="n">
        <v>0.984924930633556</v>
      </c>
      <c r="AP99" s="1" t="n">
        <v>1.21849554979189</v>
      </c>
      <c r="AQ99" s="1" t="n">
        <v>-1.09228263412152</v>
      </c>
      <c r="AR99" s="1" t="n">
        <v>-0.7810760719852</v>
      </c>
      <c r="AS99" s="1" t="n">
        <v>1.54728509576785</v>
      </c>
      <c r="AT99" s="1" t="n">
        <v>1.41885186659131</v>
      </c>
      <c r="AU99" s="1" t="n">
        <v>-0.738393128586098</v>
      </c>
      <c r="AV99" s="1" t="n">
        <v>-1.18071005223665</v>
      </c>
      <c r="AW99" s="1" t="n">
        <v>-0.637567553735979</v>
      </c>
      <c r="AX99" s="1" t="n">
        <v>-0.498116406817612</v>
      </c>
      <c r="AY99" s="1" t="n">
        <v>-1.58406583188672</v>
      </c>
      <c r="AZ99" s="1" t="n">
        <v>0.0311672527492588</v>
      </c>
      <c r="BA99" s="1" t="n">
        <v>-1.28017890974152</v>
      </c>
      <c r="BB99" s="1" t="n">
        <v>-1.21038965004152</v>
      </c>
      <c r="BC99" s="1" t="n">
        <v>0.916106422266104</v>
      </c>
      <c r="BD99" s="1" t="n">
        <v>-0.683189275480761</v>
      </c>
      <c r="BE99" s="1" t="n">
        <v>-0.071471182114448</v>
      </c>
      <c r="BF99" s="1" t="n">
        <v>0.629096355675698</v>
      </c>
      <c r="BG99" s="1" t="n">
        <v>0.813224072091223</v>
      </c>
      <c r="BH99" s="1" t="n">
        <v>-0.33702012879276</v>
      </c>
      <c r="BI99" s="1" t="n">
        <v>0.0441174786546011</v>
      </c>
      <c r="BJ99" s="1" t="n">
        <v>-0.825405989394753</v>
      </c>
    </row>
    <row r="100" customFormat="false" ht="15" hidden="false" customHeight="true" outlineLevel="0" collapsed="false">
      <c r="C100" s="1" t="n">
        <v>1.74737969645902</v>
      </c>
      <c r="D100" s="1" t="n">
        <v>0.649949817763149</v>
      </c>
      <c r="E100" s="1" t="n">
        <v>-1.10323977992603</v>
      </c>
      <c r="F100" s="1" t="n">
        <v>0.00405796885634217</v>
      </c>
      <c r="G100" s="1" t="n">
        <v>0.713551687359457</v>
      </c>
      <c r="H100" s="1" t="n">
        <v>0.479410966568737</v>
      </c>
      <c r="I100" s="1" t="n">
        <v>1.8291701180404</v>
      </c>
      <c r="J100" s="1" t="n">
        <v>1.37231911318341</v>
      </c>
      <c r="K100" s="1" t="n">
        <v>-0.539306457826523</v>
      </c>
      <c r="L100" s="1" t="n">
        <v>-0.0891805004622621</v>
      </c>
      <c r="M100" s="1" t="n">
        <v>-1.28154139297619</v>
      </c>
      <c r="N100" s="1" t="n">
        <v>0.249452982889444</v>
      </c>
      <c r="O100" s="1" t="n">
        <v>0.151021059546336</v>
      </c>
      <c r="P100" s="1" t="n">
        <v>2.70348286261904</v>
      </c>
      <c r="Q100" s="1" t="n">
        <v>0.0975751042096135</v>
      </c>
      <c r="R100" s="1" t="n">
        <v>-2.09325238065109</v>
      </c>
      <c r="S100" s="1" t="n">
        <v>-0.672086486704559</v>
      </c>
      <c r="T100" s="1" t="n">
        <v>0.112349211525074</v>
      </c>
      <c r="U100" s="1" t="n">
        <v>-1.2560152925928</v>
      </c>
      <c r="V100" s="1" t="n">
        <v>-0.867207684051568</v>
      </c>
      <c r="W100" s="1" t="n">
        <v>-0.365635808228104</v>
      </c>
      <c r="X100" s="1" t="n">
        <v>0.341811634465612</v>
      </c>
      <c r="Y100" s="1" t="n">
        <v>-0.165342011212284</v>
      </c>
      <c r="Z100" s="1" t="n">
        <v>-0.889232487446935</v>
      </c>
      <c r="AA100" s="1" t="n">
        <v>0.787681234495123</v>
      </c>
      <c r="AB100" s="1" t="n">
        <v>-0.539637449524541</v>
      </c>
      <c r="AC100" s="1" t="n">
        <v>-0.49930884341177</v>
      </c>
      <c r="AD100" s="1" t="n">
        <v>-1.37965159195129</v>
      </c>
      <c r="AE100" s="1" t="n">
        <v>-0.786015741561862</v>
      </c>
      <c r="AF100" s="1" t="n">
        <v>0.651771595885154</v>
      </c>
      <c r="AG100" s="1" t="n">
        <v>-1.61765515853375</v>
      </c>
      <c r="AH100" s="1" t="n">
        <v>-0.0711736946337108</v>
      </c>
      <c r="AI100" s="1" t="n">
        <v>0.717725023274881</v>
      </c>
      <c r="AJ100" s="1" t="n">
        <v>-0.377108607128254</v>
      </c>
      <c r="AK100" s="1" t="n">
        <v>0.239790518404963</v>
      </c>
      <c r="AL100" s="1" t="n">
        <v>-1.11679401138293</v>
      </c>
      <c r="AM100" s="1" t="n">
        <v>1.31027790218474</v>
      </c>
      <c r="AN100" s="1" t="n">
        <v>1.10105033610277</v>
      </c>
      <c r="AO100" s="1" t="n">
        <v>0.235499083183319</v>
      </c>
      <c r="AP100" s="1" t="n">
        <v>-1.75507885991592</v>
      </c>
      <c r="AQ100" s="1" t="n">
        <v>-1.04596233769706</v>
      </c>
      <c r="AR100" s="1" t="n">
        <v>0.976703061931343</v>
      </c>
      <c r="AS100" s="1" t="n">
        <v>1.7131210902787</v>
      </c>
      <c r="AT100" s="1" t="n">
        <v>0.296615439985001</v>
      </c>
      <c r="AU100" s="1" t="n">
        <v>1.2473189340357</v>
      </c>
      <c r="AV100" s="1" t="n">
        <v>-0.60776170342154</v>
      </c>
      <c r="AW100" s="1" t="n">
        <v>-0.189387156610905</v>
      </c>
      <c r="AX100" s="1" t="n">
        <v>0.00114790356330869</v>
      </c>
      <c r="AY100" s="1" t="n">
        <v>0.423096753734999</v>
      </c>
      <c r="AZ100" s="1" t="n">
        <v>-1.52880959044492</v>
      </c>
      <c r="BA100" s="1" t="n">
        <v>0.940666842538294</v>
      </c>
      <c r="BB100" s="1" t="n">
        <v>1.3225466443668</v>
      </c>
      <c r="BC100" s="1" t="n">
        <v>-1.14873514883996</v>
      </c>
      <c r="BD100" s="1" t="n">
        <v>-1.35533967125985</v>
      </c>
      <c r="BE100" s="1" t="n">
        <v>0.350560114617619</v>
      </c>
      <c r="BF100" s="1" t="n">
        <v>-0.654311906112452</v>
      </c>
      <c r="BG100" s="1" t="n">
        <v>-2.37082968259788</v>
      </c>
      <c r="BH100" s="1" t="n">
        <v>0.808583516025363</v>
      </c>
      <c r="BI100" s="1" t="n">
        <v>0.155594416901029</v>
      </c>
      <c r="BJ100" s="1" t="n">
        <v>-0.476646997807843</v>
      </c>
    </row>
    <row r="101" customFormat="false" ht="15" hidden="false" customHeight="true" outlineLevel="0" collapsed="false">
      <c r="C101" s="1" t="n">
        <v>2.11344429271074</v>
      </c>
      <c r="D101" s="1" t="n">
        <v>0.138904251679659</v>
      </c>
      <c r="E101" s="1" t="n">
        <v>-0.753430060305201</v>
      </c>
      <c r="F101" s="1" t="n">
        <v>0.101151812100347</v>
      </c>
      <c r="G101" s="1" t="n">
        <v>-1.04006926743089</v>
      </c>
      <c r="H101" s="1" t="n">
        <v>-0.761706774040745</v>
      </c>
      <c r="I101" s="1" t="n">
        <v>0.386362802125185</v>
      </c>
      <c r="J101" s="1" t="n">
        <v>-0.554198206212252</v>
      </c>
      <c r="K101" s="1" t="n">
        <v>-0.450974073970233</v>
      </c>
      <c r="L101" s="1" t="n">
        <v>1.66894486084078</v>
      </c>
      <c r="M101" s="1" t="n">
        <v>0.859648783186384</v>
      </c>
      <c r="N101" s="1" t="n">
        <v>0.80282582010682</v>
      </c>
      <c r="O101" s="1" t="n">
        <v>0.528816702198218</v>
      </c>
      <c r="P101" s="1" t="n">
        <v>0.484201561724195</v>
      </c>
      <c r="Q101" s="1" t="n">
        <v>1.45658489890714</v>
      </c>
      <c r="R101" s="1" t="n">
        <v>-0.0195459859751611</v>
      </c>
      <c r="S101" s="1" t="n">
        <v>1.85551412489978</v>
      </c>
      <c r="T101" s="1" t="n">
        <v>-0.951401667962309</v>
      </c>
      <c r="U101" s="1" t="n">
        <v>-0.255037687721245</v>
      </c>
      <c r="V101" s="1" t="n">
        <v>-1.37859636137589</v>
      </c>
      <c r="W101" s="1" t="n">
        <v>-0.343773019692943</v>
      </c>
      <c r="X101" s="1" t="n">
        <v>0.518442432954403</v>
      </c>
      <c r="Y101" s="1" t="n">
        <v>1.45124688922518</v>
      </c>
      <c r="Z101" s="1" t="n">
        <v>-0.663327538196904</v>
      </c>
      <c r="AA101" s="1" t="n">
        <v>0.00530447359909579</v>
      </c>
      <c r="AB101" s="1" t="n">
        <v>-0.359210399834939</v>
      </c>
      <c r="AC101" s="1" t="n">
        <v>-0.738599940784894</v>
      </c>
      <c r="AD101" s="1" t="n">
        <v>-1.18937945354733</v>
      </c>
      <c r="AE101" s="1" t="n">
        <v>0.0606611653018028</v>
      </c>
      <c r="AF101" s="1" t="n">
        <v>-1.73206500043516</v>
      </c>
      <c r="AG101" s="1" t="n">
        <v>0.1105431508245</v>
      </c>
      <c r="AH101" s="1" t="n">
        <v>0.0209519354877538</v>
      </c>
      <c r="AI101" s="1" t="n">
        <v>-0.657750298923883</v>
      </c>
      <c r="AJ101" s="1" t="n">
        <v>-1.01090356990996</v>
      </c>
      <c r="AK101" s="1" t="n">
        <v>-1.38430728160905</v>
      </c>
      <c r="AL101" s="1" t="n">
        <v>1.87132841097774</v>
      </c>
      <c r="AM101" s="1" t="n">
        <v>-1.34197206418883</v>
      </c>
      <c r="AN101" s="1" t="n">
        <v>1.55770235955013</v>
      </c>
      <c r="AO101" s="1" t="n">
        <v>0.600164759867517</v>
      </c>
      <c r="AP101" s="1" t="n">
        <v>-0.36402096828488</v>
      </c>
      <c r="AQ101" s="1" t="n">
        <v>-1.15707684372167</v>
      </c>
      <c r="AR101" s="1" t="n">
        <v>1.04249349685999</v>
      </c>
      <c r="AS101" s="1" t="n">
        <v>1.72965119674208</v>
      </c>
      <c r="AT101" s="1" t="n">
        <v>-0.934024408809816</v>
      </c>
      <c r="AU101" s="1" t="n">
        <v>-0.298745205880431</v>
      </c>
      <c r="AV101" s="1" t="n">
        <v>1.05162376479371</v>
      </c>
      <c r="AW101" s="1" t="n">
        <v>0.335783360026843</v>
      </c>
      <c r="AX101" s="1" t="n">
        <v>1.99996095615615</v>
      </c>
      <c r="AY101" s="1" t="n">
        <v>-0.570144449471345</v>
      </c>
      <c r="AZ101" s="1" t="n">
        <v>0.54229120836951</v>
      </c>
      <c r="BA101" s="1" t="n">
        <v>-1.25092796994167</v>
      </c>
      <c r="BB101" s="1" t="n">
        <v>2.09589173049905</v>
      </c>
      <c r="BC101" s="1" t="n">
        <v>-0.730340812288254</v>
      </c>
      <c r="BD101" s="1" t="n">
        <v>-2.2079670292952</v>
      </c>
      <c r="BE101" s="1" t="n">
        <v>-0.125764021259628</v>
      </c>
      <c r="BF101" s="1" t="n">
        <v>-0.139430621113321</v>
      </c>
      <c r="BG101" s="1" t="n">
        <v>1.91557151256179</v>
      </c>
      <c r="BH101" s="1" t="n">
        <v>-0.338819645383743</v>
      </c>
      <c r="BI101" s="1" t="n">
        <v>-0.0126437441420958</v>
      </c>
      <c r="BJ101" s="1" t="n">
        <v>0.593438871912781</v>
      </c>
    </row>
    <row r="102" customFormat="false" ht="15" hidden="false" customHeight="true" outlineLevel="0" collapsed="false">
      <c r="C102" s="1" t="n">
        <v>1.58627068310948</v>
      </c>
      <c r="D102" s="1" t="n">
        <v>-0.0632296144127968</v>
      </c>
      <c r="E102" s="1" t="n">
        <v>1.03947789358788</v>
      </c>
      <c r="F102" s="1" t="n">
        <v>0.518084588060982</v>
      </c>
      <c r="G102" s="1" t="n">
        <v>-0.296235334761962</v>
      </c>
      <c r="H102" s="1" t="n">
        <v>0.0775544419910789</v>
      </c>
      <c r="I102" s="1" t="n">
        <v>0.0286738788567441</v>
      </c>
      <c r="J102" s="1" t="n">
        <v>-0.916024635717532</v>
      </c>
      <c r="K102" s="1" t="n">
        <v>1.2136807544461</v>
      </c>
      <c r="L102" s="1" t="n">
        <v>-1.38562025266817</v>
      </c>
      <c r="M102" s="1" t="n">
        <v>1.17116892255082</v>
      </c>
      <c r="N102" s="1" t="n">
        <v>0.954419329124579</v>
      </c>
      <c r="O102" s="1" t="n">
        <v>-0.0930492580798631</v>
      </c>
      <c r="P102" s="1" t="n">
        <v>-0.765444347473739</v>
      </c>
      <c r="Q102" s="1" t="n">
        <v>-0.226425085661903</v>
      </c>
      <c r="R102" s="1" t="n">
        <v>0.472774657995196</v>
      </c>
      <c r="S102" s="1" t="n">
        <v>0.743058439363932</v>
      </c>
      <c r="T102" s="1" t="n">
        <v>0.286918963539829</v>
      </c>
      <c r="U102" s="1" t="n">
        <v>0.99213633614082</v>
      </c>
      <c r="V102" s="1" t="n">
        <v>-0.557434572027469</v>
      </c>
      <c r="W102" s="1" t="n">
        <v>0.234576398500025</v>
      </c>
      <c r="X102" s="1" t="n">
        <v>-1.56834581086945</v>
      </c>
      <c r="Y102" s="1" t="n">
        <v>0.763626658837401</v>
      </c>
      <c r="Z102" s="1" t="n">
        <v>0.153176251951587</v>
      </c>
      <c r="AA102" s="1" t="n">
        <v>-0.415574177174727</v>
      </c>
      <c r="AB102" s="1" t="n">
        <v>1.16154241871925</v>
      </c>
      <c r="AC102" s="1" t="n">
        <v>0.691526148796507</v>
      </c>
      <c r="AD102" s="1" t="n">
        <v>-2.81639424174407</v>
      </c>
      <c r="AE102" s="1" t="n">
        <v>0.0398832482673608</v>
      </c>
      <c r="AF102" s="1" t="n">
        <v>-1.45502399672779</v>
      </c>
      <c r="AG102" s="1" t="n">
        <v>1.06665987446836</v>
      </c>
      <c r="AH102" s="1" t="n">
        <v>2.48907482290482</v>
      </c>
      <c r="AI102" s="1" t="n">
        <v>-0.518533510715344</v>
      </c>
      <c r="AJ102" s="1" t="n">
        <v>0.0745791525019294</v>
      </c>
      <c r="AK102" s="1" t="n">
        <v>-0.251033573908597</v>
      </c>
      <c r="AL102" s="1" t="n">
        <v>0.350813112220224</v>
      </c>
      <c r="AM102" s="1" t="n">
        <v>0.644549015608804</v>
      </c>
      <c r="AN102" s="1" t="n">
        <v>1.2871939365403</v>
      </c>
      <c r="AO102" s="1" t="n">
        <v>-0.987421334497785</v>
      </c>
      <c r="AP102" s="1" t="n">
        <v>1.57163481182361</v>
      </c>
      <c r="AQ102" s="1" t="n">
        <v>-0.931513856043611</v>
      </c>
      <c r="AR102" s="1" t="n">
        <v>0.27708869937</v>
      </c>
      <c r="AS102" s="1" t="n">
        <v>1.15857663957669</v>
      </c>
      <c r="AT102" s="1" t="n">
        <v>0.713198738397998</v>
      </c>
      <c r="AU102" s="1" t="n">
        <v>-0.938574940988351</v>
      </c>
      <c r="AV102" s="1" t="n">
        <v>-0.701923616824524</v>
      </c>
      <c r="AW102" s="1" t="n">
        <v>-0.462330902731198</v>
      </c>
      <c r="AX102" s="1" t="n">
        <v>-0.0511692811259067</v>
      </c>
      <c r="AY102" s="1" t="n">
        <v>1.14695324831874</v>
      </c>
      <c r="AZ102" s="1" t="n">
        <v>-1.2918114375018</v>
      </c>
      <c r="BA102" s="1" t="n">
        <v>0.466701504612743</v>
      </c>
      <c r="BB102" s="1" t="n">
        <v>0.60997243217287</v>
      </c>
      <c r="BC102" s="1" t="n">
        <v>0.558288722157712</v>
      </c>
      <c r="BD102" s="1" t="n">
        <v>0.466306334457988</v>
      </c>
      <c r="BE102" s="1" t="n">
        <v>1.51831812131992</v>
      </c>
      <c r="BF102" s="1" t="n">
        <v>0.487808343366235</v>
      </c>
      <c r="BG102" s="1" t="n">
        <v>0.856959244559965</v>
      </c>
      <c r="BH102" s="1" t="n">
        <v>0.563546504927368</v>
      </c>
      <c r="BI102" s="1" t="n">
        <v>1.79311283272829</v>
      </c>
      <c r="BJ102" s="1" t="n">
        <v>-1.89980473956287</v>
      </c>
    </row>
    <row r="103" customFormat="false" ht="15" hidden="false" customHeight="true" outlineLevel="0" collapsed="false">
      <c r="C103" s="1" t="n">
        <v>1.28210857711929</v>
      </c>
      <c r="D103" s="1" t="n">
        <v>-0.261030774253439</v>
      </c>
      <c r="E103" s="1" t="n">
        <v>-0.280716860436386</v>
      </c>
      <c r="F103" s="1" t="n">
        <v>-0.969476743226411</v>
      </c>
      <c r="G103" s="1" t="n">
        <v>-1.86869546800683</v>
      </c>
      <c r="H103" s="1" t="n">
        <v>-0.381894847557563</v>
      </c>
      <c r="I103" s="1" t="n">
        <v>-0.68729330951777</v>
      </c>
      <c r="J103" s="1" t="n">
        <v>0.494173979460695</v>
      </c>
      <c r="K103" s="1" t="n">
        <v>-1.47226247293742</v>
      </c>
      <c r="L103" s="1" t="n">
        <v>1.43161317954412</v>
      </c>
      <c r="M103" s="1" t="n">
        <v>0.271933843214365</v>
      </c>
      <c r="N103" s="1" t="n">
        <v>-0.247902691530788</v>
      </c>
      <c r="O103" s="1" t="n">
        <v>-0.709423349185895</v>
      </c>
      <c r="P103" s="1" t="n">
        <v>-0.787207055452461</v>
      </c>
      <c r="Q103" s="1" t="n">
        <v>-1.13008716462062</v>
      </c>
      <c r="R103" s="1" t="n">
        <v>-0.544360724907166</v>
      </c>
      <c r="S103" s="1" t="n">
        <v>0.00605041489451038</v>
      </c>
      <c r="T103" s="1" t="n">
        <v>-0.177363449443604</v>
      </c>
      <c r="U103" s="1" t="n">
        <v>-1.41448787380479</v>
      </c>
      <c r="V103" s="1" t="n">
        <v>-0.265828241043697</v>
      </c>
      <c r="W103" s="1" t="n">
        <v>-0.893182915337081</v>
      </c>
      <c r="X103" s="1" t="n">
        <v>0.159882185062077</v>
      </c>
      <c r="Y103" s="1" t="n">
        <v>1.86465187520412</v>
      </c>
      <c r="Z103" s="1" t="n">
        <v>0.625022694113271</v>
      </c>
      <c r="AA103" s="1" t="n">
        <v>-0.313119938822157</v>
      </c>
      <c r="AB103" s="1" t="n">
        <v>-1.6248831734745</v>
      </c>
      <c r="AC103" s="1" t="n">
        <v>-1.41472430867879</v>
      </c>
      <c r="AD103" s="1" t="n">
        <v>-1.68672332547569</v>
      </c>
      <c r="AE103" s="1" t="n">
        <v>0.725968463400838</v>
      </c>
      <c r="AF103" s="1" t="n">
        <v>-0.765069350044005</v>
      </c>
      <c r="AG103" s="1" t="n">
        <v>0.0626002591242474</v>
      </c>
      <c r="AH103" s="1" t="n">
        <v>-0.622014182542398</v>
      </c>
      <c r="AI103" s="1" t="n">
        <v>0.0911965418735076</v>
      </c>
      <c r="AJ103" s="1" t="n">
        <v>1.40167713088946</v>
      </c>
      <c r="AK103" s="1" t="n">
        <v>-0.684945932117376</v>
      </c>
      <c r="AL103" s="1" t="n">
        <v>-0.34095533922814</v>
      </c>
      <c r="AM103" s="1" t="n">
        <v>-0.806343911330253</v>
      </c>
      <c r="AN103" s="1" t="n">
        <v>0.874574903519333</v>
      </c>
      <c r="AO103" s="1" t="n">
        <v>-1.02571718991424</v>
      </c>
      <c r="AP103" s="1" t="n">
        <v>-1.13298324450897</v>
      </c>
      <c r="AQ103" s="1" t="n">
        <v>-1.38766296557162</v>
      </c>
      <c r="AR103" s="1" t="n">
        <v>-1.40847351419025</v>
      </c>
      <c r="AS103" s="1" t="n">
        <v>0.470894338671374</v>
      </c>
      <c r="AT103" s="1" t="n">
        <v>2.56912502015513</v>
      </c>
      <c r="AU103" s="1" t="n">
        <v>-0.995376316406961</v>
      </c>
      <c r="AV103" s="1" t="n">
        <v>0.951545823306302</v>
      </c>
      <c r="AW103" s="1" t="n">
        <v>0.251107041672371</v>
      </c>
      <c r="AX103" s="1" t="n">
        <v>-1.10202256625198</v>
      </c>
      <c r="AY103" s="1" t="n">
        <v>-0.276699550026988</v>
      </c>
      <c r="AZ103" s="1" t="n">
        <v>-0.232916675670787</v>
      </c>
      <c r="BA103" s="1" t="n">
        <v>-0.690701891623655</v>
      </c>
      <c r="BB103" s="1" t="n">
        <v>1.93060687371255</v>
      </c>
      <c r="BC103" s="1" t="n">
        <v>-1.90612056965715</v>
      </c>
      <c r="BD103" s="1" t="n">
        <v>0.381036448187076</v>
      </c>
      <c r="BE103" s="1" t="n">
        <v>0.331524480633717</v>
      </c>
      <c r="BF103" s="1" t="n">
        <v>-0.579616198215076</v>
      </c>
      <c r="BG103" s="1" t="n">
        <v>0.149502865375382</v>
      </c>
      <c r="BH103" s="1" t="n">
        <v>0.877604968695903</v>
      </c>
      <c r="BI103" s="1" t="n">
        <v>0.152735135439675</v>
      </c>
      <c r="BJ103" s="1" t="n">
        <v>0.41732532254068</v>
      </c>
    </row>
    <row r="104" customFormat="false" ht="15" hidden="false" customHeight="true" outlineLevel="0" collapsed="false">
      <c r="C104" s="1" t="n">
        <v>0.692911933272132</v>
      </c>
      <c r="D104" s="1" t="n">
        <v>-2.03205599041655</v>
      </c>
      <c r="E104" s="1" t="n">
        <v>1.47837812547164</v>
      </c>
      <c r="F104" s="1" t="n">
        <v>2.27830397010772</v>
      </c>
      <c r="G104" s="1" t="n">
        <v>0.98079505371631</v>
      </c>
      <c r="H104" s="1" t="n">
        <v>1.01366463272935</v>
      </c>
      <c r="I104" s="1" t="n">
        <v>-1.40824697731668</v>
      </c>
      <c r="J104" s="1" t="n">
        <v>-0.11842836851348</v>
      </c>
      <c r="K104" s="1" t="n">
        <v>-0.812043812640698</v>
      </c>
      <c r="L104" s="1" t="n">
        <v>-0.587194260340089</v>
      </c>
      <c r="M104" s="1" t="n">
        <v>0.967036908966546</v>
      </c>
      <c r="N104" s="1" t="n">
        <v>-0.803900587240369</v>
      </c>
      <c r="O104" s="1" t="n">
        <v>-0.130101292695227</v>
      </c>
      <c r="P104" s="1" t="n">
        <v>-1.9085807213817</v>
      </c>
      <c r="Q104" s="1" t="n">
        <v>-0.158432001905571</v>
      </c>
      <c r="R104" s="1" t="n">
        <v>0.0900167598856383</v>
      </c>
      <c r="S104" s="1" t="n">
        <v>-0.70479020813873</v>
      </c>
      <c r="T104" s="1" t="n">
        <v>-0.719886799437759</v>
      </c>
      <c r="U104" s="1" t="n">
        <v>1.88642288598357</v>
      </c>
      <c r="V104" s="1" t="n">
        <v>-1.20974428590494</v>
      </c>
      <c r="W104" s="1" t="n">
        <v>-1.05061704290039</v>
      </c>
      <c r="X104" s="1" t="n">
        <v>-0.809010475301594</v>
      </c>
      <c r="Y104" s="1" t="n">
        <v>1.1988190226149</v>
      </c>
      <c r="Z104" s="1" t="n">
        <v>2.10154244382173</v>
      </c>
      <c r="AA104" s="1" t="n">
        <v>0.332175851746024</v>
      </c>
      <c r="AB104" s="1" t="n">
        <v>-0.717318015940507</v>
      </c>
      <c r="AC104" s="1" t="n">
        <v>-0.427732361140145</v>
      </c>
      <c r="AD104" s="1" t="n">
        <v>1.06481231748378</v>
      </c>
      <c r="AE104" s="1" t="n">
        <v>-0.911067878912836</v>
      </c>
      <c r="AF104" s="1" t="n">
        <v>1.45294662722228</v>
      </c>
      <c r="AG104" s="1" t="n">
        <v>1.41657818421606</v>
      </c>
      <c r="AH104" s="1" t="n">
        <v>0.0702080151403163</v>
      </c>
      <c r="AI104" s="1" t="n">
        <v>0.646129969309306</v>
      </c>
      <c r="AJ104" s="1" t="n">
        <v>0.749745947831461</v>
      </c>
      <c r="AK104" s="1" t="n">
        <v>1.55421011615957</v>
      </c>
      <c r="AL104" s="1" t="n">
        <v>-1.05145174866992</v>
      </c>
      <c r="AM104" s="1" t="n">
        <v>1.18120465051603</v>
      </c>
      <c r="AN104" s="1" t="n">
        <v>-0.375228001638654</v>
      </c>
      <c r="AO104" s="1" t="n">
        <v>-0.767760983575535</v>
      </c>
      <c r="AP104" s="1" t="n">
        <v>0.102672431861557</v>
      </c>
      <c r="AQ104" s="1" t="n">
        <v>-0.214344286586717</v>
      </c>
      <c r="AR104" s="1" t="n">
        <v>-0.987492978378824</v>
      </c>
      <c r="AS104" s="1" t="n">
        <v>-1.59733042813504</v>
      </c>
      <c r="AT104" s="1" t="n">
        <v>-0.94209489790188</v>
      </c>
      <c r="AU104" s="1" t="n">
        <v>1.45235722566276</v>
      </c>
      <c r="AV104" s="1" t="n">
        <v>1.96256950344714</v>
      </c>
      <c r="AW104" s="1" t="n">
        <v>0.650116446024117</v>
      </c>
      <c r="AX104" s="1" t="n">
        <v>1.1859254649116</v>
      </c>
      <c r="AY104" s="1" t="n">
        <v>-0.516832965590407</v>
      </c>
      <c r="AZ104" s="1" t="n">
        <v>-0.0771516750817723</v>
      </c>
      <c r="BA104" s="1" t="n">
        <v>0.282764732279994</v>
      </c>
      <c r="BB104" s="1" t="n">
        <v>-1.08128958490585</v>
      </c>
      <c r="BC104" s="1" t="n">
        <v>-0.989944166860347</v>
      </c>
      <c r="BD104" s="1" t="n">
        <v>0.0971773067051902</v>
      </c>
      <c r="BE104" s="1" t="n">
        <v>-0.32030392690775</v>
      </c>
      <c r="BF104" s="1" t="n">
        <v>-1.06355677953922</v>
      </c>
      <c r="BG104" s="1" t="n">
        <v>0.386532129272949</v>
      </c>
      <c r="BH104" s="1" t="n">
        <v>-0.263279300476326</v>
      </c>
      <c r="BI104" s="1" t="n">
        <v>1.02135395085955</v>
      </c>
      <c r="BJ104" s="1" t="n">
        <v>-0.00518110181781622</v>
      </c>
    </row>
    <row r="105" customFormat="false" ht="15" hidden="false" customHeight="true" outlineLevel="0" collapsed="false">
      <c r="C105" s="1" t="n">
        <v>-0.300306459119595</v>
      </c>
      <c r="D105" s="1" t="n">
        <v>0.127673184680916</v>
      </c>
      <c r="E105" s="1" t="n">
        <v>-0.171983453998896</v>
      </c>
      <c r="F105" s="1" t="n">
        <v>-0.668046047691407</v>
      </c>
      <c r="G105" s="1" t="n">
        <v>-0.401956085748709</v>
      </c>
      <c r="H105" s="1" t="n">
        <v>0.749419041987466</v>
      </c>
      <c r="I105" s="1" t="n">
        <v>0.646516716798972</v>
      </c>
      <c r="J105" s="1" t="n">
        <v>1.28622780936409</v>
      </c>
      <c r="K105" s="1" t="n">
        <v>-1.69299394327969</v>
      </c>
      <c r="L105" s="1" t="n">
        <v>-0.393090678923312</v>
      </c>
      <c r="M105" s="1" t="n">
        <v>-0.414575345049221</v>
      </c>
      <c r="N105" s="1" t="n">
        <v>0.171772512307792</v>
      </c>
      <c r="O105" s="1" t="n">
        <v>-0.452157257899872</v>
      </c>
      <c r="P105" s="1" t="n">
        <v>-0.513183007662043</v>
      </c>
      <c r="Q105" s="1" t="n">
        <v>0.782974923456799</v>
      </c>
      <c r="R105" s="1" t="n">
        <v>0.178087515336096</v>
      </c>
      <c r="S105" s="1" t="n">
        <v>-1.16636402247963</v>
      </c>
      <c r="T105" s="1" t="n">
        <v>1.33450632115511</v>
      </c>
      <c r="U105" s="1" t="n">
        <v>0.996752050308613</v>
      </c>
      <c r="V105" s="1" t="n">
        <v>-0.573959646835388</v>
      </c>
      <c r="W105" s="1" t="n">
        <v>0.831280415419341</v>
      </c>
      <c r="X105" s="1" t="n">
        <v>-0.735163239953051</v>
      </c>
      <c r="Y105" s="1" t="n">
        <v>1.12569841046376</v>
      </c>
      <c r="Z105" s="1" t="n">
        <v>-0.217831240088153</v>
      </c>
      <c r="AA105" s="1" t="n">
        <v>-0.802842395422668</v>
      </c>
      <c r="AB105" s="1" t="n">
        <v>-0.37310439581673</v>
      </c>
      <c r="AC105" s="1" t="n">
        <v>-0.765830370483654</v>
      </c>
      <c r="AD105" s="1" t="n">
        <v>0.192139662659305</v>
      </c>
      <c r="AE105" s="1" t="n">
        <v>0.175105233737872</v>
      </c>
      <c r="AF105" s="1" t="n">
        <v>0.0358029652781822</v>
      </c>
      <c r="AG105" s="1" t="n">
        <v>-0.556615445661672</v>
      </c>
      <c r="AH105" s="1" t="n">
        <v>-3.66108181020679</v>
      </c>
      <c r="AI105" s="1" t="n">
        <v>0.0928356153227348</v>
      </c>
      <c r="AJ105" s="1" t="n">
        <v>-1.89623437793692</v>
      </c>
      <c r="AK105" s="1" t="n">
        <v>0.244188351569005</v>
      </c>
      <c r="AL105" s="1" t="n">
        <v>1.13079373972224</v>
      </c>
      <c r="AM105" s="1" t="n">
        <v>0.273885638584724</v>
      </c>
      <c r="AN105" s="1" t="n">
        <v>-0.389436594950911</v>
      </c>
      <c r="AO105" s="1" t="n">
        <v>-0.179877603857085</v>
      </c>
      <c r="AP105" s="1" t="n">
        <v>-0.133062626913551</v>
      </c>
      <c r="AQ105" s="1" t="n">
        <v>-0.549241625978386</v>
      </c>
      <c r="AR105" s="1" t="n">
        <v>-0.583789493559001</v>
      </c>
      <c r="AS105" s="1" t="n">
        <v>-0.923895964601717</v>
      </c>
      <c r="AT105" s="1" t="n">
        <v>1.18816224666375</v>
      </c>
      <c r="AU105" s="1" t="n">
        <v>-0.0155532731881207</v>
      </c>
      <c r="AV105" s="1" t="n">
        <v>0.956271395693758</v>
      </c>
      <c r="AW105" s="1" t="n">
        <v>-0.250051042544915</v>
      </c>
      <c r="AX105" s="1" t="n">
        <v>0.0721677500644189</v>
      </c>
      <c r="AY105" s="1" t="n">
        <v>-0.170382646483514</v>
      </c>
      <c r="AZ105" s="1" t="n">
        <v>0.462836055027224</v>
      </c>
      <c r="BA105" s="1" t="n">
        <v>0.826635652820416</v>
      </c>
      <c r="BB105" s="1" t="n">
        <v>0.239704621296709</v>
      </c>
      <c r="BC105" s="1" t="n">
        <v>-0.673816165302047</v>
      </c>
      <c r="BD105" s="1" t="n">
        <v>-0.779953826949687</v>
      </c>
      <c r="BE105" s="1" t="n">
        <v>1.65917053790078</v>
      </c>
      <c r="BF105" s="1" t="n">
        <v>-0.280037675547491</v>
      </c>
      <c r="BG105" s="1" t="n">
        <v>-0.291102150256824</v>
      </c>
      <c r="BH105" s="1" t="n">
        <v>1.46500740789735</v>
      </c>
      <c r="BI105" s="1" t="n">
        <v>1.0878611546081</v>
      </c>
      <c r="BJ105" s="1" t="n">
        <v>0.53383793793005</v>
      </c>
    </row>
    <row r="106" customFormat="false" ht="15" hidden="false" customHeight="true" outlineLevel="0" collapsed="false">
      <c r="C106" s="1" t="n">
        <v>-0.39939653541448</v>
      </c>
      <c r="D106" s="1" t="n">
        <v>2.35319759200421</v>
      </c>
      <c r="E106" s="1" t="n">
        <v>0.392973787609965</v>
      </c>
      <c r="F106" s="1" t="n">
        <v>0.546985478638149</v>
      </c>
      <c r="G106" s="1" t="n">
        <v>-0.171106131665563</v>
      </c>
      <c r="H106" s="1" t="n">
        <v>-1.41430744307775</v>
      </c>
      <c r="I106" s="1" t="n">
        <v>-1.33476206502376</v>
      </c>
      <c r="J106" s="1" t="n">
        <v>0.406978191736552</v>
      </c>
      <c r="K106" s="1" t="n">
        <v>0.39182943012138</v>
      </c>
      <c r="L106" s="1" t="n">
        <v>-0.239998323971597</v>
      </c>
      <c r="M106" s="1" t="n">
        <v>-1.17168379278839</v>
      </c>
      <c r="N106" s="1" t="n">
        <v>-1.4416578625602</v>
      </c>
      <c r="O106" s="1" t="n">
        <v>-0.327850664324555</v>
      </c>
      <c r="P106" s="1" t="n">
        <v>-1.45612793198252</v>
      </c>
      <c r="Q106" s="1" t="n">
        <v>0.898915335947862</v>
      </c>
      <c r="R106" s="1" t="n">
        <v>1.15266478180006</v>
      </c>
      <c r="S106" s="1" t="n">
        <v>2.82903416309331</v>
      </c>
      <c r="T106" s="1" t="n">
        <v>0.878317451734111</v>
      </c>
      <c r="U106" s="1" t="n">
        <v>-0.592849604864142</v>
      </c>
      <c r="V106" s="1" t="n">
        <v>-0.871664985905098</v>
      </c>
      <c r="W106" s="1" t="n">
        <v>-3.45172808892627</v>
      </c>
      <c r="X106" s="1" t="n">
        <v>-0.594889138501904</v>
      </c>
      <c r="Y106" s="1" t="n">
        <v>-0.176973877272767</v>
      </c>
      <c r="Z106" s="1" t="n">
        <v>0.967807257035014</v>
      </c>
      <c r="AA106" s="1" t="n">
        <v>0.611600153187011</v>
      </c>
      <c r="AB106" s="1" t="n">
        <v>0.588349740379769</v>
      </c>
      <c r="AC106" s="1" t="n">
        <v>0.213627603215549</v>
      </c>
      <c r="AD106" s="1" t="n">
        <v>0.660910030432513</v>
      </c>
      <c r="AE106" s="1" t="n">
        <v>1.44760000146397</v>
      </c>
      <c r="AF106" s="1" t="n">
        <v>-1.06487688884599</v>
      </c>
      <c r="AG106" s="1" t="n">
        <v>-0.45730038472917</v>
      </c>
      <c r="AH106" s="1" t="n">
        <v>-1.38853156481435</v>
      </c>
      <c r="AI106" s="1" t="n">
        <v>1.618660309901</v>
      </c>
      <c r="AJ106" s="1" t="n">
        <v>1.29686912322804</v>
      </c>
      <c r="AK106" s="1" t="n">
        <v>0.752284163480782</v>
      </c>
      <c r="AL106" s="1" t="n">
        <v>-1.19855141952373</v>
      </c>
      <c r="AM106" s="1" t="n">
        <v>0.17294480349559</v>
      </c>
      <c r="AN106" s="1" t="n">
        <v>-0.234639359756534</v>
      </c>
      <c r="AO106" s="1" t="n">
        <v>0.0808270485877796</v>
      </c>
      <c r="AP106" s="1" t="n">
        <v>-0.188118129612008</v>
      </c>
      <c r="AQ106" s="1" t="n">
        <v>0.519952824775954</v>
      </c>
      <c r="AR106" s="1" t="n">
        <v>-0.394839868975227</v>
      </c>
      <c r="AS106" s="1" t="n">
        <v>0.854570506090622</v>
      </c>
      <c r="AT106" s="1" t="n">
        <v>0.241394858253197</v>
      </c>
      <c r="AU106" s="1" t="n">
        <v>-0.293076172221899</v>
      </c>
      <c r="AV106" s="1" t="n">
        <v>-0.111853366924299</v>
      </c>
      <c r="AW106" s="1" t="n">
        <v>-0.44058741092675</v>
      </c>
      <c r="AX106" s="1" t="n">
        <v>0.813884047263823</v>
      </c>
      <c r="AY106" s="1" t="n">
        <v>-0.2714644849691</v>
      </c>
      <c r="AZ106" s="1" t="n">
        <v>0.294890397116177</v>
      </c>
      <c r="BA106" s="1" t="n">
        <v>-0.392404588474672</v>
      </c>
      <c r="BB106" s="1" t="n">
        <v>-1.48510187541425</v>
      </c>
      <c r="BC106" s="1" t="n">
        <v>0.906104405375765</v>
      </c>
      <c r="BD106" s="1" t="n">
        <v>-1.05812651281509</v>
      </c>
      <c r="BE106" s="1" t="n">
        <v>0.679160968413357</v>
      </c>
      <c r="BF106" s="1" t="n">
        <v>0.420152775890495</v>
      </c>
      <c r="BG106" s="1" t="n">
        <v>-1.65603344101432</v>
      </c>
      <c r="BH106" s="1" t="n">
        <v>-0.944681565419743</v>
      </c>
      <c r="BI106" s="1" t="n">
        <v>-0.514100640257389</v>
      </c>
      <c r="BJ106" s="1" t="n">
        <v>-0.820718042240897</v>
      </c>
    </row>
    <row r="107" customFormat="false" ht="15" hidden="false" customHeight="true" outlineLevel="0" collapsed="false">
      <c r="C107" s="1" t="n">
        <v>-1.1820707358866</v>
      </c>
      <c r="D107" s="1" t="n">
        <v>0.740095679898727</v>
      </c>
      <c r="E107" s="1" t="n">
        <v>-0.239505401595744</v>
      </c>
      <c r="F107" s="1" t="n">
        <v>0.385690579986915</v>
      </c>
      <c r="G107" s="1" t="n">
        <v>-0.430508454016773</v>
      </c>
      <c r="H107" s="1" t="n">
        <v>0.305328576504327</v>
      </c>
      <c r="I107" s="1" t="n">
        <v>-0.75115089967635</v>
      </c>
      <c r="J107" s="1" t="n">
        <v>-0.0265167746981912</v>
      </c>
      <c r="K107" s="1" t="n">
        <v>0.581845793715473</v>
      </c>
      <c r="L107" s="1" t="n">
        <v>0.0450728148950551</v>
      </c>
      <c r="M107" s="1" t="n">
        <v>-0.45711023560288</v>
      </c>
      <c r="N107" s="1" t="n">
        <v>-1.08666649778333</v>
      </c>
      <c r="O107" s="1" t="n">
        <v>0.167632961993485</v>
      </c>
      <c r="P107" s="1" t="n">
        <v>0.344945505205537</v>
      </c>
      <c r="Q107" s="1" t="n">
        <v>-0.258359449849107</v>
      </c>
      <c r="R107" s="1" t="n">
        <v>-0.769320330921195</v>
      </c>
      <c r="S107" s="1" t="n">
        <v>0.542583033614976</v>
      </c>
      <c r="T107" s="1" t="n">
        <v>2.48173044216973</v>
      </c>
      <c r="U107" s="1" t="n">
        <v>-0.302461979255499</v>
      </c>
      <c r="V107" s="1" t="n">
        <v>0.336739444761109</v>
      </c>
      <c r="W107" s="1" t="n">
        <v>0.377392982831246</v>
      </c>
      <c r="X107" s="1" t="n">
        <v>-2.56646486364276</v>
      </c>
      <c r="Y107" s="1" t="n">
        <v>0.123862345381543</v>
      </c>
      <c r="Z107" s="1" t="n">
        <v>-0.706518702324268</v>
      </c>
      <c r="AA107" s="1" t="n">
        <v>1.38468798385022</v>
      </c>
      <c r="AB107" s="1" t="n">
        <v>-0.253985821092007</v>
      </c>
      <c r="AC107" s="1" t="n">
        <v>-0.777535806074245</v>
      </c>
      <c r="AD107" s="1" t="n">
        <v>-0.218499336077824</v>
      </c>
      <c r="AE107" s="1" t="n">
        <v>0.166561058090625</v>
      </c>
      <c r="AF107" s="1" t="n">
        <v>-0.559905570561754</v>
      </c>
      <c r="AG107" s="1" t="n">
        <v>-0.0526627793427405</v>
      </c>
      <c r="AH107" s="1" t="n">
        <v>-1.35415983154269</v>
      </c>
      <c r="AI107" s="1" t="n">
        <v>-0.225253446909079</v>
      </c>
      <c r="AJ107" s="1" t="n">
        <v>0.775672876086428</v>
      </c>
      <c r="AK107" s="1" t="n">
        <v>1.96917227566811</v>
      </c>
      <c r="AL107" s="1" t="n">
        <v>0.706514867709794</v>
      </c>
      <c r="AM107" s="1" t="n">
        <v>0.271933859891928</v>
      </c>
      <c r="AN107" s="1" t="n">
        <v>1.18376585793444</v>
      </c>
      <c r="AO107" s="1" t="n">
        <v>1.01910865996008</v>
      </c>
      <c r="AP107" s="1" t="n">
        <v>1.66384270160688</v>
      </c>
      <c r="AQ107" s="1" t="n">
        <v>1.08265585384886</v>
      </c>
      <c r="AR107" s="1" t="n">
        <v>-0.1178635813515</v>
      </c>
      <c r="AS107" s="1" t="n">
        <v>0.258447612634242</v>
      </c>
      <c r="AT107" s="1" t="n">
        <v>0.179161254997533</v>
      </c>
      <c r="AU107" s="1" t="n">
        <v>0.302139203505158</v>
      </c>
      <c r="AV107" s="1" t="n">
        <v>0.200321089040135</v>
      </c>
      <c r="AW107" s="1" t="n">
        <v>-0.782428797804758</v>
      </c>
      <c r="AX107" s="1" t="n">
        <v>-2.10363588861344</v>
      </c>
      <c r="AY107" s="1" t="n">
        <v>-0.671678611869647</v>
      </c>
      <c r="AZ107" s="1" t="n">
        <v>-2.02603448836765</v>
      </c>
      <c r="BA107" s="1" t="n">
        <v>0.0679591073824083</v>
      </c>
      <c r="BB107" s="1" t="n">
        <v>0.00453638815323678</v>
      </c>
      <c r="BC107" s="1" t="n">
        <v>-1.67557450356316</v>
      </c>
      <c r="BD107" s="1" t="n">
        <v>0.68816816712794</v>
      </c>
      <c r="BE107" s="1" t="n">
        <v>0.866858084715221</v>
      </c>
      <c r="BF107" s="1" t="n">
        <v>0.0958517890932605</v>
      </c>
      <c r="BG107" s="1" t="n">
        <v>1.66766630184653</v>
      </c>
      <c r="BH107" s="1" t="n">
        <v>1.87166554378579</v>
      </c>
      <c r="BI107" s="1" t="n">
        <v>-1.20599399630625</v>
      </c>
      <c r="BJ107" s="1" t="n">
        <v>1.03670514380106</v>
      </c>
    </row>
    <row r="108" customFormat="false" ht="15" hidden="false" customHeight="true" outlineLevel="0" collapsed="false">
      <c r="C108" s="1" t="n">
        <v>0.440847878713786</v>
      </c>
      <c r="D108" s="1" t="n">
        <v>0.418319776546724</v>
      </c>
      <c r="E108" s="1" t="n">
        <v>0.934447517646485</v>
      </c>
      <c r="F108" s="1" t="n">
        <v>-0.719167795958414</v>
      </c>
      <c r="G108" s="1" t="n">
        <v>-0.592372433225022</v>
      </c>
      <c r="H108" s="1" t="n">
        <v>-0.826672112095335</v>
      </c>
      <c r="I108" s="1" t="n">
        <v>-0.754902373362322</v>
      </c>
      <c r="J108" s="1" t="n">
        <v>-0.0985117341791574</v>
      </c>
      <c r="K108" s="1" t="n">
        <v>-1.45182416822506</v>
      </c>
      <c r="L108" s="1" t="n">
        <v>-1.04572737698972</v>
      </c>
      <c r="M108" s="1" t="n">
        <v>0.57752828906087</v>
      </c>
      <c r="N108" s="1" t="n">
        <v>-0.0709627151898035</v>
      </c>
      <c r="O108" s="1" t="n">
        <v>0.38295479089808</v>
      </c>
      <c r="P108" s="1" t="n">
        <v>-1.88926048321415</v>
      </c>
      <c r="Q108" s="1" t="n">
        <v>-0.78385326616013</v>
      </c>
      <c r="R108" s="1" t="n">
        <v>-0.55542265273973</v>
      </c>
      <c r="S108" s="1" t="n">
        <v>0.0325348147570958</v>
      </c>
      <c r="T108" s="1" t="n">
        <v>-0.586284171654137</v>
      </c>
      <c r="U108" s="1" t="n">
        <v>0.933214626506427</v>
      </c>
      <c r="V108" s="1" t="n">
        <v>-0.0582761162334515</v>
      </c>
      <c r="W108" s="1" t="n">
        <v>0.0170141605975814</v>
      </c>
      <c r="X108" s="1" t="n">
        <v>0.0135381729925024</v>
      </c>
      <c r="Y108" s="1" t="n">
        <v>0.707985449434117</v>
      </c>
      <c r="Z108" s="1" t="n">
        <v>-0.471620712213973</v>
      </c>
      <c r="AA108" s="1" t="n">
        <v>1.12239378227329</v>
      </c>
      <c r="AB108" s="1" t="n">
        <v>0.46005860268931</v>
      </c>
      <c r="AC108" s="1" t="n">
        <v>0.154036936548331</v>
      </c>
      <c r="AD108" s="1" t="n">
        <v>0.0417364875478739</v>
      </c>
      <c r="AE108" s="1" t="n">
        <v>0.52030396788263</v>
      </c>
      <c r="AF108" s="1" t="n">
        <v>1.01539153792905</v>
      </c>
      <c r="AG108" s="1" t="n">
        <v>0.945527550384992</v>
      </c>
      <c r="AH108" s="1" t="n">
        <v>0.375860157810876</v>
      </c>
      <c r="AI108" s="1" t="n">
        <v>0.876718754937285</v>
      </c>
      <c r="AJ108" s="1" t="n">
        <v>0.11835818574354</v>
      </c>
      <c r="AK108" s="1" t="n">
        <v>1.25249019931327</v>
      </c>
      <c r="AL108" s="1" t="n">
        <v>-0.0266065072097653</v>
      </c>
      <c r="AM108" s="1" t="n">
        <v>-2.07513927472418</v>
      </c>
      <c r="AN108" s="1" t="n">
        <v>1.33788256695235</v>
      </c>
      <c r="AO108" s="1" t="n">
        <v>0.107851088025312</v>
      </c>
      <c r="AP108" s="1" t="n">
        <v>-1.17107844506548</v>
      </c>
      <c r="AQ108" s="1" t="n">
        <v>-0.198223707232783</v>
      </c>
      <c r="AR108" s="1" t="n">
        <v>-0.883833576510285</v>
      </c>
      <c r="AS108" s="1" t="n">
        <v>2.10020938329939</v>
      </c>
      <c r="AT108" s="1" t="n">
        <v>0.49768494758334</v>
      </c>
      <c r="AU108" s="1" t="n">
        <v>-1.56871117464408</v>
      </c>
      <c r="AV108" s="1" t="n">
        <v>0.546164546368864</v>
      </c>
      <c r="AW108" s="1" t="n">
        <v>-0.398739954821252</v>
      </c>
      <c r="AX108" s="1" t="n">
        <v>1.91678333590015</v>
      </c>
      <c r="AY108" s="1" t="n">
        <v>-1.05269660008717</v>
      </c>
      <c r="AZ108" s="1" t="n">
        <v>-2.24702950332133</v>
      </c>
      <c r="BA108" s="1" t="n">
        <v>0.0658691797279214</v>
      </c>
      <c r="BB108" s="1" t="n">
        <v>-0.348027349549719</v>
      </c>
      <c r="BC108" s="1" t="n">
        <v>-0.416585734898677</v>
      </c>
      <c r="BD108" s="1" t="n">
        <v>-2.14123916115128</v>
      </c>
      <c r="BE108" s="1" t="n">
        <v>0.426809351197446</v>
      </c>
      <c r="BF108" s="1" t="n">
        <v>1.67334514784261</v>
      </c>
      <c r="BG108" s="1" t="n">
        <v>-1.90904908090542</v>
      </c>
      <c r="BH108" s="1" t="n">
        <v>1.17122368742288</v>
      </c>
      <c r="BI108" s="1" t="n">
        <v>-0.568716856754048</v>
      </c>
      <c r="BJ108" s="1" t="n">
        <v>2.34900527202225</v>
      </c>
    </row>
    <row r="109" customFormat="false" ht="15" hidden="false" customHeight="true" outlineLevel="0" collapsed="false">
      <c r="C109" s="1" t="n">
        <v>0.436007921048841</v>
      </c>
      <c r="D109" s="1" t="n">
        <v>-0.187844371345854</v>
      </c>
      <c r="E109" s="1" t="n">
        <v>1.10538176588823</v>
      </c>
      <c r="F109" s="1" t="n">
        <v>0.526028450749723</v>
      </c>
      <c r="G109" s="1" t="n">
        <v>-0.592455975982496</v>
      </c>
      <c r="H109" s="1" t="n">
        <v>0.710216943288975</v>
      </c>
      <c r="I109" s="1" t="n">
        <v>-0.510695870345111</v>
      </c>
      <c r="J109" s="1" t="n">
        <v>-1.78848796714361</v>
      </c>
      <c r="K109" s="1" t="n">
        <v>2.03159219324741</v>
      </c>
      <c r="L109" s="1" t="n">
        <v>-0.349583100741798</v>
      </c>
      <c r="M109" s="1" t="n">
        <v>-0.609014000667632</v>
      </c>
      <c r="N109" s="1" t="n">
        <v>0.338722063454979</v>
      </c>
      <c r="O109" s="1" t="n">
        <v>-1.55963185785371</v>
      </c>
      <c r="P109" s="1" t="n">
        <v>-1.35357864819892</v>
      </c>
      <c r="Q109" s="1" t="n">
        <v>-0.499646700068765</v>
      </c>
      <c r="R109" s="1" t="n">
        <v>-0.519721806552867</v>
      </c>
      <c r="S109" s="1" t="n">
        <v>0.0718892724861329</v>
      </c>
      <c r="T109" s="1" t="n">
        <v>1.12255771312603</v>
      </c>
      <c r="U109" s="1" t="n">
        <v>-0.474026973135036</v>
      </c>
      <c r="V109" s="1" t="n">
        <v>0.492798472749865</v>
      </c>
      <c r="W109" s="1" t="n">
        <v>0.601545000903517</v>
      </c>
      <c r="X109" s="1" t="n">
        <v>-1.08407538159788</v>
      </c>
      <c r="Y109" s="1" t="n">
        <v>0.228455722912801</v>
      </c>
      <c r="Z109" s="1" t="n">
        <v>-0.942667379322962</v>
      </c>
      <c r="AA109" s="1" t="n">
        <v>1.06389874454778</v>
      </c>
      <c r="AB109" s="1" t="n">
        <v>0.455089878072491</v>
      </c>
      <c r="AC109" s="1" t="n">
        <v>0.0165041143612465</v>
      </c>
      <c r="AD109" s="1" t="n">
        <v>-1.33969965375112</v>
      </c>
      <c r="AE109" s="1" t="n">
        <v>0.115990010285317</v>
      </c>
      <c r="AF109" s="1" t="n">
        <v>-0.767027513576686</v>
      </c>
      <c r="AG109" s="1" t="n">
        <v>0.705962640452261</v>
      </c>
      <c r="AH109" s="1" t="n">
        <v>-0.119326502365501</v>
      </c>
      <c r="AI109" s="1" t="n">
        <v>-0.812344562887456</v>
      </c>
      <c r="AJ109" s="1" t="n">
        <v>0.925517897511162</v>
      </c>
      <c r="AK109" s="1" t="n">
        <v>0.721535067713427</v>
      </c>
      <c r="AL109" s="1" t="n">
        <v>-0.593297078946774</v>
      </c>
      <c r="AM109" s="1" t="n">
        <v>1.16202783267848</v>
      </c>
      <c r="AN109" s="1" t="n">
        <v>-0.29839467518434</v>
      </c>
      <c r="AO109" s="1" t="n">
        <v>-0.309151614396175</v>
      </c>
      <c r="AP109" s="1" t="n">
        <v>0.123801048268259</v>
      </c>
      <c r="AQ109" s="1" t="n">
        <v>-0.752633751892954</v>
      </c>
      <c r="AR109" s="1" t="n">
        <v>-0.441639901712496</v>
      </c>
      <c r="AS109" s="1" t="n">
        <v>-0.160479278684954</v>
      </c>
      <c r="AT109" s="1" t="n">
        <v>1.53028300965786</v>
      </c>
      <c r="AU109" s="1" t="n">
        <v>1.49964974196082</v>
      </c>
      <c r="AV109" s="1" t="n">
        <v>-0.258870200590489</v>
      </c>
      <c r="AW109" s="1" t="n">
        <v>1.61043774052872</v>
      </c>
      <c r="AX109" s="1" t="n">
        <v>-0.0432867499091194</v>
      </c>
      <c r="AY109" s="1" t="n">
        <v>0.380580677811503</v>
      </c>
      <c r="AZ109" s="1" t="n">
        <v>0.88357783377393</v>
      </c>
      <c r="BA109" s="1" t="n">
        <v>0.29204782620021</v>
      </c>
      <c r="BB109" s="1" t="n">
        <v>2.41518220418191</v>
      </c>
      <c r="BC109" s="1" t="n">
        <v>0.243346314237179</v>
      </c>
      <c r="BD109" s="1" t="n">
        <v>-1.19758924551082</v>
      </c>
      <c r="BE109" s="1" t="n">
        <v>1.30547097451418</v>
      </c>
      <c r="BF109" s="1" t="n">
        <v>-0.412063493512042</v>
      </c>
      <c r="BG109" s="1" t="n">
        <v>-0.304288331348163</v>
      </c>
      <c r="BH109" s="1" t="n">
        <v>-2.99167288350541</v>
      </c>
      <c r="BI109" s="1" t="n">
        <v>1.00098589965334</v>
      </c>
      <c r="BJ109" s="1" t="n">
        <v>0.81844914660313</v>
      </c>
    </row>
    <row r="110" customFormat="false" ht="15" hidden="false" customHeight="true" outlineLevel="0" collapsed="false">
      <c r="C110" s="1" t="n">
        <v>0.799019473368649</v>
      </c>
      <c r="D110" s="1" t="n">
        <v>0.978405896526079</v>
      </c>
      <c r="E110" s="1" t="n">
        <v>1.69100020311731</v>
      </c>
      <c r="F110" s="1" t="n">
        <v>-0.0460018490441911</v>
      </c>
      <c r="G110" s="1" t="n">
        <v>0.937616498169398</v>
      </c>
      <c r="H110" s="1" t="n">
        <v>-0.743839811962913</v>
      </c>
      <c r="I110" s="1" t="n">
        <v>-0.35380118366423</v>
      </c>
      <c r="J110" s="1" t="n">
        <v>1.05676015432949</v>
      </c>
      <c r="K110" s="1" t="n">
        <v>0.391123828865631</v>
      </c>
      <c r="L110" s="1" t="n">
        <v>-1.33341519257809</v>
      </c>
      <c r="M110" s="1" t="n">
        <v>0.361329379547703</v>
      </c>
      <c r="N110" s="1" t="n">
        <v>-0.182911440860313</v>
      </c>
      <c r="O110" s="1" t="n">
        <v>-0.81866629114739</v>
      </c>
      <c r="P110" s="1" t="n">
        <v>0.434287050314095</v>
      </c>
      <c r="Q110" s="1" t="n">
        <v>-0.404505697488843</v>
      </c>
      <c r="R110" s="1" t="n">
        <v>-1.570489688512</v>
      </c>
      <c r="S110" s="1" t="n">
        <v>-1.11115527867153</v>
      </c>
      <c r="T110" s="1" t="n">
        <v>1.76917007654369</v>
      </c>
      <c r="U110" s="1" t="n">
        <v>-1.51492891612761</v>
      </c>
      <c r="V110" s="1" t="n">
        <v>0.222802187080488</v>
      </c>
      <c r="W110" s="1" t="n">
        <v>0.610055914308311</v>
      </c>
      <c r="X110" s="1" t="n">
        <v>0.639189046300315</v>
      </c>
      <c r="Y110" s="1" t="n">
        <v>-1.22547165863862</v>
      </c>
      <c r="Z110" s="1" t="n">
        <v>-0.321538169355315</v>
      </c>
      <c r="AA110" s="1" t="n">
        <v>0.140846725128605</v>
      </c>
      <c r="AB110" s="1" t="n">
        <v>0.800209260478835</v>
      </c>
      <c r="AC110" s="1" t="n">
        <v>-0.644960831213951</v>
      </c>
      <c r="AD110" s="1" t="n">
        <v>-1.16347450462554</v>
      </c>
      <c r="AE110" s="1" t="n">
        <v>1.00257404916051</v>
      </c>
      <c r="AF110" s="1" t="n">
        <v>1.10515364598969</v>
      </c>
      <c r="AG110" s="1" t="n">
        <v>0.370072556049015</v>
      </c>
      <c r="AH110" s="1" t="n">
        <v>-0.608787156697638</v>
      </c>
      <c r="AI110" s="1" t="n">
        <v>0.406761655422139</v>
      </c>
      <c r="AJ110" s="1" t="n">
        <v>0.109310703265864</v>
      </c>
      <c r="AK110" s="1" t="n">
        <v>0.837628676191392</v>
      </c>
      <c r="AL110" s="1" t="n">
        <v>-1.24911296591091</v>
      </c>
      <c r="AM110" s="1" t="n">
        <v>0.116260772138989</v>
      </c>
      <c r="AN110" s="1" t="n">
        <v>-0.159063848666114</v>
      </c>
      <c r="AO110" s="1" t="n">
        <v>-1.10968371464742</v>
      </c>
      <c r="AP110" s="1" t="n">
        <v>0.215648249408349</v>
      </c>
      <c r="AQ110" s="1" t="n">
        <v>0.0349178358789407</v>
      </c>
      <c r="AR110" s="1" t="n">
        <v>-0.410358667111</v>
      </c>
      <c r="AS110" s="1" t="n">
        <v>0.396028749885942</v>
      </c>
      <c r="AT110" s="1" t="n">
        <v>-1.41879701072947</v>
      </c>
      <c r="AU110" s="1" t="n">
        <v>-0.0536417931715269</v>
      </c>
      <c r="AV110" s="1" t="n">
        <v>0.431414165778992</v>
      </c>
      <c r="AW110" s="1" t="n">
        <v>0.284017858125673</v>
      </c>
      <c r="AX110" s="1" t="n">
        <v>1.07642778195795</v>
      </c>
      <c r="AY110" s="1" t="n">
        <v>-1.20111257418201</v>
      </c>
      <c r="AZ110" s="1" t="n">
        <v>-1.50788042463274</v>
      </c>
      <c r="BA110" s="1" t="n">
        <v>0.239067742058258</v>
      </c>
      <c r="BB110" s="1" t="n">
        <v>0.455152527435993</v>
      </c>
      <c r="BC110" s="1" t="n">
        <v>2.11982379317687</v>
      </c>
      <c r="BD110" s="1" t="n">
        <v>0.616612476206951</v>
      </c>
      <c r="BE110" s="1" t="n">
        <v>-0.873948297369196</v>
      </c>
      <c r="BF110" s="1" t="n">
        <v>0.806029734901777</v>
      </c>
      <c r="BG110" s="1" t="n">
        <v>-0.845630147746721</v>
      </c>
      <c r="BH110" s="1" t="n">
        <v>-1.48583594565623</v>
      </c>
      <c r="BI110" s="1" t="n">
        <v>2.60910087971253</v>
      </c>
      <c r="BJ110" s="1" t="n">
        <v>0.325825379397421</v>
      </c>
    </row>
    <row r="111" customFormat="false" ht="15" hidden="false" customHeight="true" outlineLevel="0" collapsed="false">
      <c r="C111" s="1" t="n">
        <v>0.714950631807204</v>
      </c>
      <c r="D111" s="1" t="n">
        <v>0.563550252697667</v>
      </c>
      <c r="E111" s="1" t="n">
        <v>1.81207677408952</v>
      </c>
      <c r="F111" s="1" t="n">
        <v>0.284106516475076</v>
      </c>
      <c r="G111" s="1" t="n">
        <v>1.21769803267959</v>
      </c>
      <c r="H111" s="1" t="n">
        <v>-1.02728384999803</v>
      </c>
      <c r="I111" s="1" t="n">
        <v>-1.3921609905481</v>
      </c>
      <c r="J111" s="1" t="n">
        <v>1.4265570102476</v>
      </c>
      <c r="K111" s="1" t="n">
        <v>1.47485971840899</v>
      </c>
      <c r="L111" s="1" t="n">
        <v>0.510725815313559</v>
      </c>
      <c r="M111" s="1" t="n">
        <v>0.226066503721296</v>
      </c>
      <c r="N111" s="1" t="n">
        <v>0.166176594652842</v>
      </c>
      <c r="O111" s="1" t="n">
        <v>-0.688161428434345</v>
      </c>
      <c r="P111" s="1" t="n">
        <v>1.5386378999864</v>
      </c>
      <c r="Q111" s="1" t="n">
        <v>0.658880814831821</v>
      </c>
      <c r="R111" s="1" t="n">
        <v>0.50590544450221</v>
      </c>
      <c r="S111" s="1" t="n">
        <v>0.376125267471803</v>
      </c>
      <c r="T111" s="1" t="n">
        <v>1.04791282135687</v>
      </c>
      <c r="U111" s="1" t="n">
        <v>0.505005299863868</v>
      </c>
      <c r="V111" s="1" t="n">
        <v>0.745359769591198</v>
      </c>
      <c r="W111" s="1" t="n">
        <v>-1.16893087487457</v>
      </c>
      <c r="X111" s="1" t="n">
        <v>0.510032998463801</v>
      </c>
      <c r="Y111" s="1" t="n">
        <v>2.18720151105849</v>
      </c>
      <c r="Z111" s="1" t="n">
        <v>-0.518523005249047</v>
      </c>
      <c r="AA111" s="1" t="n">
        <v>-0.128828868407223</v>
      </c>
      <c r="AB111" s="1" t="n">
        <v>0.891943708910025</v>
      </c>
      <c r="AC111" s="1" t="n">
        <v>0.957303165605691</v>
      </c>
      <c r="AD111" s="1" t="n">
        <v>0.624427091992447</v>
      </c>
      <c r="AE111" s="1" t="n">
        <v>-1.61760026315044</v>
      </c>
      <c r="AF111" s="1" t="n">
        <v>0.501730274717861</v>
      </c>
      <c r="AG111" s="1" t="n">
        <v>-1.18367451486016</v>
      </c>
      <c r="AH111" s="1" t="n">
        <v>-0.824701918304702</v>
      </c>
      <c r="AI111" s="1" t="n">
        <v>0.548053786238446</v>
      </c>
      <c r="AJ111" s="1" t="n">
        <v>-0.295824123560063</v>
      </c>
      <c r="AK111" s="1" t="n">
        <v>0.809622913047769</v>
      </c>
      <c r="AL111" s="1" t="n">
        <v>3.14813865375086</v>
      </c>
      <c r="AM111" s="1" t="n">
        <v>0.777180050383943</v>
      </c>
      <c r="AN111" s="1" t="n">
        <v>0.722852653014472</v>
      </c>
      <c r="AO111" s="1" t="n">
        <v>-0.895727478957353</v>
      </c>
      <c r="AP111" s="1" t="n">
        <v>-0.642964273431815</v>
      </c>
      <c r="AQ111" s="1" t="n">
        <v>-1.0636618865511</v>
      </c>
      <c r="AR111" s="1" t="n">
        <v>-0.532595836526185</v>
      </c>
      <c r="AS111" s="1" t="n">
        <v>-1.09175205593009</v>
      </c>
      <c r="AT111" s="1" t="n">
        <v>-0.65969001706611</v>
      </c>
      <c r="AU111" s="1" t="n">
        <v>-0.208721835317996</v>
      </c>
      <c r="AV111" s="1" t="n">
        <v>-1.00057386797187</v>
      </c>
      <c r="AW111" s="1" t="n">
        <v>-1.41909710096243</v>
      </c>
      <c r="AX111" s="1" t="n">
        <v>-1.3614635245776</v>
      </c>
      <c r="AY111" s="1" t="n">
        <v>0.453921112393729</v>
      </c>
      <c r="AZ111" s="1" t="n">
        <v>0.0597465313619631</v>
      </c>
      <c r="BA111" s="1" t="n">
        <v>1.02594032831485</v>
      </c>
      <c r="BB111" s="1" t="n">
        <v>1.0444392184672</v>
      </c>
      <c r="BC111" s="1" t="n">
        <v>-0.340638921950905</v>
      </c>
      <c r="BD111" s="1" t="n">
        <v>0.670043574404534</v>
      </c>
      <c r="BE111" s="1" t="n">
        <v>-1.44052054655856</v>
      </c>
      <c r="BF111" s="1" t="n">
        <v>2.28302353703838</v>
      </c>
      <c r="BG111" s="1" t="n">
        <v>1.19540429918796</v>
      </c>
      <c r="BH111" s="1" t="n">
        <v>-0.215033395174608</v>
      </c>
      <c r="BI111" s="1" t="n">
        <v>-1.16319943410342</v>
      </c>
      <c r="BJ111" s="1" t="n">
        <v>0.38004857720196</v>
      </c>
    </row>
    <row r="112" customFormat="false" ht="15" hidden="false" customHeight="true" outlineLevel="0" collapsed="false">
      <c r="C112" s="1" t="n">
        <v>-1.87007352848332</v>
      </c>
      <c r="D112" s="1" t="n">
        <v>-0.779302436106356</v>
      </c>
      <c r="E112" s="1" t="n">
        <v>0.748757559004532</v>
      </c>
      <c r="F112" s="1" t="n">
        <v>0.0754490000940365</v>
      </c>
      <c r="G112" s="1" t="n">
        <v>-0.490964730843688</v>
      </c>
      <c r="H112" s="1" t="n">
        <v>0.950739579136884</v>
      </c>
      <c r="I112" s="1" t="n">
        <v>-1.03863401089474</v>
      </c>
      <c r="J112" s="1" t="n">
        <v>0.284700615828773</v>
      </c>
      <c r="K112" s="1" t="n">
        <v>-0.497885501335971</v>
      </c>
      <c r="L112" s="1" t="n">
        <v>-0.847370456816394</v>
      </c>
      <c r="M112" s="1" t="n">
        <v>0.46339575995043</v>
      </c>
      <c r="N112" s="1" t="n">
        <v>-0.992879434130574</v>
      </c>
      <c r="O112" s="1" t="n">
        <v>1.90200644874492</v>
      </c>
      <c r="P112" s="1" t="n">
        <v>-0.584716845467998</v>
      </c>
      <c r="Q112" s="1" t="n">
        <v>1.98981998297493</v>
      </c>
      <c r="R112" s="1" t="n">
        <v>-1.09397078932318</v>
      </c>
      <c r="S112" s="1" t="n">
        <v>0.605951418329135</v>
      </c>
      <c r="T112" s="1" t="n">
        <v>-1.19957569164192</v>
      </c>
      <c r="U112" s="1" t="n">
        <v>-1.34111730788079</v>
      </c>
      <c r="V112" s="1" t="n">
        <v>0.159705343073673</v>
      </c>
      <c r="W112" s="1" t="n">
        <v>0.677558830211425</v>
      </c>
      <c r="X112" s="1" t="n">
        <v>-1.27426295339083</v>
      </c>
      <c r="Y112" s="1" t="n">
        <v>1.18414706720705</v>
      </c>
      <c r="Z112" s="1" t="n">
        <v>-0.797599014976439</v>
      </c>
      <c r="AA112" s="1" t="n">
        <v>0.131222690064952</v>
      </c>
      <c r="AB112" s="1" t="n">
        <v>0.379778859751239</v>
      </c>
      <c r="AC112" s="1" t="n">
        <v>0.594681681461544</v>
      </c>
      <c r="AD112" s="1" t="n">
        <v>-1.79781219951393</v>
      </c>
      <c r="AE112" s="1" t="n">
        <v>1.61856261778324</v>
      </c>
      <c r="AF112" s="1" t="n">
        <v>0.561793101661022</v>
      </c>
      <c r="AG112" s="1" t="n">
        <v>-0.42559348086693</v>
      </c>
      <c r="AH112" s="1" t="n">
        <v>-1.02415390279</v>
      </c>
      <c r="AI112" s="1" t="n">
        <v>-1.69407152928308</v>
      </c>
      <c r="AJ112" s="1" t="n">
        <v>-1.36142321609064</v>
      </c>
      <c r="AK112" s="1" t="n">
        <v>0.544938479070568</v>
      </c>
      <c r="AL112" s="1" t="n">
        <v>-0.341073285263314</v>
      </c>
      <c r="AM112" s="1" t="n">
        <v>-1.13151594976845</v>
      </c>
      <c r="AN112" s="1" t="n">
        <v>-0.526934965520816</v>
      </c>
      <c r="AO112" s="1" t="n">
        <v>1.56411254048661</v>
      </c>
      <c r="AP112" s="1" t="n">
        <v>-0.330674900395349</v>
      </c>
      <c r="AQ112" s="1" t="n">
        <v>-0.584448245479019</v>
      </c>
      <c r="AR112" s="1" t="n">
        <v>1.3506060681864</v>
      </c>
      <c r="AS112" s="1" t="n">
        <v>0.461891692323834</v>
      </c>
      <c r="AT112" s="1" t="n">
        <v>0.04428082908598</v>
      </c>
      <c r="AU112" s="1" t="n">
        <v>-0.607781893438834</v>
      </c>
      <c r="AV112" s="1" t="n">
        <v>-1.55241078164554</v>
      </c>
      <c r="AW112" s="1" t="n">
        <v>-1.17054252148889</v>
      </c>
      <c r="AX112" s="1" t="n">
        <v>-0.480461602440024</v>
      </c>
      <c r="AY112" s="1" t="n">
        <v>-0.219625700402065</v>
      </c>
      <c r="AZ112" s="1" t="n">
        <v>0.356242284027439</v>
      </c>
      <c r="BA112" s="1" t="n">
        <v>0.551764727344819</v>
      </c>
      <c r="BB112" s="1" t="n">
        <v>0.222921559496893</v>
      </c>
      <c r="BC112" s="1" t="n">
        <v>0.220408505143301</v>
      </c>
      <c r="BD112" s="1" t="n">
        <v>-1.00752469160826</v>
      </c>
      <c r="BE112" s="1" t="n">
        <v>-2.1547549431775</v>
      </c>
      <c r="BF112" s="1" t="n">
        <v>-0.520875825155803</v>
      </c>
      <c r="BG112" s="1" t="n">
        <v>-0.95414922315394</v>
      </c>
      <c r="BH112" s="1" t="n">
        <v>-0.652626952541343</v>
      </c>
      <c r="BI112" s="1" t="n">
        <v>-0.274553975152688</v>
      </c>
      <c r="BJ112" s="1" t="n">
        <v>-1.24360707523101</v>
      </c>
    </row>
    <row r="113" customFormat="false" ht="15" hidden="false" customHeight="true" outlineLevel="0" collapsed="false">
      <c r="C113" s="1" t="n">
        <v>-1.11051042172647</v>
      </c>
      <c r="D113" s="1" t="n">
        <v>-0.100317064448054</v>
      </c>
      <c r="E113" s="1" t="n">
        <v>0.115770522649711</v>
      </c>
      <c r="F113" s="1" t="n">
        <v>-0.65599827791502</v>
      </c>
      <c r="G113" s="1" t="n">
        <v>0.498285068764802</v>
      </c>
      <c r="H113" s="1" t="n">
        <v>-0.219454712352801</v>
      </c>
      <c r="I113" s="1" t="n">
        <v>-1.0199130875472</v>
      </c>
      <c r="J113" s="1" t="n">
        <v>0.0407306679252226</v>
      </c>
      <c r="K113" s="1" t="n">
        <v>1.88241358498574</v>
      </c>
      <c r="L113" s="1" t="n">
        <v>-0.674926200320323</v>
      </c>
      <c r="M113" s="1" t="n">
        <v>1.166139748345</v>
      </c>
      <c r="N113" s="1" t="n">
        <v>1.37777589257462</v>
      </c>
      <c r="O113" s="1" t="n">
        <v>1.4981616011101</v>
      </c>
      <c r="P113" s="1" t="n">
        <v>-0.822628014401305</v>
      </c>
      <c r="Q113" s="1" t="n">
        <v>2.01537393137126</v>
      </c>
      <c r="R113" s="1" t="n">
        <v>0.116349458272875</v>
      </c>
      <c r="S113" s="1" t="n">
        <v>-0.253788906709155</v>
      </c>
      <c r="T113" s="1" t="n">
        <v>-0.230347915002721</v>
      </c>
      <c r="U113" s="1" t="n">
        <v>0.601573539763596</v>
      </c>
      <c r="V113" s="1" t="n">
        <v>0.0511275326469801</v>
      </c>
      <c r="W113" s="1" t="n">
        <v>-0.17689668071199</v>
      </c>
      <c r="X113" s="1" t="n">
        <v>1.28358891594607</v>
      </c>
      <c r="Y113" s="1" t="n">
        <v>-0.722762671104579</v>
      </c>
      <c r="Z113" s="1" t="n">
        <v>-1.04314392915484</v>
      </c>
      <c r="AA113" s="1" t="n">
        <v>0.793105099318504</v>
      </c>
      <c r="AB113" s="1" t="n">
        <v>0.703597380794412</v>
      </c>
      <c r="AC113" s="1" t="n">
        <v>1.09397753553707</v>
      </c>
      <c r="AD113" s="1" t="n">
        <v>-1.07219975969113</v>
      </c>
      <c r="AE113" s="1" t="n">
        <v>1.08139145907229</v>
      </c>
      <c r="AF113" s="1" t="n">
        <v>0.482021324744482</v>
      </c>
      <c r="AG113" s="1" t="n">
        <v>1.76257543553893</v>
      </c>
      <c r="AH113" s="1" t="n">
        <v>-1.24828766055164</v>
      </c>
      <c r="AI113" s="1" t="n">
        <v>0.218240348519944</v>
      </c>
      <c r="AJ113" s="1" t="n">
        <v>-0.277567419476039</v>
      </c>
      <c r="AK113" s="1" t="n">
        <v>-1.58976592212682</v>
      </c>
      <c r="AL113" s="1" t="n">
        <v>-0.714887938786638</v>
      </c>
      <c r="AM113" s="1" t="n">
        <v>1.1270641511011</v>
      </c>
      <c r="AN113" s="1" t="n">
        <v>-0.468960677876852</v>
      </c>
      <c r="AO113" s="1" t="n">
        <v>-0.722597544653809</v>
      </c>
      <c r="AP113" s="1" t="n">
        <v>0.868260391887352</v>
      </c>
      <c r="AQ113" s="1" t="n">
        <v>0.988876673666278</v>
      </c>
      <c r="AR113" s="1" t="n">
        <v>0.98678395294646</v>
      </c>
      <c r="AS113" s="1" t="n">
        <v>-0.789693374708103</v>
      </c>
      <c r="AT113" s="1" t="n">
        <v>-0.0580087529241854</v>
      </c>
      <c r="AU113" s="1" t="n">
        <v>1.03065913974694</v>
      </c>
      <c r="AV113" s="1" t="n">
        <v>-0.656034128848823</v>
      </c>
      <c r="AW113" s="1" t="n">
        <v>-0.749331170989476</v>
      </c>
      <c r="AX113" s="1" t="n">
        <v>0.828231976979381</v>
      </c>
      <c r="AY113" s="1" t="n">
        <v>1.56234869414479</v>
      </c>
      <c r="AZ113" s="1" t="n">
        <v>-1.15207474388199</v>
      </c>
      <c r="BA113" s="1" t="n">
        <v>-2.59756841525121</v>
      </c>
      <c r="BB113" s="1" t="n">
        <v>-1.45031644725767</v>
      </c>
      <c r="BC113" s="1" t="n">
        <v>-1.01245244845864</v>
      </c>
      <c r="BD113" s="1" t="n">
        <v>-0.137676698474149</v>
      </c>
      <c r="BE113" s="1" t="n">
        <v>0.615849207521937</v>
      </c>
      <c r="BF113" s="1" t="n">
        <v>-0.146501187309662</v>
      </c>
      <c r="BG113" s="1" t="n">
        <v>-0.700339516187544</v>
      </c>
      <c r="BH113" s="1" t="n">
        <v>0.153369685994251</v>
      </c>
      <c r="BI113" s="1" t="n">
        <v>-0.961871753189577</v>
      </c>
      <c r="BJ113" s="1" t="n">
        <v>-0.046920341763756</v>
      </c>
    </row>
    <row r="114" customFormat="false" ht="15" hidden="false" customHeight="true" outlineLevel="0" collapsed="false">
      <c r="C114" s="1" t="n">
        <v>-0.641568461933066</v>
      </c>
      <c r="D114" s="1" t="n">
        <v>2.68034318696996</v>
      </c>
      <c r="E114" s="1" t="n">
        <v>0.816786940091462</v>
      </c>
      <c r="F114" s="1" t="n">
        <v>-0.835014424835967</v>
      </c>
      <c r="G114" s="1" t="n">
        <v>-0.996934209393919</v>
      </c>
      <c r="H114" s="1" t="n">
        <v>-0.438178213109169</v>
      </c>
      <c r="I114" s="1" t="n">
        <v>-1.64487511899907</v>
      </c>
      <c r="J114" s="1" t="n">
        <v>-0.730494461378334</v>
      </c>
      <c r="K114" s="1" t="n">
        <v>-0.738227117083667</v>
      </c>
      <c r="L114" s="1" t="n">
        <v>0.883925689305449</v>
      </c>
      <c r="M114" s="1" t="n">
        <v>-0.426600316187163</v>
      </c>
      <c r="N114" s="1" t="n">
        <v>-0.790545781091559</v>
      </c>
      <c r="O114" s="1" t="n">
        <v>-1.34046583836521</v>
      </c>
      <c r="P114" s="1" t="n">
        <v>-1.17663854917972</v>
      </c>
      <c r="Q114" s="1" t="n">
        <v>-0.0663560499966281</v>
      </c>
      <c r="R114" s="1" t="n">
        <v>-0.215129103141473</v>
      </c>
      <c r="S114" s="1" t="n">
        <v>1.13425162768166</v>
      </c>
      <c r="T114" s="1" t="n">
        <v>-0.629130610620466</v>
      </c>
      <c r="U114" s="1" t="n">
        <v>1.05918428654098</v>
      </c>
      <c r="V114" s="1" t="n">
        <v>0.257126312183409</v>
      </c>
      <c r="W114" s="1" t="n">
        <v>-0.0046356872187049</v>
      </c>
      <c r="X114" s="1" t="n">
        <v>-2.00830426169032</v>
      </c>
      <c r="Y114" s="1" t="n">
        <v>-1.29005818499213</v>
      </c>
      <c r="Z114" s="1" t="n">
        <v>0.741428855509238</v>
      </c>
      <c r="AA114" s="1" t="n">
        <v>1.397819862345</v>
      </c>
      <c r="AB114" s="1" t="n">
        <v>0.206448805173481</v>
      </c>
      <c r="AC114" s="1" t="n">
        <v>0.762527314888176</v>
      </c>
      <c r="AD114" s="1" t="n">
        <v>-0.407722141920585</v>
      </c>
      <c r="AE114" s="1" t="n">
        <v>-0.371350927441033</v>
      </c>
      <c r="AF114" s="1" t="n">
        <v>-0.662962623762312</v>
      </c>
      <c r="AG114" s="1" t="n">
        <v>0.974698769775823</v>
      </c>
      <c r="AH114" s="1" t="n">
        <v>0.342797385073527</v>
      </c>
      <c r="AI114" s="1" t="n">
        <v>-0.234169316432558</v>
      </c>
      <c r="AJ114" s="1" t="n">
        <v>-0.328391264722476</v>
      </c>
      <c r="AK114" s="1" t="n">
        <v>0.556505586428511</v>
      </c>
      <c r="AL114" s="1" t="n">
        <v>0.32311554444248</v>
      </c>
      <c r="AM114" s="1" t="n">
        <v>-0.832041965309076</v>
      </c>
      <c r="AN114" s="1" t="n">
        <v>1.71598587744831</v>
      </c>
      <c r="AO114" s="1" t="n">
        <v>0.257028920318611</v>
      </c>
      <c r="AP114" s="1" t="n">
        <v>0.010479104273892</v>
      </c>
      <c r="AQ114" s="1" t="n">
        <v>1.47728567396257</v>
      </c>
      <c r="AR114" s="1" t="n">
        <v>1.02401699761714</v>
      </c>
      <c r="AS114" s="1" t="n">
        <v>-0.0879668585796332</v>
      </c>
      <c r="AT114" s="1" t="n">
        <v>0.535985181195234</v>
      </c>
      <c r="AU114" s="1" t="n">
        <v>-1.06997832649095</v>
      </c>
      <c r="AV114" s="1" t="n">
        <v>-0.640842923301716</v>
      </c>
      <c r="AW114" s="1" t="n">
        <v>-2.26033144695048</v>
      </c>
      <c r="AX114" s="1" t="n">
        <v>1.22036702381564</v>
      </c>
      <c r="AY114" s="1" t="n">
        <v>-1.89841145683532</v>
      </c>
      <c r="AZ114" s="1" t="n">
        <v>0.681275233946794</v>
      </c>
      <c r="BA114" s="1" t="n">
        <v>-0.830676890276336</v>
      </c>
      <c r="BB114" s="1" t="n">
        <v>-0.978971467817579</v>
      </c>
      <c r="BC114" s="1" t="n">
        <v>-0.195030875387248</v>
      </c>
      <c r="BD114" s="1" t="n">
        <v>0.266412179751552</v>
      </c>
      <c r="BE114" s="1" t="n">
        <v>0.612106479200305</v>
      </c>
      <c r="BF114" s="1" t="n">
        <v>1.77163168499441</v>
      </c>
      <c r="BG114" s="1" t="n">
        <v>0.358614057771643</v>
      </c>
      <c r="BH114" s="1" t="n">
        <v>0.881195363062742</v>
      </c>
      <c r="BI114" s="1" t="n">
        <v>-0.598489009846112</v>
      </c>
      <c r="BJ114" s="1" t="n">
        <v>0.713721312556072</v>
      </c>
    </row>
    <row r="115" customFormat="false" ht="15" hidden="false" customHeight="true" outlineLevel="0" collapsed="false">
      <c r="C115" s="1" t="n">
        <v>0.153268753030147</v>
      </c>
      <c r="D115" s="1" t="n">
        <v>-0.463184203935237</v>
      </c>
      <c r="E115" s="1" t="n">
        <v>-0.095979315767235</v>
      </c>
      <c r="F115" s="1" t="n">
        <v>-0.0620551023238379</v>
      </c>
      <c r="G115" s="1" t="n">
        <v>0.191119252527319</v>
      </c>
      <c r="H115" s="1" t="n">
        <v>0.401391178925147</v>
      </c>
      <c r="I115" s="1" t="n">
        <v>-0.508890370726791</v>
      </c>
      <c r="J115" s="1" t="n">
        <v>-0.740773444539796</v>
      </c>
      <c r="K115" s="1" t="n">
        <v>0.747471584952743</v>
      </c>
      <c r="L115" s="1" t="n">
        <v>-1.69655101003259</v>
      </c>
      <c r="M115" s="1" t="n">
        <v>-0.618206650827213</v>
      </c>
      <c r="N115" s="1" t="n">
        <v>1.55261759607906</v>
      </c>
      <c r="O115" s="1" t="n">
        <v>-2.70719769188352</v>
      </c>
      <c r="P115" s="1" t="n">
        <v>-0.693052021745594</v>
      </c>
      <c r="Q115" s="1" t="n">
        <v>0.687719389336961</v>
      </c>
      <c r="R115" s="1" t="n">
        <v>-1.65032120440773</v>
      </c>
      <c r="S115" s="1" t="n">
        <v>2.59814212135733</v>
      </c>
      <c r="T115" s="1" t="n">
        <v>-2.58840358006616</v>
      </c>
      <c r="U115" s="1" t="n">
        <v>1.43655945108807</v>
      </c>
      <c r="V115" s="1" t="n">
        <v>1.55734136581746</v>
      </c>
      <c r="W115" s="1" t="n">
        <v>0.916352365916233</v>
      </c>
      <c r="X115" s="1" t="n">
        <v>-0.221585572133446</v>
      </c>
      <c r="Y115" s="1" t="n">
        <v>0.357178202632452</v>
      </c>
      <c r="Z115" s="1" t="n">
        <v>-0.897249890196292</v>
      </c>
      <c r="AA115" s="1" t="n">
        <v>0.809324659146855</v>
      </c>
      <c r="AB115" s="1" t="n">
        <v>-1.11986491212116</v>
      </c>
      <c r="AC115" s="1" t="n">
        <v>-0.273873933559385</v>
      </c>
      <c r="AD115" s="1" t="n">
        <v>0.996249279669319</v>
      </c>
      <c r="AE115" s="1" t="n">
        <v>-1.1143029063327</v>
      </c>
      <c r="AF115" s="1" t="n">
        <v>-0.364268556360437</v>
      </c>
      <c r="AG115" s="1" t="n">
        <v>0.164264825535084</v>
      </c>
      <c r="AH115" s="1" t="n">
        <v>-1.34178833986865</v>
      </c>
      <c r="AI115" s="1" t="n">
        <v>1.16437249708328</v>
      </c>
      <c r="AJ115" s="1" t="n">
        <v>0.3407740906222</v>
      </c>
      <c r="AK115" s="1" t="n">
        <v>-1.51558997439053</v>
      </c>
      <c r="AL115" s="1" t="n">
        <v>-0.0469691440639159</v>
      </c>
      <c r="AM115" s="1" t="n">
        <v>-0.775335171499094</v>
      </c>
      <c r="AN115" s="1" t="n">
        <v>-0.65755796654355</v>
      </c>
      <c r="AO115" s="1" t="n">
        <v>0.076744796802838</v>
      </c>
      <c r="AP115" s="1" t="n">
        <v>-0.709690921098873</v>
      </c>
      <c r="AQ115" s="1" t="n">
        <v>0.964511619934451</v>
      </c>
      <c r="AR115" s="1" t="n">
        <v>-0.704658522244003</v>
      </c>
      <c r="AS115" s="1" t="n">
        <v>0.981709849997538</v>
      </c>
      <c r="AT115" s="1" t="n">
        <v>-0.0437594559261566</v>
      </c>
      <c r="AU115" s="1" t="n">
        <v>0.855768688652615</v>
      </c>
      <c r="AV115" s="1" t="n">
        <v>-0.541334657983271</v>
      </c>
      <c r="AW115" s="1" t="n">
        <v>-0.505283947083377</v>
      </c>
      <c r="AX115" s="1" t="n">
        <v>-1.15246528764681</v>
      </c>
      <c r="AY115" s="1" t="n">
        <v>0.577978823029848</v>
      </c>
      <c r="AZ115" s="1" t="n">
        <v>0.937795253530403</v>
      </c>
      <c r="BA115" s="1" t="n">
        <v>2.11918856275192</v>
      </c>
      <c r="BB115" s="1" t="n">
        <v>1.2905275181337</v>
      </c>
      <c r="BC115" s="1" t="n">
        <v>0.249780679369086</v>
      </c>
      <c r="BD115" s="1" t="n">
        <v>-0.210970521178743</v>
      </c>
      <c r="BE115" s="1" t="n">
        <v>0.388703506192903</v>
      </c>
      <c r="BF115" s="1" t="n">
        <v>-0.0277377104841065</v>
      </c>
      <c r="BG115" s="1" t="n">
        <v>1.46347649935212</v>
      </c>
      <c r="BH115" s="1" t="n">
        <v>0.94394397390899</v>
      </c>
      <c r="BI115" s="1" t="n">
        <v>-0.836761132932642</v>
      </c>
      <c r="BJ115" s="1" t="n">
        <v>-0.687630534182934</v>
      </c>
    </row>
    <row r="116" customFormat="false" ht="15" hidden="false" customHeight="true" outlineLevel="0" collapsed="false">
      <c r="C116" s="1" t="n">
        <v>1.36728190357261</v>
      </c>
      <c r="D116" s="1" t="n">
        <v>0.308080134768509</v>
      </c>
      <c r="E116" s="1" t="n">
        <v>-0.231759175691188</v>
      </c>
      <c r="F116" s="1" t="n">
        <v>1.18633616213598</v>
      </c>
      <c r="G116" s="1" t="n">
        <v>-0.387594117185799</v>
      </c>
      <c r="H116" s="1" t="n">
        <v>-0.279775510486248</v>
      </c>
      <c r="I116" s="1" t="n">
        <v>-0.461171541232419</v>
      </c>
      <c r="J116" s="1" t="n">
        <v>-1.96167250658268</v>
      </c>
      <c r="K116" s="1" t="n">
        <v>0.864256990254326</v>
      </c>
      <c r="L116" s="1" t="n">
        <v>-1.20908445802659</v>
      </c>
      <c r="M116" s="1" t="n">
        <v>-0.568692719421565</v>
      </c>
      <c r="N116" s="1" t="n">
        <v>-0.743871882734663</v>
      </c>
      <c r="O116" s="1" t="n">
        <v>0.726990601967375</v>
      </c>
      <c r="P116" s="1" t="n">
        <v>-0.068582782903922</v>
      </c>
      <c r="Q116" s="1" t="n">
        <v>0.0154165503641403</v>
      </c>
      <c r="R116" s="1" t="n">
        <v>-1.67945979389861</v>
      </c>
      <c r="S116" s="1" t="n">
        <v>-0.0874370482346965</v>
      </c>
      <c r="T116" s="1" t="n">
        <v>-1.476333099881</v>
      </c>
      <c r="U116" s="1" t="n">
        <v>0.307196995664195</v>
      </c>
      <c r="V116" s="1" t="n">
        <v>0.366722993497639</v>
      </c>
      <c r="W116" s="1" t="n">
        <v>-0.0173974827351963</v>
      </c>
      <c r="X116" s="1" t="n">
        <v>2.0431436858564</v>
      </c>
      <c r="Y116" s="1" t="n">
        <v>0.527728914225565</v>
      </c>
      <c r="Z116" s="1" t="n">
        <v>0.595824175033704</v>
      </c>
      <c r="AA116" s="1" t="n">
        <v>0.142311353049344</v>
      </c>
      <c r="AB116" s="1" t="n">
        <v>-0.192758076538267</v>
      </c>
      <c r="AC116" s="1" t="n">
        <v>0.965918260656232</v>
      </c>
      <c r="AD116" s="1" t="n">
        <v>1.10144954167476</v>
      </c>
      <c r="AE116" s="1" t="n">
        <v>-1.30116036153418</v>
      </c>
      <c r="AF116" s="1" t="n">
        <v>1.05448960478216</v>
      </c>
      <c r="AG116" s="1" t="n">
        <v>0.513823201027177</v>
      </c>
      <c r="AH116" s="1" t="n">
        <v>0.960700072708934</v>
      </c>
      <c r="AI116" s="1" t="n">
        <v>0.466178780746774</v>
      </c>
      <c r="AJ116" s="1" t="n">
        <v>-1.24426972296988</v>
      </c>
      <c r="AK116" s="1" t="n">
        <v>-1.17291645083257</v>
      </c>
      <c r="AL116" s="1" t="n">
        <v>1.82459052914495</v>
      </c>
      <c r="AM116" s="1" t="n">
        <v>0.252423868647046</v>
      </c>
      <c r="AN116" s="1" t="n">
        <v>-1.41725549415887</v>
      </c>
      <c r="AO116" s="1" t="n">
        <v>0.348132000108108</v>
      </c>
      <c r="AP116" s="1" t="n">
        <v>-0.362123603274085</v>
      </c>
      <c r="AQ116" s="1" t="n">
        <v>-1.84341395580166</v>
      </c>
      <c r="AR116" s="1" t="n">
        <v>-2.29018817171051</v>
      </c>
      <c r="AS116" s="1" t="n">
        <v>-1.60266669420281</v>
      </c>
      <c r="AT116" s="1" t="n">
        <v>0.271792542628656</v>
      </c>
      <c r="AU116" s="1" t="n">
        <v>-0.0480722181134689</v>
      </c>
      <c r="AV116" s="1" t="n">
        <v>-0.249159190625304</v>
      </c>
      <c r="AW116" s="1" t="n">
        <v>0.284678153795956</v>
      </c>
      <c r="AX116" s="1" t="n">
        <v>0.601130426813005</v>
      </c>
      <c r="AY116" s="1" t="n">
        <v>-2.102507439535</v>
      </c>
      <c r="AZ116" s="1" t="n">
        <v>-0.301151182144984</v>
      </c>
      <c r="BA116" s="1" t="n">
        <v>-0.827914650354285</v>
      </c>
      <c r="BB116" s="1" t="n">
        <v>-1.23319497778916</v>
      </c>
      <c r="BC116" s="1" t="n">
        <v>-0.547201278059</v>
      </c>
      <c r="BD116" s="1" t="n">
        <v>-0.122872097794271</v>
      </c>
      <c r="BE116" s="1" t="n">
        <v>-0.266356456559616</v>
      </c>
      <c r="BF116" s="1" t="n">
        <v>-1.45466731343573</v>
      </c>
      <c r="BG116" s="1" t="n">
        <v>-0.483149514642605</v>
      </c>
      <c r="BH116" s="1" t="n">
        <v>2.01583289192397</v>
      </c>
      <c r="BI116" s="1" t="n">
        <v>-1.05455484404643</v>
      </c>
      <c r="BJ116" s="1" t="n">
        <v>-1.68709297849791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2026-06-19T21:41:17Z</dcterms:created>
  <dc:creator>Alessandro Radice</dc:creator>
  <dc:description>Live 2,000-iteration Monte Carlo DCF workbook for Lumina Renewables S.p.A. (illustrative).</dc:description>
  <dc:language>en-US</dc:language>
  <cp:lastModifiedBy>Alessandro Radice</cp:lastModifiedBy>
  <dcterms:modified xsi:type="dcterms:W3CDTF">2026-07-15T21:26:50Z</dcterms:modified>
  <cp:revision>4</cp:revision>
  <dc:subject>Probabilistic equity valuation (Monte Carlo DCF)</dc:subject>
  <dc:title>Lumina Renewables S.p.A. - Monte Carlo DCF Valuation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